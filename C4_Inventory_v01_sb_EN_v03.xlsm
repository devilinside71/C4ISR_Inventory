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mas.laszlo9\Documents\GitHub\C4ISR_Inventory\"/>
    </mc:Choice>
  </mc:AlternateContent>
  <xr:revisionPtr revIDLastSave="0" documentId="13_ncr:1_{C4D3F988-01AB-444B-A507-DBF99438F386}" xr6:coauthVersionLast="43" xr6:coauthVersionMax="43" xr10:uidLastSave="{00000000-0000-0000-0000-000000000000}"/>
  <bookViews>
    <workbookView xWindow="-120" yWindow="-120" windowWidth="29040" windowHeight="17640" activeTab="1" xr2:uid="{00000000-000D-0000-FFFF-FFFF00000000}"/>
  </bookViews>
  <sheets>
    <sheet name="Inventory" sheetId="1" r:id="rId1"/>
    <sheet name="Scan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2" l="1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2" i="2"/>
  <c r="C3" i="2" l="1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3" i="2"/>
  <c r="C64" i="2"/>
  <c r="C65" i="2"/>
  <c r="C66" i="2"/>
  <c r="C67" i="2"/>
  <c r="C68" i="2"/>
  <c r="C69" i="2"/>
  <c r="C70" i="2"/>
  <c r="C71" i="2"/>
  <c r="C72" i="2"/>
  <c r="C73" i="2"/>
  <c r="C74" i="2"/>
  <c r="C75" i="2"/>
  <c r="C76" i="2"/>
  <c r="C77" i="2"/>
  <c r="C78" i="2"/>
  <c r="C79" i="2"/>
  <c r="C80" i="2"/>
  <c r="C81" i="2"/>
  <c r="C82" i="2"/>
  <c r="C83" i="2"/>
  <c r="C84" i="2"/>
  <c r="C85" i="2"/>
  <c r="C86" i="2"/>
  <c r="C87" i="2"/>
  <c r="C88" i="2"/>
  <c r="C89" i="2"/>
  <c r="C90" i="2"/>
  <c r="C91" i="2"/>
  <c r="C92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10" i="2"/>
  <c r="C111" i="2"/>
  <c r="C112" i="2"/>
  <c r="C113" i="2"/>
  <c r="C114" i="2"/>
  <c r="C115" i="2"/>
  <c r="C116" i="2"/>
  <c r="C117" i="2"/>
  <c r="C118" i="2"/>
  <c r="C119" i="2"/>
  <c r="C120" i="2"/>
  <c r="C121" i="2"/>
  <c r="C122" i="2"/>
  <c r="C123" i="2"/>
  <c r="C124" i="2"/>
  <c r="C125" i="2"/>
  <c r="C126" i="2"/>
  <c r="C127" i="2"/>
  <c r="C128" i="2"/>
  <c r="C129" i="2"/>
  <c r="C130" i="2"/>
  <c r="C131" i="2"/>
  <c r="C132" i="2"/>
  <c r="C133" i="2"/>
  <c r="C134" i="2"/>
  <c r="C135" i="2"/>
  <c r="C136" i="2"/>
  <c r="C137" i="2"/>
  <c r="C138" i="2"/>
  <c r="C139" i="2"/>
  <c r="C140" i="2"/>
  <c r="C141" i="2"/>
  <c r="C142" i="2"/>
  <c r="C143" i="2"/>
  <c r="C144" i="2"/>
  <c r="C145" i="2"/>
  <c r="C146" i="2"/>
  <c r="C147" i="2"/>
  <c r="C148" i="2"/>
  <c r="C149" i="2"/>
  <c r="C150" i="2"/>
  <c r="C151" i="2"/>
  <c r="C152" i="2"/>
  <c r="C153" i="2"/>
  <c r="C154" i="2"/>
  <c r="C155" i="2"/>
  <c r="C156" i="2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76" i="2"/>
  <c r="C177" i="2"/>
  <c r="C178" i="2"/>
  <c r="C179" i="2"/>
  <c r="C180" i="2"/>
  <c r="C181" i="2"/>
  <c r="C182" i="2"/>
  <c r="C183" i="2"/>
  <c r="C184" i="2"/>
  <c r="C185" i="2"/>
  <c r="C186" i="2"/>
  <c r="C187" i="2"/>
  <c r="C188" i="2"/>
  <c r="C189" i="2"/>
  <c r="C190" i="2"/>
  <c r="C191" i="2"/>
  <c r="C192" i="2"/>
  <c r="C193" i="2"/>
  <c r="C194" i="2"/>
  <c r="C195" i="2"/>
  <c r="C196" i="2"/>
  <c r="C197" i="2"/>
  <c r="C198" i="2"/>
  <c r="C199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12" i="2"/>
  <c r="C213" i="2"/>
  <c r="C214" i="2"/>
  <c r="C215" i="2"/>
  <c r="C216" i="2"/>
  <c r="C217" i="2"/>
  <c r="C218" i="2"/>
  <c r="C219" i="2"/>
  <c r="C220" i="2"/>
  <c r="C221" i="2"/>
  <c r="C222" i="2"/>
  <c r="C223" i="2"/>
  <c r="C224" i="2"/>
  <c r="C225" i="2"/>
  <c r="C226" i="2"/>
  <c r="C227" i="2"/>
  <c r="C228" i="2"/>
  <c r="C229" i="2"/>
  <c r="C230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43" i="2"/>
  <c r="C244" i="2"/>
  <c r="C245" i="2"/>
  <c r="C246" i="2"/>
  <c r="C247" i="2"/>
  <c r="C248" i="2"/>
  <c r="C249" i="2"/>
  <c r="C250" i="2"/>
  <c r="C251" i="2"/>
  <c r="C252" i="2"/>
  <c r="C253" i="2"/>
  <c r="C254" i="2"/>
  <c r="C255" i="2"/>
  <c r="C256" i="2"/>
  <c r="C257" i="2"/>
  <c r="C258" i="2"/>
  <c r="C259" i="2"/>
  <c r="C260" i="2"/>
  <c r="C261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74" i="2"/>
  <c r="C275" i="2"/>
  <c r="C276" i="2"/>
  <c r="C277" i="2"/>
  <c r="C278" i="2"/>
  <c r="C279" i="2"/>
  <c r="C280" i="2"/>
  <c r="C281" i="2"/>
  <c r="C282" i="2"/>
  <c r="C283" i="2"/>
  <c r="C284" i="2"/>
  <c r="C285" i="2"/>
  <c r="C286" i="2"/>
  <c r="C287" i="2"/>
  <c r="C288" i="2"/>
  <c r="C289" i="2"/>
  <c r="C290" i="2"/>
  <c r="C291" i="2"/>
  <c r="C292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05" i="2"/>
  <c r="C306" i="2"/>
  <c r="C307" i="2"/>
  <c r="C308" i="2"/>
  <c r="C309" i="2"/>
  <c r="C310" i="2"/>
  <c r="C311" i="2"/>
  <c r="C312" i="2"/>
  <c r="C313" i="2"/>
  <c r="C314" i="2"/>
  <c r="C315" i="2"/>
  <c r="C316" i="2"/>
  <c r="C317" i="2"/>
  <c r="C318" i="2"/>
  <c r="C319" i="2"/>
  <c r="C320" i="2"/>
  <c r="C321" i="2"/>
  <c r="C322" i="2"/>
  <c r="C323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36" i="2"/>
  <c r="C337" i="2"/>
  <c r="C338" i="2"/>
  <c r="C339" i="2"/>
  <c r="C340" i="2"/>
  <c r="C341" i="2"/>
  <c r="C342" i="2"/>
  <c r="C343" i="2"/>
  <c r="C344" i="2"/>
  <c r="C345" i="2"/>
  <c r="C346" i="2"/>
  <c r="C347" i="2"/>
  <c r="C348" i="2"/>
  <c r="C349" i="2"/>
  <c r="C350" i="2"/>
  <c r="C351" i="2"/>
  <c r="C352" i="2"/>
  <c r="C353" i="2"/>
  <c r="C354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C367" i="2"/>
  <c r="C368" i="2"/>
  <c r="C369" i="2"/>
  <c r="C370" i="2"/>
  <c r="C371" i="2"/>
  <c r="C372" i="2"/>
  <c r="C373" i="2"/>
  <c r="C374" i="2"/>
  <c r="C375" i="2"/>
  <c r="C376" i="2"/>
  <c r="C377" i="2"/>
  <c r="C378" i="2"/>
  <c r="C379" i="2"/>
  <c r="C380" i="2"/>
  <c r="C381" i="2"/>
  <c r="C382" i="2"/>
  <c r="C383" i="2"/>
  <c r="C384" i="2"/>
  <c r="C385" i="2"/>
  <c r="C386" i="2"/>
  <c r="C387" i="2"/>
  <c r="C388" i="2"/>
  <c r="C389" i="2"/>
  <c r="C390" i="2"/>
  <c r="C391" i="2"/>
  <c r="C392" i="2"/>
  <c r="C393" i="2"/>
  <c r="C394" i="2"/>
  <c r="C395" i="2"/>
  <c r="C396" i="2"/>
  <c r="C397" i="2"/>
  <c r="C398" i="2"/>
  <c r="C399" i="2"/>
  <c r="C400" i="2"/>
  <c r="C401" i="2"/>
  <c r="C402" i="2"/>
  <c r="C403" i="2"/>
  <c r="C404" i="2"/>
  <c r="C405" i="2"/>
  <c r="C406" i="2"/>
  <c r="C407" i="2"/>
  <c r="C408" i="2"/>
  <c r="C409" i="2"/>
  <c r="C410" i="2"/>
  <c r="C411" i="2"/>
  <c r="C412" i="2"/>
  <c r="C413" i="2"/>
  <c r="C414" i="2"/>
  <c r="C415" i="2"/>
  <c r="C416" i="2"/>
  <c r="C417" i="2"/>
  <c r="C418" i="2"/>
  <c r="C419" i="2"/>
  <c r="C420" i="2"/>
  <c r="C421" i="2"/>
  <c r="C422" i="2"/>
  <c r="C423" i="2"/>
  <c r="C424" i="2"/>
  <c r="C425" i="2"/>
  <c r="C426" i="2"/>
  <c r="C427" i="2"/>
  <c r="C428" i="2"/>
  <c r="C429" i="2"/>
  <c r="C430" i="2"/>
  <c r="C431" i="2"/>
  <c r="C432" i="2"/>
  <c r="C433" i="2"/>
  <c r="C434" i="2"/>
  <c r="C435" i="2"/>
  <c r="C436" i="2"/>
  <c r="C437" i="2"/>
  <c r="C438" i="2"/>
  <c r="C439" i="2"/>
  <c r="C440" i="2"/>
  <c r="C441" i="2"/>
  <c r="C442" i="2"/>
  <c r="C443" i="2"/>
  <c r="C444" i="2"/>
  <c r="C445" i="2"/>
  <c r="C446" i="2"/>
  <c r="C447" i="2"/>
  <c r="C448" i="2"/>
  <c r="C449" i="2"/>
  <c r="C450" i="2"/>
  <c r="C451" i="2"/>
  <c r="C452" i="2"/>
  <c r="C453" i="2"/>
  <c r="C454" i="2"/>
  <c r="C455" i="2"/>
  <c r="C456" i="2"/>
  <c r="C457" i="2"/>
  <c r="C458" i="2"/>
  <c r="C459" i="2"/>
  <c r="C460" i="2"/>
  <c r="C461" i="2"/>
  <c r="C462" i="2"/>
  <c r="C463" i="2"/>
  <c r="C464" i="2"/>
  <c r="C465" i="2"/>
  <c r="C466" i="2"/>
  <c r="C467" i="2"/>
  <c r="C468" i="2"/>
  <c r="C469" i="2"/>
  <c r="C470" i="2"/>
  <c r="C471" i="2"/>
  <c r="C472" i="2"/>
  <c r="C473" i="2"/>
  <c r="C474" i="2"/>
  <c r="C475" i="2"/>
  <c r="C476" i="2"/>
  <c r="C477" i="2"/>
  <c r="C478" i="2"/>
  <c r="C479" i="2"/>
  <c r="C480" i="2"/>
  <c r="C481" i="2"/>
  <c r="C482" i="2"/>
  <c r="C483" i="2"/>
  <c r="C484" i="2"/>
  <c r="C485" i="2"/>
  <c r="C486" i="2"/>
  <c r="C487" i="2"/>
  <c r="C488" i="2"/>
  <c r="C489" i="2"/>
  <c r="C490" i="2"/>
  <c r="C491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C557" i="2"/>
  <c r="C558" i="2"/>
  <c r="C559" i="2"/>
  <c r="C560" i="2"/>
  <c r="C561" i="2"/>
  <c r="C562" i="2"/>
  <c r="C563" i="2"/>
  <c r="C564" i="2"/>
  <c r="C565" i="2"/>
  <c r="C566" i="2"/>
  <c r="C567" i="2"/>
  <c r="C568" i="2"/>
  <c r="C569" i="2"/>
  <c r="C570" i="2"/>
  <c r="C571" i="2"/>
  <c r="C572" i="2"/>
  <c r="C573" i="2"/>
  <c r="C574" i="2"/>
  <c r="C575" i="2"/>
  <c r="C576" i="2"/>
  <c r="C577" i="2"/>
  <c r="C578" i="2"/>
  <c r="C579" i="2"/>
  <c r="C580" i="2"/>
  <c r="C581" i="2"/>
  <c r="C582" i="2"/>
  <c r="C583" i="2"/>
  <c r="C584" i="2"/>
  <c r="C585" i="2"/>
  <c r="C586" i="2"/>
  <c r="C587" i="2"/>
  <c r="C588" i="2"/>
  <c r="C589" i="2"/>
  <c r="C590" i="2"/>
  <c r="C591" i="2"/>
  <c r="C592" i="2"/>
  <c r="C593" i="2"/>
  <c r="C594" i="2"/>
  <c r="C595" i="2"/>
  <c r="C596" i="2"/>
  <c r="C597" i="2"/>
  <c r="C598" i="2"/>
  <c r="C599" i="2"/>
  <c r="C600" i="2"/>
  <c r="C601" i="2"/>
  <c r="C602" i="2"/>
  <c r="C603" i="2"/>
  <c r="C604" i="2"/>
  <c r="C605" i="2"/>
  <c r="C606" i="2"/>
  <c r="C607" i="2"/>
  <c r="C608" i="2"/>
  <c r="C609" i="2"/>
  <c r="C610" i="2"/>
  <c r="C611" i="2"/>
  <c r="C612" i="2"/>
  <c r="C613" i="2"/>
  <c r="C614" i="2"/>
  <c r="C615" i="2"/>
  <c r="C616" i="2"/>
  <c r="C617" i="2"/>
  <c r="C618" i="2"/>
  <c r="C619" i="2"/>
  <c r="C620" i="2"/>
  <c r="C621" i="2"/>
  <c r="C622" i="2"/>
  <c r="C623" i="2"/>
  <c r="C624" i="2"/>
  <c r="C625" i="2"/>
  <c r="C626" i="2"/>
  <c r="C627" i="2"/>
  <c r="C628" i="2"/>
  <c r="C629" i="2"/>
  <c r="C630" i="2"/>
  <c r="C631" i="2"/>
  <c r="C632" i="2"/>
  <c r="C633" i="2"/>
  <c r="C634" i="2"/>
  <c r="C635" i="2"/>
  <c r="C636" i="2"/>
  <c r="C637" i="2"/>
  <c r="C638" i="2"/>
  <c r="C639" i="2"/>
  <c r="C640" i="2"/>
  <c r="C641" i="2"/>
  <c r="C642" i="2"/>
  <c r="C643" i="2"/>
  <c r="C644" i="2"/>
  <c r="C645" i="2"/>
  <c r="C646" i="2"/>
  <c r="C647" i="2"/>
  <c r="C648" i="2"/>
  <c r="C649" i="2"/>
  <c r="C650" i="2"/>
  <c r="C651" i="2"/>
  <c r="C652" i="2"/>
  <c r="C653" i="2"/>
  <c r="C654" i="2"/>
  <c r="C655" i="2"/>
  <c r="C656" i="2"/>
  <c r="C657" i="2"/>
  <c r="C658" i="2"/>
  <c r="C659" i="2"/>
  <c r="C660" i="2"/>
  <c r="C661" i="2"/>
  <c r="C662" i="2"/>
  <c r="C663" i="2"/>
  <c r="C664" i="2"/>
  <c r="C665" i="2"/>
  <c r="C666" i="2"/>
  <c r="C667" i="2"/>
  <c r="C668" i="2"/>
  <c r="C669" i="2"/>
  <c r="C670" i="2"/>
  <c r="C671" i="2"/>
  <c r="C672" i="2"/>
  <c r="C673" i="2"/>
  <c r="C674" i="2"/>
  <c r="C675" i="2"/>
  <c r="C676" i="2"/>
  <c r="C677" i="2"/>
  <c r="C678" i="2"/>
  <c r="C679" i="2"/>
  <c r="C680" i="2"/>
  <c r="C681" i="2"/>
  <c r="C682" i="2"/>
  <c r="C683" i="2"/>
  <c r="C684" i="2"/>
  <c r="C685" i="2"/>
  <c r="C686" i="2"/>
  <c r="C687" i="2"/>
  <c r="C688" i="2"/>
  <c r="C689" i="2"/>
  <c r="C690" i="2"/>
  <c r="C691" i="2"/>
  <c r="C692" i="2"/>
  <c r="C693" i="2"/>
  <c r="C694" i="2"/>
  <c r="C695" i="2"/>
  <c r="C696" i="2"/>
  <c r="C697" i="2"/>
  <c r="C698" i="2"/>
  <c r="C699" i="2"/>
  <c r="C700" i="2"/>
  <c r="C701" i="2"/>
  <c r="C702" i="2"/>
  <c r="C703" i="2"/>
  <c r="C704" i="2"/>
  <c r="C705" i="2"/>
  <c r="C706" i="2"/>
  <c r="C707" i="2"/>
  <c r="C708" i="2"/>
  <c r="C709" i="2"/>
  <c r="C710" i="2"/>
  <c r="C711" i="2"/>
  <c r="C712" i="2"/>
  <c r="C713" i="2"/>
  <c r="C714" i="2"/>
  <c r="C715" i="2"/>
  <c r="C716" i="2"/>
  <c r="C717" i="2"/>
  <c r="C718" i="2"/>
  <c r="C719" i="2"/>
  <c r="C720" i="2"/>
  <c r="C721" i="2"/>
  <c r="C722" i="2"/>
  <c r="C723" i="2"/>
  <c r="C724" i="2"/>
  <c r="C725" i="2"/>
  <c r="C726" i="2"/>
  <c r="C727" i="2"/>
  <c r="C728" i="2"/>
  <c r="C729" i="2"/>
  <c r="C730" i="2"/>
  <c r="C731" i="2"/>
  <c r="C732" i="2"/>
  <c r="C733" i="2"/>
  <c r="C734" i="2"/>
  <c r="C735" i="2"/>
  <c r="C736" i="2"/>
  <c r="C737" i="2"/>
  <c r="C2" i="2"/>
  <c r="D3" i="2" l="1"/>
  <c r="D4" i="2"/>
  <c r="D5" i="2"/>
  <c r="D6" i="2"/>
  <c r="D7" i="2"/>
  <c r="D8" i="2"/>
  <c r="D9" i="2"/>
  <c r="D10" i="2"/>
  <c r="D11" i="2"/>
  <c r="D15" i="2"/>
  <c r="D16" i="2"/>
  <c r="D17" i="2"/>
  <c r="D19" i="2"/>
  <c r="D20" i="2"/>
  <c r="D21" i="2"/>
  <c r="D22" i="2"/>
  <c r="D23" i="2"/>
  <c r="D24" i="2"/>
  <c r="D25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4" i="2"/>
  <c r="D45" i="2"/>
  <c r="D46" i="2"/>
  <c r="D47" i="2"/>
  <c r="D48" i="2"/>
  <c r="D49" i="2"/>
  <c r="D50" i="2"/>
  <c r="D52" i="2"/>
  <c r="D53" i="2"/>
  <c r="D54" i="2"/>
  <c r="D56" i="2"/>
  <c r="D57" i="2"/>
  <c r="D58" i="2"/>
  <c r="D60" i="2"/>
  <c r="D61" i="2"/>
  <c r="D62" i="2"/>
  <c r="D63" i="2"/>
  <c r="D64" i="2"/>
  <c r="D65" i="2"/>
  <c r="D67" i="2"/>
  <c r="D70" i="2"/>
  <c r="D71" i="2"/>
  <c r="D72" i="2"/>
  <c r="D73" i="2"/>
  <c r="D74" i="2"/>
  <c r="D76" i="2"/>
  <c r="D77" i="2"/>
  <c r="D78" i="2"/>
  <c r="D79" i="2"/>
  <c r="D80" i="2"/>
  <c r="D81" i="2"/>
  <c r="D82" i="2"/>
  <c r="D83" i="2"/>
  <c r="D85" i="2"/>
  <c r="D87" i="2"/>
  <c r="D88" i="2"/>
  <c r="D89" i="2"/>
  <c r="D90" i="2"/>
  <c r="D91" i="2"/>
  <c r="D95" i="2"/>
  <c r="D96" i="2"/>
  <c r="D98" i="2"/>
  <c r="D100" i="2"/>
  <c r="D101" i="2"/>
  <c r="D102" i="2"/>
  <c r="D103" i="2"/>
  <c r="D104" i="2"/>
  <c r="D105" i="2"/>
  <c r="D106" i="2"/>
  <c r="D108" i="2"/>
  <c r="D109" i="2"/>
  <c r="D110" i="2"/>
  <c r="D111" i="2"/>
  <c r="D112" i="2"/>
  <c r="D113" i="2"/>
  <c r="D114" i="2"/>
  <c r="D115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9" i="2"/>
  <c r="D140" i="2"/>
  <c r="D141" i="2"/>
  <c r="D143" i="2"/>
  <c r="D144" i="2"/>
  <c r="D145" i="2"/>
  <c r="D146" i="2"/>
  <c r="D147" i="2"/>
  <c r="D148" i="2"/>
  <c r="D149" i="2"/>
  <c r="D151" i="2"/>
  <c r="D152" i="2"/>
  <c r="D153" i="2"/>
  <c r="D154" i="2"/>
  <c r="D155" i="2"/>
  <c r="D157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5" i="2"/>
  <c r="D176" i="2"/>
  <c r="D177" i="2"/>
  <c r="D179" i="2"/>
  <c r="D180" i="2"/>
  <c r="D181" i="2"/>
  <c r="D182" i="2"/>
  <c r="D183" i="2"/>
  <c r="D184" i="2"/>
  <c r="D185" i="2"/>
  <c r="D186" i="2"/>
  <c r="D187" i="2"/>
  <c r="D188" i="2"/>
  <c r="D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3" i="2"/>
  <c r="D214" i="2"/>
  <c r="D215" i="2"/>
  <c r="D216" i="2"/>
  <c r="D217" i="2"/>
  <c r="D218" i="2"/>
  <c r="D219" i="2"/>
  <c r="D220" i="2"/>
  <c r="D221" i="2"/>
  <c r="D223" i="2"/>
  <c r="D224" i="2"/>
  <c r="D225" i="2"/>
  <c r="D226" i="2"/>
  <c r="D227" i="2"/>
  <c r="D228" i="2"/>
  <c r="D229" i="2"/>
  <c r="D230" i="2"/>
  <c r="D231" i="2"/>
  <c r="D232" i="2"/>
  <c r="D233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2" i="2"/>
  <c r="D273" i="2"/>
  <c r="D274" i="2"/>
  <c r="D275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3" i="2"/>
  <c r="D364" i="2"/>
  <c r="D365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6" i="2"/>
  <c r="D507" i="2"/>
  <c r="D508" i="2"/>
  <c r="D510" i="2"/>
  <c r="D511" i="2"/>
  <c r="D512" i="2"/>
  <c r="D513" i="2"/>
  <c r="D515" i="2"/>
  <c r="D516" i="2"/>
  <c r="D519" i="2"/>
  <c r="D521" i="2"/>
  <c r="D522" i="2"/>
  <c r="D523" i="2"/>
  <c r="D524" i="2"/>
  <c r="D526" i="2"/>
  <c r="D527" i="2"/>
  <c r="D528" i="2"/>
  <c r="D530" i="2"/>
  <c r="D531" i="2"/>
  <c r="D532" i="2"/>
  <c r="D535" i="2"/>
  <c r="D536" i="2"/>
  <c r="D537" i="2"/>
  <c r="D538" i="2"/>
  <c r="D539" i="2"/>
  <c r="D540" i="2"/>
  <c r="D543" i="2"/>
  <c r="D545" i="2"/>
  <c r="D546" i="2"/>
  <c r="D547" i="2"/>
  <c r="D548" i="2"/>
  <c r="D551" i="2"/>
  <c r="D552" i="2"/>
  <c r="D553" i="2"/>
  <c r="D554" i="2"/>
  <c r="D555" i="2"/>
  <c r="D556" i="2"/>
  <c r="D557" i="2"/>
  <c r="D558" i="2"/>
  <c r="D559" i="2"/>
  <c r="D560" i="2"/>
  <c r="D562" i="2"/>
  <c r="D563" i="2"/>
  <c r="D567" i="2"/>
  <c r="D568" i="2"/>
  <c r="D569" i="2"/>
  <c r="D570" i="2"/>
  <c r="D571" i="2"/>
  <c r="D572" i="2"/>
  <c r="D575" i="2"/>
  <c r="D578" i="2"/>
  <c r="D579" i="2"/>
  <c r="D580" i="2"/>
  <c r="D583" i="2"/>
  <c r="D584" i="2"/>
  <c r="D585" i="2"/>
  <c r="D586" i="2"/>
  <c r="D587" i="2"/>
  <c r="D588" i="2"/>
  <c r="D590" i="2"/>
  <c r="D591" i="2"/>
  <c r="D592" i="2"/>
  <c r="D593" i="2"/>
  <c r="D594" i="2"/>
  <c r="D595" i="2"/>
  <c r="D596" i="2"/>
  <c r="D598" i="2"/>
  <c r="D600" i="2"/>
  <c r="D602" i="2"/>
  <c r="D603" i="2"/>
  <c r="D604" i="2"/>
  <c r="D608" i="2"/>
  <c r="D609" i="2"/>
  <c r="D610" i="2"/>
  <c r="D611" i="2"/>
  <c r="D612" i="2"/>
  <c r="D613" i="2"/>
  <c r="D615" i="2"/>
  <c r="D616" i="2"/>
  <c r="D618" i="2"/>
  <c r="D619" i="2"/>
  <c r="D620" i="2"/>
  <c r="D622" i="2"/>
  <c r="D623" i="2"/>
  <c r="D624" i="2"/>
  <c r="D625" i="2"/>
  <c r="D626" i="2"/>
  <c r="D627" i="2"/>
  <c r="D628" i="2"/>
  <c r="D631" i="2"/>
  <c r="D634" i="2"/>
  <c r="D635" i="2"/>
  <c r="D636" i="2"/>
  <c r="D637" i="2"/>
  <c r="D639" i="2"/>
  <c r="D640" i="2"/>
  <c r="D642" i="2"/>
  <c r="D643" i="2"/>
  <c r="D644" i="2"/>
  <c r="D646" i="2"/>
  <c r="D647" i="2"/>
  <c r="D648" i="2"/>
  <c r="D649" i="2"/>
  <c r="D650" i="2"/>
  <c r="D651" i="2"/>
  <c r="D652" i="2"/>
  <c r="D653" i="2"/>
  <c r="D656" i="2"/>
  <c r="D658" i="2"/>
  <c r="D659" i="2"/>
  <c r="D660" i="2"/>
  <c r="D662" i="2"/>
  <c r="D663" i="2"/>
  <c r="D664" i="2"/>
  <c r="D665" i="2"/>
  <c r="D666" i="2"/>
  <c r="D667" i="2"/>
  <c r="D668" i="2"/>
  <c r="D672" i="2"/>
  <c r="D674" i="2"/>
  <c r="D675" i="2"/>
  <c r="D676" i="2"/>
  <c r="D679" i="2"/>
  <c r="D680" i="2"/>
  <c r="D681" i="2"/>
  <c r="D682" i="2"/>
  <c r="D683" i="2"/>
  <c r="D684" i="2"/>
  <c r="D686" i="2"/>
  <c r="D687" i="2"/>
  <c r="D688" i="2"/>
  <c r="D689" i="2"/>
  <c r="D690" i="2"/>
  <c r="D691" i="2"/>
  <c r="D696" i="2"/>
  <c r="D697" i="2"/>
  <c r="D698" i="2"/>
  <c r="D699" i="2"/>
  <c r="D700" i="2"/>
  <c r="D703" i="2"/>
  <c r="D704" i="2"/>
  <c r="D705" i="2"/>
  <c r="D706" i="2"/>
  <c r="D707" i="2"/>
  <c r="D708" i="2"/>
  <c r="D710" i="2"/>
  <c r="D711" i="2"/>
  <c r="D712" i="2"/>
  <c r="D713" i="2"/>
  <c r="D714" i="2"/>
  <c r="D715" i="2"/>
  <c r="D720" i="2"/>
  <c r="D721" i="2"/>
  <c r="D722" i="2"/>
  <c r="D723" i="2"/>
  <c r="D724" i="2"/>
  <c r="D727" i="2"/>
  <c r="D728" i="2"/>
  <c r="D729" i="2"/>
  <c r="D730" i="2"/>
  <c r="D731" i="2"/>
  <c r="D732" i="2"/>
  <c r="D735" i="2"/>
  <c r="D736" i="2"/>
  <c r="D737" i="2"/>
  <c r="D2" i="2"/>
  <c r="D138" i="2"/>
  <c r="D142" i="2"/>
  <c r="D150" i="2"/>
  <c r="D158" i="2"/>
  <c r="D174" i="2"/>
  <c r="D178" i="2"/>
  <c r="D190" i="2"/>
  <c r="D222" i="2"/>
  <c r="D234" i="2"/>
  <c r="D254" i="2"/>
  <c r="D302" i="2"/>
  <c r="D326" i="2"/>
  <c r="D362" i="2"/>
  <c r="D366" i="2"/>
  <c r="D438" i="2"/>
  <c r="D478" i="2"/>
  <c r="D502" i="2"/>
  <c r="D504" i="2"/>
  <c r="D514" i="2"/>
  <c r="D518" i="2"/>
  <c r="D534" i="2"/>
  <c r="D542" i="2"/>
  <c r="D550" i="2"/>
  <c r="D566" i="2"/>
  <c r="D574" i="2"/>
  <c r="D582" i="2"/>
  <c r="D606" i="2"/>
  <c r="D614" i="2"/>
  <c r="D630" i="2"/>
  <c r="D632" i="2"/>
  <c r="D638" i="2"/>
  <c r="D654" i="2"/>
  <c r="D655" i="2"/>
  <c r="D670" i="2"/>
  <c r="D671" i="2"/>
  <c r="D678" i="2"/>
  <c r="D694" i="2"/>
  <c r="D695" i="2"/>
  <c r="D702" i="2"/>
  <c r="D718" i="2"/>
  <c r="D719" i="2"/>
  <c r="D726" i="2"/>
  <c r="D734" i="2"/>
  <c r="D12" i="2"/>
  <c r="D13" i="2"/>
  <c r="D14" i="2"/>
  <c r="D18" i="2"/>
  <c r="D26" i="2"/>
  <c r="D41" i="2"/>
  <c r="D42" i="2"/>
  <c r="D43" i="2"/>
  <c r="D51" i="2"/>
  <c r="D55" i="2"/>
  <c r="D59" i="2"/>
  <c r="D66" i="2"/>
  <c r="D68" i="2"/>
  <c r="D69" i="2"/>
  <c r="D75" i="2"/>
  <c r="D84" i="2"/>
  <c r="D86" i="2"/>
  <c r="D92" i="2"/>
  <c r="D93" i="2"/>
  <c r="D94" i="2"/>
  <c r="D97" i="2"/>
  <c r="D99" i="2"/>
  <c r="D107" i="2"/>
  <c r="D116" i="2"/>
  <c r="D156" i="2"/>
  <c r="D212" i="2"/>
  <c r="D271" i="2"/>
  <c r="D276" i="2"/>
  <c r="D341" i="2"/>
  <c r="D381" i="2"/>
  <c r="D400" i="2"/>
  <c r="D421" i="2"/>
  <c r="D453" i="2"/>
  <c r="D503" i="2"/>
  <c r="D505" i="2"/>
  <c r="D509" i="2"/>
  <c r="D517" i="2"/>
  <c r="D520" i="2"/>
  <c r="D525" i="2"/>
  <c r="D529" i="2"/>
  <c r="D533" i="2"/>
  <c r="D541" i="2"/>
  <c r="D544" i="2"/>
  <c r="D549" i="2"/>
  <c r="D561" i="2"/>
  <c r="D564" i="2"/>
  <c r="D565" i="2"/>
  <c r="D573" i="2"/>
  <c r="D576" i="2"/>
  <c r="D577" i="2"/>
  <c r="D581" i="2"/>
  <c r="D589" i="2"/>
  <c r="D597" i="2"/>
  <c r="D599" i="2"/>
  <c r="D601" i="2"/>
  <c r="D605" i="2"/>
  <c r="D607" i="2"/>
  <c r="D617" i="2"/>
  <c r="D621" i="2"/>
  <c r="D629" i="2"/>
  <c r="D633" i="2"/>
  <c r="D641" i="2"/>
  <c r="D645" i="2"/>
  <c r="D657" i="2"/>
  <c r="D661" i="2"/>
  <c r="D669" i="2"/>
  <c r="D673" i="2"/>
  <c r="D677" i="2"/>
  <c r="D685" i="2"/>
  <c r="D692" i="2"/>
  <c r="D693" i="2"/>
  <c r="D701" i="2"/>
  <c r="D709" i="2"/>
  <c r="D716" i="2"/>
  <c r="D717" i="2"/>
  <c r="D725" i="2"/>
  <c r="D733" i="2"/>
  <c r="I3" i="1" l="1"/>
  <c r="J3" i="1" s="1"/>
  <c r="I4" i="1"/>
  <c r="J4" i="1" s="1"/>
  <c r="I5" i="1"/>
  <c r="J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2" i="1"/>
  <c r="J2" i="1" s="1"/>
</calcChain>
</file>

<file path=xl/sharedStrings.xml><?xml version="1.0" encoding="utf-8"?>
<sst xmlns="http://schemas.openxmlformats.org/spreadsheetml/2006/main" count="31" uniqueCount="27">
  <si>
    <t>Full description</t>
  </si>
  <si>
    <t>Short description</t>
  </si>
  <si>
    <t>Provider</t>
  </si>
  <si>
    <t>Reference</t>
  </si>
  <si>
    <t>Serial number</t>
  </si>
  <si>
    <t>Quantity</t>
  </si>
  <si>
    <t>Location</t>
  </si>
  <si>
    <t>Machine name</t>
  </si>
  <si>
    <t>SCAN</t>
  </si>
  <si>
    <t>7CR84N1WS</t>
  </si>
  <si>
    <t>7CR84N1W1</t>
  </si>
  <si>
    <t>RES</t>
  </si>
  <si>
    <t>2019.01.3434</t>
  </si>
  <si>
    <t>RES FULL</t>
  </si>
  <si>
    <t>NINCS A LISTÁBAN</t>
  </si>
  <si>
    <t>MOD</t>
  </si>
  <si>
    <t>000006915834</t>
  </si>
  <si>
    <t>CN</t>
  </si>
  <si>
    <t>1PCS3070-SR10007WW</t>
  </si>
  <si>
    <t>S18341522503164</t>
  </si>
  <si>
    <t>2PP</t>
  </si>
  <si>
    <t>D07DEC18</t>
  </si>
  <si>
    <t>Y3Y80EA#ARL</t>
  </si>
  <si>
    <t>CZC737843V</t>
  </si>
  <si>
    <t>CZC7519DWD</t>
  </si>
  <si>
    <t>169.254.52.211</t>
  </si>
  <si>
    <t>5C8A389634D3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</si>
</sst>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 applyAlignment="1">
      <alignment horizontal="center"/>
    </xf>
    <xf numFmtId="0" fontId="0" fillId="2" borderId="1" xfId="0" applyFill="1" applyBorder="1"/>
    <xf numFmtId="0" fontId="0" fillId="3" borderId="1" xfId="0" applyFill="1" applyBorder="1"/>
    <xf numFmtId="0" fontId="1" fillId="0" borderId="0" xfId="0" applyNumberFormat="1" applyFont="1" applyAlignment="1">
      <alignment horizontal="center"/>
    </xf>
    <xf numFmtId="0" fontId="0" fillId="0" borderId="0" xfId="0" applyNumberFormat="1"/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0" fontId="0" fillId="0" borderId="0" xfId="0" applyProtection="1"/>
    <xf numFmtId="49" fontId="0" fillId="0" borderId="0" xfId="0" applyNumberFormat="1" applyProtection="1"/>
  </cellXfs>
  <cellStyles count="1">
    <cellStyle name="Normá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304800</xdr:colOff>
          <xdr:row>0</xdr:row>
          <xdr:rowOff>57150</xdr:rowOff>
        </xdr:from>
        <xdr:to>
          <xdr:col>10</xdr:col>
          <xdr:colOff>2667000</xdr:colOff>
          <xdr:row>0</xdr:row>
          <xdr:rowOff>285750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ELLENŐRZÉS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0</xdr:row>
          <xdr:rowOff>57150</xdr:rowOff>
        </xdr:from>
        <xdr:to>
          <xdr:col>6</xdr:col>
          <xdr:colOff>571500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Törlés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0</xdr:row>
          <xdr:rowOff>85725</xdr:rowOff>
        </xdr:from>
        <xdr:to>
          <xdr:col>9</xdr:col>
          <xdr:colOff>371475</xdr:colOff>
          <xdr:row>0</xdr:row>
          <xdr:rowOff>276225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7363DECF-D89C-4E6E-9152-2A683E4C7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Beolvasás fájlból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unka1"/>
  <dimension ref="A1:L29"/>
  <sheetViews>
    <sheetView workbookViewId="0">
      <pane ySplit="1" topLeftCell="A2" activePane="bottomLeft" state="frozen"/>
      <selection pane="bottomLeft" activeCell="E3" sqref="E3"/>
    </sheetView>
  </sheetViews>
  <sheetFormatPr defaultRowHeight="15" x14ac:dyDescent="0.25"/>
  <cols>
    <col min="1" max="1" width="14.85546875" style="7" bestFit="1" customWidth="1"/>
    <col min="2" max="2" width="16.28515625" style="7" bestFit="1" customWidth="1"/>
    <col min="3" max="3" width="8.5703125" style="7" bestFit="1" customWidth="1"/>
    <col min="4" max="4" width="10.140625" style="7" bestFit="1" customWidth="1"/>
    <col min="5" max="5" width="13.5703125" style="6" bestFit="1" customWidth="1"/>
    <col min="6" max="6" width="8.7109375" style="7" bestFit="1" customWidth="1"/>
    <col min="7" max="7" width="8.42578125" style="7" bestFit="1" customWidth="1"/>
    <col min="8" max="8" width="14.140625" style="7" bestFit="1" customWidth="1"/>
    <col min="9" max="9" width="21" hidden="1" customWidth="1"/>
    <col min="10" max="10" width="36.28515625" style="3" customWidth="1"/>
    <col min="11" max="11" width="48.28515625" style="2" customWidth="1"/>
    <col min="12" max="12" width="18.5703125" style="2" customWidth="1"/>
  </cols>
  <sheetData>
    <row r="1" spans="1:12" ht="23.25" customHeight="1" x14ac:dyDescent="0.25">
      <c r="A1" s="8" t="s">
        <v>0</v>
      </c>
      <c r="B1" s="8" t="s">
        <v>1</v>
      </c>
      <c r="C1" s="8" t="s">
        <v>2</v>
      </c>
      <c r="D1" s="8" t="s">
        <v>3</v>
      </c>
      <c r="E1" s="9" t="s">
        <v>4</v>
      </c>
      <c r="F1" s="8" t="s">
        <v>5</v>
      </c>
      <c r="G1" s="8" t="s">
        <v>6</v>
      </c>
      <c r="H1" s="8" t="s">
        <v>7</v>
      </c>
      <c r="I1" t="s">
        <v>11</v>
      </c>
      <c r="J1" s="3" t="s">
        <v>13</v>
      </c>
    </row>
    <row r="2" spans="1:12" x14ac:dyDescent="0.25">
      <c r="E2" s="6" t="s">
        <v>9</v>
      </c>
      <c r="I2">
        <f>IFERROR(VLOOKUP(TRIM(E2),Scan!A:A,1,0),0)</f>
        <v>0</v>
      </c>
      <c r="J2" s="3" t="str">
        <f>IF(AND(TRIM(E2)&lt;&gt;"",I2=0),"HIÁNYZIK","")</f>
        <v>HIÁNYZIK</v>
      </c>
      <c r="K2" s="2" t="s">
        <v>14</v>
      </c>
      <c r="L2" s="2">
        <v>1200001213</v>
      </c>
    </row>
    <row r="3" spans="1:12" x14ac:dyDescent="0.25">
      <c r="E3" s="6" t="s">
        <v>10</v>
      </c>
      <c r="I3">
        <f>IFERROR(VLOOKUP(TRIM(E3),Scan!A:A,1,0),0)</f>
        <v>0</v>
      </c>
      <c r="J3" s="3" t="str">
        <f t="shared" ref="J3:J29" si="0">IF(AND(TRIM(E3)&lt;&gt;"",I3=0),"HIÁNYZIK","")</f>
        <v>HIÁNYZIK</v>
      </c>
    </row>
    <row r="4" spans="1:12" x14ac:dyDescent="0.25">
      <c r="E4" s="6" t="s">
        <v>12</v>
      </c>
      <c r="I4">
        <f>IFERROR(VLOOKUP(TRIM(E4),Scan!A:A,1,0),0)</f>
        <v>0</v>
      </c>
      <c r="J4" s="3" t="str">
        <f t="shared" si="0"/>
        <v>HIÁNYZIK</v>
      </c>
    </row>
    <row r="5" spans="1:12" x14ac:dyDescent="0.25">
      <c r="I5">
        <f>IFERROR(VLOOKUP(TRIM(E5),Scan!A:A,1,0),0)</f>
        <v>0</v>
      </c>
      <c r="J5" s="3" t="str">
        <f t="shared" si="0"/>
        <v/>
      </c>
    </row>
    <row r="6" spans="1:12" x14ac:dyDescent="0.25">
      <c r="I6">
        <f>IFERROR(VLOOKUP(TRIM(E6),Scan!A:A,1,0),0)</f>
        <v>0</v>
      </c>
      <c r="J6" s="3" t="str">
        <f t="shared" si="0"/>
        <v/>
      </c>
    </row>
    <row r="7" spans="1:12" x14ac:dyDescent="0.25">
      <c r="I7">
        <f>IFERROR(VLOOKUP(TRIM(E7),Scan!A:A,1,0),0)</f>
        <v>0</v>
      </c>
      <c r="J7" s="3" t="str">
        <f t="shared" si="0"/>
        <v/>
      </c>
    </row>
    <row r="8" spans="1:12" x14ac:dyDescent="0.25">
      <c r="I8">
        <f>IFERROR(VLOOKUP(TRIM(E8),Scan!A:A,1,0),0)</f>
        <v>0</v>
      </c>
      <c r="J8" s="3" t="str">
        <f t="shared" si="0"/>
        <v/>
      </c>
    </row>
    <row r="9" spans="1:12" x14ac:dyDescent="0.25">
      <c r="I9">
        <f>IFERROR(VLOOKUP(TRIM(E9),Scan!A:A,1,0),0)</f>
        <v>0</v>
      </c>
      <c r="J9" s="3" t="str">
        <f t="shared" si="0"/>
        <v/>
      </c>
    </row>
    <row r="10" spans="1:12" x14ac:dyDescent="0.25">
      <c r="I10">
        <f>IFERROR(VLOOKUP(TRIM(E10),Scan!A:A,1,0),0)</f>
        <v>0</v>
      </c>
      <c r="J10" s="3" t="str">
        <f t="shared" si="0"/>
        <v/>
      </c>
    </row>
    <row r="11" spans="1:12" x14ac:dyDescent="0.25">
      <c r="I11">
        <f>IFERROR(VLOOKUP(TRIM(E11),Scan!A:A,1,0),0)</f>
        <v>0</v>
      </c>
      <c r="J11" s="3" t="str">
        <f t="shared" si="0"/>
        <v/>
      </c>
    </row>
    <row r="12" spans="1:12" x14ac:dyDescent="0.25">
      <c r="I12">
        <f>IFERROR(VLOOKUP(TRIM(E12),Scan!A:A,1,0),0)</f>
        <v>0</v>
      </c>
      <c r="J12" s="3" t="str">
        <f t="shared" si="0"/>
        <v/>
      </c>
    </row>
    <row r="13" spans="1:12" x14ac:dyDescent="0.25">
      <c r="I13">
        <f>IFERROR(VLOOKUP(TRIM(E13),Scan!A:A,1,0),0)</f>
        <v>0</v>
      </c>
      <c r="J13" s="3" t="str">
        <f t="shared" si="0"/>
        <v/>
      </c>
    </row>
    <row r="14" spans="1:12" x14ac:dyDescent="0.25">
      <c r="I14">
        <f>IFERROR(VLOOKUP(TRIM(E14),Scan!A:A,1,0),0)</f>
        <v>0</v>
      </c>
      <c r="J14" s="3" t="str">
        <f t="shared" si="0"/>
        <v/>
      </c>
    </row>
    <row r="15" spans="1:12" x14ac:dyDescent="0.25">
      <c r="I15">
        <f>IFERROR(VLOOKUP(TRIM(E15),Scan!A:A,1,0),0)</f>
        <v>0</v>
      </c>
      <c r="J15" s="3" t="str">
        <f t="shared" si="0"/>
        <v/>
      </c>
    </row>
    <row r="16" spans="1:12" x14ac:dyDescent="0.25">
      <c r="I16">
        <f>IFERROR(VLOOKUP(TRIM(E16),Scan!A:A,1,0),0)</f>
        <v>0</v>
      </c>
      <c r="J16" s="3" t="str">
        <f t="shared" si="0"/>
        <v/>
      </c>
    </row>
    <row r="17" spans="9:10" x14ac:dyDescent="0.25">
      <c r="I17">
        <f>IFERROR(VLOOKUP(TRIM(E17),Scan!A:A,1,0),0)</f>
        <v>0</v>
      </c>
      <c r="J17" s="3" t="str">
        <f t="shared" si="0"/>
        <v/>
      </c>
    </row>
    <row r="18" spans="9:10" x14ac:dyDescent="0.25">
      <c r="I18">
        <f>IFERROR(VLOOKUP(TRIM(E18),Scan!A:A,1,0),0)</f>
        <v>0</v>
      </c>
      <c r="J18" s="3" t="str">
        <f t="shared" si="0"/>
        <v/>
      </c>
    </row>
    <row r="19" spans="9:10" x14ac:dyDescent="0.25">
      <c r="I19">
        <f>IFERROR(VLOOKUP(TRIM(E19),Scan!A:A,1,0),0)</f>
        <v>0</v>
      </c>
      <c r="J19" s="3" t="str">
        <f t="shared" si="0"/>
        <v/>
      </c>
    </row>
    <row r="20" spans="9:10" x14ac:dyDescent="0.25">
      <c r="I20">
        <f>IFERROR(VLOOKUP(TRIM(E20),Scan!A:A,1,0),0)</f>
        <v>0</v>
      </c>
      <c r="J20" s="3" t="str">
        <f t="shared" si="0"/>
        <v/>
      </c>
    </row>
    <row r="21" spans="9:10" x14ac:dyDescent="0.25">
      <c r="I21">
        <f>IFERROR(VLOOKUP(TRIM(E21),Scan!A:A,1,0),0)</f>
        <v>0</v>
      </c>
      <c r="J21" s="3" t="str">
        <f t="shared" si="0"/>
        <v/>
      </c>
    </row>
    <row r="22" spans="9:10" x14ac:dyDescent="0.25">
      <c r="I22">
        <f>IFERROR(VLOOKUP(TRIM(E22),Scan!A:A,1,0),0)</f>
        <v>0</v>
      </c>
      <c r="J22" s="3" t="str">
        <f t="shared" si="0"/>
        <v/>
      </c>
    </row>
    <row r="23" spans="9:10" x14ac:dyDescent="0.25">
      <c r="I23">
        <f>IFERROR(VLOOKUP(TRIM(E23),Scan!A:A,1,0),0)</f>
        <v>0</v>
      </c>
      <c r="J23" s="3" t="str">
        <f t="shared" si="0"/>
        <v/>
      </c>
    </row>
    <row r="24" spans="9:10" x14ac:dyDescent="0.25">
      <c r="I24">
        <f>IFERROR(VLOOKUP(TRIM(E24),Scan!A:A,1,0),0)</f>
        <v>0</v>
      </c>
      <c r="J24" s="3" t="str">
        <f t="shared" si="0"/>
        <v/>
      </c>
    </row>
    <row r="25" spans="9:10" x14ac:dyDescent="0.25">
      <c r="I25">
        <f>IFERROR(VLOOKUP(TRIM(E25),Scan!A:A,1,0),0)</f>
        <v>0</v>
      </c>
      <c r="J25" s="3" t="str">
        <f t="shared" si="0"/>
        <v/>
      </c>
    </row>
    <row r="26" spans="9:10" x14ac:dyDescent="0.25">
      <c r="I26">
        <f>IFERROR(VLOOKUP(TRIM(E26),Scan!A:A,1,0),0)</f>
        <v>0</v>
      </c>
      <c r="J26" s="3" t="str">
        <f t="shared" si="0"/>
        <v/>
      </c>
    </row>
    <row r="27" spans="9:10" x14ac:dyDescent="0.25">
      <c r="I27">
        <f>IFERROR(VLOOKUP(TRIM(E27),Scan!A:A,1,0),0)</f>
        <v>0</v>
      </c>
      <c r="J27" s="3" t="str">
        <f t="shared" si="0"/>
        <v/>
      </c>
    </row>
    <row r="28" spans="9:10" x14ac:dyDescent="0.25">
      <c r="I28">
        <f>IFERROR(VLOOKUP(TRIM(E28),Scan!A:A,1,0),0)</f>
        <v>0</v>
      </c>
      <c r="J28" s="3" t="str">
        <f t="shared" si="0"/>
        <v/>
      </c>
    </row>
    <row r="29" spans="9:10" x14ac:dyDescent="0.25">
      <c r="I29">
        <f>IFERROR(VLOOKUP(TRIM(E29),Scan!A:A,1,0),0)</f>
        <v>0</v>
      </c>
      <c r="J29" s="3" t="str">
        <f t="shared" si="0"/>
        <v/>
      </c>
    </row>
  </sheetData>
  <sheetProtection algorithmName="SHA-512" hashValue="G/9j1wGU3KrvOEFxN6Lm0ysZjAk3pc+QeDHbmcwOFYTh8DI61px253ZPz+Yih0Lmrei7IoDOOesfEH3TelTXTw==" saltValue="wNGas7EGBskKsuv/J/iGhw==" spinCount="100000" sheet="1" objects="1" scenarios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rtScan">
                <anchor moveWithCells="1" sizeWithCells="1">
                  <from>
                    <xdr:col>10</xdr:col>
                    <xdr:colOff>304800</xdr:colOff>
                    <xdr:row>0</xdr:row>
                    <xdr:rowOff>57150</xdr:rowOff>
                  </from>
                  <to>
                    <xdr:col>10</xdr:col>
                    <xdr:colOff>2667000</xdr:colOff>
                    <xdr:row>0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Munka2"/>
  <dimension ref="A1:D737"/>
  <sheetViews>
    <sheetView tabSelected="1" workbookViewId="0">
      <pane ySplit="1" topLeftCell="A2" activePane="bottomLeft" state="frozen"/>
      <selection pane="bottomLeft" activeCell="J15" sqref="J15"/>
    </sheetView>
  </sheetViews>
  <sheetFormatPr defaultRowHeight="15" x14ac:dyDescent="0.25"/>
  <cols>
    <col min="1" max="1" width="11.5703125" bestFit="1" customWidth="1"/>
    <col min="2" max="2" width="11.5703125" style="5" customWidth="1"/>
    <col min="3" max="3" width="11.5703125" customWidth="1"/>
    <col min="4" max="4" width="17.5703125" bestFit="1" customWidth="1"/>
  </cols>
  <sheetData>
    <row r="1" spans="1:4" ht="26.25" customHeight="1" x14ac:dyDescent="0.25">
      <c r="A1" s="1" t="s">
        <v>8</v>
      </c>
      <c r="B1" s="4" t="s">
        <v>15</v>
      </c>
      <c r="C1" t="s">
        <v>11</v>
      </c>
      <c r="D1" t="s">
        <v>13</v>
      </c>
    </row>
    <row r="2" spans="1:4" x14ac:dyDescent="0.25">
      <c r="A2" s="6" t="s">
        <v>16</v>
      </c>
      <c r="B2" s="5" t="str">
        <f>SUBSTITUTE(SUBSTITUTE(A2,"ö","0"),"Ö","0")</f>
        <v>000006915834</v>
      </c>
      <c r="C2">
        <f>IFERROR(VLOOKUP(TRIM(B2),Inventory!E:E,1,0),0)</f>
        <v>0</v>
      </c>
      <c r="D2" t="str">
        <f>IF(AND(TRIM(A2)&lt;&gt;"",C2=0),"NINCS A LISTÁBAN","")</f>
        <v>NINCS A LISTÁBAN</v>
      </c>
    </row>
    <row r="3" spans="1:4" x14ac:dyDescent="0.25">
      <c r="A3" s="6" t="s">
        <v>16</v>
      </c>
      <c r="B3" s="5" t="str">
        <f t="shared" ref="B3:B66" si="0">SUBSTITUTE(SUBSTITUTE(A3,"ö","0"),"Ö","0")</f>
        <v>000006915834</v>
      </c>
      <c r="C3">
        <f>IFERROR(VLOOKUP(TRIM(B3),Inventory!E:E,1,0),0)</f>
        <v>0</v>
      </c>
      <c r="D3" t="str">
        <f t="shared" ref="D3:D66" si="1">IF(AND(TRIM(A3)&lt;&gt;"",C3=0),"NINCS A LISTÁBAN","")</f>
        <v>NINCS A LISTÁBAN</v>
      </c>
    </row>
    <row r="4" spans="1:4" x14ac:dyDescent="0.25">
      <c r="A4" s="7">
        <v>6915834</v>
      </c>
      <c r="B4" s="5" t="str">
        <f t="shared" si="0"/>
        <v>6915834</v>
      </c>
      <c r="C4">
        <f>IFERROR(VLOOKUP(TRIM(B4),Inventory!E:E,1,0),0)</f>
        <v>0</v>
      </c>
      <c r="D4" t="str">
        <f t="shared" si="1"/>
        <v>NINCS A LISTÁBAN</v>
      </c>
    </row>
    <row r="5" spans="1:4" x14ac:dyDescent="0.25">
      <c r="A5" s="7" t="s">
        <v>17</v>
      </c>
      <c r="B5" s="5" t="str">
        <f t="shared" si="0"/>
        <v>CN</v>
      </c>
      <c r="C5">
        <f>IFERROR(VLOOKUP(TRIM(B5),Inventory!E:E,1,0),0)</f>
        <v>0</v>
      </c>
      <c r="D5" t="str">
        <f t="shared" si="1"/>
        <v>NINCS A LISTÁBAN</v>
      </c>
    </row>
    <row r="6" spans="1:4" x14ac:dyDescent="0.25">
      <c r="A6" s="6" t="s">
        <v>18</v>
      </c>
      <c r="B6" s="5" t="str">
        <f t="shared" si="0"/>
        <v>1PCS3070-SR10007WW</v>
      </c>
      <c r="C6">
        <f>IFERROR(VLOOKUP(TRIM(B6),Inventory!E:E,1,0),0)</f>
        <v>0</v>
      </c>
      <c r="D6" t="str">
        <f t="shared" si="1"/>
        <v>NINCS A LISTÁBAN</v>
      </c>
    </row>
    <row r="7" spans="1:4" x14ac:dyDescent="0.25">
      <c r="A7" s="7" t="s">
        <v>19</v>
      </c>
      <c r="B7" s="5" t="str">
        <f t="shared" si="0"/>
        <v>S18341522503164</v>
      </c>
      <c r="C7">
        <f>IFERROR(VLOOKUP(TRIM(B7),Inventory!E:E,1,0),0)</f>
        <v>0</v>
      </c>
      <c r="D7" t="str">
        <f t="shared" si="1"/>
        <v>NINCS A LISTÁBAN</v>
      </c>
    </row>
    <row r="8" spans="1:4" x14ac:dyDescent="0.25">
      <c r="A8" s="7" t="s">
        <v>20</v>
      </c>
      <c r="B8" s="5" t="str">
        <f t="shared" si="0"/>
        <v>2PP</v>
      </c>
      <c r="C8">
        <f>IFERROR(VLOOKUP(TRIM(B8),Inventory!E:E,1,0),0)</f>
        <v>0</v>
      </c>
      <c r="D8" t="str">
        <f t="shared" si="1"/>
        <v>NINCS A LISTÁBAN</v>
      </c>
    </row>
    <row r="9" spans="1:4" x14ac:dyDescent="0.25">
      <c r="A9" s="7" t="s">
        <v>21</v>
      </c>
      <c r="B9" s="5" t="str">
        <f t="shared" si="0"/>
        <v>D07DEC18</v>
      </c>
      <c r="C9">
        <f>IFERROR(VLOOKUP(TRIM(B9),Inventory!E:E,1,0),0)</f>
        <v>0</v>
      </c>
      <c r="D9" t="str">
        <f t="shared" si="1"/>
        <v>NINCS A LISTÁBAN</v>
      </c>
    </row>
    <row r="10" spans="1:4" x14ac:dyDescent="0.25">
      <c r="A10" s="7">
        <v>6819248</v>
      </c>
      <c r="B10" s="5" t="str">
        <f t="shared" si="0"/>
        <v>6819248</v>
      </c>
      <c r="C10">
        <f>IFERROR(VLOOKUP(TRIM(B10),Inventory!E:E,1,0),0)</f>
        <v>0</v>
      </c>
      <c r="D10" t="str">
        <f t="shared" si="1"/>
        <v>NINCS A LISTÁBAN</v>
      </c>
    </row>
    <row r="11" spans="1:4" x14ac:dyDescent="0.25">
      <c r="A11" s="7">
        <v>6819231</v>
      </c>
      <c r="B11" s="5" t="str">
        <f t="shared" si="0"/>
        <v>6819231</v>
      </c>
      <c r="C11">
        <f>IFERROR(VLOOKUP(TRIM(B11),Inventory!E:E,1,0),0)</f>
        <v>0</v>
      </c>
      <c r="D11" t="str">
        <f t="shared" si="1"/>
        <v>NINCS A LISTÁBAN</v>
      </c>
    </row>
    <row r="12" spans="1:4" x14ac:dyDescent="0.25">
      <c r="A12" s="7" t="s">
        <v>22</v>
      </c>
      <c r="B12" s="5" t="str">
        <f t="shared" si="0"/>
        <v>Y3Y80EA#ARL</v>
      </c>
      <c r="C12">
        <f>IFERROR(VLOOKUP(TRIM(B12),Inventory!E:E,1,0),0)</f>
        <v>0</v>
      </c>
      <c r="D12" t="str">
        <f t="shared" si="1"/>
        <v>NINCS A LISTÁBAN</v>
      </c>
    </row>
    <row r="13" spans="1:4" x14ac:dyDescent="0.25">
      <c r="A13" s="7" t="s">
        <v>23</v>
      </c>
      <c r="B13" s="5" t="str">
        <f t="shared" si="0"/>
        <v>CZC737843V</v>
      </c>
      <c r="C13">
        <f>IFERROR(VLOOKUP(TRIM(B13),Inventory!E:E,1,0),0)</f>
        <v>0</v>
      </c>
      <c r="D13" t="str">
        <f t="shared" si="1"/>
        <v>NINCS A LISTÁBAN</v>
      </c>
    </row>
    <row r="14" spans="1:4" x14ac:dyDescent="0.25">
      <c r="A14" s="7">
        <v>6819309</v>
      </c>
      <c r="B14" s="5" t="str">
        <f t="shared" si="0"/>
        <v>6819309</v>
      </c>
      <c r="C14">
        <f>IFERROR(VLOOKUP(TRIM(B14),Inventory!E:E,1,0),0)</f>
        <v>0</v>
      </c>
      <c r="D14" t="str">
        <f t="shared" si="1"/>
        <v>NINCS A LISTÁBAN</v>
      </c>
    </row>
    <row r="15" spans="1:4" x14ac:dyDescent="0.25">
      <c r="A15" s="7" t="s">
        <v>22</v>
      </c>
      <c r="B15" s="5" t="str">
        <f t="shared" si="0"/>
        <v>Y3Y80EA#ARL</v>
      </c>
      <c r="C15">
        <f>IFERROR(VLOOKUP(TRIM(B15),Inventory!E:E,1,0),0)</f>
        <v>0</v>
      </c>
      <c r="D15" t="str">
        <f t="shared" si="1"/>
        <v>NINCS A LISTÁBAN</v>
      </c>
    </row>
    <row r="16" spans="1:4" x14ac:dyDescent="0.25">
      <c r="A16" s="7" t="s">
        <v>24</v>
      </c>
      <c r="B16" s="5" t="str">
        <f t="shared" si="0"/>
        <v>CZC7519DWD</v>
      </c>
      <c r="C16">
        <f>IFERROR(VLOOKUP(TRIM(B16),Inventory!E:E,1,0),0)</f>
        <v>0</v>
      </c>
      <c r="D16" t="str">
        <f t="shared" si="1"/>
        <v>NINCS A LISTÁBAN</v>
      </c>
    </row>
    <row r="17" spans="1:4" x14ac:dyDescent="0.25">
      <c r="A17" s="7">
        <v>10191158</v>
      </c>
      <c r="B17" s="5" t="str">
        <f t="shared" si="0"/>
        <v>10191158</v>
      </c>
      <c r="C17">
        <f>IFERROR(VLOOKUP(TRIM(B17),Inventory!E:E,1,0),0)</f>
        <v>0</v>
      </c>
      <c r="D17" t="str">
        <f t="shared" si="1"/>
        <v>NINCS A LISTÁBAN</v>
      </c>
    </row>
    <row r="18" spans="1:4" x14ac:dyDescent="0.25">
      <c r="A18" s="7" t="s">
        <v>25</v>
      </c>
      <c r="B18" s="5" t="str">
        <f t="shared" si="0"/>
        <v>169.254.52.211</v>
      </c>
      <c r="C18">
        <f>IFERROR(VLOOKUP(TRIM(B18),Inventory!E:E,1,0),0)</f>
        <v>0</v>
      </c>
      <c r="D18" t="str">
        <f t="shared" si="1"/>
        <v>NINCS A LISTÁBAN</v>
      </c>
    </row>
    <row r="19" spans="1:4" x14ac:dyDescent="0.25">
      <c r="A19" s="7" t="s">
        <v>26</v>
      </c>
      <c r="B19" s="5" t="str">
        <f t="shared" si="0"/>
        <v>5C8A389634D3</v>
      </c>
      <c r="C19">
        <f>IFERROR(VLOOKUP(TRIM(B19),Inventory!E:E,1,0),0)</f>
        <v>0</v>
      </c>
      <c r="D19" t="str">
        <f t="shared" si="1"/>
        <v>NINCS A LISTÁBAN</v>
      </c>
    </row>
    <row r="20" spans="1:4" x14ac:dyDescent="0.25">
      <c r="A20" s="7"/>
      <c r="B20" s="5" t="str">
        <f t="shared" si="0"/>
        <v/>
      </c>
      <c r="C20">
        <f>IFERROR(VLOOKUP(TRIM(B20),Inventory!E:E,1,0),0)</f>
        <v>0</v>
      </c>
      <c r="D20" t="str">
        <f t="shared" si="1"/>
        <v/>
      </c>
    </row>
    <row r="21" spans="1:4" x14ac:dyDescent="0.25">
      <c r="A21" s="7"/>
      <c r="B21" s="5" t="str">
        <f t="shared" si="0"/>
        <v/>
      </c>
      <c r="C21">
        <f>IFERROR(VLOOKUP(TRIM(B21),Inventory!E:E,1,0),0)</f>
        <v>0</v>
      </c>
      <c r="D21" t="str">
        <f t="shared" si="1"/>
        <v/>
      </c>
    </row>
    <row r="22" spans="1:4" x14ac:dyDescent="0.25">
      <c r="A22" s="7"/>
      <c r="B22" s="5" t="str">
        <f t="shared" si="0"/>
        <v/>
      </c>
      <c r="C22">
        <f>IFERROR(VLOOKUP(TRIM(B22),Inventory!E:E,1,0),0)</f>
        <v>0</v>
      </c>
      <c r="D22" t="str">
        <f t="shared" si="1"/>
        <v/>
      </c>
    </row>
    <row r="23" spans="1:4" x14ac:dyDescent="0.25">
      <c r="A23" s="7"/>
      <c r="B23" s="5" t="str">
        <f t="shared" si="0"/>
        <v/>
      </c>
      <c r="C23">
        <f>IFERROR(VLOOKUP(TRIM(B23),Inventory!E:E,1,0),0)</f>
        <v>0</v>
      </c>
      <c r="D23" t="str">
        <f t="shared" si="1"/>
        <v/>
      </c>
    </row>
    <row r="24" spans="1:4" x14ac:dyDescent="0.25">
      <c r="A24" s="7"/>
      <c r="B24" s="5" t="str">
        <f t="shared" si="0"/>
        <v/>
      </c>
      <c r="C24">
        <f>IFERROR(VLOOKUP(TRIM(B24),Inventory!E:E,1,0),0)</f>
        <v>0</v>
      </c>
      <c r="D24" t="str">
        <f t="shared" si="1"/>
        <v/>
      </c>
    </row>
    <row r="25" spans="1:4" x14ac:dyDescent="0.25">
      <c r="A25" s="7"/>
      <c r="B25" s="5" t="str">
        <f t="shared" si="0"/>
        <v/>
      </c>
      <c r="C25">
        <f>IFERROR(VLOOKUP(TRIM(B25),Inventory!E:E,1,0),0)</f>
        <v>0</v>
      </c>
      <c r="D25" t="str">
        <f t="shared" si="1"/>
        <v/>
      </c>
    </row>
    <row r="26" spans="1:4" x14ac:dyDescent="0.25">
      <c r="A26" s="7"/>
      <c r="B26" s="5" t="str">
        <f t="shared" si="0"/>
        <v/>
      </c>
      <c r="C26">
        <f>IFERROR(VLOOKUP(TRIM(B26),Inventory!E:E,1,0),0)</f>
        <v>0</v>
      </c>
      <c r="D26" t="str">
        <f t="shared" si="1"/>
        <v/>
      </c>
    </row>
    <row r="27" spans="1:4" x14ac:dyDescent="0.25">
      <c r="A27" s="7"/>
      <c r="B27" s="5" t="str">
        <f t="shared" si="0"/>
        <v/>
      </c>
      <c r="C27">
        <f>IFERROR(VLOOKUP(TRIM(B27),Inventory!E:E,1,0),0)</f>
        <v>0</v>
      </c>
      <c r="D27" t="str">
        <f t="shared" si="1"/>
        <v/>
      </c>
    </row>
    <row r="28" spans="1:4" x14ac:dyDescent="0.25">
      <c r="A28" s="7"/>
      <c r="B28" s="5" t="str">
        <f t="shared" si="0"/>
        <v/>
      </c>
      <c r="C28">
        <f>IFERROR(VLOOKUP(TRIM(B28),Inventory!E:E,1,0),0)</f>
        <v>0</v>
      </c>
      <c r="D28" t="str">
        <f t="shared" si="1"/>
        <v/>
      </c>
    </row>
    <row r="29" spans="1:4" x14ac:dyDescent="0.25">
      <c r="A29" s="7"/>
      <c r="B29" s="5" t="str">
        <f t="shared" si="0"/>
        <v/>
      </c>
      <c r="C29">
        <f>IFERROR(VLOOKUP(TRIM(B29),Inventory!E:E,1,0),0)</f>
        <v>0</v>
      </c>
      <c r="D29" t="str">
        <f t="shared" si="1"/>
        <v/>
      </c>
    </row>
    <row r="30" spans="1:4" x14ac:dyDescent="0.25">
      <c r="A30" s="7"/>
      <c r="B30" s="5" t="str">
        <f t="shared" si="0"/>
        <v/>
      </c>
      <c r="C30">
        <f>IFERROR(VLOOKUP(TRIM(B30),Inventory!E:E,1,0),0)</f>
        <v>0</v>
      </c>
      <c r="D30" t="str">
        <f t="shared" si="1"/>
        <v/>
      </c>
    </row>
    <row r="31" spans="1:4" x14ac:dyDescent="0.25">
      <c r="A31" s="7"/>
      <c r="B31" s="5" t="str">
        <f t="shared" si="0"/>
        <v/>
      </c>
      <c r="C31">
        <f>IFERROR(VLOOKUP(TRIM(B31),Inventory!E:E,1,0),0)</f>
        <v>0</v>
      </c>
      <c r="D31" t="str">
        <f t="shared" si="1"/>
        <v/>
      </c>
    </row>
    <row r="32" spans="1:4" x14ac:dyDescent="0.25">
      <c r="A32" s="7"/>
      <c r="B32" s="5" t="str">
        <f t="shared" si="0"/>
        <v/>
      </c>
      <c r="C32">
        <f>IFERROR(VLOOKUP(TRIM(B32),Inventory!E:E,1,0),0)</f>
        <v>0</v>
      </c>
      <c r="D32" t="str">
        <f t="shared" si="1"/>
        <v/>
      </c>
    </row>
    <row r="33" spans="1:4" x14ac:dyDescent="0.25">
      <c r="A33" s="7"/>
      <c r="B33" s="5" t="str">
        <f t="shared" si="0"/>
        <v/>
      </c>
      <c r="C33">
        <f>IFERROR(VLOOKUP(TRIM(B33),Inventory!E:E,1,0),0)</f>
        <v>0</v>
      </c>
      <c r="D33" t="str">
        <f t="shared" si="1"/>
        <v/>
      </c>
    </row>
    <row r="34" spans="1:4" x14ac:dyDescent="0.25">
      <c r="A34" s="7"/>
      <c r="B34" s="5" t="str">
        <f t="shared" si="0"/>
        <v/>
      </c>
      <c r="C34">
        <f>IFERROR(VLOOKUP(TRIM(B34),Inventory!E:E,1,0),0)</f>
        <v>0</v>
      </c>
      <c r="D34" t="str">
        <f t="shared" si="1"/>
        <v/>
      </c>
    </row>
    <row r="35" spans="1:4" x14ac:dyDescent="0.25">
      <c r="A35" s="7"/>
      <c r="B35" s="5" t="str">
        <f t="shared" si="0"/>
        <v/>
      </c>
      <c r="C35">
        <f>IFERROR(VLOOKUP(TRIM(B35),Inventory!E:E,1,0),0)</f>
        <v>0</v>
      </c>
      <c r="D35" t="str">
        <f t="shared" si="1"/>
        <v/>
      </c>
    </row>
    <row r="36" spans="1:4" x14ac:dyDescent="0.25">
      <c r="A36" s="7"/>
      <c r="B36" s="5" t="str">
        <f t="shared" si="0"/>
        <v/>
      </c>
      <c r="C36">
        <f>IFERROR(VLOOKUP(TRIM(B36),Inventory!E:E,1,0),0)</f>
        <v>0</v>
      </c>
      <c r="D36" t="str">
        <f t="shared" si="1"/>
        <v/>
      </c>
    </row>
    <row r="37" spans="1:4" x14ac:dyDescent="0.25">
      <c r="A37" s="7"/>
      <c r="B37" s="5" t="str">
        <f t="shared" si="0"/>
        <v/>
      </c>
      <c r="C37">
        <f>IFERROR(VLOOKUP(TRIM(B37),Inventory!E:E,1,0),0)</f>
        <v>0</v>
      </c>
      <c r="D37" t="str">
        <f t="shared" si="1"/>
        <v/>
      </c>
    </row>
    <row r="38" spans="1:4" x14ac:dyDescent="0.25">
      <c r="A38" s="7"/>
      <c r="B38" s="5" t="str">
        <f t="shared" si="0"/>
        <v/>
      </c>
      <c r="C38">
        <f>IFERROR(VLOOKUP(TRIM(B38),Inventory!E:E,1,0),0)</f>
        <v>0</v>
      </c>
      <c r="D38" t="str">
        <f t="shared" si="1"/>
        <v/>
      </c>
    </row>
    <row r="39" spans="1:4" x14ac:dyDescent="0.25">
      <c r="A39" s="7"/>
      <c r="B39" s="5" t="str">
        <f t="shared" si="0"/>
        <v/>
      </c>
      <c r="C39">
        <f>IFERROR(VLOOKUP(TRIM(B39),Inventory!E:E,1,0),0)</f>
        <v>0</v>
      </c>
      <c r="D39" t="str">
        <f t="shared" si="1"/>
        <v/>
      </c>
    </row>
    <row r="40" spans="1:4" x14ac:dyDescent="0.25">
      <c r="A40" s="7"/>
      <c r="B40" s="5" t="str">
        <f t="shared" si="0"/>
        <v/>
      </c>
      <c r="C40">
        <f>IFERROR(VLOOKUP(TRIM(B40),Inventory!E:E,1,0),0)</f>
        <v>0</v>
      </c>
      <c r="D40" t="str">
        <f t="shared" si="1"/>
        <v/>
      </c>
    </row>
    <row r="41" spans="1:4" x14ac:dyDescent="0.25">
      <c r="A41" s="7"/>
      <c r="B41" s="5" t="str">
        <f t="shared" si="0"/>
        <v/>
      </c>
      <c r="C41">
        <f>IFERROR(VLOOKUP(TRIM(B41),Inventory!E:E,1,0),0)</f>
        <v>0</v>
      </c>
      <c r="D41" t="str">
        <f t="shared" si="1"/>
        <v/>
      </c>
    </row>
    <row r="42" spans="1:4" x14ac:dyDescent="0.25">
      <c r="A42" s="7"/>
      <c r="B42" s="5" t="str">
        <f t="shared" si="0"/>
        <v/>
      </c>
      <c r="C42">
        <f>IFERROR(VLOOKUP(TRIM(B42),Inventory!E:E,1,0),0)</f>
        <v>0</v>
      </c>
      <c r="D42" t="str">
        <f t="shared" si="1"/>
        <v/>
      </c>
    </row>
    <row r="43" spans="1:4" x14ac:dyDescent="0.25">
      <c r="A43" s="7"/>
      <c r="B43" s="5" t="str">
        <f t="shared" si="0"/>
        <v/>
      </c>
      <c r="C43">
        <f>IFERROR(VLOOKUP(TRIM(B43),Inventory!E:E,1,0),0)</f>
        <v>0</v>
      </c>
      <c r="D43" t="str">
        <f t="shared" si="1"/>
        <v/>
      </c>
    </row>
    <row r="44" spans="1:4" x14ac:dyDescent="0.25">
      <c r="A44" s="7"/>
      <c r="B44" s="5" t="str">
        <f t="shared" si="0"/>
        <v/>
      </c>
      <c r="C44">
        <f>IFERROR(VLOOKUP(TRIM(B44),Inventory!E:E,1,0),0)</f>
        <v>0</v>
      </c>
      <c r="D44" t="str">
        <f t="shared" si="1"/>
        <v/>
      </c>
    </row>
    <row r="45" spans="1:4" x14ac:dyDescent="0.25">
      <c r="A45" s="7"/>
      <c r="B45" s="5" t="str">
        <f t="shared" si="0"/>
        <v/>
      </c>
      <c r="C45">
        <f>IFERROR(VLOOKUP(TRIM(B45),Inventory!E:E,1,0),0)</f>
        <v>0</v>
      </c>
      <c r="D45" t="str">
        <f t="shared" si="1"/>
        <v/>
      </c>
    </row>
    <row r="46" spans="1:4" x14ac:dyDescent="0.25">
      <c r="A46" s="7"/>
      <c r="B46" s="5" t="str">
        <f t="shared" si="0"/>
        <v/>
      </c>
      <c r="C46">
        <f>IFERROR(VLOOKUP(TRIM(B46),Inventory!E:E,1,0),0)</f>
        <v>0</v>
      </c>
      <c r="D46" t="str">
        <f t="shared" si="1"/>
        <v/>
      </c>
    </row>
    <row r="47" spans="1:4" x14ac:dyDescent="0.25">
      <c r="A47" s="7"/>
      <c r="B47" s="5" t="str">
        <f t="shared" si="0"/>
        <v/>
      </c>
      <c r="C47">
        <f>IFERROR(VLOOKUP(TRIM(B47),Inventory!E:E,1,0),0)</f>
        <v>0</v>
      </c>
      <c r="D47" t="str">
        <f t="shared" si="1"/>
        <v/>
      </c>
    </row>
    <row r="48" spans="1:4" x14ac:dyDescent="0.25">
      <c r="A48" s="7"/>
      <c r="B48" s="5" t="str">
        <f t="shared" si="0"/>
        <v/>
      </c>
      <c r="C48">
        <f>IFERROR(VLOOKUP(TRIM(B48),Inventory!E:E,1,0),0)</f>
        <v>0</v>
      </c>
      <c r="D48" t="str">
        <f t="shared" si="1"/>
        <v/>
      </c>
    </row>
    <row r="49" spans="1:4" x14ac:dyDescent="0.25">
      <c r="A49" s="7"/>
      <c r="B49" s="5" t="str">
        <f t="shared" si="0"/>
        <v/>
      </c>
      <c r="C49">
        <f>IFERROR(VLOOKUP(TRIM(B49),Inventory!E:E,1,0),0)</f>
        <v>0</v>
      </c>
      <c r="D49" t="str">
        <f t="shared" si="1"/>
        <v/>
      </c>
    </row>
    <row r="50" spans="1:4" x14ac:dyDescent="0.25">
      <c r="A50" s="7"/>
      <c r="B50" s="5" t="str">
        <f t="shared" si="0"/>
        <v/>
      </c>
      <c r="C50">
        <f>IFERROR(VLOOKUP(TRIM(B50),Inventory!E:E,1,0),0)</f>
        <v>0</v>
      </c>
      <c r="D50" t="str">
        <f t="shared" si="1"/>
        <v/>
      </c>
    </row>
    <row r="51" spans="1:4" x14ac:dyDescent="0.25">
      <c r="A51" s="7"/>
      <c r="B51" s="5" t="str">
        <f t="shared" si="0"/>
        <v/>
      </c>
      <c r="C51">
        <f>IFERROR(VLOOKUP(TRIM(B51),Inventory!E:E,1,0),0)</f>
        <v>0</v>
      </c>
      <c r="D51" t="str">
        <f t="shared" si="1"/>
        <v/>
      </c>
    </row>
    <row r="52" spans="1:4" x14ac:dyDescent="0.25">
      <c r="A52" s="7"/>
      <c r="B52" s="5" t="str">
        <f t="shared" si="0"/>
        <v/>
      </c>
      <c r="C52">
        <f>IFERROR(VLOOKUP(TRIM(B52),Inventory!E:E,1,0),0)</f>
        <v>0</v>
      </c>
      <c r="D52" t="str">
        <f t="shared" si="1"/>
        <v/>
      </c>
    </row>
    <row r="53" spans="1:4" x14ac:dyDescent="0.25">
      <c r="A53" s="7"/>
      <c r="B53" s="5" t="str">
        <f t="shared" si="0"/>
        <v/>
      </c>
      <c r="C53">
        <f>IFERROR(VLOOKUP(TRIM(B53),Inventory!E:E,1,0),0)</f>
        <v>0</v>
      </c>
      <c r="D53" t="str">
        <f t="shared" si="1"/>
        <v/>
      </c>
    </row>
    <row r="54" spans="1:4" x14ac:dyDescent="0.25">
      <c r="A54" s="7"/>
      <c r="B54" s="5" t="str">
        <f t="shared" si="0"/>
        <v/>
      </c>
      <c r="C54">
        <f>IFERROR(VLOOKUP(TRIM(B54),Inventory!E:E,1,0),0)</f>
        <v>0</v>
      </c>
      <c r="D54" t="str">
        <f t="shared" si="1"/>
        <v/>
      </c>
    </row>
    <row r="55" spans="1:4" x14ac:dyDescent="0.25">
      <c r="A55" s="7"/>
      <c r="B55" s="5" t="str">
        <f t="shared" si="0"/>
        <v/>
      </c>
      <c r="C55">
        <f>IFERROR(VLOOKUP(TRIM(B55),Inventory!E:E,1,0),0)</f>
        <v>0</v>
      </c>
      <c r="D55" t="str">
        <f t="shared" si="1"/>
        <v/>
      </c>
    </row>
    <row r="56" spans="1:4" x14ac:dyDescent="0.25">
      <c r="A56" s="7"/>
      <c r="B56" s="5" t="str">
        <f t="shared" si="0"/>
        <v/>
      </c>
      <c r="C56">
        <f>IFERROR(VLOOKUP(TRIM(B56),Inventory!E:E,1,0),0)</f>
        <v>0</v>
      </c>
      <c r="D56" t="str">
        <f t="shared" si="1"/>
        <v/>
      </c>
    </row>
    <row r="57" spans="1:4" x14ac:dyDescent="0.25">
      <c r="A57" s="7"/>
      <c r="B57" s="5" t="str">
        <f t="shared" si="0"/>
        <v/>
      </c>
      <c r="C57">
        <f>IFERROR(VLOOKUP(TRIM(B57),Inventory!E:E,1,0),0)</f>
        <v>0</v>
      </c>
      <c r="D57" t="str">
        <f t="shared" si="1"/>
        <v/>
      </c>
    </row>
    <row r="58" spans="1:4" x14ac:dyDescent="0.25">
      <c r="A58" s="7"/>
      <c r="B58" s="5" t="str">
        <f t="shared" si="0"/>
        <v/>
      </c>
      <c r="C58">
        <f>IFERROR(VLOOKUP(TRIM(B58),Inventory!E:E,1,0),0)</f>
        <v>0</v>
      </c>
      <c r="D58" t="str">
        <f t="shared" si="1"/>
        <v/>
      </c>
    </row>
    <row r="59" spans="1:4" x14ac:dyDescent="0.25">
      <c r="A59" s="7"/>
      <c r="B59" s="5" t="str">
        <f t="shared" si="0"/>
        <v/>
      </c>
      <c r="C59">
        <f>IFERROR(VLOOKUP(TRIM(B59),Inventory!E:E,1,0),0)</f>
        <v>0</v>
      </c>
      <c r="D59" t="str">
        <f t="shared" si="1"/>
        <v/>
      </c>
    </row>
    <row r="60" spans="1:4" x14ac:dyDescent="0.25">
      <c r="A60" s="7"/>
      <c r="B60" s="5" t="str">
        <f t="shared" si="0"/>
        <v/>
      </c>
      <c r="C60">
        <f>IFERROR(VLOOKUP(TRIM(B60),Inventory!E:E,1,0),0)</f>
        <v>0</v>
      </c>
      <c r="D60" t="str">
        <f t="shared" si="1"/>
        <v/>
      </c>
    </row>
    <row r="61" spans="1:4" x14ac:dyDescent="0.25">
      <c r="A61" s="7"/>
      <c r="B61" s="5" t="str">
        <f t="shared" si="0"/>
        <v/>
      </c>
      <c r="C61">
        <f>IFERROR(VLOOKUP(TRIM(B61),Inventory!E:E,1,0),0)</f>
        <v>0</v>
      </c>
      <c r="D61" t="str">
        <f t="shared" si="1"/>
        <v/>
      </c>
    </row>
    <row r="62" spans="1:4" x14ac:dyDescent="0.25">
      <c r="A62" s="7"/>
      <c r="B62" s="5" t="str">
        <f t="shared" si="0"/>
        <v/>
      </c>
      <c r="C62">
        <f>IFERROR(VLOOKUP(TRIM(B62),Inventory!E:E,1,0),0)</f>
        <v>0</v>
      </c>
      <c r="D62" t="str">
        <f t="shared" si="1"/>
        <v/>
      </c>
    </row>
    <row r="63" spans="1:4" x14ac:dyDescent="0.25">
      <c r="A63" s="7"/>
      <c r="B63" s="5" t="str">
        <f t="shared" si="0"/>
        <v/>
      </c>
      <c r="C63">
        <f>IFERROR(VLOOKUP(TRIM(B63),Inventory!E:E,1,0),0)</f>
        <v>0</v>
      </c>
      <c r="D63" t="str">
        <f t="shared" si="1"/>
        <v/>
      </c>
    </row>
    <row r="64" spans="1:4" x14ac:dyDescent="0.25">
      <c r="A64" s="7"/>
      <c r="B64" s="5" t="str">
        <f t="shared" si="0"/>
        <v/>
      </c>
      <c r="C64">
        <f>IFERROR(VLOOKUP(TRIM(B64),Inventory!E:E,1,0),0)</f>
        <v>0</v>
      </c>
      <c r="D64" t="str">
        <f t="shared" si="1"/>
        <v/>
      </c>
    </row>
    <row r="65" spans="1:4" x14ac:dyDescent="0.25">
      <c r="A65" s="7"/>
      <c r="B65" s="5" t="str">
        <f t="shared" si="0"/>
        <v/>
      </c>
      <c r="C65">
        <f>IFERROR(VLOOKUP(TRIM(B65),Inventory!E:E,1,0),0)</f>
        <v>0</v>
      </c>
      <c r="D65" t="str">
        <f t="shared" si="1"/>
        <v/>
      </c>
    </row>
    <row r="66" spans="1:4" x14ac:dyDescent="0.25">
      <c r="A66" s="7"/>
      <c r="B66" s="5" t="str">
        <f t="shared" si="0"/>
        <v/>
      </c>
      <c r="C66">
        <f>IFERROR(VLOOKUP(TRIM(B66),Inventory!E:E,1,0),0)</f>
        <v>0</v>
      </c>
      <c r="D66" t="str">
        <f t="shared" si="1"/>
        <v/>
      </c>
    </row>
    <row r="67" spans="1:4" x14ac:dyDescent="0.25">
      <c r="A67" s="7"/>
      <c r="B67" s="5" t="str">
        <f t="shared" ref="B67:B130" si="2">SUBSTITUTE(SUBSTITUTE(A67,"ö","0"),"Ö","0")</f>
        <v/>
      </c>
      <c r="C67">
        <f>IFERROR(VLOOKUP(TRIM(B67),Inventory!E:E,1,0),0)</f>
        <v>0</v>
      </c>
      <c r="D67" t="str">
        <f t="shared" ref="D67:D130" si="3">IF(AND(TRIM(A67)&lt;&gt;"",C67=0),"NINCS A LISTÁBAN","")</f>
        <v/>
      </c>
    </row>
    <row r="68" spans="1:4" x14ac:dyDescent="0.25">
      <c r="A68" s="7"/>
      <c r="B68" s="5" t="str">
        <f t="shared" si="2"/>
        <v/>
      </c>
      <c r="C68">
        <f>IFERROR(VLOOKUP(TRIM(B68),Inventory!E:E,1,0),0)</f>
        <v>0</v>
      </c>
      <c r="D68" t="str">
        <f t="shared" si="3"/>
        <v/>
      </c>
    </row>
    <row r="69" spans="1:4" x14ac:dyDescent="0.25">
      <c r="A69" s="7"/>
      <c r="B69" s="5" t="str">
        <f t="shared" si="2"/>
        <v/>
      </c>
      <c r="C69">
        <f>IFERROR(VLOOKUP(TRIM(B69),Inventory!E:E,1,0),0)</f>
        <v>0</v>
      </c>
      <c r="D69" t="str">
        <f t="shared" si="3"/>
        <v/>
      </c>
    </row>
    <row r="70" spans="1:4" x14ac:dyDescent="0.25">
      <c r="A70" s="7"/>
      <c r="B70" s="5" t="str">
        <f t="shared" si="2"/>
        <v/>
      </c>
      <c r="C70">
        <f>IFERROR(VLOOKUP(TRIM(B70),Inventory!E:E,1,0),0)</f>
        <v>0</v>
      </c>
      <c r="D70" t="str">
        <f t="shared" si="3"/>
        <v/>
      </c>
    </row>
    <row r="71" spans="1:4" x14ac:dyDescent="0.25">
      <c r="A71" s="7"/>
      <c r="B71" s="5" t="str">
        <f t="shared" si="2"/>
        <v/>
      </c>
      <c r="C71">
        <f>IFERROR(VLOOKUP(TRIM(B71),Inventory!E:E,1,0),0)</f>
        <v>0</v>
      </c>
      <c r="D71" t="str">
        <f t="shared" si="3"/>
        <v/>
      </c>
    </row>
    <row r="72" spans="1:4" x14ac:dyDescent="0.25">
      <c r="A72" s="7"/>
      <c r="B72" s="5" t="str">
        <f t="shared" si="2"/>
        <v/>
      </c>
      <c r="C72">
        <f>IFERROR(VLOOKUP(TRIM(B72),Inventory!E:E,1,0),0)</f>
        <v>0</v>
      </c>
      <c r="D72" t="str">
        <f t="shared" si="3"/>
        <v/>
      </c>
    </row>
    <row r="73" spans="1:4" x14ac:dyDescent="0.25">
      <c r="A73" s="7"/>
      <c r="B73" s="5" t="str">
        <f t="shared" si="2"/>
        <v/>
      </c>
      <c r="C73">
        <f>IFERROR(VLOOKUP(TRIM(B73),Inventory!E:E,1,0),0)</f>
        <v>0</v>
      </c>
      <c r="D73" t="str">
        <f t="shared" si="3"/>
        <v/>
      </c>
    </row>
    <row r="74" spans="1:4" x14ac:dyDescent="0.25">
      <c r="A74" s="7"/>
      <c r="B74" s="5" t="str">
        <f t="shared" si="2"/>
        <v/>
      </c>
      <c r="C74">
        <f>IFERROR(VLOOKUP(TRIM(B74),Inventory!E:E,1,0),0)</f>
        <v>0</v>
      </c>
      <c r="D74" t="str">
        <f t="shared" si="3"/>
        <v/>
      </c>
    </row>
    <row r="75" spans="1:4" x14ac:dyDescent="0.25">
      <c r="A75" s="7"/>
      <c r="B75" s="5" t="str">
        <f t="shared" si="2"/>
        <v/>
      </c>
      <c r="C75">
        <f>IFERROR(VLOOKUP(TRIM(B75),Inventory!E:E,1,0),0)</f>
        <v>0</v>
      </c>
      <c r="D75" t="str">
        <f t="shared" si="3"/>
        <v/>
      </c>
    </row>
    <row r="76" spans="1:4" x14ac:dyDescent="0.25">
      <c r="A76" s="7"/>
      <c r="B76" s="5" t="str">
        <f t="shared" si="2"/>
        <v/>
      </c>
      <c r="C76">
        <f>IFERROR(VLOOKUP(TRIM(B76),Inventory!E:E,1,0),0)</f>
        <v>0</v>
      </c>
      <c r="D76" t="str">
        <f t="shared" si="3"/>
        <v/>
      </c>
    </row>
    <row r="77" spans="1:4" x14ac:dyDescent="0.25">
      <c r="A77" s="7"/>
      <c r="B77" s="5" t="str">
        <f t="shared" si="2"/>
        <v/>
      </c>
      <c r="C77">
        <f>IFERROR(VLOOKUP(TRIM(B77),Inventory!E:E,1,0),0)</f>
        <v>0</v>
      </c>
      <c r="D77" t="str">
        <f t="shared" si="3"/>
        <v/>
      </c>
    </row>
    <row r="78" spans="1:4" x14ac:dyDescent="0.25">
      <c r="A78" s="7"/>
      <c r="B78" s="5" t="str">
        <f t="shared" si="2"/>
        <v/>
      </c>
      <c r="C78">
        <f>IFERROR(VLOOKUP(TRIM(B78),Inventory!E:E,1,0),0)</f>
        <v>0</v>
      </c>
      <c r="D78" t="str">
        <f t="shared" si="3"/>
        <v/>
      </c>
    </row>
    <row r="79" spans="1:4" x14ac:dyDescent="0.25">
      <c r="A79" s="7"/>
      <c r="B79" s="5" t="str">
        <f t="shared" si="2"/>
        <v/>
      </c>
      <c r="C79">
        <f>IFERROR(VLOOKUP(TRIM(B79),Inventory!E:E,1,0),0)</f>
        <v>0</v>
      </c>
      <c r="D79" t="str">
        <f t="shared" si="3"/>
        <v/>
      </c>
    </row>
    <row r="80" spans="1:4" x14ac:dyDescent="0.25">
      <c r="A80" s="7"/>
      <c r="B80" s="5" t="str">
        <f t="shared" si="2"/>
        <v/>
      </c>
      <c r="C80">
        <f>IFERROR(VLOOKUP(TRIM(B80),Inventory!E:E,1,0),0)</f>
        <v>0</v>
      </c>
      <c r="D80" t="str">
        <f t="shared" si="3"/>
        <v/>
      </c>
    </row>
    <row r="81" spans="1:4" x14ac:dyDescent="0.25">
      <c r="A81" s="7"/>
      <c r="B81" s="5" t="str">
        <f t="shared" si="2"/>
        <v/>
      </c>
      <c r="C81">
        <f>IFERROR(VLOOKUP(TRIM(B81),Inventory!E:E,1,0),0)</f>
        <v>0</v>
      </c>
      <c r="D81" t="str">
        <f t="shared" si="3"/>
        <v/>
      </c>
    </row>
    <row r="82" spans="1:4" x14ac:dyDescent="0.25">
      <c r="A82" s="7"/>
      <c r="B82" s="5" t="str">
        <f t="shared" si="2"/>
        <v/>
      </c>
      <c r="C82">
        <f>IFERROR(VLOOKUP(TRIM(B82),Inventory!E:E,1,0),0)</f>
        <v>0</v>
      </c>
      <c r="D82" t="str">
        <f t="shared" si="3"/>
        <v/>
      </c>
    </row>
    <row r="83" spans="1:4" x14ac:dyDescent="0.25">
      <c r="A83" s="7"/>
      <c r="B83" s="5" t="str">
        <f t="shared" si="2"/>
        <v/>
      </c>
      <c r="C83">
        <f>IFERROR(VLOOKUP(TRIM(B83),Inventory!E:E,1,0),0)</f>
        <v>0</v>
      </c>
      <c r="D83" t="str">
        <f t="shared" si="3"/>
        <v/>
      </c>
    </row>
    <row r="84" spans="1:4" x14ac:dyDescent="0.25">
      <c r="A84" s="7"/>
      <c r="B84" s="5" t="str">
        <f t="shared" si="2"/>
        <v/>
      </c>
      <c r="C84">
        <f>IFERROR(VLOOKUP(TRIM(B84),Inventory!E:E,1,0),0)</f>
        <v>0</v>
      </c>
      <c r="D84" t="str">
        <f t="shared" si="3"/>
        <v/>
      </c>
    </row>
    <row r="85" spans="1:4" x14ac:dyDescent="0.25">
      <c r="A85" s="7"/>
      <c r="B85" s="5" t="str">
        <f t="shared" si="2"/>
        <v/>
      </c>
      <c r="C85">
        <f>IFERROR(VLOOKUP(TRIM(B85),Inventory!E:E,1,0),0)</f>
        <v>0</v>
      </c>
      <c r="D85" t="str">
        <f t="shared" si="3"/>
        <v/>
      </c>
    </row>
    <row r="86" spans="1:4" x14ac:dyDescent="0.25">
      <c r="A86" s="7"/>
      <c r="B86" s="5" t="str">
        <f t="shared" si="2"/>
        <v/>
      </c>
      <c r="C86">
        <f>IFERROR(VLOOKUP(TRIM(B86),Inventory!E:E,1,0),0)</f>
        <v>0</v>
      </c>
      <c r="D86" t="str">
        <f t="shared" si="3"/>
        <v/>
      </c>
    </row>
    <row r="87" spans="1:4" x14ac:dyDescent="0.25">
      <c r="A87" s="7"/>
      <c r="B87" s="5" t="str">
        <f t="shared" si="2"/>
        <v/>
      </c>
      <c r="C87">
        <f>IFERROR(VLOOKUP(TRIM(B87),Inventory!E:E,1,0),0)</f>
        <v>0</v>
      </c>
      <c r="D87" t="str">
        <f t="shared" si="3"/>
        <v/>
      </c>
    </row>
    <row r="88" spans="1:4" x14ac:dyDescent="0.25">
      <c r="A88" s="7"/>
      <c r="B88" s="5" t="str">
        <f t="shared" si="2"/>
        <v/>
      </c>
      <c r="C88">
        <f>IFERROR(VLOOKUP(TRIM(B88),Inventory!E:E,1,0),0)</f>
        <v>0</v>
      </c>
      <c r="D88" t="str">
        <f t="shared" si="3"/>
        <v/>
      </c>
    </row>
    <row r="89" spans="1:4" x14ac:dyDescent="0.25">
      <c r="A89" s="7"/>
      <c r="B89" s="5" t="str">
        <f t="shared" si="2"/>
        <v/>
      </c>
      <c r="C89">
        <f>IFERROR(VLOOKUP(TRIM(B89),Inventory!E:E,1,0),0)</f>
        <v>0</v>
      </c>
      <c r="D89" t="str">
        <f t="shared" si="3"/>
        <v/>
      </c>
    </row>
    <row r="90" spans="1:4" x14ac:dyDescent="0.25">
      <c r="A90" s="7"/>
      <c r="B90" s="5" t="str">
        <f t="shared" si="2"/>
        <v/>
      </c>
      <c r="C90">
        <f>IFERROR(VLOOKUP(TRIM(B90),Inventory!E:E,1,0),0)</f>
        <v>0</v>
      </c>
      <c r="D90" t="str">
        <f t="shared" si="3"/>
        <v/>
      </c>
    </row>
    <row r="91" spans="1:4" x14ac:dyDescent="0.25">
      <c r="A91" s="7"/>
      <c r="B91" s="5" t="str">
        <f t="shared" si="2"/>
        <v/>
      </c>
      <c r="C91">
        <f>IFERROR(VLOOKUP(TRIM(B91),Inventory!E:E,1,0),0)</f>
        <v>0</v>
      </c>
      <c r="D91" t="str">
        <f t="shared" si="3"/>
        <v/>
      </c>
    </row>
    <row r="92" spans="1:4" x14ac:dyDescent="0.25">
      <c r="A92" s="7"/>
      <c r="B92" s="5" t="str">
        <f t="shared" si="2"/>
        <v/>
      </c>
      <c r="C92">
        <f>IFERROR(VLOOKUP(TRIM(B92),Inventory!E:E,1,0),0)</f>
        <v>0</v>
      </c>
      <c r="D92" t="str">
        <f t="shared" si="3"/>
        <v/>
      </c>
    </row>
    <row r="93" spans="1:4" x14ac:dyDescent="0.25">
      <c r="A93" s="7"/>
      <c r="B93" s="5" t="str">
        <f t="shared" si="2"/>
        <v/>
      </c>
      <c r="C93">
        <f>IFERROR(VLOOKUP(TRIM(B93),Inventory!E:E,1,0),0)</f>
        <v>0</v>
      </c>
      <c r="D93" t="str">
        <f t="shared" si="3"/>
        <v/>
      </c>
    </row>
    <row r="94" spans="1:4" x14ac:dyDescent="0.25">
      <c r="A94" s="7"/>
      <c r="B94" s="5" t="str">
        <f t="shared" si="2"/>
        <v/>
      </c>
      <c r="C94">
        <f>IFERROR(VLOOKUP(TRIM(B94),Inventory!E:E,1,0),0)</f>
        <v>0</v>
      </c>
      <c r="D94" t="str">
        <f t="shared" si="3"/>
        <v/>
      </c>
    </row>
    <row r="95" spans="1:4" x14ac:dyDescent="0.25">
      <c r="A95" s="7"/>
      <c r="B95" s="5" t="str">
        <f t="shared" si="2"/>
        <v/>
      </c>
      <c r="C95">
        <f>IFERROR(VLOOKUP(TRIM(B95),Inventory!E:E,1,0),0)</f>
        <v>0</v>
      </c>
      <c r="D95" t="str">
        <f t="shared" si="3"/>
        <v/>
      </c>
    </row>
    <row r="96" spans="1:4" x14ac:dyDescent="0.25">
      <c r="A96" s="7"/>
      <c r="B96" s="5" t="str">
        <f t="shared" si="2"/>
        <v/>
      </c>
      <c r="C96">
        <f>IFERROR(VLOOKUP(TRIM(B96),Inventory!E:E,1,0),0)</f>
        <v>0</v>
      </c>
      <c r="D96" t="str">
        <f t="shared" si="3"/>
        <v/>
      </c>
    </row>
    <row r="97" spans="1:4" x14ac:dyDescent="0.25">
      <c r="A97" s="7"/>
      <c r="B97" s="5" t="str">
        <f t="shared" si="2"/>
        <v/>
      </c>
      <c r="C97">
        <f>IFERROR(VLOOKUP(TRIM(B97),Inventory!E:E,1,0),0)</f>
        <v>0</v>
      </c>
      <c r="D97" t="str">
        <f t="shared" si="3"/>
        <v/>
      </c>
    </row>
    <row r="98" spans="1:4" x14ac:dyDescent="0.25">
      <c r="A98" s="7"/>
      <c r="B98" s="5" t="str">
        <f t="shared" si="2"/>
        <v/>
      </c>
      <c r="C98">
        <f>IFERROR(VLOOKUP(TRIM(B98),Inventory!E:E,1,0),0)</f>
        <v>0</v>
      </c>
      <c r="D98" t="str">
        <f t="shared" si="3"/>
        <v/>
      </c>
    </row>
    <row r="99" spans="1:4" x14ac:dyDescent="0.25">
      <c r="A99" s="7"/>
      <c r="B99" s="5" t="str">
        <f t="shared" si="2"/>
        <v/>
      </c>
      <c r="C99">
        <f>IFERROR(VLOOKUP(TRIM(B99),Inventory!E:E,1,0),0)</f>
        <v>0</v>
      </c>
      <c r="D99" t="str">
        <f t="shared" si="3"/>
        <v/>
      </c>
    </row>
    <row r="100" spans="1:4" x14ac:dyDescent="0.25">
      <c r="A100" s="7"/>
      <c r="B100" s="5" t="str">
        <f t="shared" si="2"/>
        <v/>
      </c>
      <c r="C100">
        <f>IFERROR(VLOOKUP(TRIM(B100),Inventory!E:E,1,0),0)</f>
        <v>0</v>
      </c>
      <c r="D100" t="str">
        <f t="shared" si="3"/>
        <v/>
      </c>
    </row>
    <row r="101" spans="1:4" x14ac:dyDescent="0.25">
      <c r="A101" s="7"/>
      <c r="B101" s="5" t="str">
        <f t="shared" si="2"/>
        <v/>
      </c>
      <c r="C101">
        <f>IFERROR(VLOOKUP(TRIM(B101),Inventory!E:E,1,0),0)</f>
        <v>0</v>
      </c>
      <c r="D101" t="str">
        <f t="shared" si="3"/>
        <v/>
      </c>
    </row>
    <row r="102" spans="1:4" x14ac:dyDescent="0.25">
      <c r="A102" s="7"/>
      <c r="B102" s="5" t="str">
        <f t="shared" si="2"/>
        <v/>
      </c>
      <c r="C102">
        <f>IFERROR(VLOOKUP(TRIM(B102),Inventory!E:E,1,0),0)</f>
        <v>0</v>
      </c>
      <c r="D102" t="str">
        <f t="shared" si="3"/>
        <v/>
      </c>
    </row>
    <row r="103" spans="1:4" x14ac:dyDescent="0.25">
      <c r="A103" s="7"/>
      <c r="B103" s="5" t="str">
        <f t="shared" si="2"/>
        <v/>
      </c>
      <c r="C103">
        <f>IFERROR(VLOOKUP(TRIM(B103),Inventory!E:E,1,0),0)</f>
        <v>0</v>
      </c>
      <c r="D103" t="str">
        <f t="shared" si="3"/>
        <v/>
      </c>
    </row>
    <row r="104" spans="1:4" x14ac:dyDescent="0.25">
      <c r="A104" s="7"/>
      <c r="B104" s="5" t="str">
        <f t="shared" si="2"/>
        <v/>
      </c>
      <c r="C104">
        <f>IFERROR(VLOOKUP(TRIM(B104),Inventory!E:E,1,0),0)</f>
        <v>0</v>
      </c>
      <c r="D104" t="str">
        <f t="shared" si="3"/>
        <v/>
      </c>
    </row>
    <row r="105" spans="1:4" x14ac:dyDescent="0.25">
      <c r="A105" s="7"/>
      <c r="B105" s="5" t="str">
        <f t="shared" si="2"/>
        <v/>
      </c>
      <c r="C105">
        <f>IFERROR(VLOOKUP(TRIM(B105),Inventory!E:E,1,0),0)</f>
        <v>0</v>
      </c>
      <c r="D105" t="str">
        <f t="shared" si="3"/>
        <v/>
      </c>
    </row>
    <row r="106" spans="1:4" x14ac:dyDescent="0.25">
      <c r="A106" s="7"/>
      <c r="B106" s="5" t="str">
        <f t="shared" si="2"/>
        <v/>
      </c>
      <c r="C106">
        <f>IFERROR(VLOOKUP(TRIM(B106),Inventory!E:E,1,0),0)</f>
        <v>0</v>
      </c>
      <c r="D106" t="str">
        <f t="shared" si="3"/>
        <v/>
      </c>
    </row>
    <row r="107" spans="1:4" x14ac:dyDescent="0.25">
      <c r="A107" s="7"/>
      <c r="B107" s="5" t="str">
        <f t="shared" si="2"/>
        <v/>
      </c>
      <c r="C107">
        <f>IFERROR(VLOOKUP(TRIM(B107),Inventory!E:E,1,0),0)</f>
        <v>0</v>
      </c>
      <c r="D107" t="str">
        <f t="shared" si="3"/>
        <v/>
      </c>
    </row>
    <row r="108" spans="1:4" x14ac:dyDescent="0.25">
      <c r="A108" s="7"/>
      <c r="B108" s="5" t="str">
        <f t="shared" si="2"/>
        <v/>
      </c>
      <c r="C108">
        <f>IFERROR(VLOOKUP(TRIM(B108),Inventory!E:E,1,0),0)</f>
        <v>0</v>
      </c>
      <c r="D108" t="str">
        <f t="shared" si="3"/>
        <v/>
      </c>
    </row>
    <row r="109" spans="1:4" x14ac:dyDescent="0.25">
      <c r="A109" s="7"/>
      <c r="B109" s="5" t="str">
        <f t="shared" si="2"/>
        <v/>
      </c>
      <c r="C109">
        <f>IFERROR(VLOOKUP(TRIM(B109),Inventory!E:E,1,0),0)</f>
        <v>0</v>
      </c>
      <c r="D109" t="str">
        <f t="shared" si="3"/>
        <v/>
      </c>
    </row>
    <row r="110" spans="1:4" x14ac:dyDescent="0.25">
      <c r="A110" s="7"/>
      <c r="B110" s="5" t="str">
        <f t="shared" si="2"/>
        <v/>
      </c>
      <c r="C110">
        <f>IFERROR(VLOOKUP(TRIM(B110),Inventory!E:E,1,0),0)</f>
        <v>0</v>
      </c>
      <c r="D110" t="str">
        <f t="shared" si="3"/>
        <v/>
      </c>
    </row>
    <row r="111" spans="1:4" x14ac:dyDescent="0.25">
      <c r="A111" s="7"/>
      <c r="B111" s="5" t="str">
        <f t="shared" si="2"/>
        <v/>
      </c>
      <c r="C111">
        <f>IFERROR(VLOOKUP(TRIM(B111),Inventory!E:E,1,0),0)</f>
        <v>0</v>
      </c>
      <c r="D111" t="str">
        <f t="shared" si="3"/>
        <v/>
      </c>
    </row>
    <row r="112" spans="1:4" x14ac:dyDescent="0.25">
      <c r="A112" s="7"/>
      <c r="B112" s="5" t="str">
        <f t="shared" si="2"/>
        <v/>
      </c>
      <c r="C112">
        <f>IFERROR(VLOOKUP(TRIM(B112),Inventory!E:E,1,0),0)</f>
        <v>0</v>
      </c>
      <c r="D112" t="str">
        <f t="shared" si="3"/>
        <v/>
      </c>
    </row>
    <row r="113" spans="1:4" x14ac:dyDescent="0.25">
      <c r="A113" s="7"/>
      <c r="B113" s="5" t="str">
        <f t="shared" si="2"/>
        <v/>
      </c>
      <c r="C113">
        <f>IFERROR(VLOOKUP(TRIM(B113),Inventory!E:E,1,0),0)</f>
        <v>0</v>
      </c>
      <c r="D113" t="str">
        <f t="shared" si="3"/>
        <v/>
      </c>
    </row>
    <row r="114" spans="1:4" x14ac:dyDescent="0.25">
      <c r="A114" s="7"/>
      <c r="B114" s="5" t="str">
        <f t="shared" si="2"/>
        <v/>
      </c>
      <c r="C114">
        <f>IFERROR(VLOOKUP(TRIM(B114),Inventory!E:E,1,0),0)</f>
        <v>0</v>
      </c>
      <c r="D114" t="str">
        <f t="shared" si="3"/>
        <v/>
      </c>
    </row>
    <row r="115" spans="1:4" x14ac:dyDescent="0.25">
      <c r="A115" s="7"/>
      <c r="B115" s="5" t="str">
        <f t="shared" si="2"/>
        <v/>
      </c>
      <c r="C115">
        <f>IFERROR(VLOOKUP(TRIM(B115),Inventory!E:E,1,0),0)</f>
        <v>0</v>
      </c>
      <c r="D115" t="str">
        <f t="shared" si="3"/>
        <v/>
      </c>
    </row>
    <row r="116" spans="1:4" x14ac:dyDescent="0.25">
      <c r="A116" s="7"/>
      <c r="B116" s="5" t="str">
        <f t="shared" si="2"/>
        <v/>
      </c>
      <c r="C116">
        <f>IFERROR(VLOOKUP(TRIM(B116),Inventory!E:E,1,0),0)</f>
        <v>0</v>
      </c>
      <c r="D116" t="str">
        <f t="shared" si="3"/>
        <v/>
      </c>
    </row>
    <row r="117" spans="1:4" x14ac:dyDescent="0.25">
      <c r="A117" s="7"/>
      <c r="B117" s="5" t="str">
        <f t="shared" si="2"/>
        <v/>
      </c>
      <c r="C117">
        <f>IFERROR(VLOOKUP(TRIM(B117),Inventory!E:E,1,0),0)</f>
        <v>0</v>
      </c>
      <c r="D117" t="str">
        <f t="shared" si="3"/>
        <v/>
      </c>
    </row>
    <row r="118" spans="1:4" x14ac:dyDescent="0.25">
      <c r="A118" s="7"/>
      <c r="B118" s="5" t="str">
        <f t="shared" si="2"/>
        <v/>
      </c>
      <c r="C118">
        <f>IFERROR(VLOOKUP(TRIM(B118),Inventory!E:E,1,0),0)</f>
        <v>0</v>
      </c>
      <c r="D118" t="str">
        <f t="shared" si="3"/>
        <v/>
      </c>
    </row>
    <row r="119" spans="1:4" x14ac:dyDescent="0.25">
      <c r="A119" s="7"/>
      <c r="B119" s="5" t="str">
        <f t="shared" si="2"/>
        <v/>
      </c>
      <c r="C119">
        <f>IFERROR(VLOOKUP(TRIM(B119),Inventory!E:E,1,0),0)</f>
        <v>0</v>
      </c>
      <c r="D119" t="str">
        <f t="shared" si="3"/>
        <v/>
      </c>
    </row>
    <row r="120" spans="1:4" x14ac:dyDescent="0.25">
      <c r="A120" s="7"/>
      <c r="B120" s="5" t="str">
        <f t="shared" si="2"/>
        <v/>
      </c>
      <c r="C120">
        <f>IFERROR(VLOOKUP(TRIM(B120),Inventory!E:E,1,0),0)</f>
        <v>0</v>
      </c>
      <c r="D120" t="str">
        <f t="shared" si="3"/>
        <v/>
      </c>
    </row>
    <row r="121" spans="1:4" x14ac:dyDescent="0.25">
      <c r="A121" s="7"/>
      <c r="B121" s="5" t="str">
        <f t="shared" si="2"/>
        <v/>
      </c>
      <c r="C121">
        <f>IFERROR(VLOOKUP(TRIM(B121),Inventory!E:E,1,0),0)</f>
        <v>0</v>
      </c>
      <c r="D121" t="str">
        <f t="shared" si="3"/>
        <v/>
      </c>
    </row>
    <row r="122" spans="1:4" x14ac:dyDescent="0.25">
      <c r="A122" s="7"/>
      <c r="B122" s="5" t="str">
        <f t="shared" si="2"/>
        <v/>
      </c>
      <c r="C122">
        <f>IFERROR(VLOOKUP(TRIM(B122),Inventory!E:E,1,0),0)</f>
        <v>0</v>
      </c>
      <c r="D122" t="str">
        <f t="shared" si="3"/>
        <v/>
      </c>
    </row>
    <row r="123" spans="1:4" x14ac:dyDescent="0.25">
      <c r="A123" s="7"/>
      <c r="B123" s="5" t="str">
        <f t="shared" si="2"/>
        <v/>
      </c>
      <c r="C123">
        <f>IFERROR(VLOOKUP(TRIM(B123),Inventory!E:E,1,0),0)</f>
        <v>0</v>
      </c>
      <c r="D123" t="str">
        <f t="shared" si="3"/>
        <v/>
      </c>
    </row>
    <row r="124" spans="1:4" x14ac:dyDescent="0.25">
      <c r="A124" s="7"/>
      <c r="B124" s="5" t="str">
        <f t="shared" si="2"/>
        <v/>
      </c>
      <c r="C124">
        <f>IFERROR(VLOOKUP(TRIM(B124),Inventory!E:E,1,0),0)</f>
        <v>0</v>
      </c>
      <c r="D124" t="str">
        <f t="shared" si="3"/>
        <v/>
      </c>
    </row>
    <row r="125" spans="1:4" x14ac:dyDescent="0.25">
      <c r="A125" s="7"/>
      <c r="B125" s="5" t="str">
        <f t="shared" si="2"/>
        <v/>
      </c>
      <c r="C125">
        <f>IFERROR(VLOOKUP(TRIM(B125),Inventory!E:E,1,0),0)</f>
        <v>0</v>
      </c>
      <c r="D125" t="str">
        <f t="shared" si="3"/>
        <v/>
      </c>
    </row>
    <row r="126" spans="1:4" x14ac:dyDescent="0.25">
      <c r="A126" s="7"/>
      <c r="B126" s="5" t="str">
        <f t="shared" si="2"/>
        <v/>
      </c>
      <c r="C126">
        <f>IFERROR(VLOOKUP(TRIM(B126),Inventory!E:E,1,0),0)</f>
        <v>0</v>
      </c>
      <c r="D126" t="str">
        <f t="shared" si="3"/>
        <v/>
      </c>
    </row>
    <row r="127" spans="1:4" x14ac:dyDescent="0.25">
      <c r="A127" s="7"/>
      <c r="B127" s="5" t="str">
        <f t="shared" si="2"/>
        <v/>
      </c>
      <c r="C127">
        <f>IFERROR(VLOOKUP(TRIM(B127),Inventory!E:E,1,0),0)</f>
        <v>0</v>
      </c>
      <c r="D127" t="str">
        <f t="shared" si="3"/>
        <v/>
      </c>
    </row>
    <row r="128" spans="1:4" x14ac:dyDescent="0.25">
      <c r="A128" s="7"/>
      <c r="B128" s="5" t="str">
        <f t="shared" si="2"/>
        <v/>
      </c>
      <c r="C128">
        <f>IFERROR(VLOOKUP(TRIM(B128),Inventory!E:E,1,0),0)</f>
        <v>0</v>
      </c>
      <c r="D128" t="str">
        <f t="shared" si="3"/>
        <v/>
      </c>
    </row>
    <row r="129" spans="1:4" x14ac:dyDescent="0.25">
      <c r="A129" s="7"/>
      <c r="B129" s="5" t="str">
        <f t="shared" si="2"/>
        <v/>
      </c>
      <c r="C129">
        <f>IFERROR(VLOOKUP(TRIM(B129),Inventory!E:E,1,0),0)</f>
        <v>0</v>
      </c>
      <c r="D129" t="str">
        <f t="shared" si="3"/>
        <v/>
      </c>
    </row>
    <row r="130" spans="1:4" x14ac:dyDescent="0.25">
      <c r="A130" s="7"/>
      <c r="B130" s="5" t="str">
        <f t="shared" si="2"/>
        <v/>
      </c>
      <c r="C130">
        <f>IFERROR(VLOOKUP(TRIM(B130),Inventory!E:E,1,0),0)</f>
        <v>0</v>
      </c>
      <c r="D130" t="str">
        <f t="shared" si="3"/>
        <v/>
      </c>
    </row>
    <row r="131" spans="1:4" x14ac:dyDescent="0.25">
      <c r="A131" s="7"/>
      <c r="B131" s="5" t="str">
        <f t="shared" ref="B131:B194" si="4">SUBSTITUTE(SUBSTITUTE(A131,"ö","0"),"Ö","0")</f>
        <v/>
      </c>
      <c r="C131">
        <f>IFERROR(VLOOKUP(TRIM(B131),Inventory!E:E,1,0),0)</f>
        <v>0</v>
      </c>
      <c r="D131" t="str">
        <f t="shared" ref="D131:D194" si="5">IF(AND(TRIM(A131)&lt;&gt;"",C131=0),"NINCS A LISTÁBAN","")</f>
        <v/>
      </c>
    </row>
    <row r="132" spans="1:4" x14ac:dyDescent="0.25">
      <c r="A132" s="7"/>
      <c r="B132" s="5" t="str">
        <f t="shared" si="4"/>
        <v/>
      </c>
      <c r="C132">
        <f>IFERROR(VLOOKUP(TRIM(B132),Inventory!E:E,1,0),0)</f>
        <v>0</v>
      </c>
      <c r="D132" t="str">
        <f t="shared" si="5"/>
        <v/>
      </c>
    </row>
    <row r="133" spans="1:4" x14ac:dyDescent="0.25">
      <c r="A133" s="7"/>
      <c r="B133" s="5" t="str">
        <f t="shared" si="4"/>
        <v/>
      </c>
      <c r="C133">
        <f>IFERROR(VLOOKUP(TRIM(B133),Inventory!E:E,1,0),0)</f>
        <v>0</v>
      </c>
      <c r="D133" t="str">
        <f t="shared" si="5"/>
        <v/>
      </c>
    </row>
    <row r="134" spans="1:4" x14ac:dyDescent="0.25">
      <c r="A134" s="7"/>
      <c r="B134" s="5" t="str">
        <f t="shared" si="4"/>
        <v/>
      </c>
      <c r="C134">
        <f>IFERROR(VLOOKUP(TRIM(B134),Inventory!E:E,1,0),0)</f>
        <v>0</v>
      </c>
      <c r="D134" t="str">
        <f t="shared" si="5"/>
        <v/>
      </c>
    </row>
    <row r="135" spans="1:4" x14ac:dyDescent="0.25">
      <c r="A135" s="7"/>
      <c r="B135" s="5" t="str">
        <f t="shared" si="4"/>
        <v/>
      </c>
      <c r="C135">
        <f>IFERROR(VLOOKUP(TRIM(B135),Inventory!E:E,1,0),0)</f>
        <v>0</v>
      </c>
      <c r="D135" t="str">
        <f t="shared" si="5"/>
        <v/>
      </c>
    </row>
    <row r="136" spans="1:4" x14ac:dyDescent="0.25">
      <c r="A136" s="7"/>
      <c r="B136" s="5" t="str">
        <f t="shared" si="4"/>
        <v/>
      </c>
      <c r="C136">
        <f>IFERROR(VLOOKUP(TRIM(B136),Inventory!E:E,1,0),0)</f>
        <v>0</v>
      </c>
      <c r="D136" t="str">
        <f t="shared" si="5"/>
        <v/>
      </c>
    </row>
    <row r="137" spans="1:4" x14ac:dyDescent="0.25">
      <c r="A137" s="7"/>
      <c r="B137" s="5" t="str">
        <f t="shared" si="4"/>
        <v/>
      </c>
      <c r="C137">
        <f>IFERROR(VLOOKUP(TRIM(B137),Inventory!E:E,1,0),0)</f>
        <v>0</v>
      </c>
      <c r="D137" t="str">
        <f t="shared" si="5"/>
        <v/>
      </c>
    </row>
    <row r="138" spans="1:4" x14ac:dyDescent="0.25">
      <c r="A138" s="7"/>
      <c r="B138" s="5" t="str">
        <f t="shared" si="4"/>
        <v/>
      </c>
      <c r="C138">
        <f>IFERROR(VLOOKUP(TRIM(B138),Inventory!E:E,1,0),0)</f>
        <v>0</v>
      </c>
      <c r="D138" t="str">
        <f t="shared" si="5"/>
        <v/>
      </c>
    </row>
    <row r="139" spans="1:4" x14ac:dyDescent="0.25">
      <c r="A139" s="7"/>
      <c r="B139" s="5" t="str">
        <f t="shared" si="4"/>
        <v/>
      </c>
      <c r="C139">
        <f>IFERROR(VLOOKUP(TRIM(B139),Inventory!E:E,1,0),0)</f>
        <v>0</v>
      </c>
      <c r="D139" t="str">
        <f t="shared" si="5"/>
        <v/>
      </c>
    </row>
    <row r="140" spans="1:4" x14ac:dyDescent="0.25">
      <c r="A140" s="7"/>
      <c r="B140" s="5" t="str">
        <f t="shared" si="4"/>
        <v/>
      </c>
      <c r="C140">
        <f>IFERROR(VLOOKUP(TRIM(B140),Inventory!E:E,1,0),0)</f>
        <v>0</v>
      </c>
      <c r="D140" t="str">
        <f t="shared" si="5"/>
        <v/>
      </c>
    </row>
    <row r="141" spans="1:4" x14ac:dyDescent="0.25">
      <c r="A141" s="7"/>
      <c r="B141" s="5" t="str">
        <f t="shared" si="4"/>
        <v/>
      </c>
      <c r="C141">
        <f>IFERROR(VLOOKUP(TRIM(B141),Inventory!E:E,1,0),0)</f>
        <v>0</v>
      </c>
      <c r="D141" t="str">
        <f t="shared" si="5"/>
        <v/>
      </c>
    </row>
    <row r="142" spans="1:4" x14ac:dyDescent="0.25">
      <c r="A142" s="7"/>
      <c r="B142" s="5" t="str">
        <f t="shared" si="4"/>
        <v/>
      </c>
      <c r="C142">
        <f>IFERROR(VLOOKUP(TRIM(B142),Inventory!E:E,1,0),0)</f>
        <v>0</v>
      </c>
      <c r="D142" t="str">
        <f t="shared" si="5"/>
        <v/>
      </c>
    </row>
    <row r="143" spans="1:4" x14ac:dyDescent="0.25">
      <c r="A143" s="7"/>
      <c r="B143" s="5" t="str">
        <f t="shared" si="4"/>
        <v/>
      </c>
      <c r="C143">
        <f>IFERROR(VLOOKUP(TRIM(B143),Inventory!E:E,1,0),0)</f>
        <v>0</v>
      </c>
      <c r="D143" t="str">
        <f t="shared" si="5"/>
        <v/>
      </c>
    </row>
    <row r="144" spans="1:4" x14ac:dyDescent="0.25">
      <c r="A144" s="7"/>
      <c r="B144" s="5" t="str">
        <f t="shared" si="4"/>
        <v/>
      </c>
      <c r="C144">
        <f>IFERROR(VLOOKUP(TRIM(B144),Inventory!E:E,1,0),0)</f>
        <v>0</v>
      </c>
      <c r="D144" t="str">
        <f t="shared" si="5"/>
        <v/>
      </c>
    </row>
    <row r="145" spans="1:4" x14ac:dyDescent="0.25">
      <c r="A145" s="7"/>
      <c r="B145" s="5" t="str">
        <f t="shared" si="4"/>
        <v/>
      </c>
      <c r="C145">
        <f>IFERROR(VLOOKUP(TRIM(B145),Inventory!E:E,1,0),0)</f>
        <v>0</v>
      </c>
      <c r="D145" t="str">
        <f t="shared" si="5"/>
        <v/>
      </c>
    </row>
    <row r="146" spans="1:4" x14ac:dyDescent="0.25">
      <c r="A146" s="7"/>
      <c r="B146" s="5" t="str">
        <f t="shared" si="4"/>
        <v/>
      </c>
      <c r="C146">
        <f>IFERROR(VLOOKUP(TRIM(B146),Inventory!E:E,1,0),0)</f>
        <v>0</v>
      </c>
      <c r="D146" t="str">
        <f t="shared" si="5"/>
        <v/>
      </c>
    </row>
    <row r="147" spans="1:4" x14ac:dyDescent="0.25">
      <c r="A147" s="7"/>
      <c r="B147" s="5" t="str">
        <f t="shared" si="4"/>
        <v/>
      </c>
      <c r="C147">
        <f>IFERROR(VLOOKUP(TRIM(B147),Inventory!E:E,1,0),0)</f>
        <v>0</v>
      </c>
      <c r="D147" t="str">
        <f t="shared" si="5"/>
        <v/>
      </c>
    </row>
    <row r="148" spans="1:4" x14ac:dyDescent="0.25">
      <c r="A148" s="7"/>
      <c r="B148" s="5" t="str">
        <f t="shared" si="4"/>
        <v/>
      </c>
      <c r="C148">
        <f>IFERROR(VLOOKUP(TRIM(B148),Inventory!E:E,1,0),0)</f>
        <v>0</v>
      </c>
      <c r="D148" t="str">
        <f t="shared" si="5"/>
        <v/>
      </c>
    </row>
    <row r="149" spans="1:4" x14ac:dyDescent="0.25">
      <c r="A149" s="7"/>
      <c r="B149" s="5" t="str">
        <f t="shared" si="4"/>
        <v/>
      </c>
      <c r="C149">
        <f>IFERROR(VLOOKUP(TRIM(B149),Inventory!E:E,1,0),0)</f>
        <v>0</v>
      </c>
      <c r="D149" t="str">
        <f t="shared" si="5"/>
        <v/>
      </c>
    </row>
    <row r="150" spans="1:4" x14ac:dyDescent="0.25">
      <c r="A150" s="7"/>
      <c r="B150" s="5" t="str">
        <f t="shared" si="4"/>
        <v/>
      </c>
      <c r="C150">
        <f>IFERROR(VLOOKUP(TRIM(B150),Inventory!E:E,1,0),0)</f>
        <v>0</v>
      </c>
      <c r="D150" t="str">
        <f t="shared" si="5"/>
        <v/>
      </c>
    </row>
    <row r="151" spans="1:4" x14ac:dyDescent="0.25">
      <c r="A151" s="7"/>
      <c r="B151" s="5" t="str">
        <f t="shared" si="4"/>
        <v/>
      </c>
      <c r="C151">
        <f>IFERROR(VLOOKUP(TRIM(B151),Inventory!E:E,1,0),0)</f>
        <v>0</v>
      </c>
      <c r="D151" t="str">
        <f t="shared" si="5"/>
        <v/>
      </c>
    </row>
    <row r="152" spans="1:4" x14ac:dyDescent="0.25">
      <c r="A152" s="7"/>
      <c r="B152" s="5" t="str">
        <f t="shared" si="4"/>
        <v/>
      </c>
      <c r="C152">
        <f>IFERROR(VLOOKUP(TRIM(B152),Inventory!E:E,1,0),0)</f>
        <v>0</v>
      </c>
      <c r="D152" t="str">
        <f t="shared" si="5"/>
        <v/>
      </c>
    </row>
    <row r="153" spans="1:4" x14ac:dyDescent="0.25">
      <c r="A153" s="7"/>
      <c r="B153" s="5" t="str">
        <f t="shared" si="4"/>
        <v/>
      </c>
      <c r="C153">
        <f>IFERROR(VLOOKUP(TRIM(B153),Inventory!E:E,1,0),0)</f>
        <v>0</v>
      </c>
      <c r="D153" t="str">
        <f t="shared" si="5"/>
        <v/>
      </c>
    </row>
    <row r="154" spans="1:4" x14ac:dyDescent="0.25">
      <c r="A154" s="7"/>
      <c r="B154" s="5" t="str">
        <f t="shared" si="4"/>
        <v/>
      </c>
      <c r="C154">
        <f>IFERROR(VLOOKUP(TRIM(B154),Inventory!E:E,1,0),0)</f>
        <v>0</v>
      </c>
      <c r="D154" t="str">
        <f t="shared" si="5"/>
        <v/>
      </c>
    </row>
    <row r="155" spans="1:4" x14ac:dyDescent="0.25">
      <c r="A155" s="7"/>
      <c r="B155" s="5" t="str">
        <f t="shared" si="4"/>
        <v/>
      </c>
      <c r="C155">
        <f>IFERROR(VLOOKUP(TRIM(B155),Inventory!E:E,1,0),0)</f>
        <v>0</v>
      </c>
      <c r="D155" t="str">
        <f t="shared" si="5"/>
        <v/>
      </c>
    </row>
    <row r="156" spans="1:4" x14ac:dyDescent="0.25">
      <c r="A156" s="7"/>
      <c r="B156" s="5" t="str">
        <f t="shared" si="4"/>
        <v/>
      </c>
      <c r="C156">
        <f>IFERROR(VLOOKUP(TRIM(B156),Inventory!E:E,1,0),0)</f>
        <v>0</v>
      </c>
      <c r="D156" t="str">
        <f t="shared" si="5"/>
        <v/>
      </c>
    </row>
    <row r="157" spans="1:4" x14ac:dyDescent="0.25">
      <c r="A157" s="7"/>
      <c r="B157" s="5" t="str">
        <f t="shared" si="4"/>
        <v/>
      </c>
      <c r="C157">
        <f>IFERROR(VLOOKUP(TRIM(B157),Inventory!E:E,1,0),0)</f>
        <v>0</v>
      </c>
      <c r="D157" t="str">
        <f t="shared" si="5"/>
        <v/>
      </c>
    </row>
    <row r="158" spans="1:4" x14ac:dyDescent="0.25">
      <c r="A158" s="7"/>
      <c r="B158" s="5" t="str">
        <f t="shared" si="4"/>
        <v/>
      </c>
      <c r="C158">
        <f>IFERROR(VLOOKUP(TRIM(B158),Inventory!E:E,1,0),0)</f>
        <v>0</v>
      </c>
      <c r="D158" t="str">
        <f t="shared" si="5"/>
        <v/>
      </c>
    </row>
    <row r="159" spans="1:4" x14ac:dyDescent="0.25">
      <c r="A159" s="7"/>
      <c r="B159" s="5" t="str">
        <f t="shared" si="4"/>
        <v/>
      </c>
      <c r="C159">
        <f>IFERROR(VLOOKUP(TRIM(B159),Inventory!E:E,1,0),0)</f>
        <v>0</v>
      </c>
      <c r="D159" t="str">
        <f t="shared" si="5"/>
        <v/>
      </c>
    </row>
    <row r="160" spans="1:4" x14ac:dyDescent="0.25">
      <c r="A160" s="7"/>
      <c r="B160" s="5" t="str">
        <f t="shared" si="4"/>
        <v/>
      </c>
      <c r="C160">
        <f>IFERROR(VLOOKUP(TRIM(B160),Inventory!E:E,1,0),0)</f>
        <v>0</v>
      </c>
      <c r="D160" t="str">
        <f t="shared" si="5"/>
        <v/>
      </c>
    </row>
    <row r="161" spans="1:4" x14ac:dyDescent="0.25">
      <c r="A161" s="7"/>
      <c r="B161" s="5" t="str">
        <f t="shared" si="4"/>
        <v/>
      </c>
      <c r="C161">
        <f>IFERROR(VLOOKUP(TRIM(B161),Inventory!E:E,1,0),0)</f>
        <v>0</v>
      </c>
      <c r="D161" t="str">
        <f t="shared" si="5"/>
        <v/>
      </c>
    </row>
    <row r="162" spans="1:4" x14ac:dyDescent="0.25">
      <c r="A162" s="7"/>
      <c r="B162" s="5" t="str">
        <f t="shared" si="4"/>
        <v/>
      </c>
      <c r="C162">
        <f>IFERROR(VLOOKUP(TRIM(B162),Inventory!E:E,1,0),0)</f>
        <v>0</v>
      </c>
      <c r="D162" t="str">
        <f t="shared" si="5"/>
        <v/>
      </c>
    </row>
    <row r="163" spans="1:4" x14ac:dyDescent="0.25">
      <c r="A163" s="7"/>
      <c r="B163" s="5" t="str">
        <f t="shared" si="4"/>
        <v/>
      </c>
      <c r="C163">
        <f>IFERROR(VLOOKUP(TRIM(B163),Inventory!E:E,1,0),0)</f>
        <v>0</v>
      </c>
      <c r="D163" t="str">
        <f t="shared" si="5"/>
        <v/>
      </c>
    </row>
    <row r="164" spans="1:4" x14ac:dyDescent="0.25">
      <c r="A164" s="7"/>
      <c r="B164" s="5" t="str">
        <f t="shared" si="4"/>
        <v/>
      </c>
      <c r="C164">
        <f>IFERROR(VLOOKUP(TRIM(B164),Inventory!E:E,1,0),0)</f>
        <v>0</v>
      </c>
      <c r="D164" t="str">
        <f t="shared" si="5"/>
        <v/>
      </c>
    </row>
    <row r="165" spans="1:4" x14ac:dyDescent="0.25">
      <c r="A165" s="7"/>
      <c r="B165" s="5" t="str">
        <f t="shared" si="4"/>
        <v/>
      </c>
      <c r="C165">
        <f>IFERROR(VLOOKUP(TRIM(B165),Inventory!E:E,1,0),0)</f>
        <v>0</v>
      </c>
      <c r="D165" t="str">
        <f t="shared" si="5"/>
        <v/>
      </c>
    </row>
    <row r="166" spans="1:4" x14ac:dyDescent="0.25">
      <c r="A166" s="7"/>
      <c r="B166" s="5" t="str">
        <f t="shared" si="4"/>
        <v/>
      </c>
      <c r="C166">
        <f>IFERROR(VLOOKUP(TRIM(B166),Inventory!E:E,1,0),0)</f>
        <v>0</v>
      </c>
      <c r="D166" t="str">
        <f t="shared" si="5"/>
        <v/>
      </c>
    </row>
    <row r="167" spans="1:4" x14ac:dyDescent="0.25">
      <c r="A167" s="7"/>
      <c r="B167" s="5" t="str">
        <f t="shared" si="4"/>
        <v/>
      </c>
      <c r="C167">
        <f>IFERROR(VLOOKUP(TRIM(B167),Inventory!E:E,1,0),0)</f>
        <v>0</v>
      </c>
      <c r="D167" t="str">
        <f t="shared" si="5"/>
        <v/>
      </c>
    </row>
    <row r="168" spans="1:4" x14ac:dyDescent="0.25">
      <c r="A168" s="7"/>
      <c r="B168" s="5" t="str">
        <f t="shared" si="4"/>
        <v/>
      </c>
      <c r="C168">
        <f>IFERROR(VLOOKUP(TRIM(B168),Inventory!E:E,1,0),0)</f>
        <v>0</v>
      </c>
      <c r="D168" t="str">
        <f t="shared" si="5"/>
        <v/>
      </c>
    </row>
    <row r="169" spans="1:4" x14ac:dyDescent="0.25">
      <c r="A169" s="7"/>
      <c r="B169" s="5" t="str">
        <f t="shared" si="4"/>
        <v/>
      </c>
      <c r="C169">
        <f>IFERROR(VLOOKUP(TRIM(B169),Inventory!E:E,1,0),0)</f>
        <v>0</v>
      </c>
      <c r="D169" t="str">
        <f t="shared" si="5"/>
        <v/>
      </c>
    </row>
    <row r="170" spans="1:4" x14ac:dyDescent="0.25">
      <c r="A170" s="7"/>
      <c r="B170" s="5" t="str">
        <f t="shared" si="4"/>
        <v/>
      </c>
      <c r="C170">
        <f>IFERROR(VLOOKUP(TRIM(B170),Inventory!E:E,1,0),0)</f>
        <v>0</v>
      </c>
      <c r="D170" t="str">
        <f t="shared" si="5"/>
        <v/>
      </c>
    </row>
    <row r="171" spans="1:4" x14ac:dyDescent="0.25">
      <c r="A171" s="7"/>
      <c r="B171" s="5" t="str">
        <f t="shared" si="4"/>
        <v/>
      </c>
      <c r="C171">
        <f>IFERROR(VLOOKUP(TRIM(B171),Inventory!E:E,1,0),0)</f>
        <v>0</v>
      </c>
      <c r="D171" t="str">
        <f t="shared" si="5"/>
        <v/>
      </c>
    </row>
    <row r="172" spans="1:4" x14ac:dyDescent="0.25">
      <c r="A172" s="7"/>
      <c r="B172" s="5" t="str">
        <f t="shared" si="4"/>
        <v/>
      </c>
      <c r="C172">
        <f>IFERROR(VLOOKUP(TRIM(B172),Inventory!E:E,1,0),0)</f>
        <v>0</v>
      </c>
      <c r="D172" t="str">
        <f t="shared" si="5"/>
        <v/>
      </c>
    </row>
    <row r="173" spans="1:4" x14ac:dyDescent="0.25">
      <c r="A173" s="7"/>
      <c r="B173" s="5" t="str">
        <f t="shared" si="4"/>
        <v/>
      </c>
      <c r="C173">
        <f>IFERROR(VLOOKUP(TRIM(B173),Inventory!E:E,1,0),0)</f>
        <v>0</v>
      </c>
      <c r="D173" t="str">
        <f t="shared" si="5"/>
        <v/>
      </c>
    </row>
    <row r="174" spans="1:4" x14ac:dyDescent="0.25">
      <c r="A174" s="7"/>
      <c r="B174" s="5" t="str">
        <f t="shared" si="4"/>
        <v/>
      </c>
      <c r="C174">
        <f>IFERROR(VLOOKUP(TRIM(B174),Inventory!E:E,1,0),0)</f>
        <v>0</v>
      </c>
      <c r="D174" t="str">
        <f t="shared" si="5"/>
        <v/>
      </c>
    </row>
    <row r="175" spans="1:4" x14ac:dyDescent="0.25">
      <c r="A175" s="7"/>
      <c r="B175" s="5" t="str">
        <f t="shared" si="4"/>
        <v/>
      </c>
      <c r="C175">
        <f>IFERROR(VLOOKUP(TRIM(B175),Inventory!E:E,1,0),0)</f>
        <v>0</v>
      </c>
      <c r="D175" t="str">
        <f t="shared" si="5"/>
        <v/>
      </c>
    </row>
    <row r="176" spans="1:4" x14ac:dyDescent="0.25">
      <c r="A176" s="7"/>
      <c r="B176" s="5" t="str">
        <f t="shared" si="4"/>
        <v/>
      </c>
      <c r="C176">
        <f>IFERROR(VLOOKUP(TRIM(B176),Inventory!E:E,1,0),0)</f>
        <v>0</v>
      </c>
      <c r="D176" t="str">
        <f t="shared" si="5"/>
        <v/>
      </c>
    </row>
    <row r="177" spans="1:4" x14ac:dyDescent="0.25">
      <c r="A177" s="7"/>
      <c r="B177" s="5" t="str">
        <f t="shared" si="4"/>
        <v/>
      </c>
      <c r="C177">
        <f>IFERROR(VLOOKUP(TRIM(B177),Inventory!E:E,1,0),0)</f>
        <v>0</v>
      </c>
      <c r="D177" t="str">
        <f t="shared" si="5"/>
        <v/>
      </c>
    </row>
    <row r="178" spans="1:4" x14ac:dyDescent="0.25">
      <c r="A178" s="7"/>
      <c r="B178" s="5" t="str">
        <f t="shared" si="4"/>
        <v/>
      </c>
      <c r="C178">
        <f>IFERROR(VLOOKUP(TRIM(B178),Inventory!E:E,1,0),0)</f>
        <v>0</v>
      </c>
      <c r="D178" t="str">
        <f t="shared" si="5"/>
        <v/>
      </c>
    </row>
    <row r="179" spans="1:4" x14ac:dyDescent="0.25">
      <c r="A179" s="7"/>
      <c r="B179" s="5" t="str">
        <f t="shared" si="4"/>
        <v/>
      </c>
      <c r="C179">
        <f>IFERROR(VLOOKUP(TRIM(B179),Inventory!E:E,1,0),0)</f>
        <v>0</v>
      </c>
      <c r="D179" t="str">
        <f t="shared" si="5"/>
        <v/>
      </c>
    </row>
    <row r="180" spans="1:4" x14ac:dyDescent="0.25">
      <c r="A180" s="7"/>
      <c r="B180" s="5" t="str">
        <f t="shared" si="4"/>
        <v/>
      </c>
      <c r="C180">
        <f>IFERROR(VLOOKUP(TRIM(B180),Inventory!E:E,1,0),0)</f>
        <v>0</v>
      </c>
      <c r="D180" t="str">
        <f t="shared" si="5"/>
        <v/>
      </c>
    </row>
    <row r="181" spans="1:4" x14ac:dyDescent="0.25">
      <c r="A181" s="7"/>
      <c r="B181" s="5" t="str">
        <f t="shared" si="4"/>
        <v/>
      </c>
      <c r="C181">
        <f>IFERROR(VLOOKUP(TRIM(B181),Inventory!E:E,1,0),0)</f>
        <v>0</v>
      </c>
      <c r="D181" t="str">
        <f t="shared" si="5"/>
        <v/>
      </c>
    </row>
    <row r="182" spans="1:4" x14ac:dyDescent="0.25">
      <c r="A182" s="7"/>
      <c r="B182" s="5" t="str">
        <f t="shared" si="4"/>
        <v/>
      </c>
      <c r="C182">
        <f>IFERROR(VLOOKUP(TRIM(B182),Inventory!E:E,1,0),0)</f>
        <v>0</v>
      </c>
      <c r="D182" t="str">
        <f t="shared" si="5"/>
        <v/>
      </c>
    </row>
    <row r="183" spans="1:4" x14ac:dyDescent="0.25">
      <c r="A183" s="7"/>
      <c r="B183" s="5" t="str">
        <f t="shared" si="4"/>
        <v/>
      </c>
      <c r="C183">
        <f>IFERROR(VLOOKUP(TRIM(B183),Inventory!E:E,1,0),0)</f>
        <v>0</v>
      </c>
      <c r="D183" t="str">
        <f t="shared" si="5"/>
        <v/>
      </c>
    </row>
    <row r="184" spans="1:4" x14ac:dyDescent="0.25">
      <c r="A184" s="7"/>
      <c r="B184" s="5" t="str">
        <f t="shared" si="4"/>
        <v/>
      </c>
      <c r="C184">
        <f>IFERROR(VLOOKUP(TRIM(B184),Inventory!E:E,1,0),0)</f>
        <v>0</v>
      </c>
      <c r="D184" t="str">
        <f t="shared" si="5"/>
        <v/>
      </c>
    </row>
    <row r="185" spans="1:4" x14ac:dyDescent="0.25">
      <c r="A185" s="7"/>
      <c r="B185" s="5" t="str">
        <f t="shared" si="4"/>
        <v/>
      </c>
      <c r="C185">
        <f>IFERROR(VLOOKUP(TRIM(B185),Inventory!E:E,1,0),0)</f>
        <v>0</v>
      </c>
      <c r="D185" t="str">
        <f t="shared" si="5"/>
        <v/>
      </c>
    </row>
    <row r="186" spans="1:4" x14ac:dyDescent="0.25">
      <c r="A186" s="7"/>
      <c r="B186" s="5" t="str">
        <f t="shared" si="4"/>
        <v/>
      </c>
      <c r="C186">
        <f>IFERROR(VLOOKUP(TRIM(B186),Inventory!E:E,1,0),0)</f>
        <v>0</v>
      </c>
      <c r="D186" t="str">
        <f t="shared" si="5"/>
        <v/>
      </c>
    </row>
    <row r="187" spans="1:4" x14ac:dyDescent="0.25">
      <c r="A187" s="7"/>
      <c r="B187" s="5" t="str">
        <f t="shared" si="4"/>
        <v/>
      </c>
      <c r="C187">
        <f>IFERROR(VLOOKUP(TRIM(B187),Inventory!E:E,1,0),0)</f>
        <v>0</v>
      </c>
      <c r="D187" t="str">
        <f t="shared" si="5"/>
        <v/>
      </c>
    </row>
    <row r="188" spans="1:4" x14ac:dyDescent="0.25">
      <c r="A188" s="7"/>
      <c r="B188" s="5" t="str">
        <f t="shared" si="4"/>
        <v/>
      </c>
      <c r="C188">
        <f>IFERROR(VLOOKUP(TRIM(B188),Inventory!E:E,1,0),0)</f>
        <v>0</v>
      </c>
      <c r="D188" t="str">
        <f t="shared" si="5"/>
        <v/>
      </c>
    </row>
    <row r="189" spans="1:4" x14ac:dyDescent="0.25">
      <c r="A189" s="7"/>
      <c r="B189" s="5" t="str">
        <f t="shared" si="4"/>
        <v/>
      </c>
      <c r="C189">
        <f>IFERROR(VLOOKUP(TRIM(B189),Inventory!E:E,1,0),0)</f>
        <v>0</v>
      </c>
      <c r="D189" t="str">
        <f t="shared" si="5"/>
        <v/>
      </c>
    </row>
    <row r="190" spans="1:4" x14ac:dyDescent="0.25">
      <c r="A190" s="7"/>
      <c r="B190" s="5" t="str">
        <f t="shared" si="4"/>
        <v/>
      </c>
      <c r="C190">
        <f>IFERROR(VLOOKUP(TRIM(B190),Inventory!E:E,1,0),0)</f>
        <v>0</v>
      </c>
      <c r="D190" t="str">
        <f t="shared" si="5"/>
        <v/>
      </c>
    </row>
    <row r="191" spans="1:4" x14ac:dyDescent="0.25">
      <c r="A191" s="7"/>
      <c r="B191" s="5" t="str">
        <f t="shared" si="4"/>
        <v/>
      </c>
      <c r="C191">
        <f>IFERROR(VLOOKUP(TRIM(B191),Inventory!E:E,1,0),0)</f>
        <v>0</v>
      </c>
      <c r="D191" t="str">
        <f t="shared" si="5"/>
        <v/>
      </c>
    </row>
    <row r="192" spans="1:4" x14ac:dyDescent="0.25">
      <c r="A192" s="7"/>
      <c r="B192" s="5" t="str">
        <f t="shared" si="4"/>
        <v/>
      </c>
      <c r="C192">
        <f>IFERROR(VLOOKUP(TRIM(B192),Inventory!E:E,1,0),0)</f>
        <v>0</v>
      </c>
      <c r="D192" t="str">
        <f t="shared" si="5"/>
        <v/>
      </c>
    </row>
    <row r="193" spans="1:4" x14ac:dyDescent="0.25">
      <c r="A193" s="7"/>
      <c r="B193" s="5" t="str">
        <f t="shared" si="4"/>
        <v/>
      </c>
      <c r="C193">
        <f>IFERROR(VLOOKUP(TRIM(B193),Inventory!E:E,1,0),0)</f>
        <v>0</v>
      </c>
      <c r="D193" t="str">
        <f t="shared" si="5"/>
        <v/>
      </c>
    </row>
    <row r="194" spans="1:4" x14ac:dyDescent="0.25">
      <c r="A194" s="7"/>
      <c r="B194" s="5" t="str">
        <f t="shared" si="4"/>
        <v/>
      </c>
      <c r="C194">
        <f>IFERROR(VLOOKUP(TRIM(B194),Inventory!E:E,1,0),0)</f>
        <v>0</v>
      </c>
      <c r="D194" t="str">
        <f t="shared" si="5"/>
        <v/>
      </c>
    </row>
    <row r="195" spans="1:4" x14ac:dyDescent="0.25">
      <c r="A195" s="7"/>
      <c r="B195" s="5" t="str">
        <f t="shared" ref="B195:B258" si="6">SUBSTITUTE(SUBSTITUTE(A195,"ö","0"),"Ö","0")</f>
        <v/>
      </c>
      <c r="C195">
        <f>IFERROR(VLOOKUP(TRIM(B195),Inventory!E:E,1,0),0)</f>
        <v>0</v>
      </c>
      <c r="D195" t="str">
        <f t="shared" ref="D195:D258" si="7">IF(AND(TRIM(A195)&lt;&gt;"",C195=0),"NINCS A LISTÁBAN","")</f>
        <v/>
      </c>
    </row>
    <row r="196" spans="1:4" x14ac:dyDescent="0.25">
      <c r="A196" s="7"/>
      <c r="B196" s="5" t="str">
        <f t="shared" si="6"/>
        <v/>
      </c>
      <c r="C196">
        <f>IFERROR(VLOOKUP(TRIM(B196),Inventory!E:E,1,0),0)</f>
        <v>0</v>
      </c>
      <c r="D196" t="str">
        <f t="shared" si="7"/>
        <v/>
      </c>
    </row>
    <row r="197" spans="1:4" x14ac:dyDescent="0.25">
      <c r="A197" s="7"/>
      <c r="B197" s="5" t="str">
        <f t="shared" si="6"/>
        <v/>
      </c>
      <c r="C197">
        <f>IFERROR(VLOOKUP(TRIM(B197),Inventory!E:E,1,0),0)</f>
        <v>0</v>
      </c>
      <c r="D197" t="str">
        <f t="shared" si="7"/>
        <v/>
      </c>
    </row>
    <row r="198" spans="1:4" x14ac:dyDescent="0.25">
      <c r="A198" s="7"/>
      <c r="B198" s="5" t="str">
        <f t="shared" si="6"/>
        <v/>
      </c>
      <c r="C198">
        <f>IFERROR(VLOOKUP(TRIM(B198),Inventory!E:E,1,0),0)</f>
        <v>0</v>
      </c>
      <c r="D198" t="str">
        <f t="shared" si="7"/>
        <v/>
      </c>
    </row>
    <row r="199" spans="1:4" x14ac:dyDescent="0.25">
      <c r="A199" s="7"/>
      <c r="B199" s="5" t="str">
        <f t="shared" si="6"/>
        <v/>
      </c>
      <c r="C199">
        <f>IFERROR(VLOOKUP(TRIM(B199),Inventory!E:E,1,0),0)</f>
        <v>0</v>
      </c>
      <c r="D199" t="str">
        <f t="shared" si="7"/>
        <v/>
      </c>
    </row>
    <row r="200" spans="1:4" x14ac:dyDescent="0.25">
      <c r="A200" s="7"/>
      <c r="B200" s="5" t="str">
        <f t="shared" si="6"/>
        <v/>
      </c>
      <c r="C200">
        <f>IFERROR(VLOOKUP(TRIM(B200),Inventory!E:E,1,0),0)</f>
        <v>0</v>
      </c>
      <c r="D200" t="str">
        <f t="shared" si="7"/>
        <v/>
      </c>
    </row>
    <row r="201" spans="1:4" x14ac:dyDescent="0.25">
      <c r="A201" s="7"/>
      <c r="B201" s="5" t="str">
        <f t="shared" si="6"/>
        <v/>
      </c>
      <c r="C201">
        <f>IFERROR(VLOOKUP(TRIM(B201),Inventory!E:E,1,0),0)</f>
        <v>0</v>
      </c>
      <c r="D201" t="str">
        <f t="shared" si="7"/>
        <v/>
      </c>
    </row>
    <row r="202" spans="1:4" x14ac:dyDescent="0.25">
      <c r="A202" s="7"/>
      <c r="B202" s="5" t="str">
        <f t="shared" si="6"/>
        <v/>
      </c>
      <c r="C202">
        <f>IFERROR(VLOOKUP(TRIM(B202),Inventory!E:E,1,0),0)</f>
        <v>0</v>
      </c>
      <c r="D202" t="str">
        <f t="shared" si="7"/>
        <v/>
      </c>
    </row>
    <row r="203" spans="1:4" x14ac:dyDescent="0.25">
      <c r="A203" s="7"/>
      <c r="B203" s="5" t="str">
        <f t="shared" si="6"/>
        <v/>
      </c>
      <c r="C203">
        <f>IFERROR(VLOOKUP(TRIM(B203),Inventory!E:E,1,0),0)</f>
        <v>0</v>
      </c>
      <c r="D203" t="str">
        <f t="shared" si="7"/>
        <v/>
      </c>
    </row>
    <row r="204" spans="1:4" x14ac:dyDescent="0.25">
      <c r="A204" s="7"/>
      <c r="B204" s="5" t="str">
        <f t="shared" si="6"/>
        <v/>
      </c>
      <c r="C204">
        <f>IFERROR(VLOOKUP(TRIM(B204),Inventory!E:E,1,0),0)</f>
        <v>0</v>
      </c>
      <c r="D204" t="str">
        <f t="shared" si="7"/>
        <v/>
      </c>
    </row>
    <row r="205" spans="1:4" x14ac:dyDescent="0.25">
      <c r="A205" s="7"/>
      <c r="B205" s="5" t="str">
        <f t="shared" si="6"/>
        <v/>
      </c>
      <c r="C205">
        <f>IFERROR(VLOOKUP(TRIM(B205),Inventory!E:E,1,0),0)</f>
        <v>0</v>
      </c>
      <c r="D205" t="str">
        <f t="shared" si="7"/>
        <v/>
      </c>
    </row>
    <row r="206" spans="1:4" x14ac:dyDescent="0.25">
      <c r="A206" s="7"/>
      <c r="B206" s="5" t="str">
        <f t="shared" si="6"/>
        <v/>
      </c>
      <c r="C206">
        <f>IFERROR(VLOOKUP(TRIM(B206),Inventory!E:E,1,0),0)</f>
        <v>0</v>
      </c>
      <c r="D206" t="str">
        <f t="shared" si="7"/>
        <v/>
      </c>
    </row>
    <row r="207" spans="1:4" x14ac:dyDescent="0.25">
      <c r="A207" s="7"/>
      <c r="B207" s="5" t="str">
        <f t="shared" si="6"/>
        <v/>
      </c>
      <c r="C207">
        <f>IFERROR(VLOOKUP(TRIM(B207),Inventory!E:E,1,0),0)</f>
        <v>0</v>
      </c>
      <c r="D207" t="str">
        <f t="shared" si="7"/>
        <v/>
      </c>
    </row>
    <row r="208" spans="1:4" x14ac:dyDescent="0.25">
      <c r="A208" s="7"/>
      <c r="B208" s="5" t="str">
        <f t="shared" si="6"/>
        <v/>
      </c>
      <c r="C208">
        <f>IFERROR(VLOOKUP(TRIM(B208),Inventory!E:E,1,0),0)</f>
        <v>0</v>
      </c>
      <c r="D208" t="str">
        <f t="shared" si="7"/>
        <v/>
      </c>
    </row>
    <row r="209" spans="1:4" x14ac:dyDescent="0.25">
      <c r="A209" s="7"/>
      <c r="B209" s="5" t="str">
        <f t="shared" si="6"/>
        <v/>
      </c>
      <c r="C209">
        <f>IFERROR(VLOOKUP(TRIM(B209),Inventory!E:E,1,0),0)</f>
        <v>0</v>
      </c>
      <c r="D209" t="str">
        <f t="shared" si="7"/>
        <v/>
      </c>
    </row>
    <row r="210" spans="1:4" x14ac:dyDescent="0.25">
      <c r="A210" s="7"/>
      <c r="B210" s="5" t="str">
        <f t="shared" si="6"/>
        <v/>
      </c>
      <c r="C210">
        <f>IFERROR(VLOOKUP(TRIM(B210),Inventory!E:E,1,0),0)</f>
        <v>0</v>
      </c>
      <c r="D210" t="str">
        <f t="shared" si="7"/>
        <v/>
      </c>
    </row>
    <row r="211" spans="1:4" x14ac:dyDescent="0.25">
      <c r="A211" s="7"/>
      <c r="B211" s="5" t="str">
        <f t="shared" si="6"/>
        <v/>
      </c>
      <c r="C211">
        <f>IFERROR(VLOOKUP(TRIM(B211),Inventory!E:E,1,0),0)</f>
        <v>0</v>
      </c>
      <c r="D211" t="str">
        <f t="shared" si="7"/>
        <v/>
      </c>
    </row>
    <row r="212" spans="1:4" x14ac:dyDescent="0.25">
      <c r="A212" s="7"/>
      <c r="B212" s="5" t="str">
        <f t="shared" si="6"/>
        <v/>
      </c>
      <c r="C212">
        <f>IFERROR(VLOOKUP(TRIM(B212),Inventory!E:E,1,0),0)</f>
        <v>0</v>
      </c>
      <c r="D212" t="str">
        <f t="shared" si="7"/>
        <v/>
      </c>
    </row>
    <row r="213" spans="1:4" x14ac:dyDescent="0.25">
      <c r="A213" s="7"/>
      <c r="B213" s="5" t="str">
        <f t="shared" si="6"/>
        <v/>
      </c>
      <c r="C213">
        <f>IFERROR(VLOOKUP(TRIM(B213),Inventory!E:E,1,0),0)</f>
        <v>0</v>
      </c>
      <c r="D213" t="str">
        <f t="shared" si="7"/>
        <v/>
      </c>
    </row>
    <row r="214" spans="1:4" x14ac:dyDescent="0.25">
      <c r="A214" s="7"/>
      <c r="B214" s="5" t="str">
        <f t="shared" si="6"/>
        <v/>
      </c>
      <c r="C214">
        <f>IFERROR(VLOOKUP(TRIM(B214),Inventory!E:E,1,0),0)</f>
        <v>0</v>
      </c>
      <c r="D214" t="str">
        <f t="shared" si="7"/>
        <v/>
      </c>
    </row>
    <row r="215" spans="1:4" x14ac:dyDescent="0.25">
      <c r="A215" s="7"/>
      <c r="B215" s="5" t="str">
        <f t="shared" si="6"/>
        <v/>
      </c>
      <c r="C215">
        <f>IFERROR(VLOOKUP(TRIM(B215),Inventory!E:E,1,0),0)</f>
        <v>0</v>
      </c>
      <c r="D215" t="str">
        <f t="shared" si="7"/>
        <v/>
      </c>
    </row>
    <row r="216" spans="1:4" x14ac:dyDescent="0.25">
      <c r="A216" s="7"/>
      <c r="B216" s="5" t="str">
        <f t="shared" si="6"/>
        <v/>
      </c>
      <c r="C216">
        <f>IFERROR(VLOOKUP(TRIM(B216),Inventory!E:E,1,0),0)</f>
        <v>0</v>
      </c>
      <c r="D216" t="str">
        <f t="shared" si="7"/>
        <v/>
      </c>
    </row>
    <row r="217" spans="1:4" x14ac:dyDescent="0.25">
      <c r="A217" s="7"/>
      <c r="B217" s="5" t="str">
        <f t="shared" si="6"/>
        <v/>
      </c>
      <c r="C217">
        <f>IFERROR(VLOOKUP(TRIM(B217),Inventory!E:E,1,0),0)</f>
        <v>0</v>
      </c>
      <c r="D217" t="str">
        <f t="shared" si="7"/>
        <v/>
      </c>
    </row>
    <row r="218" spans="1:4" x14ac:dyDescent="0.25">
      <c r="A218" s="7"/>
      <c r="B218" s="5" t="str">
        <f t="shared" si="6"/>
        <v/>
      </c>
      <c r="C218">
        <f>IFERROR(VLOOKUP(TRIM(B218),Inventory!E:E,1,0),0)</f>
        <v>0</v>
      </c>
      <c r="D218" t="str">
        <f t="shared" si="7"/>
        <v/>
      </c>
    </row>
    <row r="219" spans="1:4" x14ac:dyDescent="0.25">
      <c r="A219" s="7"/>
      <c r="B219" s="5" t="str">
        <f t="shared" si="6"/>
        <v/>
      </c>
      <c r="C219">
        <f>IFERROR(VLOOKUP(TRIM(B219),Inventory!E:E,1,0),0)</f>
        <v>0</v>
      </c>
      <c r="D219" t="str">
        <f t="shared" si="7"/>
        <v/>
      </c>
    </row>
    <row r="220" spans="1:4" x14ac:dyDescent="0.25">
      <c r="A220" s="7"/>
      <c r="B220" s="5" t="str">
        <f t="shared" si="6"/>
        <v/>
      </c>
      <c r="C220">
        <f>IFERROR(VLOOKUP(TRIM(B220),Inventory!E:E,1,0),0)</f>
        <v>0</v>
      </c>
      <c r="D220" t="str">
        <f t="shared" si="7"/>
        <v/>
      </c>
    </row>
    <row r="221" spans="1:4" x14ac:dyDescent="0.25">
      <c r="A221" s="7"/>
      <c r="B221" s="5" t="str">
        <f t="shared" si="6"/>
        <v/>
      </c>
      <c r="C221">
        <f>IFERROR(VLOOKUP(TRIM(B221),Inventory!E:E,1,0),0)</f>
        <v>0</v>
      </c>
      <c r="D221" t="str">
        <f t="shared" si="7"/>
        <v/>
      </c>
    </row>
    <row r="222" spans="1:4" x14ac:dyDescent="0.25">
      <c r="A222" s="7"/>
      <c r="B222" s="5" t="str">
        <f t="shared" si="6"/>
        <v/>
      </c>
      <c r="C222">
        <f>IFERROR(VLOOKUP(TRIM(B222),Inventory!E:E,1,0),0)</f>
        <v>0</v>
      </c>
      <c r="D222" t="str">
        <f t="shared" si="7"/>
        <v/>
      </c>
    </row>
    <row r="223" spans="1:4" x14ac:dyDescent="0.25">
      <c r="A223" s="7"/>
      <c r="B223" s="5" t="str">
        <f t="shared" si="6"/>
        <v/>
      </c>
      <c r="C223">
        <f>IFERROR(VLOOKUP(TRIM(B223),Inventory!E:E,1,0),0)</f>
        <v>0</v>
      </c>
      <c r="D223" t="str">
        <f t="shared" si="7"/>
        <v/>
      </c>
    </row>
    <row r="224" spans="1:4" x14ac:dyDescent="0.25">
      <c r="A224" s="7"/>
      <c r="B224" s="5" t="str">
        <f t="shared" si="6"/>
        <v/>
      </c>
      <c r="C224">
        <f>IFERROR(VLOOKUP(TRIM(B224),Inventory!E:E,1,0),0)</f>
        <v>0</v>
      </c>
      <c r="D224" t="str">
        <f t="shared" si="7"/>
        <v/>
      </c>
    </row>
    <row r="225" spans="1:4" x14ac:dyDescent="0.25">
      <c r="A225" s="7"/>
      <c r="B225" s="5" t="str">
        <f t="shared" si="6"/>
        <v/>
      </c>
      <c r="C225">
        <f>IFERROR(VLOOKUP(TRIM(B225),Inventory!E:E,1,0),0)</f>
        <v>0</v>
      </c>
      <c r="D225" t="str">
        <f t="shared" si="7"/>
        <v/>
      </c>
    </row>
    <row r="226" spans="1:4" x14ac:dyDescent="0.25">
      <c r="A226" s="7"/>
      <c r="B226" s="5" t="str">
        <f t="shared" si="6"/>
        <v/>
      </c>
      <c r="C226">
        <f>IFERROR(VLOOKUP(TRIM(B226),Inventory!E:E,1,0),0)</f>
        <v>0</v>
      </c>
      <c r="D226" t="str">
        <f t="shared" si="7"/>
        <v/>
      </c>
    </row>
    <row r="227" spans="1:4" x14ac:dyDescent="0.25">
      <c r="A227" s="7"/>
      <c r="B227" s="5" t="str">
        <f t="shared" si="6"/>
        <v/>
      </c>
      <c r="C227">
        <f>IFERROR(VLOOKUP(TRIM(B227),Inventory!E:E,1,0),0)</f>
        <v>0</v>
      </c>
      <c r="D227" t="str">
        <f t="shared" si="7"/>
        <v/>
      </c>
    </row>
    <row r="228" spans="1:4" x14ac:dyDescent="0.25">
      <c r="A228" s="7"/>
      <c r="B228" s="5" t="str">
        <f t="shared" si="6"/>
        <v/>
      </c>
      <c r="C228">
        <f>IFERROR(VLOOKUP(TRIM(B228),Inventory!E:E,1,0),0)</f>
        <v>0</v>
      </c>
      <c r="D228" t="str">
        <f t="shared" si="7"/>
        <v/>
      </c>
    </row>
    <row r="229" spans="1:4" x14ac:dyDescent="0.25">
      <c r="A229" s="7"/>
      <c r="B229" s="5" t="str">
        <f t="shared" si="6"/>
        <v/>
      </c>
      <c r="C229">
        <f>IFERROR(VLOOKUP(TRIM(B229),Inventory!E:E,1,0),0)</f>
        <v>0</v>
      </c>
      <c r="D229" t="str">
        <f t="shared" si="7"/>
        <v/>
      </c>
    </row>
    <row r="230" spans="1:4" x14ac:dyDescent="0.25">
      <c r="A230" s="7"/>
      <c r="B230" s="5" t="str">
        <f t="shared" si="6"/>
        <v/>
      </c>
      <c r="C230">
        <f>IFERROR(VLOOKUP(TRIM(B230),Inventory!E:E,1,0),0)</f>
        <v>0</v>
      </c>
      <c r="D230" t="str">
        <f t="shared" si="7"/>
        <v/>
      </c>
    </row>
    <row r="231" spans="1:4" x14ac:dyDescent="0.25">
      <c r="A231" s="7"/>
      <c r="B231" s="5" t="str">
        <f t="shared" si="6"/>
        <v/>
      </c>
      <c r="C231">
        <f>IFERROR(VLOOKUP(TRIM(B231),Inventory!E:E,1,0),0)</f>
        <v>0</v>
      </c>
      <c r="D231" t="str">
        <f t="shared" si="7"/>
        <v/>
      </c>
    </row>
    <row r="232" spans="1:4" x14ac:dyDescent="0.25">
      <c r="A232" s="7"/>
      <c r="B232" s="5" t="str">
        <f t="shared" si="6"/>
        <v/>
      </c>
      <c r="C232">
        <f>IFERROR(VLOOKUP(TRIM(B232),Inventory!E:E,1,0),0)</f>
        <v>0</v>
      </c>
      <c r="D232" t="str">
        <f t="shared" si="7"/>
        <v/>
      </c>
    </row>
    <row r="233" spans="1:4" x14ac:dyDescent="0.25">
      <c r="A233" s="7"/>
      <c r="B233" s="5" t="str">
        <f t="shared" si="6"/>
        <v/>
      </c>
      <c r="C233">
        <f>IFERROR(VLOOKUP(TRIM(B233),Inventory!E:E,1,0),0)</f>
        <v>0</v>
      </c>
      <c r="D233" t="str">
        <f t="shared" si="7"/>
        <v/>
      </c>
    </row>
    <row r="234" spans="1:4" x14ac:dyDescent="0.25">
      <c r="A234" s="7"/>
      <c r="B234" s="5" t="str">
        <f t="shared" si="6"/>
        <v/>
      </c>
      <c r="C234">
        <f>IFERROR(VLOOKUP(TRIM(B234),Inventory!E:E,1,0),0)</f>
        <v>0</v>
      </c>
      <c r="D234" t="str">
        <f t="shared" si="7"/>
        <v/>
      </c>
    </row>
    <row r="235" spans="1:4" x14ac:dyDescent="0.25">
      <c r="A235" s="7"/>
      <c r="B235" s="5" t="str">
        <f t="shared" si="6"/>
        <v/>
      </c>
      <c r="C235">
        <f>IFERROR(VLOOKUP(TRIM(B235),Inventory!E:E,1,0),0)</f>
        <v>0</v>
      </c>
      <c r="D235" t="str">
        <f t="shared" si="7"/>
        <v/>
      </c>
    </row>
    <row r="236" spans="1:4" x14ac:dyDescent="0.25">
      <c r="A236" s="7"/>
      <c r="B236" s="5" t="str">
        <f t="shared" si="6"/>
        <v/>
      </c>
      <c r="C236">
        <f>IFERROR(VLOOKUP(TRIM(B236),Inventory!E:E,1,0),0)</f>
        <v>0</v>
      </c>
      <c r="D236" t="str">
        <f t="shared" si="7"/>
        <v/>
      </c>
    </row>
    <row r="237" spans="1:4" x14ac:dyDescent="0.25">
      <c r="A237" s="7"/>
      <c r="B237" s="5" t="str">
        <f t="shared" si="6"/>
        <v/>
      </c>
      <c r="C237">
        <f>IFERROR(VLOOKUP(TRIM(B237),Inventory!E:E,1,0),0)</f>
        <v>0</v>
      </c>
      <c r="D237" t="str">
        <f t="shared" si="7"/>
        <v/>
      </c>
    </row>
    <row r="238" spans="1:4" x14ac:dyDescent="0.25">
      <c r="A238" s="7"/>
      <c r="B238" s="5" t="str">
        <f t="shared" si="6"/>
        <v/>
      </c>
      <c r="C238">
        <f>IFERROR(VLOOKUP(TRIM(B238),Inventory!E:E,1,0),0)</f>
        <v>0</v>
      </c>
      <c r="D238" t="str">
        <f t="shared" si="7"/>
        <v/>
      </c>
    </row>
    <row r="239" spans="1:4" x14ac:dyDescent="0.25">
      <c r="A239" s="7"/>
      <c r="B239" s="5" t="str">
        <f t="shared" si="6"/>
        <v/>
      </c>
      <c r="C239">
        <f>IFERROR(VLOOKUP(TRIM(B239),Inventory!E:E,1,0),0)</f>
        <v>0</v>
      </c>
      <c r="D239" t="str">
        <f t="shared" si="7"/>
        <v/>
      </c>
    </row>
    <row r="240" spans="1:4" x14ac:dyDescent="0.25">
      <c r="A240" s="7"/>
      <c r="B240" s="5" t="str">
        <f t="shared" si="6"/>
        <v/>
      </c>
      <c r="C240">
        <f>IFERROR(VLOOKUP(TRIM(B240),Inventory!E:E,1,0),0)</f>
        <v>0</v>
      </c>
      <c r="D240" t="str">
        <f t="shared" si="7"/>
        <v/>
      </c>
    </row>
    <row r="241" spans="1:4" x14ac:dyDescent="0.25">
      <c r="A241" s="7"/>
      <c r="B241" s="5" t="str">
        <f t="shared" si="6"/>
        <v/>
      </c>
      <c r="C241">
        <f>IFERROR(VLOOKUP(TRIM(B241),Inventory!E:E,1,0),0)</f>
        <v>0</v>
      </c>
      <c r="D241" t="str">
        <f t="shared" si="7"/>
        <v/>
      </c>
    </row>
    <row r="242" spans="1:4" x14ac:dyDescent="0.25">
      <c r="A242" s="7"/>
      <c r="B242" s="5" t="str">
        <f t="shared" si="6"/>
        <v/>
      </c>
      <c r="C242">
        <f>IFERROR(VLOOKUP(TRIM(B242),Inventory!E:E,1,0),0)</f>
        <v>0</v>
      </c>
      <c r="D242" t="str">
        <f t="shared" si="7"/>
        <v/>
      </c>
    </row>
    <row r="243" spans="1:4" x14ac:dyDescent="0.25">
      <c r="A243" s="7"/>
      <c r="B243" s="5" t="str">
        <f t="shared" si="6"/>
        <v/>
      </c>
      <c r="C243">
        <f>IFERROR(VLOOKUP(TRIM(B243),Inventory!E:E,1,0),0)</f>
        <v>0</v>
      </c>
      <c r="D243" t="str">
        <f t="shared" si="7"/>
        <v/>
      </c>
    </row>
    <row r="244" spans="1:4" x14ac:dyDescent="0.25">
      <c r="A244" s="7"/>
      <c r="B244" s="5" t="str">
        <f t="shared" si="6"/>
        <v/>
      </c>
      <c r="C244">
        <f>IFERROR(VLOOKUP(TRIM(B244),Inventory!E:E,1,0),0)</f>
        <v>0</v>
      </c>
      <c r="D244" t="str">
        <f t="shared" si="7"/>
        <v/>
      </c>
    </row>
    <row r="245" spans="1:4" x14ac:dyDescent="0.25">
      <c r="A245" s="7"/>
      <c r="B245" s="5" t="str">
        <f t="shared" si="6"/>
        <v/>
      </c>
      <c r="C245">
        <f>IFERROR(VLOOKUP(TRIM(B245),Inventory!E:E,1,0),0)</f>
        <v>0</v>
      </c>
      <c r="D245" t="str">
        <f t="shared" si="7"/>
        <v/>
      </c>
    </row>
    <row r="246" spans="1:4" x14ac:dyDescent="0.25">
      <c r="A246" s="7"/>
      <c r="B246" s="5" t="str">
        <f t="shared" si="6"/>
        <v/>
      </c>
      <c r="C246">
        <f>IFERROR(VLOOKUP(TRIM(B246),Inventory!E:E,1,0),0)</f>
        <v>0</v>
      </c>
      <c r="D246" t="str">
        <f t="shared" si="7"/>
        <v/>
      </c>
    </row>
    <row r="247" spans="1:4" x14ac:dyDescent="0.25">
      <c r="A247" s="7"/>
      <c r="B247" s="5" t="str">
        <f t="shared" si="6"/>
        <v/>
      </c>
      <c r="C247">
        <f>IFERROR(VLOOKUP(TRIM(B247),Inventory!E:E,1,0),0)</f>
        <v>0</v>
      </c>
      <c r="D247" t="str">
        <f t="shared" si="7"/>
        <v/>
      </c>
    </row>
    <row r="248" spans="1:4" x14ac:dyDescent="0.25">
      <c r="A248" s="7"/>
      <c r="B248" s="5" t="str">
        <f t="shared" si="6"/>
        <v/>
      </c>
      <c r="C248">
        <f>IFERROR(VLOOKUP(TRIM(B248),Inventory!E:E,1,0),0)</f>
        <v>0</v>
      </c>
      <c r="D248" t="str">
        <f t="shared" si="7"/>
        <v/>
      </c>
    </row>
    <row r="249" spans="1:4" x14ac:dyDescent="0.25">
      <c r="A249" s="7"/>
      <c r="B249" s="5" t="str">
        <f t="shared" si="6"/>
        <v/>
      </c>
      <c r="C249">
        <f>IFERROR(VLOOKUP(TRIM(B249),Inventory!E:E,1,0),0)</f>
        <v>0</v>
      </c>
      <c r="D249" t="str">
        <f t="shared" si="7"/>
        <v/>
      </c>
    </row>
    <row r="250" spans="1:4" x14ac:dyDescent="0.25">
      <c r="A250" s="7"/>
      <c r="B250" s="5" t="str">
        <f t="shared" si="6"/>
        <v/>
      </c>
      <c r="C250">
        <f>IFERROR(VLOOKUP(TRIM(B250),Inventory!E:E,1,0),0)</f>
        <v>0</v>
      </c>
      <c r="D250" t="str">
        <f t="shared" si="7"/>
        <v/>
      </c>
    </row>
    <row r="251" spans="1:4" x14ac:dyDescent="0.25">
      <c r="A251" s="7"/>
      <c r="B251" s="5" t="str">
        <f t="shared" si="6"/>
        <v/>
      </c>
      <c r="C251">
        <f>IFERROR(VLOOKUP(TRIM(B251),Inventory!E:E,1,0),0)</f>
        <v>0</v>
      </c>
      <c r="D251" t="str">
        <f t="shared" si="7"/>
        <v/>
      </c>
    </row>
    <row r="252" spans="1:4" x14ac:dyDescent="0.25">
      <c r="A252" s="7"/>
      <c r="B252" s="5" t="str">
        <f t="shared" si="6"/>
        <v/>
      </c>
      <c r="C252">
        <f>IFERROR(VLOOKUP(TRIM(B252),Inventory!E:E,1,0),0)</f>
        <v>0</v>
      </c>
      <c r="D252" t="str">
        <f t="shared" si="7"/>
        <v/>
      </c>
    </row>
    <row r="253" spans="1:4" x14ac:dyDescent="0.25">
      <c r="A253" s="7"/>
      <c r="B253" s="5" t="str">
        <f t="shared" si="6"/>
        <v/>
      </c>
      <c r="C253">
        <f>IFERROR(VLOOKUP(TRIM(B253),Inventory!E:E,1,0),0)</f>
        <v>0</v>
      </c>
      <c r="D253" t="str">
        <f t="shared" si="7"/>
        <v/>
      </c>
    </row>
    <row r="254" spans="1:4" x14ac:dyDescent="0.25">
      <c r="A254" s="7"/>
      <c r="B254" s="5" t="str">
        <f t="shared" si="6"/>
        <v/>
      </c>
      <c r="C254">
        <f>IFERROR(VLOOKUP(TRIM(B254),Inventory!E:E,1,0),0)</f>
        <v>0</v>
      </c>
      <c r="D254" t="str">
        <f t="shared" si="7"/>
        <v/>
      </c>
    </row>
    <row r="255" spans="1:4" x14ac:dyDescent="0.25">
      <c r="A255" s="7"/>
      <c r="B255" s="5" t="str">
        <f t="shared" si="6"/>
        <v/>
      </c>
      <c r="C255">
        <f>IFERROR(VLOOKUP(TRIM(B255),Inventory!E:E,1,0),0)</f>
        <v>0</v>
      </c>
      <c r="D255" t="str">
        <f t="shared" si="7"/>
        <v/>
      </c>
    </row>
    <row r="256" spans="1:4" x14ac:dyDescent="0.25">
      <c r="A256" s="7"/>
      <c r="B256" s="5" t="str">
        <f t="shared" si="6"/>
        <v/>
      </c>
      <c r="C256">
        <f>IFERROR(VLOOKUP(TRIM(B256),Inventory!E:E,1,0),0)</f>
        <v>0</v>
      </c>
      <c r="D256" t="str">
        <f t="shared" si="7"/>
        <v/>
      </c>
    </row>
    <row r="257" spans="1:4" x14ac:dyDescent="0.25">
      <c r="A257" s="7"/>
      <c r="B257" s="5" t="str">
        <f t="shared" si="6"/>
        <v/>
      </c>
      <c r="C257">
        <f>IFERROR(VLOOKUP(TRIM(B257),Inventory!E:E,1,0),0)</f>
        <v>0</v>
      </c>
      <c r="D257" t="str">
        <f t="shared" si="7"/>
        <v/>
      </c>
    </row>
    <row r="258" spans="1:4" x14ac:dyDescent="0.25">
      <c r="A258" s="7"/>
      <c r="B258" s="5" t="str">
        <f t="shared" si="6"/>
        <v/>
      </c>
      <c r="C258">
        <f>IFERROR(VLOOKUP(TRIM(B258),Inventory!E:E,1,0),0)</f>
        <v>0</v>
      </c>
      <c r="D258" t="str">
        <f t="shared" si="7"/>
        <v/>
      </c>
    </row>
    <row r="259" spans="1:4" x14ac:dyDescent="0.25">
      <c r="A259" s="7"/>
      <c r="B259" s="5" t="str">
        <f t="shared" ref="B259:B322" si="8">SUBSTITUTE(SUBSTITUTE(A259,"ö","0"),"Ö","0")</f>
        <v/>
      </c>
      <c r="C259">
        <f>IFERROR(VLOOKUP(TRIM(B259),Inventory!E:E,1,0),0)</f>
        <v>0</v>
      </c>
      <c r="D259" t="str">
        <f t="shared" ref="D259:D322" si="9">IF(AND(TRIM(A259)&lt;&gt;"",C259=0),"NINCS A LISTÁBAN","")</f>
        <v/>
      </c>
    </row>
    <row r="260" spans="1:4" x14ac:dyDescent="0.25">
      <c r="A260" s="7"/>
      <c r="B260" s="5" t="str">
        <f t="shared" si="8"/>
        <v/>
      </c>
      <c r="C260">
        <f>IFERROR(VLOOKUP(TRIM(B260),Inventory!E:E,1,0),0)</f>
        <v>0</v>
      </c>
      <c r="D260" t="str">
        <f t="shared" si="9"/>
        <v/>
      </c>
    </row>
    <row r="261" spans="1:4" x14ac:dyDescent="0.25">
      <c r="A261" s="7"/>
      <c r="B261" s="5" t="str">
        <f t="shared" si="8"/>
        <v/>
      </c>
      <c r="C261">
        <f>IFERROR(VLOOKUP(TRIM(B261),Inventory!E:E,1,0),0)</f>
        <v>0</v>
      </c>
      <c r="D261" t="str">
        <f t="shared" si="9"/>
        <v/>
      </c>
    </row>
    <row r="262" spans="1:4" x14ac:dyDescent="0.25">
      <c r="A262" s="7"/>
      <c r="B262" s="5" t="str">
        <f t="shared" si="8"/>
        <v/>
      </c>
      <c r="C262">
        <f>IFERROR(VLOOKUP(TRIM(B262),Inventory!E:E,1,0),0)</f>
        <v>0</v>
      </c>
      <c r="D262" t="str">
        <f t="shared" si="9"/>
        <v/>
      </c>
    </row>
    <row r="263" spans="1:4" x14ac:dyDescent="0.25">
      <c r="A263" s="7"/>
      <c r="B263" s="5" t="str">
        <f t="shared" si="8"/>
        <v/>
      </c>
      <c r="C263">
        <f>IFERROR(VLOOKUP(TRIM(B263),Inventory!E:E,1,0),0)</f>
        <v>0</v>
      </c>
      <c r="D263" t="str">
        <f t="shared" si="9"/>
        <v/>
      </c>
    </row>
    <row r="264" spans="1:4" x14ac:dyDescent="0.25">
      <c r="A264" s="7"/>
      <c r="B264" s="5" t="str">
        <f t="shared" si="8"/>
        <v/>
      </c>
      <c r="C264">
        <f>IFERROR(VLOOKUP(TRIM(B264),Inventory!E:E,1,0),0)</f>
        <v>0</v>
      </c>
      <c r="D264" t="str">
        <f t="shared" si="9"/>
        <v/>
      </c>
    </row>
    <row r="265" spans="1:4" x14ac:dyDescent="0.25">
      <c r="A265" s="7"/>
      <c r="B265" s="5" t="str">
        <f t="shared" si="8"/>
        <v/>
      </c>
      <c r="C265">
        <f>IFERROR(VLOOKUP(TRIM(B265),Inventory!E:E,1,0),0)</f>
        <v>0</v>
      </c>
      <c r="D265" t="str">
        <f t="shared" si="9"/>
        <v/>
      </c>
    </row>
    <row r="266" spans="1:4" x14ac:dyDescent="0.25">
      <c r="A266" s="7"/>
      <c r="B266" s="5" t="str">
        <f t="shared" si="8"/>
        <v/>
      </c>
      <c r="C266">
        <f>IFERROR(VLOOKUP(TRIM(B266),Inventory!E:E,1,0),0)</f>
        <v>0</v>
      </c>
      <c r="D266" t="str">
        <f t="shared" si="9"/>
        <v/>
      </c>
    </row>
    <row r="267" spans="1:4" x14ac:dyDescent="0.25">
      <c r="A267" s="7"/>
      <c r="B267" s="5" t="str">
        <f t="shared" si="8"/>
        <v/>
      </c>
      <c r="C267">
        <f>IFERROR(VLOOKUP(TRIM(B267),Inventory!E:E,1,0),0)</f>
        <v>0</v>
      </c>
      <c r="D267" t="str">
        <f t="shared" si="9"/>
        <v/>
      </c>
    </row>
    <row r="268" spans="1:4" x14ac:dyDescent="0.25">
      <c r="A268" s="7"/>
      <c r="B268" s="5" t="str">
        <f t="shared" si="8"/>
        <v/>
      </c>
      <c r="C268">
        <f>IFERROR(VLOOKUP(TRIM(B268),Inventory!E:E,1,0),0)</f>
        <v>0</v>
      </c>
      <c r="D268" t="str">
        <f t="shared" si="9"/>
        <v/>
      </c>
    </row>
    <row r="269" spans="1:4" x14ac:dyDescent="0.25">
      <c r="A269" s="7"/>
      <c r="B269" s="5" t="str">
        <f t="shared" si="8"/>
        <v/>
      </c>
      <c r="C269">
        <f>IFERROR(VLOOKUP(TRIM(B269),Inventory!E:E,1,0),0)</f>
        <v>0</v>
      </c>
      <c r="D269" t="str">
        <f t="shared" si="9"/>
        <v/>
      </c>
    </row>
    <row r="270" spans="1:4" x14ac:dyDescent="0.25">
      <c r="A270" s="7"/>
      <c r="B270" s="5" t="str">
        <f t="shared" si="8"/>
        <v/>
      </c>
      <c r="C270">
        <f>IFERROR(VLOOKUP(TRIM(B270),Inventory!E:E,1,0),0)</f>
        <v>0</v>
      </c>
      <c r="D270" t="str">
        <f t="shared" si="9"/>
        <v/>
      </c>
    </row>
    <row r="271" spans="1:4" x14ac:dyDescent="0.25">
      <c r="A271" s="7"/>
      <c r="B271" s="5" t="str">
        <f t="shared" si="8"/>
        <v/>
      </c>
      <c r="C271">
        <f>IFERROR(VLOOKUP(TRIM(B271),Inventory!E:E,1,0),0)</f>
        <v>0</v>
      </c>
      <c r="D271" t="str">
        <f t="shared" si="9"/>
        <v/>
      </c>
    </row>
    <row r="272" spans="1:4" x14ac:dyDescent="0.25">
      <c r="A272" s="7"/>
      <c r="B272" s="5" t="str">
        <f t="shared" si="8"/>
        <v/>
      </c>
      <c r="C272">
        <f>IFERROR(VLOOKUP(TRIM(B272),Inventory!E:E,1,0),0)</f>
        <v>0</v>
      </c>
      <c r="D272" t="str">
        <f t="shared" si="9"/>
        <v/>
      </c>
    </row>
    <row r="273" spans="1:4" x14ac:dyDescent="0.25">
      <c r="A273" s="7"/>
      <c r="B273" s="5" t="str">
        <f t="shared" si="8"/>
        <v/>
      </c>
      <c r="C273">
        <f>IFERROR(VLOOKUP(TRIM(B273),Inventory!E:E,1,0),0)</f>
        <v>0</v>
      </c>
      <c r="D273" t="str">
        <f t="shared" si="9"/>
        <v/>
      </c>
    </row>
    <row r="274" spans="1:4" x14ac:dyDescent="0.25">
      <c r="A274" s="7"/>
      <c r="B274" s="5" t="str">
        <f t="shared" si="8"/>
        <v/>
      </c>
      <c r="C274">
        <f>IFERROR(VLOOKUP(TRIM(B274),Inventory!E:E,1,0),0)</f>
        <v>0</v>
      </c>
      <c r="D274" t="str">
        <f t="shared" si="9"/>
        <v/>
      </c>
    </row>
    <row r="275" spans="1:4" x14ac:dyDescent="0.25">
      <c r="A275" s="7"/>
      <c r="B275" s="5" t="str">
        <f t="shared" si="8"/>
        <v/>
      </c>
      <c r="C275">
        <f>IFERROR(VLOOKUP(TRIM(B275),Inventory!E:E,1,0),0)</f>
        <v>0</v>
      </c>
      <c r="D275" t="str">
        <f t="shared" si="9"/>
        <v/>
      </c>
    </row>
    <row r="276" spans="1:4" x14ac:dyDescent="0.25">
      <c r="A276" s="7"/>
      <c r="B276" s="5" t="str">
        <f t="shared" si="8"/>
        <v/>
      </c>
      <c r="C276">
        <f>IFERROR(VLOOKUP(TRIM(B276),Inventory!E:E,1,0),0)</f>
        <v>0</v>
      </c>
      <c r="D276" t="str">
        <f t="shared" si="9"/>
        <v/>
      </c>
    </row>
    <row r="277" spans="1:4" x14ac:dyDescent="0.25">
      <c r="A277" s="7"/>
      <c r="B277" s="5" t="str">
        <f t="shared" si="8"/>
        <v/>
      </c>
      <c r="C277">
        <f>IFERROR(VLOOKUP(TRIM(B277),Inventory!E:E,1,0),0)</f>
        <v>0</v>
      </c>
      <c r="D277" t="str">
        <f t="shared" si="9"/>
        <v/>
      </c>
    </row>
    <row r="278" spans="1:4" x14ac:dyDescent="0.25">
      <c r="A278" s="7"/>
      <c r="B278" s="5" t="str">
        <f t="shared" si="8"/>
        <v/>
      </c>
      <c r="C278">
        <f>IFERROR(VLOOKUP(TRIM(B278),Inventory!E:E,1,0),0)</f>
        <v>0</v>
      </c>
      <c r="D278" t="str">
        <f t="shared" si="9"/>
        <v/>
      </c>
    </row>
    <row r="279" spans="1:4" x14ac:dyDescent="0.25">
      <c r="A279" s="7"/>
      <c r="B279" s="5" t="str">
        <f t="shared" si="8"/>
        <v/>
      </c>
      <c r="C279">
        <f>IFERROR(VLOOKUP(TRIM(B279),Inventory!E:E,1,0),0)</f>
        <v>0</v>
      </c>
      <c r="D279" t="str">
        <f t="shared" si="9"/>
        <v/>
      </c>
    </row>
    <row r="280" spans="1:4" x14ac:dyDescent="0.25">
      <c r="A280" s="7"/>
      <c r="B280" s="5" t="str">
        <f t="shared" si="8"/>
        <v/>
      </c>
      <c r="C280">
        <f>IFERROR(VLOOKUP(TRIM(B280),Inventory!E:E,1,0),0)</f>
        <v>0</v>
      </c>
      <c r="D280" t="str">
        <f t="shared" si="9"/>
        <v/>
      </c>
    </row>
    <row r="281" spans="1:4" x14ac:dyDescent="0.25">
      <c r="A281" s="7"/>
      <c r="B281" s="5" t="str">
        <f t="shared" si="8"/>
        <v/>
      </c>
      <c r="C281">
        <f>IFERROR(VLOOKUP(TRIM(B281),Inventory!E:E,1,0),0)</f>
        <v>0</v>
      </c>
      <c r="D281" t="str">
        <f t="shared" si="9"/>
        <v/>
      </c>
    </row>
    <row r="282" spans="1:4" x14ac:dyDescent="0.25">
      <c r="A282" s="7"/>
      <c r="B282" s="5" t="str">
        <f t="shared" si="8"/>
        <v/>
      </c>
      <c r="C282">
        <f>IFERROR(VLOOKUP(TRIM(B282),Inventory!E:E,1,0),0)</f>
        <v>0</v>
      </c>
      <c r="D282" t="str">
        <f t="shared" si="9"/>
        <v/>
      </c>
    </row>
    <row r="283" spans="1:4" x14ac:dyDescent="0.25">
      <c r="A283" s="7"/>
      <c r="B283" s="5" t="str">
        <f t="shared" si="8"/>
        <v/>
      </c>
      <c r="C283">
        <f>IFERROR(VLOOKUP(TRIM(B283),Inventory!E:E,1,0),0)</f>
        <v>0</v>
      </c>
      <c r="D283" t="str">
        <f t="shared" si="9"/>
        <v/>
      </c>
    </row>
    <row r="284" spans="1:4" x14ac:dyDescent="0.25">
      <c r="A284" s="7"/>
      <c r="B284" s="5" t="str">
        <f t="shared" si="8"/>
        <v/>
      </c>
      <c r="C284">
        <f>IFERROR(VLOOKUP(TRIM(B284),Inventory!E:E,1,0),0)</f>
        <v>0</v>
      </c>
      <c r="D284" t="str">
        <f t="shared" si="9"/>
        <v/>
      </c>
    </row>
    <row r="285" spans="1:4" x14ac:dyDescent="0.25">
      <c r="A285" s="7"/>
      <c r="B285" s="5" t="str">
        <f t="shared" si="8"/>
        <v/>
      </c>
      <c r="C285">
        <f>IFERROR(VLOOKUP(TRIM(B285),Inventory!E:E,1,0),0)</f>
        <v>0</v>
      </c>
      <c r="D285" t="str">
        <f t="shared" si="9"/>
        <v/>
      </c>
    </row>
    <row r="286" spans="1:4" x14ac:dyDescent="0.25">
      <c r="A286" s="7"/>
      <c r="B286" s="5" t="str">
        <f t="shared" si="8"/>
        <v/>
      </c>
      <c r="C286">
        <f>IFERROR(VLOOKUP(TRIM(B286),Inventory!E:E,1,0),0)</f>
        <v>0</v>
      </c>
      <c r="D286" t="str">
        <f t="shared" si="9"/>
        <v/>
      </c>
    </row>
    <row r="287" spans="1:4" x14ac:dyDescent="0.25">
      <c r="A287" s="7"/>
      <c r="B287" s="5" t="str">
        <f t="shared" si="8"/>
        <v/>
      </c>
      <c r="C287">
        <f>IFERROR(VLOOKUP(TRIM(B287),Inventory!E:E,1,0),0)</f>
        <v>0</v>
      </c>
      <c r="D287" t="str">
        <f t="shared" si="9"/>
        <v/>
      </c>
    </row>
    <row r="288" spans="1:4" x14ac:dyDescent="0.25">
      <c r="A288" s="7"/>
      <c r="B288" s="5" t="str">
        <f t="shared" si="8"/>
        <v/>
      </c>
      <c r="C288">
        <f>IFERROR(VLOOKUP(TRIM(B288),Inventory!E:E,1,0),0)</f>
        <v>0</v>
      </c>
      <c r="D288" t="str">
        <f t="shared" si="9"/>
        <v/>
      </c>
    </row>
    <row r="289" spans="1:4" x14ac:dyDescent="0.25">
      <c r="A289" s="7"/>
      <c r="B289" s="5" t="str">
        <f t="shared" si="8"/>
        <v/>
      </c>
      <c r="C289">
        <f>IFERROR(VLOOKUP(TRIM(B289),Inventory!E:E,1,0),0)</f>
        <v>0</v>
      </c>
      <c r="D289" t="str">
        <f t="shared" si="9"/>
        <v/>
      </c>
    </row>
    <row r="290" spans="1:4" x14ac:dyDescent="0.25">
      <c r="A290" s="7"/>
      <c r="B290" s="5" t="str">
        <f t="shared" si="8"/>
        <v/>
      </c>
      <c r="C290">
        <f>IFERROR(VLOOKUP(TRIM(B290),Inventory!E:E,1,0),0)</f>
        <v>0</v>
      </c>
      <c r="D290" t="str">
        <f t="shared" si="9"/>
        <v/>
      </c>
    </row>
    <row r="291" spans="1:4" x14ac:dyDescent="0.25">
      <c r="A291" s="7"/>
      <c r="B291" s="5" t="str">
        <f t="shared" si="8"/>
        <v/>
      </c>
      <c r="C291">
        <f>IFERROR(VLOOKUP(TRIM(B291),Inventory!E:E,1,0),0)</f>
        <v>0</v>
      </c>
      <c r="D291" t="str">
        <f t="shared" si="9"/>
        <v/>
      </c>
    </row>
    <row r="292" spans="1:4" x14ac:dyDescent="0.25">
      <c r="A292" s="7"/>
      <c r="B292" s="5" t="str">
        <f t="shared" si="8"/>
        <v/>
      </c>
      <c r="C292">
        <f>IFERROR(VLOOKUP(TRIM(B292),Inventory!E:E,1,0),0)</f>
        <v>0</v>
      </c>
      <c r="D292" t="str">
        <f t="shared" si="9"/>
        <v/>
      </c>
    </row>
    <row r="293" spans="1:4" x14ac:dyDescent="0.25">
      <c r="A293" s="7"/>
      <c r="B293" s="5" t="str">
        <f t="shared" si="8"/>
        <v/>
      </c>
      <c r="C293">
        <f>IFERROR(VLOOKUP(TRIM(B293),Inventory!E:E,1,0),0)</f>
        <v>0</v>
      </c>
      <c r="D293" t="str">
        <f t="shared" si="9"/>
        <v/>
      </c>
    </row>
    <row r="294" spans="1:4" x14ac:dyDescent="0.25">
      <c r="A294" s="7"/>
      <c r="B294" s="5" t="str">
        <f t="shared" si="8"/>
        <v/>
      </c>
      <c r="C294">
        <f>IFERROR(VLOOKUP(TRIM(B294),Inventory!E:E,1,0),0)</f>
        <v>0</v>
      </c>
      <c r="D294" t="str">
        <f t="shared" si="9"/>
        <v/>
      </c>
    </row>
    <row r="295" spans="1:4" x14ac:dyDescent="0.25">
      <c r="A295" s="7"/>
      <c r="B295" s="5" t="str">
        <f t="shared" si="8"/>
        <v/>
      </c>
      <c r="C295">
        <f>IFERROR(VLOOKUP(TRIM(B295),Inventory!E:E,1,0),0)</f>
        <v>0</v>
      </c>
      <c r="D295" t="str">
        <f t="shared" si="9"/>
        <v/>
      </c>
    </row>
    <row r="296" spans="1:4" x14ac:dyDescent="0.25">
      <c r="A296" s="7"/>
      <c r="B296" s="5" t="str">
        <f t="shared" si="8"/>
        <v/>
      </c>
      <c r="C296">
        <f>IFERROR(VLOOKUP(TRIM(B296),Inventory!E:E,1,0),0)</f>
        <v>0</v>
      </c>
      <c r="D296" t="str">
        <f t="shared" si="9"/>
        <v/>
      </c>
    </row>
    <row r="297" spans="1:4" x14ac:dyDescent="0.25">
      <c r="A297" s="7"/>
      <c r="B297" s="5" t="str">
        <f t="shared" si="8"/>
        <v/>
      </c>
      <c r="C297">
        <f>IFERROR(VLOOKUP(TRIM(B297),Inventory!E:E,1,0),0)</f>
        <v>0</v>
      </c>
      <c r="D297" t="str">
        <f t="shared" si="9"/>
        <v/>
      </c>
    </row>
    <row r="298" spans="1:4" x14ac:dyDescent="0.25">
      <c r="A298" s="7"/>
      <c r="B298" s="5" t="str">
        <f t="shared" si="8"/>
        <v/>
      </c>
      <c r="C298">
        <f>IFERROR(VLOOKUP(TRIM(B298),Inventory!E:E,1,0),0)</f>
        <v>0</v>
      </c>
      <c r="D298" t="str">
        <f t="shared" si="9"/>
        <v/>
      </c>
    </row>
    <row r="299" spans="1:4" x14ac:dyDescent="0.25">
      <c r="A299" s="7"/>
      <c r="B299" s="5" t="str">
        <f t="shared" si="8"/>
        <v/>
      </c>
      <c r="C299">
        <f>IFERROR(VLOOKUP(TRIM(B299),Inventory!E:E,1,0),0)</f>
        <v>0</v>
      </c>
      <c r="D299" t="str">
        <f t="shared" si="9"/>
        <v/>
      </c>
    </row>
    <row r="300" spans="1:4" x14ac:dyDescent="0.25">
      <c r="A300" s="7"/>
      <c r="B300" s="5" t="str">
        <f t="shared" si="8"/>
        <v/>
      </c>
      <c r="C300">
        <f>IFERROR(VLOOKUP(TRIM(B300),Inventory!E:E,1,0),0)</f>
        <v>0</v>
      </c>
      <c r="D300" t="str">
        <f t="shared" si="9"/>
        <v/>
      </c>
    </row>
    <row r="301" spans="1:4" x14ac:dyDescent="0.25">
      <c r="A301" s="7"/>
      <c r="B301" s="5" t="str">
        <f t="shared" si="8"/>
        <v/>
      </c>
      <c r="C301">
        <f>IFERROR(VLOOKUP(TRIM(B301),Inventory!E:E,1,0),0)</f>
        <v>0</v>
      </c>
      <c r="D301" t="str">
        <f t="shared" si="9"/>
        <v/>
      </c>
    </row>
    <row r="302" spans="1:4" x14ac:dyDescent="0.25">
      <c r="A302" s="7"/>
      <c r="B302" s="5" t="str">
        <f t="shared" si="8"/>
        <v/>
      </c>
      <c r="C302">
        <f>IFERROR(VLOOKUP(TRIM(B302),Inventory!E:E,1,0),0)</f>
        <v>0</v>
      </c>
      <c r="D302" t="str">
        <f t="shared" si="9"/>
        <v/>
      </c>
    </row>
    <row r="303" spans="1:4" x14ac:dyDescent="0.25">
      <c r="A303" s="7"/>
      <c r="B303" s="5" t="str">
        <f t="shared" si="8"/>
        <v/>
      </c>
      <c r="C303">
        <f>IFERROR(VLOOKUP(TRIM(B303),Inventory!E:E,1,0),0)</f>
        <v>0</v>
      </c>
      <c r="D303" t="str">
        <f t="shared" si="9"/>
        <v/>
      </c>
    </row>
    <row r="304" spans="1:4" x14ac:dyDescent="0.25">
      <c r="A304" s="7"/>
      <c r="B304" s="5" t="str">
        <f t="shared" si="8"/>
        <v/>
      </c>
      <c r="C304">
        <f>IFERROR(VLOOKUP(TRIM(B304),Inventory!E:E,1,0),0)</f>
        <v>0</v>
      </c>
      <c r="D304" t="str">
        <f t="shared" si="9"/>
        <v/>
      </c>
    </row>
    <row r="305" spans="1:4" x14ac:dyDescent="0.25">
      <c r="A305" s="7"/>
      <c r="B305" s="5" t="str">
        <f t="shared" si="8"/>
        <v/>
      </c>
      <c r="C305">
        <f>IFERROR(VLOOKUP(TRIM(B305),Inventory!E:E,1,0),0)</f>
        <v>0</v>
      </c>
      <c r="D305" t="str">
        <f t="shared" si="9"/>
        <v/>
      </c>
    </row>
    <row r="306" spans="1:4" x14ac:dyDescent="0.25">
      <c r="A306" s="7"/>
      <c r="B306" s="5" t="str">
        <f t="shared" si="8"/>
        <v/>
      </c>
      <c r="C306">
        <f>IFERROR(VLOOKUP(TRIM(B306),Inventory!E:E,1,0),0)</f>
        <v>0</v>
      </c>
      <c r="D306" t="str">
        <f t="shared" si="9"/>
        <v/>
      </c>
    </row>
    <row r="307" spans="1:4" x14ac:dyDescent="0.25">
      <c r="A307" s="7"/>
      <c r="B307" s="5" t="str">
        <f t="shared" si="8"/>
        <v/>
      </c>
      <c r="C307">
        <f>IFERROR(VLOOKUP(TRIM(B307),Inventory!E:E,1,0),0)</f>
        <v>0</v>
      </c>
      <c r="D307" t="str">
        <f t="shared" si="9"/>
        <v/>
      </c>
    </row>
    <row r="308" spans="1:4" x14ac:dyDescent="0.25">
      <c r="A308" s="7"/>
      <c r="B308" s="5" t="str">
        <f t="shared" si="8"/>
        <v/>
      </c>
      <c r="C308">
        <f>IFERROR(VLOOKUP(TRIM(B308),Inventory!E:E,1,0),0)</f>
        <v>0</v>
      </c>
      <c r="D308" t="str">
        <f t="shared" si="9"/>
        <v/>
      </c>
    </row>
    <row r="309" spans="1:4" x14ac:dyDescent="0.25">
      <c r="A309" s="7"/>
      <c r="B309" s="5" t="str">
        <f t="shared" si="8"/>
        <v/>
      </c>
      <c r="C309">
        <f>IFERROR(VLOOKUP(TRIM(B309),Inventory!E:E,1,0),0)</f>
        <v>0</v>
      </c>
      <c r="D309" t="str">
        <f t="shared" si="9"/>
        <v/>
      </c>
    </row>
    <row r="310" spans="1:4" x14ac:dyDescent="0.25">
      <c r="A310" s="7"/>
      <c r="B310" s="5" t="str">
        <f t="shared" si="8"/>
        <v/>
      </c>
      <c r="C310">
        <f>IFERROR(VLOOKUP(TRIM(B310),Inventory!E:E,1,0),0)</f>
        <v>0</v>
      </c>
      <c r="D310" t="str">
        <f t="shared" si="9"/>
        <v/>
      </c>
    </row>
    <row r="311" spans="1:4" x14ac:dyDescent="0.25">
      <c r="A311" s="7"/>
      <c r="B311" s="5" t="str">
        <f t="shared" si="8"/>
        <v/>
      </c>
      <c r="C311">
        <f>IFERROR(VLOOKUP(TRIM(B311),Inventory!E:E,1,0),0)</f>
        <v>0</v>
      </c>
      <c r="D311" t="str">
        <f t="shared" si="9"/>
        <v/>
      </c>
    </row>
    <row r="312" spans="1:4" x14ac:dyDescent="0.25">
      <c r="A312" s="7"/>
      <c r="B312" s="5" t="str">
        <f t="shared" si="8"/>
        <v/>
      </c>
      <c r="C312">
        <f>IFERROR(VLOOKUP(TRIM(B312),Inventory!E:E,1,0),0)</f>
        <v>0</v>
      </c>
      <c r="D312" t="str">
        <f t="shared" si="9"/>
        <v/>
      </c>
    </row>
    <row r="313" spans="1:4" x14ac:dyDescent="0.25">
      <c r="A313" s="7"/>
      <c r="B313" s="5" t="str">
        <f t="shared" si="8"/>
        <v/>
      </c>
      <c r="C313">
        <f>IFERROR(VLOOKUP(TRIM(B313),Inventory!E:E,1,0),0)</f>
        <v>0</v>
      </c>
      <c r="D313" t="str">
        <f t="shared" si="9"/>
        <v/>
      </c>
    </row>
    <row r="314" spans="1:4" x14ac:dyDescent="0.25">
      <c r="A314" s="7"/>
      <c r="B314" s="5" t="str">
        <f t="shared" si="8"/>
        <v/>
      </c>
      <c r="C314">
        <f>IFERROR(VLOOKUP(TRIM(B314),Inventory!E:E,1,0),0)</f>
        <v>0</v>
      </c>
      <c r="D314" t="str">
        <f t="shared" si="9"/>
        <v/>
      </c>
    </row>
    <row r="315" spans="1:4" x14ac:dyDescent="0.25">
      <c r="A315" s="7"/>
      <c r="B315" s="5" t="str">
        <f t="shared" si="8"/>
        <v/>
      </c>
      <c r="C315">
        <f>IFERROR(VLOOKUP(TRIM(B315),Inventory!E:E,1,0),0)</f>
        <v>0</v>
      </c>
      <c r="D315" t="str">
        <f t="shared" si="9"/>
        <v/>
      </c>
    </row>
    <row r="316" spans="1:4" x14ac:dyDescent="0.25">
      <c r="A316" s="7"/>
      <c r="B316" s="5" t="str">
        <f t="shared" si="8"/>
        <v/>
      </c>
      <c r="C316">
        <f>IFERROR(VLOOKUP(TRIM(B316),Inventory!E:E,1,0),0)</f>
        <v>0</v>
      </c>
      <c r="D316" t="str">
        <f t="shared" si="9"/>
        <v/>
      </c>
    </row>
    <row r="317" spans="1:4" x14ac:dyDescent="0.25">
      <c r="A317" s="7"/>
      <c r="B317" s="5" t="str">
        <f t="shared" si="8"/>
        <v/>
      </c>
      <c r="C317">
        <f>IFERROR(VLOOKUP(TRIM(B317),Inventory!E:E,1,0),0)</f>
        <v>0</v>
      </c>
      <c r="D317" t="str">
        <f t="shared" si="9"/>
        <v/>
      </c>
    </row>
    <row r="318" spans="1:4" x14ac:dyDescent="0.25">
      <c r="A318" s="7"/>
      <c r="B318" s="5" t="str">
        <f t="shared" si="8"/>
        <v/>
      </c>
      <c r="C318">
        <f>IFERROR(VLOOKUP(TRIM(B318),Inventory!E:E,1,0),0)</f>
        <v>0</v>
      </c>
      <c r="D318" t="str">
        <f t="shared" si="9"/>
        <v/>
      </c>
    </row>
    <row r="319" spans="1:4" x14ac:dyDescent="0.25">
      <c r="A319" s="7"/>
      <c r="B319" s="5" t="str">
        <f t="shared" si="8"/>
        <v/>
      </c>
      <c r="C319">
        <f>IFERROR(VLOOKUP(TRIM(B319),Inventory!E:E,1,0),0)</f>
        <v>0</v>
      </c>
      <c r="D319" t="str">
        <f t="shared" si="9"/>
        <v/>
      </c>
    </row>
    <row r="320" spans="1:4" x14ac:dyDescent="0.25">
      <c r="A320" s="7"/>
      <c r="B320" s="5" t="str">
        <f t="shared" si="8"/>
        <v/>
      </c>
      <c r="C320">
        <f>IFERROR(VLOOKUP(TRIM(B320),Inventory!E:E,1,0),0)</f>
        <v>0</v>
      </c>
      <c r="D320" t="str">
        <f t="shared" si="9"/>
        <v/>
      </c>
    </row>
    <row r="321" spans="1:4" x14ac:dyDescent="0.25">
      <c r="A321" s="7"/>
      <c r="B321" s="5" t="str">
        <f t="shared" si="8"/>
        <v/>
      </c>
      <c r="C321">
        <f>IFERROR(VLOOKUP(TRIM(B321),Inventory!E:E,1,0),0)</f>
        <v>0</v>
      </c>
      <c r="D321" t="str">
        <f t="shared" si="9"/>
        <v/>
      </c>
    </row>
    <row r="322" spans="1:4" x14ac:dyDescent="0.25">
      <c r="A322" s="7"/>
      <c r="B322" s="5" t="str">
        <f t="shared" si="8"/>
        <v/>
      </c>
      <c r="C322">
        <f>IFERROR(VLOOKUP(TRIM(B322),Inventory!E:E,1,0),0)</f>
        <v>0</v>
      </c>
      <c r="D322" t="str">
        <f t="shared" si="9"/>
        <v/>
      </c>
    </row>
    <row r="323" spans="1:4" x14ac:dyDescent="0.25">
      <c r="A323" s="7"/>
      <c r="B323" s="5" t="str">
        <f t="shared" ref="B323:B386" si="10">SUBSTITUTE(SUBSTITUTE(A323,"ö","0"),"Ö","0")</f>
        <v/>
      </c>
      <c r="C323">
        <f>IFERROR(VLOOKUP(TRIM(B323),Inventory!E:E,1,0),0)</f>
        <v>0</v>
      </c>
      <c r="D323" t="str">
        <f t="shared" ref="D323:D386" si="11">IF(AND(TRIM(A323)&lt;&gt;"",C323=0),"NINCS A LISTÁBAN","")</f>
        <v/>
      </c>
    </row>
    <row r="324" spans="1:4" x14ac:dyDescent="0.25">
      <c r="A324" s="7"/>
      <c r="B324" s="5" t="str">
        <f t="shared" si="10"/>
        <v/>
      </c>
      <c r="C324">
        <f>IFERROR(VLOOKUP(TRIM(B324),Inventory!E:E,1,0),0)</f>
        <v>0</v>
      </c>
      <c r="D324" t="str">
        <f t="shared" si="11"/>
        <v/>
      </c>
    </row>
    <row r="325" spans="1:4" x14ac:dyDescent="0.25">
      <c r="A325" s="7"/>
      <c r="B325" s="5" t="str">
        <f t="shared" si="10"/>
        <v/>
      </c>
      <c r="C325">
        <f>IFERROR(VLOOKUP(TRIM(B325),Inventory!E:E,1,0),0)</f>
        <v>0</v>
      </c>
      <c r="D325" t="str">
        <f t="shared" si="11"/>
        <v/>
      </c>
    </row>
    <row r="326" spans="1:4" x14ac:dyDescent="0.25">
      <c r="A326" s="7"/>
      <c r="B326" s="5" t="str">
        <f t="shared" si="10"/>
        <v/>
      </c>
      <c r="C326">
        <f>IFERROR(VLOOKUP(TRIM(B326),Inventory!E:E,1,0),0)</f>
        <v>0</v>
      </c>
      <c r="D326" t="str">
        <f t="shared" si="11"/>
        <v/>
      </c>
    </row>
    <row r="327" spans="1:4" x14ac:dyDescent="0.25">
      <c r="A327" s="7"/>
      <c r="B327" s="5" t="str">
        <f t="shared" si="10"/>
        <v/>
      </c>
      <c r="C327">
        <f>IFERROR(VLOOKUP(TRIM(B327),Inventory!E:E,1,0),0)</f>
        <v>0</v>
      </c>
      <c r="D327" t="str">
        <f t="shared" si="11"/>
        <v/>
      </c>
    </row>
    <row r="328" spans="1:4" x14ac:dyDescent="0.25">
      <c r="A328" s="7"/>
      <c r="B328" s="5" t="str">
        <f t="shared" si="10"/>
        <v/>
      </c>
      <c r="C328">
        <f>IFERROR(VLOOKUP(TRIM(B328),Inventory!E:E,1,0),0)</f>
        <v>0</v>
      </c>
      <c r="D328" t="str">
        <f t="shared" si="11"/>
        <v/>
      </c>
    </row>
    <row r="329" spans="1:4" x14ac:dyDescent="0.25">
      <c r="A329" s="7"/>
      <c r="B329" s="5" t="str">
        <f t="shared" si="10"/>
        <v/>
      </c>
      <c r="C329">
        <f>IFERROR(VLOOKUP(TRIM(B329),Inventory!E:E,1,0),0)</f>
        <v>0</v>
      </c>
      <c r="D329" t="str">
        <f t="shared" si="11"/>
        <v/>
      </c>
    </row>
    <row r="330" spans="1:4" x14ac:dyDescent="0.25">
      <c r="A330" s="7"/>
      <c r="B330" s="5" t="str">
        <f t="shared" si="10"/>
        <v/>
      </c>
      <c r="C330">
        <f>IFERROR(VLOOKUP(TRIM(B330),Inventory!E:E,1,0),0)</f>
        <v>0</v>
      </c>
      <c r="D330" t="str">
        <f t="shared" si="11"/>
        <v/>
      </c>
    </row>
    <row r="331" spans="1:4" x14ac:dyDescent="0.25">
      <c r="A331" s="7"/>
      <c r="B331" s="5" t="str">
        <f t="shared" si="10"/>
        <v/>
      </c>
      <c r="C331">
        <f>IFERROR(VLOOKUP(TRIM(B331),Inventory!E:E,1,0),0)</f>
        <v>0</v>
      </c>
      <c r="D331" t="str">
        <f t="shared" si="11"/>
        <v/>
      </c>
    </row>
    <row r="332" spans="1:4" x14ac:dyDescent="0.25">
      <c r="A332" s="7"/>
      <c r="B332" s="5" t="str">
        <f t="shared" si="10"/>
        <v/>
      </c>
      <c r="C332">
        <f>IFERROR(VLOOKUP(TRIM(B332),Inventory!E:E,1,0),0)</f>
        <v>0</v>
      </c>
      <c r="D332" t="str">
        <f t="shared" si="11"/>
        <v/>
      </c>
    </row>
    <row r="333" spans="1:4" x14ac:dyDescent="0.25">
      <c r="A333" s="7"/>
      <c r="B333" s="5" t="str">
        <f t="shared" si="10"/>
        <v/>
      </c>
      <c r="C333">
        <f>IFERROR(VLOOKUP(TRIM(B333),Inventory!E:E,1,0),0)</f>
        <v>0</v>
      </c>
      <c r="D333" t="str">
        <f t="shared" si="11"/>
        <v/>
      </c>
    </row>
    <row r="334" spans="1:4" x14ac:dyDescent="0.25">
      <c r="A334" s="7"/>
      <c r="B334" s="5" t="str">
        <f t="shared" si="10"/>
        <v/>
      </c>
      <c r="C334">
        <f>IFERROR(VLOOKUP(TRIM(B334),Inventory!E:E,1,0),0)</f>
        <v>0</v>
      </c>
      <c r="D334" t="str">
        <f t="shared" si="11"/>
        <v/>
      </c>
    </row>
    <row r="335" spans="1:4" x14ac:dyDescent="0.25">
      <c r="A335" s="7"/>
      <c r="B335" s="5" t="str">
        <f t="shared" si="10"/>
        <v/>
      </c>
      <c r="C335">
        <f>IFERROR(VLOOKUP(TRIM(B335),Inventory!E:E,1,0),0)</f>
        <v>0</v>
      </c>
      <c r="D335" t="str">
        <f t="shared" si="11"/>
        <v/>
      </c>
    </row>
    <row r="336" spans="1:4" x14ac:dyDescent="0.25">
      <c r="A336" s="7"/>
      <c r="B336" s="5" t="str">
        <f t="shared" si="10"/>
        <v/>
      </c>
      <c r="C336">
        <f>IFERROR(VLOOKUP(TRIM(B336),Inventory!E:E,1,0),0)</f>
        <v>0</v>
      </c>
      <c r="D336" t="str">
        <f t="shared" si="11"/>
        <v/>
      </c>
    </row>
    <row r="337" spans="1:4" x14ac:dyDescent="0.25">
      <c r="A337" s="7"/>
      <c r="B337" s="5" t="str">
        <f t="shared" si="10"/>
        <v/>
      </c>
      <c r="C337">
        <f>IFERROR(VLOOKUP(TRIM(B337),Inventory!E:E,1,0),0)</f>
        <v>0</v>
      </c>
      <c r="D337" t="str">
        <f t="shared" si="11"/>
        <v/>
      </c>
    </row>
    <row r="338" spans="1:4" x14ac:dyDescent="0.25">
      <c r="A338" s="7"/>
      <c r="B338" s="5" t="str">
        <f t="shared" si="10"/>
        <v/>
      </c>
      <c r="C338">
        <f>IFERROR(VLOOKUP(TRIM(B338),Inventory!E:E,1,0),0)</f>
        <v>0</v>
      </c>
      <c r="D338" t="str">
        <f t="shared" si="11"/>
        <v/>
      </c>
    </row>
    <row r="339" spans="1:4" x14ac:dyDescent="0.25">
      <c r="A339" s="7"/>
      <c r="B339" s="5" t="str">
        <f t="shared" si="10"/>
        <v/>
      </c>
      <c r="C339">
        <f>IFERROR(VLOOKUP(TRIM(B339),Inventory!E:E,1,0),0)</f>
        <v>0</v>
      </c>
      <c r="D339" t="str">
        <f t="shared" si="11"/>
        <v/>
      </c>
    </row>
    <row r="340" spans="1:4" x14ac:dyDescent="0.25">
      <c r="A340" s="7"/>
      <c r="B340" s="5" t="str">
        <f t="shared" si="10"/>
        <v/>
      </c>
      <c r="C340">
        <f>IFERROR(VLOOKUP(TRIM(B340),Inventory!E:E,1,0),0)</f>
        <v>0</v>
      </c>
      <c r="D340" t="str">
        <f t="shared" si="11"/>
        <v/>
      </c>
    </row>
    <row r="341" spans="1:4" x14ac:dyDescent="0.25">
      <c r="A341" s="7"/>
      <c r="B341" s="5" t="str">
        <f t="shared" si="10"/>
        <v/>
      </c>
      <c r="C341">
        <f>IFERROR(VLOOKUP(TRIM(B341),Inventory!E:E,1,0),0)</f>
        <v>0</v>
      </c>
      <c r="D341" t="str">
        <f t="shared" si="11"/>
        <v/>
      </c>
    </row>
    <row r="342" spans="1:4" x14ac:dyDescent="0.25">
      <c r="A342" s="7"/>
      <c r="B342" s="5" t="str">
        <f t="shared" si="10"/>
        <v/>
      </c>
      <c r="C342">
        <f>IFERROR(VLOOKUP(TRIM(B342),Inventory!E:E,1,0),0)</f>
        <v>0</v>
      </c>
      <c r="D342" t="str">
        <f t="shared" si="11"/>
        <v/>
      </c>
    </row>
    <row r="343" spans="1:4" x14ac:dyDescent="0.25">
      <c r="A343" s="7"/>
      <c r="B343" s="5" t="str">
        <f t="shared" si="10"/>
        <v/>
      </c>
      <c r="C343">
        <f>IFERROR(VLOOKUP(TRIM(B343),Inventory!E:E,1,0),0)</f>
        <v>0</v>
      </c>
      <c r="D343" t="str">
        <f t="shared" si="11"/>
        <v/>
      </c>
    </row>
    <row r="344" spans="1:4" x14ac:dyDescent="0.25">
      <c r="A344" s="7"/>
      <c r="B344" s="5" t="str">
        <f t="shared" si="10"/>
        <v/>
      </c>
      <c r="C344">
        <f>IFERROR(VLOOKUP(TRIM(B344),Inventory!E:E,1,0),0)</f>
        <v>0</v>
      </c>
      <c r="D344" t="str">
        <f t="shared" si="11"/>
        <v/>
      </c>
    </row>
    <row r="345" spans="1:4" x14ac:dyDescent="0.25">
      <c r="A345" s="7"/>
      <c r="B345" s="5" t="str">
        <f t="shared" si="10"/>
        <v/>
      </c>
      <c r="C345">
        <f>IFERROR(VLOOKUP(TRIM(B345),Inventory!E:E,1,0),0)</f>
        <v>0</v>
      </c>
      <c r="D345" t="str">
        <f t="shared" si="11"/>
        <v/>
      </c>
    </row>
    <row r="346" spans="1:4" x14ac:dyDescent="0.25">
      <c r="A346" s="7"/>
      <c r="B346" s="5" t="str">
        <f t="shared" si="10"/>
        <v/>
      </c>
      <c r="C346">
        <f>IFERROR(VLOOKUP(TRIM(B346),Inventory!E:E,1,0),0)</f>
        <v>0</v>
      </c>
      <c r="D346" t="str">
        <f t="shared" si="11"/>
        <v/>
      </c>
    </row>
    <row r="347" spans="1:4" x14ac:dyDescent="0.25">
      <c r="A347" s="7"/>
      <c r="B347" s="5" t="str">
        <f t="shared" si="10"/>
        <v/>
      </c>
      <c r="C347">
        <f>IFERROR(VLOOKUP(TRIM(B347),Inventory!E:E,1,0),0)</f>
        <v>0</v>
      </c>
      <c r="D347" t="str">
        <f t="shared" si="11"/>
        <v/>
      </c>
    </row>
    <row r="348" spans="1:4" x14ac:dyDescent="0.25">
      <c r="A348" s="7"/>
      <c r="B348" s="5" t="str">
        <f t="shared" si="10"/>
        <v/>
      </c>
      <c r="C348">
        <f>IFERROR(VLOOKUP(TRIM(B348),Inventory!E:E,1,0),0)</f>
        <v>0</v>
      </c>
      <c r="D348" t="str">
        <f t="shared" si="11"/>
        <v/>
      </c>
    </row>
    <row r="349" spans="1:4" x14ac:dyDescent="0.25">
      <c r="A349" s="7"/>
      <c r="B349" s="5" t="str">
        <f t="shared" si="10"/>
        <v/>
      </c>
      <c r="C349">
        <f>IFERROR(VLOOKUP(TRIM(B349),Inventory!E:E,1,0),0)</f>
        <v>0</v>
      </c>
      <c r="D349" t="str">
        <f t="shared" si="11"/>
        <v/>
      </c>
    </row>
    <row r="350" spans="1:4" x14ac:dyDescent="0.25">
      <c r="A350" s="7"/>
      <c r="B350" s="5" t="str">
        <f t="shared" si="10"/>
        <v/>
      </c>
      <c r="C350">
        <f>IFERROR(VLOOKUP(TRIM(B350),Inventory!E:E,1,0),0)</f>
        <v>0</v>
      </c>
      <c r="D350" t="str">
        <f t="shared" si="11"/>
        <v/>
      </c>
    </row>
    <row r="351" spans="1:4" x14ac:dyDescent="0.25">
      <c r="A351" s="7"/>
      <c r="B351" s="5" t="str">
        <f t="shared" si="10"/>
        <v/>
      </c>
      <c r="C351">
        <f>IFERROR(VLOOKUP(TRIM(B351),Inventory!E:E,1,0),0)</f>
        <v>0</v>
      </c>
      <c r="D351" t="str">
        <f t="shared" si="11"/>
        <v/>
      </c>
    </row>
    <row r="352" spans="1:4" x14ac:dyDescent="0.25">
      <c r="A352" s="7"/>
      <c r="B352" s="5" t="str">
        <f t="shared" si="10"/>
        <v/>
      </c>
      <c r="C352">
        <f>IFERROR(VLOOKUP(TRIM(B352),Inventory!E:E,1,0),0)</f>
        <v>0</v>
      </c>
      <c r="D352" t="str">
        <f t="shared" si="11"/>
        <v/>
      </c>
    </row>
    <row r="353" spans="1:4" x14ac:dyDescent="0.25">
      <c r="A353" s="7"/>
      <c r="B353" s="5" t="str">
        <f t="shared" si="10"/>
        <v/>
      </c>
      <c r="C353">
        <f>IFERROR(VLOOKUP(TRIM(B353),Inventory!E:E,1,0),0)</f>
        <v>0</v>
      </c>
      <c r="D353" t="str">
        <f t="shared" si="11"/>
        <v/>
      </c>
    </row>
    <row r="354" spans="1:4" x14ac:dyDescent="0.25">
      <c r="A354" s="7"/>
      <c r="B354" s="5" t="str">
        <f t="shared" si="10"/>
        <v/>
      </c>
      <c r="C354">
        <f>IFERROR(VLOOKUP(TRIM(B354),Inventory!E:E,1,0),0)</f>
        <v>0</v>
      </c>
      <c r="D354" t="str">
        <f t="shared" si="11"/>
        <v/>
      </c>
    </row>
    <row r="355" spans="1:4" x14ac:dyDescent="0.25">
      <c r="A355" s="7"/>
      <c r="B355" s="5" t="str">
        <f t="shared" si="10"/>
        <v/>
      </c>
      <c r="C355">
        <f>IFERROR(VLOOKUP(TRIM(B355),Inventory!E:E,1,0),0)</f>
        <v>0</v>
      </c>
      <c r="D355" t="str">
        <f t="shared" si="11"/>
        <v/>
      </c>
    </row>
    <row r="356" spans="1:4" x14ac:dyDescent="0.25">
      <c r="A356" s="7"/>
      <c r="B356" s="5" t="str">
        <f t="shared" si="10"/>
        <v/>
      </c>
      <c r="C356">
        <f>IFERROR(VLOOKUP(TRIM(B356),Inventory!E:E,1,0),0)</f>
        <v>0</v>
      </c>
      <c r="D356" t="str">
        <f t="shared" si="11"/>
        <v/>
      </c>
    </row>
    <row r="357" spans="1:4" x14ac:dyDescent="0.25">
      <c r="A357" s="7"/>
      <c r="B357" s="5" t="str">
        <f t="shared" si="10"/>
        <v/>
      </c>
      <c r="C357">
        <f>IFERROR(VLOOKUP(TRIM(B357),Inventory!E:E,1,0),0)</f>
        <v>0</v>
      </c>
      <c r="D357" t="str">
        <f t="shared" si="11"/>
        <v/>
      </c>
    </row>
    <row r="358" spans="1:4" x14ac:dyDescent="0.25">
      <c r="A358" s="7"/>
      <c r="B358" s="5" t="str">
        <f t="shared" si="10"/>
        <v/>
      </c>
      <c r="C358">
        <f>IFERROR(VLOOKUP(TRIM(B358),Inventory!E:E,1,0),0)</f>
        <v>0</v>
      </c>
      <c r="D358" t="str">
        <f t="shared" si="11"/>
        <v/>
      </c>
    </row>
    <row r="359" spans="1:4" x14ac:dyDescent="0.25">
      <c r="A359" s="7"/>
      <c r="B359" s="5" t="str">
        <f t="shared" si="10"/>
        <v/>
      </c>
      <c r="C359">
        <f>IFERROR(VLOOKUP(TRIM(B359),Inventory!E:E,1,0),0)</f>
        <v>0</v>
      </c>
      <c r="D359" t="str">
        <f t="shared" si="11"/>
        <v/>
      </c>
    </row>
    <row r="360" spans="1:4" x14ac:dyDescent="0.25">
      <c r="A360" s="7"/>
      <c r="B360" s="5" t="str">
        <f t="shared" si="10"/>
        <v/>
      </c>
      <c r="C360">
        <f>IFERROR(VLOOKUP(TRIM(B360),Inventory!E:E,1,0),0)</f>
        <v>0</v>
      </c>
      <c r="D360" t="str">
        <f t="shared" si="11"/>
        <v/>
      </c>
    </row>
    <row r="361" spans="1:4" x14ac:dyDescent="0.25">
      <c r="A361" s="7"/>
      <c r="B361" s="5" t="str">
        <f t="shared" si="10"/>
        <v/>
      </c>
      <c r="C361">
        <f>IFERROR(VLOOKUP(TRIM(B361),Inventory!E:E,1,0),0)</f>
        <v>0</v>
      </c>
      <c r="D361" t="str">
        <f t="shared" si="11"/>
        <v/>
      </c>
    </row>
    <row r="362" spans="1:4" x14ac:dyDescent="0.25">
      <c r="A362" s="7"/>
      <c r="B362" s="5" t="str">
        <f t="shared" si="10"/>
        <v/>
      </c>
      <c r="C362">
        <f>IFERROR(VLOOKUP(TRIM(B362),Inventory!E:E,1,0),0)</f>
        <v>0</v>
      </c>
      <c r="D362" t="str">
        <f t="shared" si="11"/>
        <v/>
      </c>
    </row>
    <row r="363" spans="1:4" x14ac:dyDescent="0.25">
      <c r="A363" s="7"/>
      <c r="B363" s="5" t="str">
        <f t="shared" si="10"/>
        <v/>
      </c>
      <c r="C363">
        <f>IFERROR(VLOOKUP(TRIM(B363),Inventory!E:E,1,0),0)</f>
        <v>0</v>
      </c>
      <c r="D363" t="str">
        <f t="shared" si="11"/>
        <v/>
      </c>
    </row>
    <row r="364" spans="1:4" x14ac:dyDescent="0.25">
      <c r="A364" s="7"/>
      <c r="B364" s="5" t="str">
        <f t="shared" si="10"/>
        <v/>
      </c>
      <c r="C364">
        <f>IFERROR(VLOOKUP(TRIM(B364),Inventory!E:E,1,0),0)</f>
        <v>0</v>
      </c>
      <c r="D364" t="str">
        <f t="shared" si="11"/>
        <v/>
      </c>
    </row>
    <row r="365" spans="1:4" x14ac:dyDescent="0.25">
      <c r="A365" s="7"/>
      <c r="B365" s="5" t="str">
        <f t="shared" si="10"/>
        <v/>
      </c>
      <c r="C365">
        <f>IFERROR(VLOOKUP(TRIM(B365),Inventory!E:E,1,0),0)</f>
        <v>0</v>
      </c>
      <c r="D365" t="str">
        <f t="shared" si="11"/>
        <v/>
      </c>
    </row>
    <row r="366" spans="1:4" x14ac:dyDescent="0.25">
      <c r="A366" s="7"/>
      <c r="B366" s="5" t="str">
        <f t="shared" si="10"/>
        <v/>
      </c>
      <c r="C366">
        <f>IFERROR(VLOOKUP(TRIM(B366),Inventory!E:E,1,0),0)</f>
        <v>0</v>
      </c>
      <c r="D366" t="str">
        <f t="shared" si="11"/>
        <v/>
      </c>
    </row>
    <row r="367" spans="1:4" x14ac:dyDescent="0.25">
      <c r="A367" s="7"/>
      <c r="B367" s="5" t="str">
        <f t="shared" si="10"/>
        <v/>
      </c>
      <c r="C367">
        <f>IFERROR(VLOOKUP(TRIM(B367),Inventory!E:E,1,0),0)</f>
        <v>0</v>
      </c>
      <c r="D367" t="str">
        <f t="shared" si="11"/>
        <v/>
      </c>
    </row>
    <row r="368" spans="1:4" x14ac:dyDescent="0.25">
      <c r="A368" s="7"/>
      <c r="B368" s="5" t="str">
        <f t="shared" si="10"/>
        <v/>
      </c>
      <c r="C368">
        <f>IFERROR(VLOOKUP(TRIM(B368),Inventory!E:E,1,0),0)</f>
        <v>0</v>
      </c>
      <c r="D368" t="str">
        <f t="shared" si="11"/>
        <v/>
      </c>
    </row>
    <row r="369" spans="1:4" x14ac:dyDescent="0.25">
      <c r="A369" s="7"/>
      <c r="B369" s="5" t="str">
        <f t="shared" si="10"/>
        <v/>
      </c>
      <c r="C369">
        <f>IFERROR(VLOOKUP(TRIM(B369),Inventory!E:E,1,0),0)</f>
        <v>0</v>
      </c>
      <c r="D369" t="str">
        <f t="shared" si="11"/>
        <v/>
      </c>
    </row>
    <row r="370" spans="1:4" x14ac:dyDescent="0.25">
      <c r="A370" s="7"/>
      <c r="B370" s="5" t="str">
        <f t="shared" si="10"/>
        <v/>
      </c>
      <c r="C370">
        <f>IFERROR(VLOOKUP(TRIM(B370),Inventory!E:E,1,0),0)</f>
        <v>0</v>
      </c>
      <c r="D370" t="str">
        <f t="shared" si="11"/>
        <v/>
      </c>
    </row>
    <row r="371" spans="1:4" x14ac:dyDescent="0.25">
      <c r="A371" s="7"/>
      <c r="B371" s="5" t="str">
        <f t="shared" si="10"/>
        <v/>
      </c>
      <c r="C371">
        <f>IFERROR(VLOOKUP(TRIM(B371),Inventory!E:E,1,0),0)</f>
        <v>0</v>
      </c>
      <c r="D371" t="str">
        <f t="shared" si="11"/>
        <v/>
      </c>
    </row>
    <row r="372" spans="1:4" x14ac:dyDescent="0.25">
      <c r="A372" s="7"/>
      <c r="B372" s="5" t="str">
        <f t="shared" si="10"/>
        <v/>
      </c>
      <c r="C372">
        <f>IFERROR(VLOOKUP(TRIM(B372),Inventory!E:E,1,0),0)</f>
        <v>0</v>
      </c>
      <c r="D372" t="str">
        <f t="shared" si="11"/>
        <v/>
      </c>
    </row>
    <row r="373" spans="1:4" x14ac:dyDescent="0.25">
      <c r="A373" s="7"/>
      <c r="B373" s="5" t="str">
        <f t="shared" si="10"/>
        <v/>
      </c>
      <c r="C373">
        <f>IFERROR(VLOOKUP(TRIM(B373),Inventory!E:E,1,0),0)</f>
        <v>0</v>
      </c>
      <c r="D373" t="str">
        <f t="shared" si="11"/>
        <v/>
      </c>
    </row>
    <row r="374" spans="1:4" x14ac:dyDescent="0.25">
      <c r="A374" s="7"/>
      <c r="B374" s="5" t="str">
        <f t="shared" si="10"/>
        <v/>
      </c>
      <c r="C374">
        <f>IFERROR(VLOOKUP(TRIM(B374),Inventory!E:E,1,0),0)</f>
        <v>0</v>
      </c>
      <c r="D374" t="str">
        <f t="shared" si="11"/>
        <v/>
      </c>
    </row>
    <row r="375" spans="1:4" x14ac:dyDescent="0.25">
      <c r="A375" s="7"/>
      <c r="B375" s="5" t="str">
        <f t="shared" si="10"/>
        <v/>
      </c>
      <c r="C375">
        <f>IFERROR(VLOOKUP(TRIM(B375),Inventory!E:E,1,0),0)</f>
        <v>0</v>
      </c>
      <c r="D375" t="str">
        <f t="shared" si="11"/>
        <v/>
      </c>
    </row>
    <row r="376" spans="1:4" x14ac:dyDescent="0.25">
      <c r="A376" s="7"/>
      <c r="B376" s="5" t="str">
        <f t="shared" si="10"/>
        <v/>
      </c>
      <c r="C376">
        <f>IFERROR(VLOOKUP(TRIM(B376),Inventory!E:E,1,0),0)</f>
        <v>0</v>
      </c>
      <c r="D376" t="str">
        <f t="shared" si="11"/>
        <v/>
      </c>
    </row>
    <row r="377" spans="1:4" x14ac:dyDescent="0.25">
      <c r="A377" s="7"/>
      <c r="B377" s="5" t="str">
        <f t="shared" si="10"/>
        <v/>
      </c>
      <c r="C377">
        <f>IFERROR(VLOOKUP(TRIM(B377),Inventory!E:E,1,0),0)</f>
        <v>0</v>
      </c>
      <c r="D377" t="str">
        <f t="shared" si="11"/>
        <v/>
      </c>
    </row>
    <row r="378" spans="1:4" x14ac:dyDescent="0.25">
      <c r="A378" s="7"/>
      <c r="B378" s="5" t="str">
        <f t="shared" si="10"/>
        <v/>
      </c>
      <c r="C378">
        <f>IFERROR(VLOOKUP(TRIM(B378),Inventory!E:E,1,0),0)</f>
        <v>0</v>
      </c>
      <c r="D378" t="str">
        <f t="shared" si="11"/>
        <v/>
      </c>
    </row>
    <row r="379" spans="1:4" x14ac:dyDescent="0.25">
      <c r="A379" s="7"/>
      <c r="B379" s="5" t="str">
        <f t="shared" si="10"/>
        <v/>
      </c>
      <c r="C379">
        <f>IFERROR(VLOOKUP(TRIM(B379),Inventory!E:E,1,0),0)</f>
        <v>0</v>
      </c>
      <c r="D379" t="str">
        <f t="shared" si="11"/>
        <v/>
      </c>
    </row>
    <row r="380" spans="1:4" x14ac:dyDescent="0.25">
      <c r="A380" s="7"/>
      <c r="B380" s="5" t="str">
        <f t="shared" si="10"/>
        <v/>
      </c>
      <c r="C380">
        <f>IFERROR(VLOOKUP(TRIM(B380),Inventory!E:E,1,0),0)</f>
        <v>0</v>
      </c>
      <c r="D380" t="str">
        <f t="shared" si="11"/>
        <v/>
      </c>
    </row>
    <row r="381" spans="1:4" x14ac:dyDescent="0.25">
      <c r="A381" s="7"/>
      <c r="B381" s="5" t="str">
        <f t="shared" si="10"/>
        <v/>
      </c>
      <c r="C381">
        <f>IFERROR(VLOOKUP(TRIM(B381),Inventory!E:E,1,0),0)</f>
        <v>0</v>
      </c>
      <c r="D381" t="str">
        <f t="shared" si="11"/>
        <v/>
      </c>
    </row>
    <row r="382" spans="1:4" x14ac:dyDescent="0.25">
      <c r="A382" s="7"/>
      <c r="B382" s="5" t="str">
        <f t="shared" si="10"/>
        <v/>
      </c>
      <c r="C382">
        <f>IFERROR(VLOOKUP(TRIM(B382),Inventory!E:E,1,0),0)</f>
        <v>0</v>
      </c>
      <c r="D382" t="str">
        <f t="shared" si="11"/>
        <v/>
      </c>
    </row>
    <row r="383" spans="1:4" x14ac:dyDescent="0.25">
      <c r="A383" s="7"/>
      <c r="B383" s="5" t="str">
        <f t="shared" si="10"/>
        <v/>
      </c>
      <c r="C383">
        <f>IFERROR(VLOOKUP(TRIM(B383),Inventory!E:E,1,0),0)</f>
        <v>0</v>
      </c>
      <c r="D383" t="str">
        <f t="shared" si="11"/>
        <v/>
      </c>
    </row>
    <row r="384" spans="1:4" x14ac:dyDescent="0.25">
      <c r="A384" s="7"/>
      <c r="B384" s="5" t="str">
        <f t="shared" si="10"/>
        <v/>
      </c>
      <c r="C384">
        <f>IFERROR(VLOOKUP(TRIM(B384),Inventory!E:E,1,0),0)</f>
        <v>0</v>
      </c>
      <c r="D384" t="str">
        <f t="shared" si="11"/>
        <v/>
      </c>
    </row>
    <row r="385" spans="1:4" x14ac:dyDescent="0.25">
      <c r="A385" s="7"/>
      <c r="B385" s="5" t="str">
        <f t="shared" si="10"/>
        <v/>
      </c>
      <c r="C385">
        <f>IFERROR(VLOOKUP(TRIM(B385),Inventory!E:E,1,0),0)</f>
        <v>0</v>
      </c>
      <c r="D385" t="str">
        <f t="shared" si="11"/>
        <v/>
      </c>
    </row>
    <row r="386" spans="1:4" x14ac:dyDescent="0.25">
      <c r="A386" s="7"/>
      <c r="B386" s="5" t="str">
        <f t="shared" si="10"/>
        <v/>
      </c>
      <c r="C386">
        <f>IFERROR(VLOOKUP(TRIM(B386),Inventory!E:E,1,0),0)</f>
        <v>0</v>
      </c>
      <c r="D386" t="str">
        <f t="shared" si="11"/>
        <v/>
      </c>
    </row>
    <row r="387" spans="1:4" x14ac:dyDescent="0.25">
      <c r="A387" s="7"/>
      <c r="B387" s="5" t="str">
        <f t="shared" ref="B387:B450" si="12">SUBSTITUTE(SUBSTITUTE(A387,"ö","0"),"Ö","0")</f>
        <v/>
      </c>
      <c r="C387">
        <f>IFERROR(VLOOKUP(TRIM(B387),Inventory!E:E,1,0),0)</f>
        <v>0</v>
      </c>
      <c r="D387" t="str">
        <f t="shared" ref="D387:D450" si="13">IF(AND(TRIM(A387)&lt;&gt;"",C387=0),"NINCS A LISTÁBAN","")</f>
        <v/>
      </c>
    </row>
    <row r="388" spans="1:4" x14ac:dyDescent="0.25">
      <c r="A388" s="7"/>
      <c r="B388" s="5" t="str">
        <f t="shared" si="12"/>
        <v/>
      </c>
      <c r="C388">
        <f>IFERROR(VLOOKUP(TRIM(B388),Inventory!E:E,1,0),0)</f>
        <v>0</v>
      </c>
      <c r="D388" t="str">
        <f t="shared" si="13"/>
        <v/>
      </c>
    </row>
    <row r="389" spans="1:4" x14ac:dyDescent="0.25">
      <c r="A389" s="7"/>
      <c r="B389" s="5" t="str">
        <f t="shared" si="12"/>
        <v/>
      </c>
      <c r="C389">
        <f>IFERROR(VLOOKUP(TRIM(B389),Inventory!E:E,1,0),0)</f>
        <v>0</v>
      </c>
      <c r="D389" t="str">
        <f t="shared" si="13"/>
        <v/>
      </c>
    </row>
    <row r="390" spans="1:4" x14ac:dyDescent="0.25">
      <c r="A390" s="7"/>
      <c r="B390" s="5" t="str">
        <f t="shared" si="12"/>
        <v/>
      </c>
      <c r="C390">
        <f>IFERROR(VLOOKUP(TRIM(B390),Inventory!E:E,1,0),0)</f>
        <v>0</v>
      </c>
      <c r="D390" t="str">
        <f t="shared" si="13"/>
        <v/>
      </c>
    </row>
    <row r="391" spans="1:4" x14ac:dyDescent="0.25">
      <c r="A391" s="7"/>
      <c r="B391" s="5" t="str">
        <f t="shared" si="12"/>
        <v/>
      </c>
      <c r="C391">
        <f>IFERROR(VLOOKUP(TRIM(B391),Inventory!E:E,1,0),0)</f>
        <v>0</v>
      </c>
      <c r="D391" t="str">
        <f t="shared" si="13"/>
        <v/>
      </c>
    </row>
    <row r="392" spans="1:4" x14ac:dyDescent="0.25">
      <c r="A392" s="7"/>
      <c r="B392" s="5" t="str">
        <f t="shared" si="12"/>
        <v/>
      </c>
      <c r="C392">
        <f>IFERROR(VLOOKUP(TRIM(B392),Inventory!E:E,1,0),0)</f>
        <v>0</v>
      </c>
      <c r="D392" t="str">
        <f t="shared" si="13"/>
        <v/>
      </c>
    </row>
    <row r="393" spans="1:4" x14ac:dyDescent="0.25">
      <c r="A393" s="7"/>
      <c r="B393" s="5" t="str">
        <f t="shared" si="12"/>
        <v/>
      </c>
      <c r="C393">
        <f>IFERROR(VLOOKUP(TRIM(B393),Inventory!E:E,1,0),0)</f>
        <v>0</v>
      </c>
      <c r="D393" t="str">
        <f t="shared" si="13"/>
        <v/>
      </c>
    </row>
    <row r="394" spans="1:4" x14ac:dyDescent="0.25">
      <c r="A394" s="7"/>
      <c r="B394" s="5" t="str">
        <f t="shared" si="12"/>
        <v/>
      </c>
      <c r="C394">
        <f>IFERROR(VLOOKUP(TRIM(B394),Inventory!E:E,1,0),0)</f>
        <v>0</v>
      </c>
      <c r="D394" t="str">
        <f t="shared" si="13"/>
        <v/>
      </c>
    </row>
    <row r="395" spans="1:4" x14ac:dyDescent="0.25">
      <c r="A395" s="7"/>
      <c r="B395" s="5" t="str">
        <f t="shared" si="12"/>
        <v/>
      </c>
      <c r="C395">
        <f>IFERROR(VLOOKUP(TRIM(B395),Inventory!E:E,1,0),0)</f>
        <v>0</v>
      </c>
      <c r="D395" t="str">
        <f t="shared" si="13"/>
        <v/>
      </c>
    </row>
    <row r="396" spans="1:4" x14ac:dyDescent="0.25">
      <c r="A396" s="7"/>
      <c r="B396" s="5" t="str">
        <f t="shared" si="12"/>
        <v/>
      </c>
      <c r="C396">
        <f>IFERROR(VLOOKUP(TRIM(B396),Inventory!E:E,1,0),0)</f>
        <v>0</v>
      </c>
      <c r="D396" t="str">
        <f t="shared" si="13"/>
        <v/>
      </c>
    </row>
    <row r="397" spans="1:4" x14ac:dyDescent="0.25">
      <c r="A397" s="7"/>
      <c r="B397" s="5" t="str">
        <f t="shared" si="12"/>
        <v/>
      </c>
      <c r="C397">
        <f>IFERROR(VLOOKUP(TRIM(B397),Inventory!E:E,1,0),0)</f>
        <v>0</v>
      </c>
      <c r="D397" t="str">
        <f t="shared" si="13"/>
        <v/>
      </c>
    </row>
    <row r="398" spans="1:4" x14ac:dyDescent="0.25">
      <c r="A398" s="7"/>
      <c r="B398" s="5" t="str">
        <f t="shared" si="12"/>
        <v/>
      </c>
      <c r="C398">
        <f>IFERROR(VLOOKUP(TRIM(B398),Inventory!E:E,1,0),0)</f>
        <v>0</v>
      </c>
      <c r="D398" t="str">
        <f t="shared" si="13"/>
        <v/>
      </c>
    </row>
    <row r="399" spans="1:4" x14ac:dyDescent="0.25">
      <c r="A399" s="7"/>
      <c r="B399" s="5" t="str">
        <f t="shared" si="12"/>
        <v/>
      </c>
      <c r="C399">
        <f>IFERROR(VLOOKUP(TRIM(B399),Inventory!E:E,1,0),0)</f>
        <v>0</v>
      </c>
      <c r="D399" t="str">
        <f t="shared" si="13"/>
        <v/>
      </c>
    </row>
    <row r="400" spans="1:4" x14ac:dyDescent="0.25">
      <c r="A400" s="7"/>
      <c r="B400" s="5" t="str">
        <f t="shared" si="12"/>
        <v/>
      </c>
      <c r="C400">
        <f>IFERROR(VLOOKUP(TRIM(B400),Inventory!E:E,1,0),0)</f>
        <v>0</v>
      </c>
      <c r="D400" t="str">
        <f t="shared" si="13"/>
        <v/>
      </c>
    </row>
    <row r="401" spans="1:4" x14ac:dyDescent="0.25">
      <c r="A401" s="7"/>
      <c r="B401" s="5" t="str">
        <f t="shared" si="12"/>
        <v/>
      </c>
      <c r="C401">
        <f>IFERROR(VLOOKUP(TRIM(B401),Inventory!E:E,1,0),0)</f>
        <v>0</v>
      </c>
      <c r="D401" t="str">
        <f t="shared" si="13"/>
        <v/>
      </c>
    </row>
    <row r="402" spans="1:4" x14ac:dyDescent="0.25">
      <c r="A402" s="7"/>
      <c r="B402" s="5" t="str">
        <f t="shared" si="12"/>
        <v/>
      </c>
      <c r="C402">
        <f>IFERROR(VLOOKUP(TRIM(B402),Inventory!E:E,1,0),0)</f>
        <v>0</v>
      </c>
      <c r="D402" t="str">
        <f t="shared" si="13"/>
        <v/>
      </c>
    </row>
    <row r="403" spans="1:4" x14ac:dyDescent="0.25">
      <c r="A403" s="7"/>
      <c r="B403" s="5" t="str">
        <f t="shared" si="12"/>
        <v/>
      </c>
      <c r="C403">
        <f>IFERROR(VLOOKUP(TRIM(B403),Inventory!E:E,1,0),0)</f>
        <v>0</v>
      </c>
      <c r="D403" t="str">
        <f t="shared" si="13"/>
        <v/>
      </c>
    </row>
    <row r="404" spans="1:4" x14ac:dyDescent="0.25">
      <c r="A404" s="7"/>
      <c r="B404" s="5" t="str">
        <f t="shared" si="12"/>
        <v/>
      </c>
      <c r="C404">
        <f>IFERROR(VLOOKUP(TRIM(B404),Inventory!E:E,1,0),0)</f>
        <v>0</v>
      </c>
      <c r="D404" t="str">
        <f t="shared" si="13"/>
        <v/>
      </c>
    </row>
    <row r="405" spans="1:4" x14ac:dyDescent="0.25">
      <c r="A405" s="7"/>
      <c r="B405" s="5" t="str">
        <f t="shared" si="12"/>
        <v/>
      </c>
      <c r="C405">
        <f>IFERROR(VLOOKUP(TRIM(B405),Inventory!E:E,1,0),0)</f>
        <v>0</v>
      </c>
      <c r="D405" t="str">
        <f t="shared" si="13"/>
        <v/>
      </c>
    </row>
    <row r="406" spans="1:4" x14ac:dyDescent="0.25">
      <c r="A406" s="7"/>
      <c r="B406" s="5" t="str">
        <f t="shared" si="12"/>
        <v/>
      </c>
      <c r="C406">
        <f>IFERROR(VLOOKUP(TRIM(B406),Inventory!E:E,1,0),0)</f>
        <v>0</v>
      </c>
      <c r="D406" t="str">
        <f t="shared" si="13"/>
        <v/>
      </c>
    </row>
    <row r="407" spans="1:4" x14ac:dyDescent="0.25">
      <c r="A407" s="7"/>
      <c r="B407" s="5" t="str">
        <f t="shared" si="12"/>
        <v/>
      </c>
      <c r="C407">
        <f>IFERROR(VLOOKUP(TRIM(B407),Inventory!E:E,1,0),0)</f>
        <v>0</v>
      </c>
      <c r="D407" t="str">
        <f t="shared" si="13"/>
        <v/>
      </c>
    </row>
    <row r="408" spans="1:4" x14ac:dyDescent="0.25">
      <c r="A408" s="7"/>
      <c r="B408" s="5" t="str">
        <f t="shared" si="12"/>
        <v/>
      </c>
      <c r="C408">
        <f>IFERROR(VLOOKUP(TRIM(B408),Inventory!E:E,1,0),0)</f>
        <v>0</v>
      </c>
      <c r="D408" t="str">
        <f t="shared" si="13"/>
        <v/>
      </c>
    </row>
    <row r="409" spans="1:4" x14ac:dyDescent="0.25">
      <c r="A409" s="7"/>
      <c r="B409" s="5" t="str">
        <f t="shared" si="12"/>
        <v/>
      </c>
      <c r="C409">
        <f>IFERROR(VLOOKUP(TRIM(B409),Inventory!E:E,1,0),0)</f>
        <v>0</v>
      </c>
      <c r="D409" t="str">
        <f t="shared" si="13"/>
        <v/>
      </c>
    </row>
    <row r="410" spans="1:4" x14ac:dyDescent="0.25">
      <c r="A410" s="7"/>
      <c r="B410" s="5" t="str">
        <f t="shared" si="12"/>
        <v/>
      </c>
      <c r="C410">
        <f>IFERROR(VLOOKUP(TRIM(B410),Inventory!E:E,1,0),0)</f>
        <v>0</v>
      </c>
      <c r="D410" t="str">
        <f t="shared" si="13"/>
        <v/>
      </c>
    </row>
    <row r="411" spans="1:4" x14ac:dyDescent="0.25">
      <c r="A411" s="7"/>
      <c r="B411" s="5" t="str">
        <f t="shared" si="12"/>
        <v/>
      </c>
      <c r="C411">
        <f>IFERROR(VLOOKUP(TRIM(B411),Inventory!E:E,1,0),0)</f>
        <v>0</v>
      </c>
      <c r="D411" t="str">
        <f t="shared" si="13"/>
        <v/>
      </c>
    </row>
    <row r="412" spans="1:4" x14ac:dyDescent="0.25">
      <c r="A412" s="7"/>
      <c r="B412" s="5" t="str">
        <f t="shared" si="12"/>
        <v/>
      </c>
      <c r="C412">
        <f>IFERROR(VLOOKUP(TRIM(B412),Inventory!E:E,1,0),0)</f>
        <v>0</v>
      </c>
      <c r="D412" t="str">
        <f t="shared" si="13"/>
        <v/>
      </c>
    </row>
    <row r="413" spans="1:4" x14ac:dyDescent="0.25">
      <c r="A413" s="7"/>
      <c r="B413" s="5" t="str">
        <f t="shared" si="12"/>
        <v/>
      </c>
      <c r="C413">
        <f>IFERROR(VLOOKUP(TRIM(B413),Inventory!E:E,1,0),0)</f>
        <v>0</v>
      </c>
      <c r="D413" t="str">
        <f t="shared" si="13"/>
        <v/>
      </c>
    </row>
    <row r="414" spans="1:4" x14ac:dyDescent="0.25">
      <c r="A414" s="7"/>
      <c r="B414" s="5" t="str">
        <f t="shared" si="12"/>
        <v/>
      </c>
      <c r="C414">
        <f>IFERROR(VLOOKUP(TRIM(B414),Inventory!E:E,1,0),0)</f>
        <v>0</v>
      </c>
      <c r="D414" t="str">
        <f t="shared" si="13"/>
        <v/>
      </c>
    </row>
    <row r="415" spans="1:4" x14ac:dyDescent="0.25">
      <c r="A415" s="7"/>
      <c r="B415" s="5" t="str">
        <f t="shared" si="12"/>
        <v/>
      </c>
      <c r="C415">
        <f>IFERROR(VLOOKUP(TRIM(B415),Inventory!E:E,1,0),0)</f>
        <v>0</v>
      </c>
      <c r="D415" t="str">
        <f t="shared" si="13"/>
        <v/>
      </c>
    </row>
    <row r="416" spans="1:4" x14ac:dyDescent="0.25">
      <c r="A416" s="7"/>
      <c r="B416" s="5" t="str">
        <f t="shared" si="12"/>
        <v/>
      </c>
      <c r="C416">
        <f>IFERROR(VLOOKUP(TRIM(B416),Inventory!E:E,1,0),0)</f>
        <v>0</v>
      </c>
      <c r="D416" t="str">
        <f t="shared" si="13"/>
        <v/>
      </c>
    </row>
    <row r="417" spans="1:4" x14ac:dyDescent="0.25">
      <c r="A417" s="7"/>
      <c r="B417" s="5" t="str">
        <f t="shared" si="12"/>
        <v/>
      </c>
      <c r="C417">
        <f>IFERROR(VLOOKUP(TRIM(B417),Inventory!E:E,1,0),0)</f>
        <v>0</v>
      </c>
      <c r="D417" t="str">
        <f t="shared" si="13"/>
        <v/>
      </c>
    </row>
    <row r="418" spans="1:4" x14ac:dyDescent="0.25">
      <c r="A418" s="7"/>
      <c r="B418" s="5" t="str">
        <f t="shared" si="12"/>
        <v/>
      </c>
      <c r="C418">
        <f>IFERROR(VLOOKUP(TRIM(B418),Inventory!E:E,1,0),0)</f>
        <v>0</v>
      </c>
      <c r="D418" t="str">
        <f t="shared" si="13"/>
        <v/>
      </c>
    </row>
    <row r="419" spans="1:4" x14ac:dyDescent="0.25">
      <c r="A419" s="7"/>
      <c r="B419" s="5" t="str">
        <f t="shared" si="12"/>
        <v/>
      </c>
      <c r="C419">
        <f>IFERROR(VLOOKUP(TRIM(B419),Inventory!E:E,1,0),0)</f>
        <v>0</v>
      </c>
      <c r="D419" t="str">
        <f t="shared" si="13"/>
        <v/>
      </c>
    </row>
    <row r="420" spans="1:4" x14ac:dyDescent="0.25">
      <c r="A420" s="7"/>
      <c r="B420" s="5" t="str">
        <f t="shared" si="12"/>
        <v/>
      </c>
      <c r="C420">
        <f>IFERROR(VLOOKUP(TRIM(B420),Inventory!E:E,1,0),0)</f>
        <v>0</v>
      </c>
      <c r="D420" t="str">
        <f t="shared" si="13"/>
        <v/>
      </c>
    </row>
    <row r="421" spans="1:4" x14ac:dyDescent="0.25">
      <c r="A421" s="7"/>
      <c r="B421" s="5" t="str">
        <f t="shared" si="12"/>
        <v/>
      </c>
      <c r="C421">
        <f>IFERROR(VLOOKUP(TRIM(B421),Inventory!E:E,1,0),0)</f>
        <v>0</v>
      </c>
      <c r="D421" t="str">
        <f t="shared" si="13"/>
        <v/>
      </c>
    </row>
    <row r="422" spans="1:4" x14ac:dyDescent="0.25">
      <c r="A422" s="7"/>
      <c r="B422" s="5" t="str">
        <f t="shared" si="12"/>
        <v/>
      </c>
      <c r="C422">
        <f>IFERROR(VLOOKUP(TRIM(B422),Inventory!E:E,1,0),0)</f>
        <v>0</v>
      </c>
      <c r="D422" t="str">
        <f t="shared" si="13"/>
        <v/>
      </c>
    </row>
    <row r="423" spans="1:4" x14ac:dyDescent="0.25">
      <c r="A423" s="7"/>
      <c r="B423" s="5" t="str">
        <f t="shared" si="12"/>
        <v/>
      </c>
      <c r="C423">
        <f>IFERROR(VLOOKUP(TRIM(B423),Inventory!E:E,1,0),0)</f>
        <v>0</v>
      </c>
      <c r="D423" t="str">
        <f t="shared" si="13"/>
        <v/>
      </c>
    </row>
    <row r="424" spans="1:4" x14ac:dyDescent="0.25">
      <c r="A424" s="7"/>
      <c r="B424" s="5" t="str">
        <f t="shared" si="12"/>
        <v/>
      </c>
      <c r="C424">
        <f>IFERROR(VLOOKUP(TRIM(B424),Inventory!E:E,1,0),0)</f>
        <v>0</v>
      </c>
      <c r="D424" t="str">
        <f t="shared" si="13"/>
        <v/>
      </c>
    </row>
    <row r="425" spans="1:4" x14ac:dyDescent="0.25">
      <c r="A425" s="7"/>
      <c r="B425" s="5" t="str">
        <f t="shared" si="12"/>
        <v/>
      </c>
      <c r="C425">
        <f>IFERROR(VLOOKUP(TRIM(B425),Inventory!E:E,1,0),0)</f>
        <v>0</v>
      </c>
      <c r="D425" t="str">
        <f t="shared" si="13"/>
        <v/>
      </c>
    </row>
    <row r="426" spans="1:4" x14ac:dyDescent="0.25">
      <c r="A426" s="7"/>
      <c r="B426" s="5" t="str">
        <f t="shared" si="12"/>
        <v/>
      </c>
      <c r="C426">
        <f>IFERROR(VLOOKUP(TRIM(B426),Inventory!E:E,1,0),0)</f>
        <v>0</v>
      </c>
      <c r="D426" t="str">
        <f t="shared" si="13"/>
        <v/>
      </c>
    </row>
    <row r="427" spans="1:4" x14ac:dyDescent="0.25">
      <c r="A427" s="7"/>
      <c r="B427" s="5" t="str">
        <f t="shared" si="12"/>
        <v/>
      </c>
      <c r="C427">
        <f>IFERROR(VLOOKUP(TRIM(B427),Inventory!E:E,1,0),0)</f>
        <v>0</v>
      </c>
      <c r="D427" t="str">
        <f t="shared" si="13"/>
        <v/>
      </c>
    </row>
    <row r="428" spans="1:4" x14ac:dyDescent="0.25">
      <c r="A428" s="7"/>
      <c r="B428" s="5" t="str">
        <f t="shared" si="12"/>
        <v/>
      </c>
      <c r="C428">
        <f>IFERROR(VLOOKUP(TRIM(B428),Inventory!E:E,1,0),0)</f>
        <v>0</v>
      </c>
      <c r="D428" t="str">
        <f t="shared" si="13"/>
        <v/>
      </c>
    </row>
    <row r="429" spans="1:4" x14ac:dyDescent="0.25">
      <c r="A429" s="7"/>
      <c r="B429" s="5" t="str">
        <f t="shared" si="12"/>
        <v/>
      </c>
      <c r="C429">
        <f>IFERROR(VLOOKUP(TRIM(B429),Inventory!E:E,1,0),0)</f>
        <v>0</v>
      </c>
      <c r="D429" t="str">
        <f t="shared" si="13"/>
        <v/>
      </c>
    </row>
    <row r="430" spans="1:4" x14ac:dyDescent="0.25">
      <c r="A430" s="7"/>
      <c r="B430" s="5" t="str">
        <f t="shared" si="12"/>
        <v/>
      </c>
      <c r="C430">
        <f>IFERROR(VLOOKUP(TRIM(B430),Inventory!E:E,1,0),0)</f>
        <v>0</v>
      </c>
      <c r="D430" t="str">
        <f t="shared" si="13"/>
        <v/>
      </c>
    </row>
    <row r="431" spans="1:4" x14ac:dyDescent="0.25">
      <c r="A431" s="7"/>
      <c r="B431" s="5" t="str">
        <f t="shared" si="12"/>
        <v/>
      </c>
      <c r="C431">
        <f>IFERROR(VLOOKUP(TRIM(B431),Inventory!E:E,1,0),0)</f>
        <v>0</v>
      </c>
      <c r="D431" t="str">
        <f t="shared" si="13"/>
        <v/>
      </c>
    </row>
    <row r="432" spans="1:4" x14ac:dyDescent="0.25">
      <c r="A432" s="7"/>
      <c r="B432" s="5" t="str">
        <f t="shared" si="12"/>
        <v/>
      </c>
      <c r="C432">
        <f>IFERROR(VLOOKUP(TRIM(B432),Inventory!E:E,1,0),0)</f>
        <v>0</v>
      </c>
      <c r="D432" t="str">
        <f t="shared" si="13"/>
        <v/>
      </c>
    </row>
    <row r="433" spans="1:4" x14ac:dyDescent="0.25">
      <c r="A433" s="7"/>
      <c r="B433" s="5" t="str">
        <f t="shared" si="12"/>
        <v/>
      </c>
      <c r="C433">
        <f>IFERROR(VLOOKUP(TRIM(B433),Inventory!E:E,1,0),0)</f>
        <v>0</v>
      </c>
      <c r="D433" t="str">
        <f t="shared" si="13"/>
        <v/>
      </c>
    </row>
    <row r="434" spans="1:4" x14ac:dyDescent="0.25">
      <c r="A434" s="7"/>
      <c r="B434" s="5" t="str">
        <f t="shared" si="12"/>
        <v/>
      </c>
      <c r="C434">
        <f>IFERROR(VLOOKUP(TRIM(B434),Inventory!E:E,1,0),0)</f>
        <v>0</v>
      </c>
      <c r="D434" t="str">
        <f t="shared" si="13"/>
        <v/>
      </c>
    </row>
    <row r="435" spans="1:4" x14ac:dyDescent="0.25">
      <c r="A435" s="7"/>
      <c r="B435" s="5" t="str">
        <f t="shared" si="12"/>
        <v/>
      </c>
      <c r="C435">
        <f>IFERROR(VLOOKUP(TRIM(B435),Inventory!E:E,1,0),0)</f>
        <v>0</v>
      </c>
      <c r="D435" t="str">
        <f t="shared" si="13"/>
        <v/>
      </c>
    </row>
    <row r="436" spans="1:4" x14ac:dyDescent="0.25">
      <c r="A436" s="7"/>
      <c r="B436" s="5" t="str">
        <f t="shared" si="12"/>
        <v/>
      </c>
      <c r="C436">
        <f>IFERROR(VLOOKUP(TRIM(B436),Inventory!E:E,1,0),0)</f>
        <v>0</v>
      </c>
      <c r="D436" t="str">
        <f t="shared" si="13"/>
        <v/>
      </c>
    </row>
    <row r="437" spans="1:4" x14ac:dyDescent="0.25">
      <c r="A437" s="7"/>
      <c r="B437" s="5" t="str">
        <f t="shared" si="12"/>
        <v/>
      </c>
      <c r="C437">
        <f>IFERROR(VLOOKUP(TRIM(B437),Inventory!E:E,1,0),0)</f>
        <v>0</v>
      </c>
      <c r="D437" t="str">
        <f t="shared" si="13"/>
        <v/>
      </c>
    </row>
    <row r="438" spans="1:4" x14ac:dyDescent="0.25">
      <c r="A438" s="7"/>
      <c r="B438" s="5" t="str">
        <f t="shared" si="12"/>
        <v/>
      </c>
      <c r="C438">
        <f>IFERROR(VLOOKUP(TRIM(B438),Inventory!E:E,1,0),0)</f>
        <v>0</v>
      </c>
      <c r="D438" t="str">
        <f t="shared" si="13"/>
        <v/>
      </c>
    </row>
    <row r="439" spans="1:4" x14ac:dyDescent="0.25">
      <c r="A439" s="7"/>
      <c r="B439" s="5" t="str">
        <f t="shared" si="12"/>
        <v/>
      </c>
      <c r="C439">
        <f>IFERROR(VLOOKUP(TRIM(B439),Inventory!E:E,1,0),0)</f>
        <v>0</v>
      </c>
      <c r="D439" t="str">
        <f t="shared" si="13"/>
        <v/>
      </c>
    </row>
    <row r="440" spans="1:4" x14ac:dyDescent="0.25">
      <c r="A440" s="7"/>
      <c r="B440" s="5" t="str">
        <f t="shared" si="12"/>
        <v/>
      </c>
      <c r="C440">
        <f>IFERROR(VLOOKUP(TRIM(B440),Inventory!E:E,1,0),0)</f>
        <v>0</v>
      </c>
      <c r="D440" t="str">
        <f t="shared" si="13"/>
        <v/>
      </c>
    </row>
    <row r="441" spans="1:4" x14ac:dyDescent="0.25">
      <c r="A441" s="7"/>
      <c r="B441" s="5" t="str">
        <f t="shared" si="12"/>
        <v/>
      </c>
      <c r="C441">
        <f>IFERROR(VLOOKUP(TRIM(B441),Inventory!E:E,1,0),0)</f>
        <v>0</v>
      </c>
      <c r="D441" t="str">
        <f t="shared" si="13"/>
        <v/>
      </c>
    </row>
    <row r="442" spans="1:4" x14ac:dyDescent="0.25">
      <c r="A442" s="7"/>
      <c r="B442" s="5" t="str">
        <f t="shared" si="12"/>
        <v/>
      </c>
      <c r="C442">
        <f>IFERROR(VLOOKUP(TRIM(B442),Inventory!E:E,1,0),0)</f>
        <v>0</v>
      </c>
      <c r="D442" t="str">
        <f t="shared" si="13"/>
        <v/>
      </c>
    </row>
    <row r="443" spans="1:4" x14ac:dyDescent="0.25">
      <c r="A443" s="7"/>
      <c r="B443" s="5" t="str">
        <f t="shared" si="12"/>
        <v/>
      </c>
      <c r="C443">
        <f>IFERROR(VLOOKUP(TRIM(B443),Inventory!E:E,1,0),0)</f>
        <v>0</v>
      </c>
      <c r="D443" t="str">
        <f t="shared" si="13"/>
        <v/>
      </c>
    </row>
    <row r="444" spans="1:4" x14ac:dyDescent="0.25">
      <c r="A444" s="7"/>
      <c r="B444" s="5" t="str">
        <f t="shared" si="12"/>
        <v/>
      </c>
      <c r="C444">
        <f>IFERROR(VLOOKUP(TRIM(B444),Inventory!E:E,1,0),0)</f>
        <v>0</v>
      </c>
      <c r="D444" t="str">
        <f t="shared" si="13"/>
        <v/>
      </c>
    </row>
    <row r="445" spans="1:4" x14ac:dyDescent="0.25">
      <c r="A445" s="7"/>
      <c r="B445" s="5" t="str">
        <f t="shared" si="12"/>
        <v/>
      </c>
      <c r="C445">
        <f>IFERROR(VLOOKUP(TRIM(B445),Inventory!E:E,1,0),0)</f>
        <v>0</v>
      </c>
      <c r="D445" t="str">
        <f t="shared" si="13"/>
        <v/>
      </c>
    </row>
    <row r="446" spans="1:4" x14ac:dyDescent="0.25">
      <c r="A446" s="7"/>
      <c r="B446" s="5" t="str">
        <f t="shared" si="12"/>
        <v/>
      </c>
      <c r="C446">
        <f>IFERROR(VLOOKUP(TRIM(B446),Inventory!E:E,1,0),0)</f>
        <v>0</v>
      </c>
      <c r="D446" t="str">
        <f t="shared" si="13"/>
        <v/>
      </c>
    </row>
    <row r="447" spans="1:4" x14ac:dyDescent="0.25">
      <c r="A447" s="7"/>
      <c r="B447" s="5" t="str">
        <f t="shared" si="12"/>
        <v/>
      </c>
      <c r="C447">
        <f>IFERROR(VLOOKUP(TRIM(B447),Inventory!E:E,1,0),0)</f>
        <v>0</v>
      </c>
      <c r="D447" t="str">
        <f t="shared" si="13"/>
        <v/>
      </c>
    </row>
    <row r="448" spans="1:4" x14ac:dyDescent="0.25">
      <c r="A448" s="7"/>
      <c r="B448" s="5" t="str">
        <f t="shared" si="12"/>
        <v/>
      </c>
      <c r="C448">
        <f>IFERROR(VLOOKUP(TRIM(B448),Inventory!E:E,1,0),0)</f>
        <v>0</v>
      </c>
      <c r="D448" t="str">
        <f t="shared" si="13"/>
        <v/>
      </c>
    </row>
    <row r="449" spans="1:4" x14ac:dyDescent="0.25">
      <c r="A449" s="7"/>
      <c r="B449" s="5" t="str">
        <f t="shared" si="12"/>
        <v/>
      </c>
      <c r="C449">
        <f>IFERROR(VLOOKUP(TRIM(B449),Inventory!E:E,1,0),0)</f>
        <v>0</v>
      </c>
      <c r="D449" t="str">
        <f t="shared" si="13"/>
        <v/>
      </c>
    </row>
    <row r="450" spans="1:4" x14ac:dyDescent="0.25">
      <c r="A450" s="7"/>
      <c r="B450" s="5" t="str">
        <f t="shared" si="12"/>
        <v/>
      </c>
      <c r="C450">
        <f>IFERROR(VLOOKUP(TRIM(B450),Inventory!E:E,1,0),0)</f>
        <v>0</v>
      </c>
      <c r="D450" t="str">
        <f t="shared" si="13"/>
        <v/>
      </c>
    </row>
    <row r="451" spans="1:4" x14ac:dyDescent="0.25">
      <c r="A451" s="7"/>
      <c r="B451" s="5" t="str">
        <f t="shared" ref="B451:B514" si="14">SUBSTITUTE(SUBSTITUTE(A451,"ö","0"),"Ö","0")</f>
        <v/>
      </c>
      <c r="C451">
        <f>IFERROR(VLOOKUP(TRIM(B451),Inventory!E:E,1,0),0)</f>
        <v>0</v>
      </c>
      <c r="D451" t="str">
        <f t="shared" ref="D451:D514" si="15">IF(AND(TRIM(A451)&lt;&gt;"",C451=0),"NINCS A LISTÁBAN","")</f>
        <v/>
      </c>
    </row>
    <row r="452" spans="1:4" x14ac:dyDescent="0.25">
      <c r="A452" s="7"/>
      <c r="B452" s="5" t="str">
        <f t="shared" si="14"/>
        <v/>
      </c>
      <c r="C452">
        <f>IFERROR(VLOOKUP(TRIM(B452),Inventory!E:E,1,0),0)</f>
        <v>0</v>
      </c>
      <c r="D452" t="str">
        <f t="shared" si="15"/>
        <v/>
      </c>
    </row>
    <row r="453" spans="1:4" x14ac:dyDescent="0.25">
      <c r="A453" s="7"/>
      <c r="B453" s="5" t="str">
        <f t="shared" si="14"/>
        <v/>
      </c>
      <c r="C453">
        <f>IFERROR(VLOOKUP(TRIM(B453),Inventory!E:E,1,0),0)</f>
        <v>0</v>
      </c>
      <c r="D453" t="str">
        <f t="shared" si="15"/>
        <v/>
      </c>
    </row>
    <row r="454" spans="1:4" x14ac:dyDescent="0.25">
      <c r="A454" s="7"/>
      <c r="B454" s="5" t="str">
        <f t="shared" si="14"/>
        <v/>
      </c>
      <c r="C454">
        <f>IFERROR(VLOOKUP(TRIM(B454),Inventory!E:E,1,0),0)</f>
        <v>0</v>
      </c>
      <c r="D454" t="str">
        <f t="shared" si="15"/>
        <v/>
      </c>
    </row>
    <row r="455" spans="1:4" x14ac:dyDescent="0.25">
      <c r="A455" s="7"/>
      <c r="B455" s="5" t="str">
        <f t="shared" si="14"/>
        <v/>
      </c>
      <c r="C455">
        <f>IFERROR(VLOOKUP(TRIM(B455),Inventory!E:E,1,0),0)</f>
        <v>0</v>
      </c>
      <c r="D455" t="str">
        <f t="shared" si="15"/>
        <v/>
      </c>
    </row>
    <row r="456" spans="1:4" x14ac:dyDescent="0.25">
      <c r="A456" s="7"/>
      <c r="B456" s="5" t="str">
        <f t="shared" si="14"/>
        <v/>
      </c>
      <c r="C456">
        <f>IFERROR(VLOOKUP(TRIM(B456),Inventory!E:E,1,0),0)</f>
        <v>0</v>
      </c>
      <c r="D456" t="str">
        <f t="shared" si="15"/>
        <v/>
      </c>
    </row>
    <row r="457" spans="1:4" x14ac:dyDescent="0.25">
      <c r="A457" s="7"/>
      <c r="B457" s="5" t="str">
        <f t="shared" si="14"/>
        <v/>
      </c>
      <c r="C457">
        <f>IFERROR(VLOOKUP(TRIM(B457),Inventory!E:E,1,0),0)</f>
        <v>0</v>
      </c>
      <c r="D457" t="str">
        <f t="shared" si="15"/>
        <v/>
      </c>
    </row>
    <row r="458" spans="1:4" x14ac:dyDescent="0.25">
      <c r="A458" s="7"/>
      <c r="B458" s="5" t="str">
        <f t="shared" si="14"/>
        <v/>
      </c>
      <c r="C458">
        <f>IFERROR(VLOOKUP(TRIM(B458),Inventory!E:E,1,0),0)</f>
        <v>0</v>
      </c>
      <c r="D458" t="str">
        <f t="shared" si="15"/>
        <v/>
      </c>
    </row>
    <row r="459" spans="1:4" x14ac:dyDescent="0.25">
      <c r="A459" s="7"/>
      <c r="B459" s="5" t="str">
        <f t="shared" si="14"/>
        <v/>
      </c>
      <c r="C459">
        <f>IFERROR(VLOOKUP(TRIM(B459),Inventory!E:E,1,0),0)</f>
        <v>0</v>
      </c>
      <c r="D459" t="str">
        <f t="shared" si="15"/>
        <v/>
      </c>
    </row>
    <row r="460" spans="1:4" x14ac:dyDescent="0.25">
      <c r="A460" s="7"/>
      <c r="B460" s="5" t="str">
        <f t="shared" si="14"/>
        <v/>
      </c>
      <c r="C460">
        <f>IFERROR(VLOOKUP(TRIM(B460),Inventory!E:E,1,0),0)</f>
        <v>0</v>
      </c>
      <c r="D460" t="str">
        <f t="shared" si="15"/>
        <v/>
      </c>
    </row>
    <row r="461" spans="1:4" x14ac:dyDescent="0.25">
      <c r="A461" s="7"/>
      <c r="B461" s="5" t="str">
        <f t="shared" si="14"/>
        <v/>
      </c>
      <c r="C461">
        <f>IFERROR(VLOOKUP(TRIM(B461),Inventory!E:E,1,0),0)</f>
        <v>0</v>
      </c>
      <c r="D461" t="str">
        <f t="shared" si="15"/>
        <v/>
      </c>
    </row>
    <row r="462" spans="1:4" x14ac:dyDescent="0.25">
      <c r="A462" s="7"/>
      <c r="B462" s="5" t="str">
        <f t="shared" si="14"/>
        <v/>
      </c>
      <c r="C462">
        <f>IFERROR(VLOOKUP(TRIM(B462),Inventory!E:E,1,0),0)</f>
        <v>0</v>
      </c>
      <c r="D462" t="str">
        <f t="shared" si="15"/>
        <v/>
      </c>
    </row>
    <row r="463" spans="1:4" x14ac:dyDescent="0.25">
      <c r="A463" s="7"/>
      <c r="B463" s="5" t="str">
        <f t="shared" si="14"/>
        <v/>
      </c>
      <c r="C463">
        <f>IFERROR(VLOOKUP(TRIM(B463),Inventory!E:E,1,0),0)</f>
        <v>0</v>
      </c>
      <c r="D463" t="str">
        <f t="shared" si="15"/>
        <v/>
      </c>
    </row>
    <row r="464" spans="1:4" x14ac:dyDescent="0.25">
      <c r="A464" s="7"/>
      <c r="B464" s="5" t="str">
        <f t="shared" si="14"/>
        <v/>
      </c>
      <c r="C464">
        <f>IFERROR(VLOOKUP(TRIM(B464),Inventory!E:E,1,0),0)</f>
        <v>0</v>
      </c>
      <c r="D464" t="str">
        <f t="shared" si="15"/>
        <v/>
      </c>
    </row>
    <row r="465" spans="1:4" x14ac:dyDescent="0.25">
      <c r="A465" s="7"/>
      <c r="B465" s="5" t="str">
        <f t="shared" si="14"/>
        <v/>
      </c>
      <c r="C465">
        <f>IFERROR(VLOOKUP(TRIM(B465),Inventory!E:E,1,0),0)</f>
        <v>0</v>
      </c>
      <c r="D465" t="str">
        <f t="shared" si="15"/>
        <v/>
      </c>
    </row>
    <row r="466" spans="1:4" x14ac:dyDescent="0.25">
      <c r="A466" s="7"/>
      <c r="B466" s="5" t="str">
        <f t="shared" si="14"/>
        <v/>
      </c>
      <c r="C466">
        <f>IFERROR(VLOOKUP(TRIM(B466),Inventory!E:E,1,0),0)</f>
        <v>0</v>
      </c>
      <c r="D466" t="str">
        <f t="shared" si="15"/>
        <v/>
      </c>
    </row>
    <row r="467" spans="1:4" x14ac:dyDescent="0.25">
      <c r="A467" s="7"/>
      <c r="B467" s="5" t="str">
        <f t="shared" si="14"/>
        <v/>
      </c>
      <c r="C467">
        <f>IFERROR(VLOOKUP(TRIM(B467),Inventory!E:E,1,0),0)</f>
        <v>0</v>
      </c>
      <c r="D467" t="str">
        <f t="shared" si="15"/>
        <v/>
      </c>
    </row>
    <row r="468" spans="1:4" x14ac:dyDescent="0.25">
      <c r="A468" s="7"/>
      <c r="B468" s="5" t="str">
        <f t="shared" si="14"/>
        <v/>
      </c>
      <c r="C468">
        <f>IFERROR(VLOOKUP(TRIM(B468),Inventory!E:E,1,0),0)</f>
        <v>0</v>
      </c>
      <c r="D468" t="str">
        <f t="shared" si="15"/>
        <v/>
      </c>
    </row>
    <row r="469" spans="1:4" x14ac:dyDescent="0.25">
      <c r="A469" s="7"/>
      <c r="B469" s="5" t="str">
        <f t="shared" si="14"/>
        <v/>
      </c>
      <c r="C469">
        <f>IFERROR(VLOOKUP(TRIM(B469),Inventory!E:E,1,0),0)</f>
        <v>0</v>
      </c>
      <c r="D469" t="str">
        <f t="shared" si="15"/>
        <v/>
      </c>
    </row>
    <row r="470" spans="1:4" x14ac:dyDescent="0.25">
      <c r="A470" s="7"/>
      <c r="B470" s="5" t="str">
        <f t="shared" si="14"/>
        <v/>
      </c>
      <c r="C470">
        <f>IFERROR(VLOOKUP(TRIM(B470),Inventory!E:E,1,0),0)</f>
        <v>0</v>
      </c>
      <c r="D470" t="str">
        <f t="shared" si="15"/>
        <v/>
      </c>
    </row>
    <row r="471" spans="1:4" x14ac:dyDescent="0.25">
      <c r="A471" s="7"/>
      <c r="B471" s="5" t="str">
        <f t="shared" si="14"/>
        <v/>
      </c>
      <c r="C471">
        <f>IFERROR(VLOOKUP(TRIM(B471),Inventory!E:E,1,0),0)</f>
        <v>0</v>
      </c>
      <c r="D471" t="str">
        <f t="shared" si="15"/>
        <v/>
      </c>
    </row>
    <row r="472" spans="1:4" x14ac:dyDescent="0.25">
      <c r="A472" s="7"/>
      <c r="B472" s="5" t="str">
        <f t="shared" si="14"/>
        <v/>
      </c>
      <c r="C472">
        <f>IFERROR(VLOOKUP(TRIM(B472),Inventory!E:E,1,0),0)</f>
        <v>0</v>
      </c>
      <c r="D472" t="str">
        <f t="shared" si="15"/>
        <v/>
      </c>
    </row>
    <row r="473" spans="1:4" x14ac:dyDescent="0.25">
      <c r="A473" s="7"/>
      <c r="B473" s="5" t="str">
        <f t="shared" si="14"/>
        <v/>
      </c>
      <c r="C473">
        <f>IFERROR(VLOOKUP(TRIM(B473),Inventory!E:E,1,0),0)</f>
        <v>0</v>
      </c>
      <c r="D473" t="str">
        <f t="shared" si="15"/>
        <v/>
      </c>
    </row>
    <row r="474" spans="1:4" x14ac:dyDescent="0.25">
      <c r="A474" s="7"/>
      <c r="B474" s="5" t="str">
        <f t="shared" si="14"/>
        <v/>
      </c>
      <c r="C474">
        <f>IFERROR(VLOOKUP(TRIM(B474),Inventory!E:E,1,0),0)</f>
        <v>0</v>
      </c>
      <c r="D474" t="str">
        <f t="shared" si="15"/>
        <v/>
      </c>
    </row>
    <row r="475" spans="1:4" x14ac:dyDescent="0.25">
      <c r="A475" s="7"/>
      <c r="B475" s="5" t="str">
        <f t="shared" si="14"/>
        <v/>
      </c>
      <c r="C475">
        <f>IFERROR(VLOOKUP(TRIM(B475),Inventory!E:E,1,0),0)</f>
        <v>0</v>
      </c>
      <c r="D475" t="str">
        <f t="shared" si="15"/>
        <v/>
      </c>
    </row>
    <row r="476" spans="1:4" x14ac:dyDescent="0.25">
      <c r="A476" s="7"/>
      <c r="B476" s="5" t="str">
        <f t="shared" si="14"/>
        <v/>
      </c>
      <c r="C476">
        <f>IFERROR(VLOOKUP(TRIM(B476),Inventory!E:E,1,0),0)</f>
        <v>0</v>
      </c>
      <c r="D476" t="str">
        <f t="shared" si="15"/>
        <v/>
      </c>
    </row>
    <row r="477" spans="1:4" x14ac:dyDescent="0.25">
      <c r="A477" s="7"/>
      <c r="B477" s="5" t="str">
        <f t="shared" si="14"/>
        <v/>
      </c>
      <c r="C477">
        <f>IFERROR(VLOOKUP(TRIM(B477),Inventory!E:E,1,0),0)</f>
        <v>0</v>
      </c>
      <c r="D477" t="str">
        <f t="shared" si="15"/>
        <v/>
      </c>
    </row>
    <row r="478" spans="1:4" x14ac:dyDescent="0.25">
      <c r="A478" s="7"/>
      <c r="B478" s="5" t="str">
        <f t="shared" si="14"/>
        <v/>
      </c>
      <c r="C478">
        <f>IFERROR(VLOOKUP(TRIM(B478),Inventory!E:E,1,0),0)</f>
        <v>0</v>
      </c>
      <c r="D478" t="str">
        <f t="shared" si="15"/>
        <v/>
      </c>
    </row>
    <row r="479" spans="1:4" x14ac:dyDescent="0.25">
      <c r="A479" s="7"/>
      <c r="B479" s="5" t="str">
        <f t="shared" si="14"/>
        <v/>
      </c>
      <c r="C479">
        <f>IFERROR(VLOOKUP(TRIM(B479),Inventory!E:E,1,0),0)</f>
        <v>0</v>
      </c>
      <c r="D479" t="str">
        <f t="shared" si="15"/>
        <v/>
      </c>
    </row>
    <row r="480" spans="1:4" x14ac:dyDescent="0.25">
      <c r="A480" s="7"/>
      <c r="B480" s="5" t="str">
        <f t="shared" si="14"/>
        <v/>
      </c>
      <c r="C480">
        <f>IFERROR(VLOOKUP(TRIM(B480),Inventory!E:E,1,0),0)</f>
        <v>0</v>
      </c>
      <c r="D480" t="str">
        <f t="shared" si="15"/>
        <v/>
      </c>
    </row>
    <row r="481" spans="1:4" x14ac:dyDescent="0.25">
      <c r="A481" s="7"/>
      <c r="B481" s="5" t="str">
        <f t="shared" si="14"/>
        <v/>
      </c>
      <c r="C481">
        <f>IFERROR(VLOOKUP(TRIM(B481),Inventory!E:E,1,0),0)</f>
        <v>0</v>
      </c>
      <c r="D481" t="str">
        <f t="shared" si="15"/>
        <v/>
      </c>
    </row>
    <row r="482" spans="1:4" x14ac:dyDescent="0.25">
      <c r="A482" s="7"/>
      <c r="B482" s="5" t="str">
        <f t="shared" si="14"/>
        <v/>
      </c>
      <c r="C482">
        <f>IFERROR(VLOOKUP(TRIM(B482),Inventory!E:E,1,0),0)</f>
        <v>0</v>
      </c>
      <c r="D482" t="str">
        <f t="shared" si="15"/>
        <v/>
      </c>
    </row>
    <row r="483" spans="1:4" x14ac:dyDescent="0.25">
      <c r="A483" s="7"/>
      <c r="B483" s="5" t="str">
        <f t="shared" si="14"/>
        <v/>
      </c>
      <c r="C483">
        <f>IFERROR(VLOOKUP(TRIM(B483),Inventory!E:E,1,0),0)</f>
        <v>0</v>
      </c>
      <c r="D483" t="str">
        <f t="shared" si="15"/>
        <v/>
      </c>
    </row>
    <row r="484" spans="1:4" x14ac:dyDescent="0.25">
      <c r="A484" s="7"/>
      <c r="B484" s="5" t="str">
        <f t="shared" si="14"/>
        <v/>
      </c>
      <c r="C484">
        <f>IFERROR(VLOOKUP(TRIM(B484),Inventory!E:E,1,0),0)</f>
        <v>0</v>
      </c>
      <c r="D484" t="str">
        <f t="shared" si="15"/>
        <v/>
      </c>
    </row>
    <row r="485" spans="1:4" x14ac:dyDescent="0.25">
      <c r="A485" s="7"/>
      <c r="B485" s="5" t="str">
        <f t="shared" si="14"/>
        <v/>
      </c>
      <c r="C485">
        <f>IFERROR(VLOOKUP(TRIM(B485),Inventory!E:E,1,0),0)</f>
        <v>0</v>
      </c>
      <c r="D485" t="str">
        <f t="shared" si="15"/>
        <v/>
      </c>
    </row>
    <row r="486" spans="1:4" x14ac:dyDescent="0.25">
      <c r="A486" s="7"/>
      <c r="B486" s="5" t="str">
        <f t="shared" si="14"/>
        <v/>
      </c>
      <c r="C486">
        <f>IFERROR(VLOOKUP(TRIM(B486),Inventory!E:E,1,0),0)</f>
        <v>0</v>
      </c>
      <c r="D486" t="str">
        <f t="shared" si="15"/>
        <v/>
      </c>
    </row>
    <row r="487" spans="1:4" x14ac:dyDescent="0.25">
      <c r="A487" s="7"/>
      <c r="B487" s="5" t="str">
        <f t="shared" si="14"/>
        <v/>
      </c>
      <c r="C487">
        <f>IFERROR(VLOOKUP(TRIM(B487),Inventory!E:E,1,0),0)</f>
        <v>0</v>
      </c>
      <c r="D487" t="str">
        <f t="shared" si="15"/>
        <v/>
      </c>
    </row>
    <row r="488" spans="1:4" x14ac:dyDescent="0.25">
      <c r="A488" s="7"/>
      <c r="B488" s="5" t="str">
        <f t="shared" si="14"/>
        <v/>
      </c>
      <c r="C488">
        <f>IFERROR(VLOOKUP(TRIM(B488),Inventory!E:E,1,0),0)</f>
        <v>0</v>
      </c>
      <c r="D488" t="str">
        <f t="shared" si="15"/>
        <v/>
      </c>
    </row>
    <row r="489" spans="1:4" x14ac:dyDescent="0.25">
      <c r="A489" s="7"/>
      <c r="B489" s="5" t="str">
        <f t="shared" si="14"/>
        <v/>
      </c>
      <c r="C489">
        <f>IFERROR(VLOOKUP(TRIM(B489),Inventory!E:E,1,0),0)</f>
        <v>0</v>
      </c>
      <c r="D489" t="str">
        <f t="shared" si="15"/>
        <v/>
      </c>
    </row>
    <row r="490" spans="1:4" x14ac:dyDescent="0.25">
      <c r="A490" s="7"/>
      <c r="B490" s="5" t="str">
        <f t="shared" si="14"/>
        <v/>
      </c>
      <c r="C490">
        <f>IFERROR(VLOOKUP(TRIM(B490),Inventory!E:E,1,0),0)</f>
        <v>0</v>
      </c>
      <c r="D490" t="str">
        <f t="shared" si="15"/>
        <v/>
      </c>
    </row>
    <row r="491" spans="1:4" x14ac:dyDescent="0.25">
      <c r="A491" s="7"/>
      <c r="B491" s="5" t="str">
        <f t="shared" si="14"/>
        <v/>
      </c>
      <c r="C491">
        <f>IFERROR(VLOOKUP(TRIM(B491),Inventory!E:E,1,0),0)</f>
        <v>0</v>
      </c>
      <c r="D491" t="str">
        <f t="shared" si="15"/>
        <v/>
      </c>
    </row>
    <row r="492" spans="1:4" x14ac:dyDescent="0.25">
      <c r="A492" s="7"/>
      <c r="B492" s="5" t="str">
        <f t="shared" si="14"/>
        <v/>
      </c>
      <c r="C492">
        <f>IFERROR(VLOOKUP(TRIM(B492),Inventory!E:E,1,0),0)</f>
        <v>0</v>
      </c>
      <c r="D492" t="str">
        <f t="shared" si="15"/>
        <v/>
      </c>
    </row>
    <row r="493" spans="1:4" x14ac:dyDescent="0.25">
      <c r="A493" s="7"/>
      <c r="B493" s="5" t="str">
        <f t="shared" si="14"/>
        <v/>
      </c>
      <c r="C493">
        <f>IFERROR(VLOOKUP(TRIM(B493),Inventory!E:E,1,0),0)</f>
        <v>0</v>
      </c>
      <c r="D493" t="str">
        <f t="shared" si="15"/>
        <v/>
      </c>
    </row>
    <row r="494" spans="1:4" x14ac:dyDescent="0.25">
      <c r="A494" s="7"/>
      <c r="B494" s="5" t="str">
        <f t="shared" si="14"/>
        <v/>
      </c>
      <c r="C494">
        <f>IFERROR(VLOOKUP(TRIM(B494),Inventory!E:E,1,0),0)</f>
        <v>0</v>
      </c>
      <c r="D494" t="str">
        <f t="shared" si="15"/>
        <v/>
      </c>
    </row>
    <row r="495" spans="1:4" x14ac:dyDescent="0.25">
      <c r="A495" s="7"/>
      <c r="B495" s="5" t="str">
        <f t="shared" si="14"/>
        <v/>
      </c>
      <c r="C495">
        <f>IFERROR(VLOOKUP(TRIM(B495),Inventory!E:E,1,0),0)</f>
        <v>0</v>
      </c>
      <c r="D495" t="str">
        <f t="shared" si="15"/>
        <v/>
      </c>
    </row>
    <row r="496" spans="1:4" x14ac:dyDescent="0.25">
      <c r="A496" s="7"/>
      <c r="B496" s="5" t="str">
        <f t="shared" si="14"/>
        <v/>
      </c>
      <c r="C496">
        <f>IFERROR(VLOOKUP(TRIM(B496),Inventory!E:E,1,0),0)</f>
        <v>0</v>
      </c>
      <c r="D496" t="str">
        <f t="shared" si="15"/>
        <v/>
      </c>
    </row>
    <row r="497" spans="1:4" x14ac:dyDescent="0.25">
      <c r="A497" s="7"/>
      <c r="B497" s="5" t="str">
        <f t="shared" si="14"/>
        <v/>
      </c>
      <c r="C497">
        <f>IFERROR(VLOOKUP(TRIM(B497),Inventory!E:E,1,0),0)</f>
        <v>0</v>
      </c>
      <c r="D497" t="str">
        <f t="shared" si="15"/>
        <v/>
      </c>
    </row>
    <row r="498" spans="1:4" x14ac:dyDescent="0.25">
      <c r="A498" s="7"/>
      <c r="B498" s="5" t="str">
        <f t="shared" si="14"/>
        <v/>
      </c>
      <c r="C498">
        <f>IFERROR(VLOOKUP(TRIM(B498),Inventory!E:E,1,0),0)</f>
        <v>0</v>
      </c>
      <c r="D498" t="str">
        <f t="shared" si="15"/>
        <v/>
      </c>
    </row>
    <row r="499" spans="1:4" x14ac:dyDescent="0.25">
      <c r="A499" s="7"/>
      <c r="B499" s="5" t="str">
        <f t="shared" si="14"/>
        <v/>
      </c>
      <c r="C499">
        <f>IFERROR(VLOOKUP(TRIM(B499),Inventory!E:E,1,0),0)</f>
        <v>0</v>
      </c>
      <c r="D499" t="str">
        <f t="shared" si="15"/>
        <v/>
      </c>
    </row>
    <row r="500" spans="1:4" x14ac:dyDescent="0.25">
      <c r="A500" s="7"/>
      <c r="B500" s="5" t="str">
        <f t="shared" si="14"/>
        <v/>
      </c>
      <c r="C500">
        <f>IFERROR(VLOOKUP(TRIM(B500),Inventory!E:E,1,0),0)</f>
        <v>0</v>
      </c>
      <c r="D500" t="str">
        <f t="shared" si="15"/>
        <v/>
      </c>
    </row>
    <row r="501" spans="1:4" x14ac:dyDescent="0.25">
      <c r="A501" s="7"/>
      <c r="B501" s="5" t="str">
        <f t="shared" si="14"/>
        <v/>
      </c>
      <c r="C501">
        <f>IFERROR(VLOOKUP(TRIM(B501),Inventory!E:E,1,0),0)</f>
        <v>0</v>
      </c>
      <c r="D501" t="str">
        <f t="shared" si="15"/>
        <v/>
      </c>
    </row>
    <row r="502" spans="1:4" x14ac:dyDescent="0.25">
      <c r="A502" s="7"/>
      <c r="B502" s="5" t="str">
        <f t="shared" si="14"/>
        <v/>
      </c>
      <c r="C502">
        <f>IFERROR(VLOOKUP(TRIM(B502),Inventory!E:E,1,0),0)</f>
        <v>0</v>
      </c>
      <c r="D502" t="str">
        <f t="shared" si="15"/>
        <v/>
      </c>
    </row>
    <row r="503" spans="1:4" x14ac:dyDescent="0.25">
      <c r="A503" s="7"/>
      <c r="B503" s="5" t="str">
        <f t="shared" si="14"/>
        <v/>
      </c>
      <c r="C503">
        <f>IFERROR(VLOOKUP(TRIM(B503),Inventory!E:E,1,0),0)</f>
        <v>0</v>
      </c>
      <c r="D503" t="str">
        <f t="shared" si="15"/>
        <v/>
      </c>
    </row>
    <row r="504" spans="1:4" x14ac:dyDescent="0.25">
      <c r="A504" s="7"/>
      <c r="B504" s="5" t="str">
        <f t="shared" si="14"/>
        <v/>
      </c>
      <c r="C504">
        <f>IFERROR(VLOOKUP(TRIM(B504),Inventory!E:E,1,0),0)</f>
        <v>0</v>
      </c>
      <c r="D504" t="str">
        <f t="shared" si="15"/>
        <v/>
      </c>
    </row>
    <row r="505" spans="1:4" x14ac:dyDescent="0.25">
      <c r="A505" s="7"/>
      <c r="B505" s="5" t="str">
        <f t="shared" si="14"/>
        <v/>
      </c>
      <c r="C505">
        <f>IFERROR(VLOOKUP(TRIM(B505),Inventory!E:E,1,0),0)</f>
        <v>0</v>
      </c>
      <c r="D505" t="str">
        <f t="shared" si="15"/>
        <v/>
      </c>
    </row>
    <row r="506" spans="1:4" x14ac:dyDescent="0.25">
      <c r="A506" s="7"/>
      <c r="B506" s="5" t="str">
        <f t="shared" si="14"/>
        <v/>
      </c>
      <c r="C506">
        <f>IFERROR(VLOOKUP(TRIM(B506),Inventory!E:E,1,0),0)</f>
        <v>0</v>
      </c>
      <c r="D506" t="str">
        <f t="shared" si="15"/>
        <v/>
      </c>
    </row>
    <row r="507" spans="1:4" x14ac:dyDescent="0.25">
      <c r="A507" s="7"/>
      <c r="B507" s="5" t="str">
        <f t="shared" si="14"/>
        <v/>
      </c>
      <c r="C507">
        <f>IFERROR(VLOOKUP(TRIM(B507),Inventory!E:E,1,0),0)</f>
        <v>0</v>
      </c>
      <c r="D507" t="str">
        <f t="shared" si="15"/>
        <v/>
      </c>
    </row>
    <row r="508" spans="1:4" x14ac:dyDescent="0.25">
      <c r="A508" s="7"/>
      <c r="B508" s="5" t="str">
        <f t="shared" si="14"/>
        <v/>
      </c>
      <c r="C508">
        <f>IFERROR(VLOOKUP(TRIM(B508),Inventory!E:E,1,0),0)</f>
        <v>0</v>
      </c>
      <c r="D508" t="str">
        <f t="shared" si="15"/>
        <v/>
      </c>
    </row>
    <row r="509" spans="1:4" x14ac:dyDescent="0.25">
      <c r="A509" s="7"/>
      <c r="B509" s="5" t="str">
        <f t="shared" si="14"/>
        <v/>
      </c>
      <c r="C509">
        <f>IFERROR(VLOOKUP(TRIM(B509),Inventory!E:E,1,0),0)</f>
        <v>0</v>
      </c>
      <c r="D509" t="str">
        <f t="shared" si="15"/>
        <v/>
      </c>
    </row>
    <row r="510" spans="1:4" x14ac:dyDescent="0.25">
      <c r="A510" s="7"/>
      <c r="B510" s="5" t="str">
        <f t="shared" si="14"/>
        <v/>
      </c>
      <c r="C510">
        <f>IFERROR(VLOOKUP(TRIM(B510),Inventory!E:E,1,0),0)</f>
        <v>0</v>
      </c>
      <c r="D510" t="str">
        <f t="shared" si="15"/>
        <v/>
      </c>
    </row>
    <row r="511" spans="1:4" x14ac:dyDescent="0.25">
      <c r="A511" s="7"/>
      <c r="B511" s="5" t="str">
        <f t="shared" si="14"/>
        <v/>
      </c>
      <c r="C511">
        <f>IFERROR(VLOOKUP(TRIM(B511),Inventory!E:E,1,0),0)</f>
        <v>0</v>
      </c>
      <c r="D511" t="str">
        <f t="shared" si="15"/>
        <v/>
      </c>
    </row>
    <row r="512" spans="1:4" x14ac:dyDescent="0.25">
      <c r="A512" s="7"/>
      <c r="B512" s="5" t="str">
        <f t="shared" si="14"/>
        <v/>
      </c>
      <c r="C512">
        <f>IFERROR(VLOOKUP(TRIM(B512),Inventory!E:E,1,0),0)</f>
        <v>0</v>
      </c>
      <c r="D512" t="str">
        <f t="shared" si="15"/>
        <v/>
      </c>
    </row>
    <row r="513" spans="1:4" x14ac:dyDescent="0.25">
      <c r="A513" s="7"/>
      <c r="B513" s="5" t="str">
        <f t="shared" si="14"/>
        <v/>
      </c>
      <c r="C513">
        <f>IFERROR(VLOOKUP(TRIM(B513),Inventory!E:E,1,0),0)</f>
        <v>0</v>
      </c>
      <c r="D513" t="str">
        <f t="shared" si="15"/>
        <v/>
      </c>
    </row>
    <row r="514" spans="1:4" x14ac:dyDescent="0.25">
      <c r="A514" s="7"/>
      <c r="B514" s="5" t="str">
        <f t="shared" si="14"/>
        <v/>
      </c>
      <c r="C514">
        <f>IFERROR(VLOOKUP(TRIM(B514),Inventory!E:E,1,0),0)</f>
        <v>0</v>
      </c>
      <c r="D514" t="str">
        <f t="shared" si="15"/>
        <v/>
      </c>
    </row>
    <row r="515" spans="1:4" x14ac:dyDescent="0.25">
      <c r="A515" s="7"/>
      <c r="B515" s="5" t="str">
        <f t="shared" ref="B515:B578" si="16">SUBSTITUTE(SUBSTITUTE(A515,"ö","0"),"Ö","0")</f>
        <v/>
      </c>
      <c r="C515">
        <f>IFERROR(VLOOKUP(TRIM(B515),Inventory!E:E,1,0),0)</f>
        <v>0</v>
      </c>
      <c r="D515" t="str">
        <f t="shared" ref="D515:D578" si="17">IF(AND(TRIM(A515)&lt;&gt;"",C515=0),"NINCS A LISTÁBAN","")</f>
        <v/>
      </c>
    </row>
    <row r="516" spans="1:4" x14ac:dyDescent="0.25">
      <c r="A516" s="7"/>
      <c r="B516" s="5" t="str">
        <f t="shared" si="16"/>
        <v/>
      </c>
      <c r="C516">
        <f>IFERROR(VLOOKUP(TRIM(B516),Inventory!E:E,1,0),0)</f>
        <v>0</v>
      </c>
      <c r="D516" t="str">
        <f t="shared" si="17"/>
        <v/>
      </c>
    </row>
    <row r="517" spans="1:4" x14ac:dyDescent="0.25">
      <c r="A517" s="7"/>
      <c r="B517" s="5" t="str">
        <f t="shared" si="16"/>
        <v/>
      </c>
      <c r="C517">
        <f>IFERROR(VLOOKUP(TRIM(B517),Inventory!E:E,1,0),0)</f>
        <v>0</v>
      </c>
      <c r="D517" t="str">
        <f t="shared" si="17"/>
        <v/>
      </c>
    </row>
    <row r="518" spans="1:4" x14ac:dyDescent="0.25">
      <c r="A518" s="7"/>
      <c r="B518" s="5" t="str">
        <f t="shared" si="16"/>
        <v/>
      </c>
      <c r="C518">
        <f>IFERROR(VLOOKUP(TRIM(B518),Inventory!E:E,1,0),0)</f>
        <v>0</v>
      </c>
      <c r="D518" t="str">
        <f t="shared" si="17"/>
        <v/>
      </c>
    </row>
    <row r="519" spans="1:4" x14ac:dyDescent="0.25">
      <c r="A519" s="7"/>
      <c r="B519" s="5" t="str">
        <f t="shared" si="16"/>
        <v/>
      </c>
      <c r="C519">
        <f>IFERROR(VLOOKUP(TRIM(B519),Inventory!E:E,1,0),0)</f>
        <v>0</v>
      </c>
      <c r="D519" t="str">
        <f t="shared" si="17"/>
        <v/>
      </c>
    </row>
    <row r="520" spans="1:4" x14ac:dyDescent="0.25">
      <c r="A520" s="7"/>
      <c r="B520" s="5" t="str">
        <f t="shared" si="16"/>
        <v/>
      </c>
      <c r="C520">
        <f>IFERROR(VLOOKUP(TRIM(B520),Inventory!E:E,1,0),0)</f>
        <v>0</v>
      </c>
      <c r="D520" t="str">
        <f t="shared" si="17"/>
        <v/>
      </c>
    </row>
    <row r="521" spans="1:4" x14ac:dyDescent="0.25">
      <c r="A521" s="7"/>
      <c r="B521" s="5" t="str">
        <f t="shared" si="16"/>
        <v/>
      </c>
      <c r="C521">
        <f>IFERROR(VLOOKUP(TRIM(B521),Inventory!E:E,1,0),0)</f>
        <v>0</v>
      </c>
      <c r="D521" t="str">
        <f t="shared" si="17"/>
        <v/>
      </c>
    </row>
    <row r="522" spans="1:4" x14ac:dyDescent="0.25">
      <c r="A522" s="7"/>
      <c r="B522" s="5" t="str">
        <f t="shared" si="16"/>
        <v/>
      </c>
      <c r="C522">
        <f>IFERROR(VLOOKUP(TRIM(B522),Inventory!E:E,1,0),0)</f>
        <v>0</v>
      </c>
      <c r="D522" t="str">
        <f t="shared" si="17"/>
        <v/>
      </c>
    </row>
    <row r="523" spans="1:4" x14ac:dyDescent="0.25">
      <c r="A523" s="7"/>
      <c r="B523" s="5" t="str">
        <f t="shared" si="16"/>
        <v/>
      </c>
      <c r="C523">
        <f>IFERROR(VLOOKUP(TRIM(B523),Inventory!E:E,1,0),0)</f>
        <v>0</v>
      </c>
      <c r="D523" t="str">
        <f t="shared" si="17"/>
        <v/>
      </c>
    </row>
    <row r="524" spans="1:4" x14ac:dyDescent="0.25">
      <c r="A524" s="7"/>
      <c r="B524" s="5" t="str">
        <f t="shared" si="16"/>
        <v/>
      </c>
      <c r="C524">
        <f>IFERROR(VLOOKUP(TRIM(B524),Inventory!E:E,1,0),0)</f>
        <v>0</v>
      </c>
      <c r="D524" t="str">
        <f t="shared" si="17"/>
        <v/>
      </c>
    </row>
    <row r="525" spans="1:4" x14ac:dyDescent="0.25">
      <c r="A525" s="7"/>
      <c r="B525" s="5" t="str">
        <f t="shared" si="16"/>
        <v/>
      </c>
      <c r="C525">
        <f>IFERROR(VLOOKUP(TRIM(B525),Inventory!E:E,1,0),0)</f>
        <v>0</v>
      </c>
      <c r="D525" t="str">
        <f t="shared" si="17"/>
        <v/>
      </c>
    </row>
    <row r="526" spans="1:4" x14ac:dyDescent="0.25">
      <c r="A526" s="7"/>
      <c r="B526" s="5" t="str">
        <f t="shared" si="16"/>
        <v/>
      </c>
      <c r="C526">
        <f>IFERROR(VLOOKUP(TRIM(B526),Inventory!E:E,1,0),0)</f>
        <v>0</v>
      </c>
      <c r="D526" t="str">
        <f t="shared" si="17"/>
        <v/>
      </c>
    </row>
    <row r="527" spans="1:4" x14ac:dyDescent="0.25">
      <c r="A527" s="7"/>
      <c r="B527" s="5" t="str">
        <f t="shared" si="16"/>
        <v/>
      </c>
      <c r="C527">
        <f>IFERROR(VLOOKUP(TRIM(B527),Inventory!E:E,1,0),0)</f>
        <v>0</v>
      </c>
      <c r="D527" t="str">
        <f t="shared" si="17"/>
        <v/>
      </c>
    </row>
    <row r="528" spans="1:4" x14ac:dyDescent="0.25">
      <c r="A528" s="7"/>
      <c r="B528" s="5" t="str">
        <f t="shared" si="16"/>
        <v/>
      </c>
      <c r="C528">
        <f>IFERROR(VLOOKUP(TRIM(B528),Inventory!E:E,1,0),0)</f>
        <v>0</v>
      </c>
      <c r="D528" t="str">
        <f t="shared" si="17"/>
        <v/>
      </c>
    </row>
    <row r="529" spans="1:4" x14ac:dyDescent="0.25">
      <c r="A529" s="7"/>
      <c r="B529" s="5" t="str">
        <f t="shared" si="16"/>
        <v/>
      </c>
      <c r="C529">
        <f>IFERROR(VLOOKUP(TRIM(B529),Inventory!E:E,1,0),0)</f>
        <v>0</v>
      </c>
      <c r="D529" t="str">
        <f t="shared" si="17"/>
        <v/>
      </c>
    </row>
    <row r="530" spans="1:4" x14ac:dyDescent="0.25">
      <c r="A530" s="7"/>
      <c r="B530" s="5" t="str">
        <f t="shared" si="16"/>
        <v/>
      </c>
      <c r="C530">
        <f>IFERROR(VLOOKUP(TRIM(B530),Inventory!E:E,1,0),0)</f>
        <v>0</v>
      </c>
      <c r="D530" t="str">
        <f t="shared" si="17"/>
        <v/>
      </c>
    </row>
    <row r="531" spans="1:4" x14ac:dyDescent="0.25">
      <c r="A531" s="7"/>
      <c r="B531" s="5" t="str">
        <f t="shared" si="16"/>
        <v/>
      </c>
      <c r="C531">
        <f>IFERROR(VLOOKUP(TRIM(B531),Inventory!E:E,1,0),0)</f>
        <v>0</v>
      </c>
      <c r="D531" t="str">
        <f t="shared" si="17"/>
        <v/>
      </c>
    </row>
    <row r="532" spans="1:4" x14ac:dyDescent="0.25">
      <c r="A532" s="7"/>
      <c r="B532" s="5" t="str">
        <f t="shared" si="16"/>
        <v/>
      </c>
      <c r="C532">
        <f>IFERROR(VLOOKUP(TRIM(B532),Inventory!E:E,1,0),0)</f>
        <v>0</v>
      </c>
      <c r="D532" t="str">
        <f t="shared" si="17"/>
        <v/>
      </c>
    </row>
    <row r="533" spans="1:4" x14ac:dyDescent="0.25">
      <c r="A533" s="7"/>
      <c r="B533" s="5" t="str">
        <f t="shared" si="16"/>
        <v/>
      </c>
      <c r="C533">
        <f>IFERROR(VLOOKUP(TRIM(B533),Inventory!E:E,1,0),0)</f>
        <v>0</v>
      </c>
      <c r="D533" t="str">
        <f t="shared" si="17"/>
        <v/>
      </c>
    </row>
    <row r="534" spans="1:4" x14ac:dyDescent="0.25">
      <c r="A534" s="7"/>
      <c r="B534" s="5" t="str">
        <f t="shared" si="16"/>
        <v/>
      </c>
      <c r="C534">
        <f>IFERROR(VLOOKUP(TRIM(B534),Inventory!E:E,1,0),0)</f>
        <v>0</v>
      </c>
      <c r="D534" t="str">
        <f t="shared" si="17"/>
        <v/>
      </c>
    </row>
    <row r="535" spans="1:4" x14ac:dyDescent="0.25">
      <c r="A535" s="7"/>
      <c r="B535" s="5" t="str">
        <f t="shared" si="16"/>
        <v/>
      </c>
      <c r="C535">
        <f>IFERROR(VLOOKUP(TRIM(B535),Inventory!E:E,1,0),0)</f>
        <v>0</v>
      </c>
      <c r="D535" t="str">
        <f t="shared" si="17"/>
        <v/>
      </c>
    </row>
    <row r="536" spans="1:4" x14ac:dyDescent="0.25">
      <c r="A536" s="7"/>
      <c r="B536" s="5" t="str">
        <f t="shared" si="16"/>
        <v/>
      </c>
      <c r="C536">
        <f>IFERROR(VLOOKUP(TRIM(B536),Inventory!E:E,1,0),0)</f>
        <v>0</v>
      </c>
      <c r="D536" t="str">
        <f t="shared" si="17"/>
        <v/>
      </c>
    </row>
    <row r="537" spans="1:4" x14ac:dyDescent="0.25">
      <c r="A537" s="7"/>
      <c r="B537" s="5" t="str">
        <f t="shared" si="16"/>
        <v/>
      </c>
      <c r="C537">
        <f>IFERROR(VLOOKUP(TRIM(B537),Inventory!E:E,1,0),0)</f>
        <v>0</v>
      </c>
      <c r="D537" t="str">
        <f t="shared" si="17"/>
        <v/>
      </c>
    </row>
    <row r="538" spans="1:4" x14ac:dyDescent="0.25">
      <c r="A538" s="7"/>
      <c r="B538" s="5" t="str">
        <f t="shared" si="16"/>
        <v/>
      </c>
      <c r="C538">
        <f>IFERROR(VLOOKUP(TRIM(B538),Inventory!E:E,1,0),0)</f>
        <v>0</v>
      </c>
      <c r="D538" t="str">
        <f t="shared" si="17"/>
        <v/>
      </c>
    </row>
    <row r="539" spans="1:4" x14ac:dyDescent="0.25">
      <c r="A539" s="7"/>
      <c r="B539" s="5" t="str">
        <f t="shared" si="16"/>
        <v/>
      </c>
      <c r="C539">
        <f>IFERROR(VLOOKUP(TRIM(B539),Inventory!E:E,1,0),0)</f>
        <v>0</v>
      </c>
      <c r="D539" t="str">
        <f t="shared" si="17"/>
        <v/>
      </c>
    </row>
    <row r="540" spans="1:4" x14ac:dyDescent="0.25">
      <c r="A540" s="7"/>
      <c r="B540" s="5" t="str">
        <f t="shared" si="16"/>
        <v/>
      </c>
      <c r="C540">
        <f>IFERROR(VLOOKUP(TRIM(B540),Inventory!E:E,1,0),0)</f>
        <v>0</v>
      </c>
      <c r="D540" t="str">
        <f t="shared" si="17"/>
        <v/>
      </c>
    </row>
    <row r="541" spans="1:4" x14ac:dyDescent="0.25">
      <c r="A541" s="7"/>
      <c r="B541" s="5" t="str">
        <f t="shared" si="16"/>
        <v/>
      </c>
      <c r="C541">
        <f>IFERROR(VLOOKUP(TRIM(B541),Inventory!E:E,1,0),0)</f>
        <v>0</v>
      </c>
      <c r="D541" t="str">
        <f t="shared" si="17"/>
        <v/>
      </c>
    </row>
    <row r="542" spans="1:4" x14ac:dyDescent="0.25">
      <c r="A542" s="7"/>
      <c r="B542" s="5" t="str">
        <f t="shared" si="16"/>
        <v/>
      </c>
      <c r="C542">
        <f>IFERROR(VLOOKUP(TRIM(B542),Inventory!E:E,1,0),0)</f>
        <v>0</v>
      </c>
      <c r="D542" t="str">
        <f t="shared" si="17"/>
        <v/>
      </c>
    </row>
    <row r="543" spans="1:4" x14ac:dyDescent="0.25">
      <c r="A543" s="7"/>
      <c r="B543" s="5" t="str">
        <f t="shared" si="16"/>
        <v/>
      </c>
      <c r="C543">
        <f>IFERROR(VLOOKUP(TRIM(B543),Inventory!E:E,1,0),0)</f>
        <v>0</v>
      </c>
      <c r="D543" t="str">
        <f t="shared" si="17"/>
        <v/>
      </c>
    </row>
    <row r="544" spans="1:4" x14ac:dyDescent="0.25">
      <c r="A544" s="7"/>
      <c r="B544" s="5" t="str">
        <f t="shared" si="16"/>
        <v/>
      </c>
      <c r="C544">
        <f>IFERROR(VLOOKUP(TRIM(B544),Inventory!E:E,1,0),0)</f>
        <v>0</v>
      </c>
      <c r="D544" t="str">
        <f t="shared" si="17"/>
        <v/>
      </c>
    </row>
    <row r="545" spans="1:4" x14ac:dyDescent="0.25">
      <c r="A545" s="7"/>
      <c r="B545" s="5" t="str">
        <f t="shared" si="16"/>
        <v/>
      </c>
      <c r="C545">
        <f>IFERROR(VLOOKUP(TRIM(B545),Inventory!E:E,1,0),0)</f>
        <v>0</v>
      </c>
      <c r="D545" t="str">
        <f t="shared" si="17"/>
        <v/>
      </c>
    </row>
    <row r="546" spans="1:4" x14ac:dyDescent="0.25">
      <c r="A546" s="7"/>
      <c r="B546" s="5" t="str">
        <f t="shared" si="16"/>
        <v/>
      </c>
      <c r="C546">
        <f>IFERROR(VLOOKUP(TRIM(B546),Inventory!E:E,1,0),0)</f>
        <v>0</v>
      </c>
      <c r="D546" t="str">
        <f t="shared" si="17"/>
        <v/>
      </c>
    </row>
    <row r="547" spans="1:4" x14ac:dyDescent="0.25">
      <c r="A547" s="7"/>
      <c r="B547" s="5" t="str">
        <f t="shared" si="16"/>
        <v/>
      </c>
      <c r="C547">
        <f>IFERROR(VLOOKUP(TRIM(B547),Inventory!E:E,1,0),0)</f>
        <v>0</v>
      </c>
      <c r="D547" t="str">
        <f t="shared" si="17"/>
        <v/>
      </c>
    </row>
    <row r="548" spans="1:4" x14ac:dyDescent="0.25">
      <c r="A548" s="7"/>
      <c r="B548" s="5" t="str">
        <f t="shared" si="16"/>
        <v/>
      </c>
      <c r="C548">
        <f>IFERROR(VLOOKUP(TRIM(B548),Inventory!E:E,1,0),0)</f>
        <v>0</v>
      </c>
      <c r="D548" t="str">
        <f t="shared" si="17"/>
        <v/>
      </c>
    </row>
    <row r="549" spans="1:4" x14ac:dyDescent="0.25">
      <c r="A549" s="7"/>
      <c r="B549" s="5" t="str">
        <f t="shared" si="16"/>
        <v/>
      </c>
      <c r="C549">
        <f>IFERROR(VLOOKUP(TRIM(B549),Inventory!E:E,1,0),0)</f>
        <v>0</v>
      </c>
      <c r="D549" t="str">
        <f t="shared" si="17"/>
        <v/>
      </c>
    </row>
    <row r="550" spans="1:4" x14ac:dyDescent="0.25">
      <c r="A550" s="7"/>
      <c r="B550" s="5" t="str">
        <f t="shared" si="16"/>
        <v/>
      </c>
      <c r="C550">
        <f>IFERROR(VLOOKUP(TRIM(B550),Inventory!E:E,1,0),0)</f>
        <v>0</v>
      </c>
      <c r="D550" t="str">
        <f t="shared" si="17"/>
        <v/>
      </c>
    </row>
    <row r="551" spans="1:4" x14ac:dyDescent="0.25">
      <c r="A551" s="7"/>
      <c r="B551" s="5" t="str">
        <f t="shared" si="16"/>
        <v/>
      </c>
      <c r="C551">
        <f>IFERROR(VLOOKUP(TRIM(B551),Inventory!E:E,1,0),0)</f>
        <v>0</v>
      </c>
      <c r="D551" t="str">
        <f t="shared" si="17"/>
        <v/>
      </c>
    </row>
    <row r="552" spans="1:4" x14ac:dyDescent="0.25">
      <c r="A552" s="7"/>
      <c r="B552" s="5" t="str">
        <f t="shared" si="16"/>
        <v/>
      </c>
      <c r="C552">
        <f>IFERROR(VLOOKUP(TRIM(B552),Inventory!E:E,1,0),0)</f>
        <v>0</v>
      </c>
      <c r="D552" t="str">
        <f t="shared" si="17"/>
        <v/>
      </c>
    </row>
    <row r="553" spans="1:4" x14ac:dyDescent="0.25">
      <c r="A553" s="7"/>
      <c r="B553" s="5" t="str">
        <f t="shared" si="16"/>
        <v/>
      </c>
      <c r="C553">
        <f>IFERROR(VLOOKUP(TRIM(B553),Inventory!E:E,1,0),0)</f>
        <v>0</v>
      </c>
      <c r="D553" t="str">
        <f t="shared" si="17"/>
        <v/>
      </c>
    </row>
    <row r="554" spans="1:4" x14ac:dyDescent="0.25">
      <c r="A554" s="7"/>
      <c r="B554" s="5" t="str">
        <f t="shared" si="16"/>
        <v/>
      </c>
      <c r="C554">
        <f>IFERROR(VLOOKUP(TRIM(B554),Inventory!E:E,1,0),0)</f>
        <v>0</v>
      </c>
      <c r="D554" t="str">
        <f t="shared" si="17"/>
        <v/>
      </c>
    </row>
    <row r="555" spans="1:4" x14ac:dyDescent="0.25">
      <c r="A555" s="7"/>
      <c r="B555" s="5" t="str">
        <f t="shared" si="16"/>
        <v/>
      </c>
      <c r="C555">
        <f>IFERROR(VLOOKUP(TRIM(B555),Inventory!E:E,1,0),0)</f>
        <v>0</v>
      </c>
      <c r="D555" t="str">
        <f t="shared" si="17"/>
        <v/>
      </c>
    </row>
    <row r="556" spans="1:4" x14ac:dyDescent="0.25">
      <c r="A556" s="7"/>
      <c r="B556" s="5" t="str">
        <f t="shared" si="16"/>
        <v/>
      </c>
      <c r="C556">
        <f>IFERROR(VLOOKUP(TRIM(B556),Inventory!E:E,1,0),0)</f>
        <v>0</v>
      </c>
      <c r="D556" t="str">
        <f t="shared" si="17"/>
        <v/>
      </c>
    </row>
    <row r="557" spans="1:4" x14ac:dyDescent="0.25">
      <c r="A557" s="7"/>
      <c r="B557" s="5" t="str">
        <f t="shared" si="16"/>
        <v/>
      </c>
      <c r="C557">
        <f>IFERROR(VLOOKUP(TRIM(B557),Inventory!E:E,1,0),0)</f>
        <v>0</v>
      </c>
      <c r="D557" t="str">
        <f t="shared" si="17"/>
        <v/>
      </c>
    </row>
    <row r="558" spans="1:4" x14ac:dyDescent="0.25">
      <c r="A558" s="7"/>
      <c r="B558" s="5" t="str">
        <f t="shared" si="16"/>
        <v/>
      </c>
      <c r="C558">
        <f>IFERROR(VLOOKUP(TRIM(B558),Inventory!E:E,1,0),0)</f>
        <v>0</v>
      </c>
      <c r="D558" t="str">
        <f t="shared" si="17"/>
        <v/>
      </c>
    </row>
    <row r="559" spans="1:4" x14ac:dyDescent="0.25">
      <c r="A559" s="7"/>
      <c r="B559" s="5" t="str">
        <f t="shared" si="16"/>
        <v/>
      </c>
      <c r="C559">
        <f>IFERROR(VLOOKUP(TRIM(B559),Inventory!E:E,1,0),0)</f>
        <v>0</v>
      </c>
      <c r="D559" t="str">
        <f t="shared" si="17"/>
        <v/>
      </c>
    </row>
    <row r="560" spans="1:4" x14ac:dyDescent="0.25">
      <c r="A560" s="7"/>
      <c r="B560" s="5" t="str">
        <f t="shared" si="16"/>
        <v/>
      </c>
      <c r="C560">
        <f>IFERROR(VLOOKUP(TRIM(B560),Inventory!E:E,1,0),0)</f>
        <v>0</v>
      </c>
      <c r="D560" t="str">
        <f t="shared" si="17"/>
        <v/>
      </c>
    </row>
    <row r="561" spans="1:4" x14ac:dyDescent="0.25">
      <c r="A561" s="7"/>
      <c r="B561" s="5" t="str">
        <f t="shared" si="16"/>
        <v/>
      </c>
      <c r="C561">
        <f>IFERROR(VLOOKUP(TRIM(B561),Inventory!E:E,1,0),0)</f>
        <v>0</v>
      </c>
      <c r="D561" t="str">
        <f t="shared" si="17"/>
        <v/>
      </c>
    </row>
    <row r="562" spans="1:4" x14ac:dyDescent="0.25">
      <c r="A562" s="7"/>
      <c r="B562" s="5" t="str">
        <f t="shared" si="16"/>
        <v/>
      </c>
      <c r="C562">
        <f>IFERROR(VLOOKUP(TRIM(B562),Inventory!E:E,1,0),0)</f>
        <v>0</v>
      </c>
      <c r="D562" t="str">
        <f t="shared" si="17"/>
        <v/>
      </c>
    </row>
    <row r="563" spans="1:4" x14ac:dyDescent="0.25">
      <c r="A563" s="7"/>
      <c r="B563" s="5" t="str">
        <f t="shared" si="16"/>
        <v/>
      </c>
      <c r="C563">
        <f>IFERROR(VLOOKUP(TRIM(B563),Inventory!E:E,1,0),0)</f>
        <v>0</v>
      </c>
      <c r="D563" t="str">
        <f t="shared" si="17"/>
        <v/>
      </c>
    </row>
    <row r="564" spans="1:4" x14ac:dyDescent="0.25">
      <c r="A564" s="7"/>
      <c r="B564" s="5" t="str">
        <f t="shared" si="16"/>
        <v/>
      </c>
      <c r="C564">
        <f>IFERROR(VLOOKUP(TRIM(B564),Inventory!E:E,1,0),0)</f>
        <v>0</v>
      </c>
      <c r="D564" t="str">
        <f t="shared" si="17"/>
        <v/>
      </c>
    </row>
    <row r="565" spans="1:4" x14ac:dyDescent="0.25">
      <c r="A565" s="7"/>
      <c r="B565" s="5" t="str">
        <f t="shared" si="16"/>
        <v/>
      </c>
      <c r="C565">
        <f>IFERROR(VLOOKUP(TRIM(B565),Inventory!E:E,1,0),0)</f>
        <v>0</v>
      </c>
      <c r="D565" t="str">
        <f t="shared" si="17"/>
        <v/>
      </c>
    </row>
    <row r="566" spans="1:4" x14ac:dyDescent="0.25">
      <c r="A566" s="7"/>
      <c r="B566" s="5" t="str">
        <f t="shared" si="16"/>
        <v/>
      </c>
      <c r="C566">
        <f>IFERROR(VLOOKUP(TRIM(B566),Inventory!E:E,1,0),0)</f>
        <v>0</v>
      </c>
      <c r="D566" t="str">
        <f t="shared" si="17"/>
        <v/>
      </c>
    </row>
    <row r="567" spans="1:4" x14ac:dyDescent="0.25">
      <c r="A567" s="7"/>
      <c r="B567" s="5" t="str">
        <f t="shared" si="16"/>
        <v/>
      </c>
      <c r="C567">
        <f>IFERROR(VLOOKUP(TRIM(B567),Inventory!E:E,1,0),0)</f>
        <v>0</v>
      </c>
      <c r="D567" t="str">
        <f t="shared" si="17"/>
        <v/>
      </c>
    </row>
    <row r="568" spans="1:4" x14ac:dyDescent="0.25">
      <c r="A568" s="7"/>
      <c r="B568" s="5" t="str">
        <f t="shared" si="16"/>
        <v/>
      </c>
      <c r="C568">
        <f>IFERROR(VLOOKUP(TRIM(B568),Inventory!E:E,1,0),0)</f>
        <v>0</v>
      </c>
      <c r="D568" t="str">
        <f t="shared" si="17"/>
        <v/>
      </c>
    </row>
    <row r="569" spans="1:4" x14ac:dyDescent="0.25">
      <c r="A569" s="7"/>
      <c r="B569" s="5" t="str">
        <f t="shared" si="16"/>
        <v/>
      </c>
      <c r="C569">
        <f>IFERROR(VLOOKUP(TRIM(B569),Inventory!E:E,1,0),0)</f>
        <v>0</v>
      </c>
      <c r="D569" t="str">
        <f t="shared" si="17"/>
        <v/>
      </c>
    </row>
    <row r="570" spans="1:4" x14ac:dyDescent="0.25">
      <c r="A570" s="7"/>
      <c r="B570" s="5" t="str">
        <f t="shared" si="16"/>
        <v/>
      </c>
      <c r="C570">
        <f>IFERROR(VLOOKUP(TRIM(B570),Inventory!E:E,1,0),0)</f>
        <v>0</v>
      </c>
      <c r="D570" t="str">
        <f t="shared" si="17"/>
        <v/>
      </c>
    </row>
    <row r="571" spans="1:4" x14ac:dyDescent="0.25">
      <c r="A571" s="7"/>
      <c r="B571" s="5" t="str">
        <f t="shared" si="16"/>
        <v/>
      </c>
      <c r="C571">
        <f>IFERROR(VLOOKUP(TRIM(B571),Inventory!E:E,1,0),0)</f>
        <v>0</v>
      </c>
      <c r="D571" t="str">
        <f t="shared" si="17"/>
        <v/>
      </c>
    </row>
    <row r="572" spans="1:4" x14ac:dyDescent="0.25">
      <c r="A572" s="7"/>
      <c r="B572" s="5" t="str">
        <f t="shared" si="16"/>
        <v/>
      </c>
      <c r="C572">
        <f>IFERROR(VLOOKUP(TRIM(B572),Inventory!E:E,1,0),0)</f>
        <v>0</v>
      </c>
      <c r="D572" t="str">
        <f t="shared" si="17"/>
        <v/>
      </c>
    </row>
    <row r="573" spans="1:4" x14ac:dyDescent="0.25">
      <c r="A573" s="7"/>
      <c r="B573" s="5" t="str">
        <f t="shared" si="16"/>
        <v/>
      </c>
      <c r="C573">
        <f>IFERROR(VLOOKUP(TRIM(B573),Inventory!E:E,1,0),0)</f>
        <v>0</v>
      </c>
      <c r="D573" t="str">
        <f t="shared" si="17"/>
        <v/>
      </c>
    </row>
    <row r="574" spans="1:4" x14ac:dyDescent="0.25">
      <c r="A574" s="7"/>
      <c r="B574" s="5" t="str">
        <f t="shared" si="16"/>
        <v/>
      </c>
      <c r="C574">
        <f>IFERROR(VLOOKUP(TRIM(B574),Inventory!E:E,1,0),0)</f>
        <v>0</v>
      </c>
      <c r="D574" t="str">
        <f t="shared" si="17"/>
        <v/>
      </c>
    </row>
    <row r="575" spans="1:4" x14ac:dyDescent="0.25">
      <c r="A575" s="7"/>
      <c r="B575" s="5" t="str">
        <f t="shared" si="16"/>
        <v/>
      </c>
      <c r="C575">
        <f>IFERROR(VLOOKUP(TRIM(B575),Inventory!E:E,1,0),0)</f>
        <v>0</v>
      </c>
      <c r="D575" t="str">
        <f t="shared" si="17"/>
        <v/>
      </c>
    </row>
    <row r="576" spans="1:4" x14ac:dyDescent="0.25">
      <c r="A576" s="7"/>
      <c r="B576" s="5" t="str">
        <f t="shared" si="16"/>
        <v/>
      </c>
      <c r="C576">
        <f>IFERROR(VLOOKUP(TRIM(B576),Inventory!E:E,1,0),0)</f>
        <v>0</v>
      </c>
      <c r="D576" t="str">
        <f t="shared" si="17"/>
        <v/>
      </c>
    </row>
    <row r="577" spans="1:4" x14ac:dyDescent="0.25">
      <c r="A577" s="7"/>
      <c r="B577" s="5" t="str">
        <f t="shared" si="16"/>
        <v/>
      </c>
      <c r="C577">
        <f>IFERROR(VLOOKUP(TRIM(B577),Inventory!E:E,1,0),0)</f>
        <v>0</v>
      </c>
      <c r="D577" t="str">
        <f t="shared" si="17"/>
        <v/>
      </c>
    </row>
    <row r="578" spans="1:4" x14ac:dyDescent="0.25">
      <c r="A578" s="7"/>
      <c r="B578" s="5" t="str">
        <f t="shared" si="16"/>
        <v/>
      </c>
      <c r="C578">
        <f>IFERROR(VLOOKUP(TRIM(B578),Inventory!E:E,1,0),0)</f>
        <v>0</v>
      </c>
      <c r="D578" t="str">
        <f t="shared" si="17"/>
        <v/>
      </c>
    </row>
    <row r="579" spans="1:4" x14ac:dyDescent="0.25">
      <c r="A579" s="7"/>
      <c r="B579" s="5" t="str">
        <f t="shared" ref="B579:B642" si="18">SUBSTITUTE(SUBSTITUTE(A579,"ö","0"),"Ö","0")</f>
        <v/>
      </c>
      <c r="C579">
        <f>IFERROR(VLOOKUP(TRIM(B579),Inventory!E:E,1,0),0)</f>
        <v>0</v>
      </c>
      <c r="D579" t="str">
        <f t="shared" ref="D579:D642" si="19">IF(AND(TRIM(A579)&lt;&gt;"",C579=0),"NINCS A LISTÁBAN","")</f>
        <v/>
      </c>
    </row>
    <row r="580" spans="1:4" x14ac:dyDescent="0.25">
      <c r="A580" s="7"/>
      <c r="B580" s="5" t="str">
        <f t="shared" si="18"/>
        <v/>
      </c>
      <c r="C580">
        <f>IFERROR(VLOOKUP(TRIM(B580),Inventory!E:E,1,0),0)</f>
        <v>0</v>
      </c>
      <c r="D580" t="str">
        <f t="shared" si="19"/>
        <v/>
      </c>
    </row>
    <row r="581" spans="1:4" x14ac:dyDescent="0.25">
      <c r="A581" s="7"/>
      <c r="B581" s="5" t="str">
        <f t="shared" si="18"/>
        <v/>
      </c>
      <c r="C581">
        <f>IFERROR(VLOOKUP(TRIM(B581),Inventory!E:E,1,0),0)</f>
        <v>0</v>
      </c>
      <c r="D581" t="str">
        <f t="shared" si="19"/>
        <v/>
      </c>
    </row>
    <row r="582" spans="1:4" x14ac:dyDescent="0.25">
      <c r="A582" s="7"/>
      <c r="B582" s="5" t="str">
        <f t="shared" si="18"/>
        <v/>
      </c>
      <c r="C582">
        <f>IFERROR(VLOOKUP(TRIM(B582),Inventory!E:E,1,0),0)</f>
        <v>0</v>
      </c>
      <c r="D582" t="str">
        <f t="shared" si="19"/>
        <v/>
      </c>
    </row>
    <row r="583" spans="1:4" x14ac:dyDescent="0.25">
      <c r="A583" s="7"/>
      <c r="B583" s="5" t="str">
        <f t="shared" si="18"/>
        <v/>
      </c>
      <c r="C583">
        <f>IFERROR(VLOOKUP(TRIM(B583),Inventory!E:E,1,0),0)</f>
        <v>0</v>
      </c>
      <c r="D583" t="str">
        <f t="shared" si="19"/>
        <v/>
      </c>
    </row>
    <row r="584" spans="1:4" x14ac:dyDescent="0.25">
      <c r="A584" s="7"/>
      <c r="B584" s="5" t="str">
        <f t="shared" si="18"/>
        <v/>
      </c>
      <c r="C584">
        <f>IFERROR(VLOOKUP(TRIM(B584),Inventory!E:E,1,0),0)</f>
        <v>0</v>
      </c>
      <c r="D584" t="str">
        <f t="shared" si="19"/>
        <v/>
      </c>
    </row>
    <row r="585" spans="1:4" x14ac:dyDescent="0.25">
      <c r="A585" s="7"/>
      <c r="B585" s="5" t="str">
        <f t="shared" si="18"/>
        <v/>
      </c>
      <c r="C585">
        <f>IFERROR(VLOOKUP(TRIM(B585),Inventory!E:E,1,0),0)</f>
        <v>0</v>
      </c>
      <c r="D585" t="str">
        <f t="shared" si="19"/>
        <v/>
      </c>
    </row>
    <row r="586" spans="1:4" x14ac:dyDescent="0.25">
      <c r="A586" s="7"/>
      <c r="B586" s="5" t="str">
        <f t="shared" si="18"/>
        <v/>
      </c>
      <c r="C586">
        <f>IFERROR(VLOOKUP(TRIM(B586),Inventory!E:E,1,0),0)</f>
        <v>0</v>
      </c>
      <c r="D586" t="str">
        <f t="shared" si="19"/>
        <v/>
      </c>
    </row>
    <row r="587" spans="1:4" x14ac:dyDescent="0.25">
      <c r="A587" s="7"/>
      <c r="B587" s="5" t="str">
        <f t="shared" si="18"/>
        <v/>
      </c>
      <c r="C587">
        <f>IFERROR(VLOOKUP(TRIM(B587),Inventory!E:E,1,0),0)</f>
        <v>0</v>
      </c>
      <c r="D587" t="str">
        <f t="shared" si="19"/>
        <v/>
      </c>
    </row>
    <row r="588" spans="1:4" x14ac:dyDescent="0.25">
      <c r="A588" s="7"/>
      <c r="B588" s="5" t="str">
        <f t="shared" si="18"/>
        <v/>
      </c>
      <c r="C588">
        <f>IFERROR(VLOOKUP(TRIM(B588),Inventory!E:E,1,0),0)</f>
        <v>0</v>
      </c>
      <c r="D588" t="str">
        <f t="shared" si="19"/>
        <v/>
      </c>
    </row>
    <row r="589" spans="1:4" x14ac:dyDescent="0.25">
      <c r="A589" s="7"/>
      <c r="B589" s="5" t="str">
        <f t="shared" si="18"/>
        <v/>
      </c>
      <c r="C589">
        <f>IFERROR(VLOOKUP(TRIM(B589),Inventory!E:E,1,0),0)</f>
        <v>0</v>
      </c>
      <c r="D589" t="str">
        <f t="shared" si="19"/>
        <v/>
      </c>
    </row>
    <row r="590" spans="1:4" x14ac:dyDescent="0.25">
      <c r="A590" s="7"/>
      <c r="B590" s="5" t="str">
        <f t="shared" si="18"/>
        <v/>
      </c>
      <c r="C590">
        <f>IFERROR(VLOOKUP(TRIM(B590),Inventory!E:E,1,0),0)</f>
        <v>0</v>
      </c>
      <c r="D590" t="str">
        <f t="shared" si="19"/>
        <v/>
      </c>
    </row>
    <row r="591" spans="1:4" x14ac:dyDescent="0.25">
      <c r="A591" s="7"/>
      <c r="B591" s="5" t="str">
        <f t="shared" si="18"/>
        <v/>
      </c>
      <c r="C591">
        <f>IFERROR(VLOOKUP(TRIM(B591),Inventory!E:E,1,0),0)</f>
        <v>0</v>
      </c>
      <c r="D591" t="str">
        <f t="shared" si="19"/>
        <v/>
      </c>
    </row>
    <row r="592" spans="1:4" x14ac:dyDescent="0.25">
      <c r="A592" s="7"/>
      <c r="B592" s="5" t="str">
        <f t="shared" si="18"/>
        <v/>
      </c>
      <c r="C592">
        <f>IFERROR(VLOOKUP(TRIM(B592),Inventory!E:E,1,0),0)</f>
        <v>0</v>
      </c>
      <c r="D592" t="str">
        <f t="shared" si="19"/>
        <v/>
      </c>
    </row>
    <row r="593" spans="1:4" x14ac:dyDescent="0.25">
      <c r="A593" s="7"/>
      <c r="B593" s="5" t="str">
        <f t="shared" si="18"/>
        <v/>
      </c>
      <c r="C593">
        <f>IFERROR(VLOOKUP(TRIM(B593),Inventory!E:E,1,0),0)</f>
        <v>0</v>
      </c>
      <c r="D593" t="str">
        <f t="shared" si="19"/>
        <v/>
      </c>
    </row>
    <row r="594" spans="1:4" x14ac:dyDescent="0.25">
      <c r="A594" s="7"/>
      <c r="B594" s="5" t="str">
        <f t="shared" si="18"/>
        <v/>
      </c>
      <c r="C594">
        <f>IFERROR(VLOOKUP(TRIM(B594),Inventory!E:E,1,0),0)</f>
        <v>0</v>
      </c>
      <c r="D594" t="str">
        <f t="shared" si="19"/>
        <v/>
      </c>
    </row>
    <row r="595" spans="1:4" x14ac:dyDescent="0.25">
      <c r="A595" s="7"/>
      <c r="B595" s="5" t="str">
        <f t="shared" si="18"/>
        <v/>
      </c>
      <c r="C595">
        <f>IFERROR(VLOOKUP(TRIM(B595),Inventory!E:E,1,0),0)</f>
        <v>0</v>
      </c>
      <c r="D595" t="str">
        <f t="shared" si="19"/>
        <v/>
      </c>
    </row>
    <row r="596" spans="1:4" x14ac:dyDescent="0.25">
      <c r="A596" s="7"/>
      <c r="B596" s="5" t="str">
        <f t="shared" si="18"/>
        <v/>
      </c>
      <c r="C596">
        <f>IFERROR(VLOOKUP(TRIM(B596),Inventory!E:E,1,0),0)</f>
        <v>0</v>
      </c>
      <c r="D596" t="str">
        <f t="shared" si="19"/>
        <v/>
      </c>
    </row>
    <row r="597" spans="1:4" x14ac:dyDescent="0.25">
      <c r="A597" s="7"/>
      <c r="B597" s="5" t="str">
        <f t="shared" si="18"/>
        <v/>
      </c>
      <c r="C597">
        <f>IFERROR(VLOOKUP(TRIM(B597),Inventory!E:E,1,0),0)</f>
        <v>0</v>
      </c>
      <c r="D597" t="str">
        <f t="shared" si="19"/>
        <v/>
      </c>
    </row>
    <row r="598" spans="1:4" x14ac:dyDescent="0.25">
      <c r="A598" s="7"/>
      <c r="B598" s="5" t="str">
        <f t="shared" si="18"/>
        <v/>
      </c>
      <c r="C598">
        <f>IFERROR(VLOOKUP(TRIM(B598),Inventory!E:E,1,0),0)</f>
        <v>0</v>
      </c>
      <c r="D598" t="str">
        <f t="shared" si="19"/>
        <v/>
      </c>
    </row>
    <row r="599" spans="1:4" x14ac:dyDescent="0.25">
      <c r="A599" s="7"/>
      <c r="B599" s="5" t="str">
        <f t="shared" si="18"/>
        <v/>
      </c>
      <c r="C599">
        <f>IFERROR(VLOOKUP(TRIM(B599),Inventory!E:E,1,0),0)</f>
        <v>0</v>
      </c>
      <c r="D599" t="str">
        <f t="shared" si="19"/>
        <v/>
      </c>
    </row>
    <row r="600" spans="1:4" x14ac:dyDescent="0.25">
      <c r="A600" s="7"/>
      <c r="B600" s="5" t="str">
        <f t="shared" si="18"/>
        <v/>
      </c>
      <c r="C600">
        <f>IFERROR(VLOOKUP(TRIM(B600),Inventory!E:E,1,0),0)</f>
        <v>0</v>
      </c>
      <c r="D600" t="str">
        <f t="shared" si="19"/>
        <v/>
      </c>
    </row>
    <row r="601" spans="1:4" x14ac:dyDescent="0.25">
      <c r="A601" s="7"/>
      <c r="B601" s="5" t="str">
        <f t="shared" si="18"/>
        <v/>
      </c>
      <c r="C601">
        <f>IFERROR(VLOOKUP(TRIM(B601),Inventory!E:E,1,0),0)</f>
        <v>0</v>
      </c>
      <c r="D601" t="str">
        <f t="shared" si="19"/>
        <v/>
      </c>
    </row>
    <row r="602" spans="1:4" x14ac:dyDescent="0.25">
      <c r="A602" s="7"/>
      <c r="B602" s="5" t="str">
        <f t="shared" si="18"/>
        <v/>
      </c>
      <c r="C602">
        <f>IFERROR(VLOOKUP(TRIM(B602),Inventory!E:E,1,0),0)</f>
        <v>0</v>
      </c>
      <c r="D602" t="str">
        <f t="shared" si="19"/>
        <v/>
      </c>
    </row>
    <row r="603" spans="1:4" x14ac:dyDescent="0.25">
      <c r="A603" s="7"/>
      <c r="B603" s="5" t="str">
        <f t="shared" si="18"/>
        <v/>
      </c>
      <c r="C603">
        <f>IFERROR(VLOOKUP(TRIM(B603),Inventory!E:E,1,0),0)</f>
        <v>0</v>
      </c>
      <c r="D603" t="str">
        <f t="shared" si="19"/>
        <v/>
      </c>
    </row>
    <row r="604" spans="1:4" x14ac:dyDescent="0.25">
      <c r="A604" s="7"/>
      <c r="B604" s="5" t="str">
        <f t="shared" si="18"/>
        <v/>
      </c>
      <c r="C604">
        <f>IFERROR(VLOOKUP(TRIM(B604),Inventory!E:E,1,0),0)</f>
        <v>0</v>
      </c>
      <c r="D604" t="str">
        <f t="shared" si="19"/>
        <v/>
      </c>
    </row>
    <row r="605" spans="1:4" x14ac:dyDescent="0.25">
      <c r="A605" s="7"/>
      <c r="B605" s="5" t="str">
        <f t="shared" si="18"/>
        <v/>
      </c>
      <c r="C605">
        <f>IFERROR(VLOOKUP(TRIM(B605),Inventory!E:E,1,0),0)</f>
        <v>0</v>
      </c>
      <c r="D605" t="str">
        <f t="shared" si="19"/>
        <v/>
      </c>
    </row>
    <row r="606" spans="1:4" x14ac:dyDescent="0.25">
      <c r="A606" s="7"/>
      <c r="B606" s="5" t="str">
        <f t="shared" si="18"/>
        <v/>
      </c>
      <c r="C606">
        <f>IFERROR(VLOOKUP(TRIM(B606),Inventory!E:E,1,0),0)</f>
        <v>0</v>
      </c>
      <c r="D606" t="str">
        <f t="shared" si="19"/>
        <v/>
      </c>
    </row>
    <row r="607" spans="1:4" x14ac:dyDescent="0.25">
      <c r="A607" s="7"/>
      <c r="B607" s="5" t="str">
        <f t="shared" si="18"/>
        <v/>
      </c>
      <c r="C607">
        <f>IFERROR(VLOOKUP(TRIM(B607),Inventory!E:E,1,0),0)</f>
        <v>0</v>
      </c>
      <c r="D607" t="str">
        <f t="shared" si="19"/>
        <v/>
      </c>
    </row>
    <row r="608" spans="1:4" x14ac:dyDescent="0.25">
      <c r="A608" s="7"/>
      <c r="B608" s="5" t="str">
        <f t="shared" si="18"/>
        <v/>
      </c>
      <c r="C608">
        <f>IFERROR(VLOOKUP(TRIM(B608),Inventory!E:E,1,0),0)</f>
        <v>0</v>
      </c>
      <c r="D608" t="str">
        <f t="shared" si="19"/>
        <v/>
      </c>
    </row>
    <row r="609" spans="1:4" x14ac:dyDescent="0.25">
      <c r="A609" s="7"/>
      <c r="B609" s="5" t="str">
        <f t="shared" si="18"/>
        <v/>
      </c>
      <c r="C609">
        <f>IFERROR(VLOOKUP(TRIM(B609),Inventory!E:E,1,0),0)</f>
        <v>0</v>
      </c>
      <c r="D609" t="str">
        <f t="shared" si="19"/>
        <v/>
      </c>
    </row>
    <row r="610" spans="1:4" x14ac:dyDescent="0.25">
      <c r="A610" s="7"/>
      <c r="B610" s="5" t="str">
        <f t="shared" si="18"/>
        <v/>
      </c>
      <c r="C610">
        <f>IFERROR(VLOOKUP(TRIM(B610),Inventory!E:E,1,0),0)</f>
        <v>0</v>
      </c>
      <c r="D610" t="str">
        <f t="shared" si="19"/>
        <v/>
      </c>
    </row>
    <row r="611" spans="1:4" x14ac:dyDescent="0.25">
      <c r="A611" s="7"/>
      <c r="B611" s="5" t="str">
        <f t="shared" si="18"/>
        <v/>
      </c>
      <c r="C611">
        <f>IFERROR(VLOOKUP(TRIM(B611),Inventory!E:E,1,0),0)</f>
        <v>0</v>
      </c>
      <c r="D611" t="str">
        <f t="shared" si="19"/>
        <v/>
      </c>
    </row>
    <row r="612" spans="1:4" x14ac:dyDescent="0.25">
      <c r="A612" s="7"/>
      <c r="B612" s="5" t="str">
        <f t="shared" si="18"/>
        <v/>
      </c>
      <c r="C612">
        <f>IFERROR(VLOOKUP(TRIM(B612),Inventory!E:E,1,0),0)</f>
        <v>0</v>
      </c>
      <c r="D612" t="str">
        <f t="shared" si="19"/>
        <v/>
      </c>
    </row>
    <row r="613" spans="1:4" x14ac:dyDescent="0.25">
      <c r="A613" s="7"/>
      <c r="B613" s="5" t="str">
        <f t="shared" si="18"/>
        <v/>
      </c>
      <c r="C613">
        <f>IFERROR(VLOOKUP(TRIM(B613),Inventory!E:E,1,0),0)</f>
        <v>0</v>
      </c>
      <c r="D613" t="str">
        <f t="shared" si="19"/>
        <v/>
      </c>
    </row>
    <row r="614" spans="1:4" x14ac:dyDescent="0.25">
      <c r="A614" s="7"/>
      <c r="B614" s="5" t="str">
        <f t="shared" si="18"/>
        <v/>
      </c>
      <c r="C614">
        <f>IFERROR(VLOOKUP(TRIM(B614),Inventory!E:E,1,0),0)</f>
        <v>0</v>
      </c>
      <c r="D614" t="str">
        <f t="shared" si="19"/>
        <v/>
      </c>
    </row>
    <row r="615" spans="1:4" x14ac:dyDescent="0.25">
      <c r="A615" s="7"/>
      <c r="B615" s="5" t="str">
        <f t="shared" si="18"/>
        <v/>
      </c>
      <c r="C615">
        <f>IFERROR(VLOOKUP(TRIM(B615),Inventory!E:E,1,0),0)</f>
        <v>0</v>
      </c>
      <c r="D615" t="str">
        <f t="shared" si="19"/>
        <v/>
      </c>
    </row>
    <row r="616" spans="1:4" x14ac:dyDescent="0.25">
      <c r="A616" s="7"/>
      <c r="B616" s="5" t="str">
        <f t="shared" si="18"/>
        <v/>
      </c>
      <c r="C616">
        <f>IFERROR(VLOOKUP(TRIM(B616),Inventory!E:E,1,0),0)</f>
        <v>0</v>
      </c>
      <c r="D616" t="str">
        <f t="shared" si="19"/>
        <v/>
      </c>
    </row>
    <row r="617" spans="1:4" x14ac:dyDescent="0.25">
      <c r="A617" s="7"/>
      <c r="B617" s="5" t="str">
        <f t="shared" si="18"/>
        <v/>
      </c>
      <c r="C617">
        <f>IFERROR(VLOOKUP(TRIM(B617),Inventory!E:E,1,0),0)</f>
        <v>0</v>
      </c>
      <c r="D617" t="str">
        <f t="shared" si="19"/>
        <v/>
      </c>
    </row>
    <row r="618" spans="1:4" x14ac:dyDescent="0.25">
      <c r="A618" s="7"/>
      <c r="B618" s="5" t="str">
        <f t="shared" si="18"/>
        <v/>
      </c>
      <c r="C618">
        <f>IFERROR(VLOOKUP(TRIM(B618),Inventory!E:E,1,0),0)</f>
        <v>0</v>
      </c>
      <c r="D618" t="str">
        <f t="shared" si="19"/>
        <v/>
      </c>
    </row>
    <row r="619" spans="1:4" x14ac:dyDescent="0.25">
      <c r="A619" s="7"/>
      <c r="B619" s="5" t="str">
        <f t="shared" si="18"/>
        <v/>
      </c>
      <c r="C619">
        <f>IFERROR(VLOOKUP(TRIM(B619),Inventory!E:E,1,0),0)</f>
        <v>0</v>
      </c>
      <c r="D619" t="str">
        <f t="shared" si="19"/>
        <v/>
      </c>
    </row>
    <row r="620" spans="1:4" x14ac:dyDescent="0.25">
      <c r="A620" s="7"/>
      <c r="B620" s="5" t="str">
        <f t="shared" si="18"/>
        <v/>
      </c>
      <c r="C620">
        <f>IFERROR(VLOOKUP(TRIM(B620),Inventory!E:E,1,0),0)</f>
        <v>0</v>
      </c>
      <c r="D620" t="str">
        <f t="shared" si="19"/>
        <v/>
      </c>
    </row>
    <row r="621" spans="1:4" x14ac:dyDescent="0.25">
      <c r="A621" s="7"/>
      <c r="B621" s="5" t="str">
        <f t="shared" si="18"/>
        <v/>
      </c>
      <c r="C621">
        <f>IFERROR(VLOOKUP(TRIM(B621),Inventory!E:E,1,0),0)</f>
        <v>0</v>
      </c>
      <c r="D621" t="str">
        <f t="shared" si="19"/>
        <v/>
      </c>
    </row>
    <row r="622" spans="1:4" x14ac:dyDescent="0.25">
      <c r="A622" s="7"/>
      <c r="B622" s="5" t="str">
        <f t="shared" si="18"/>
        <v/>
      </c>
      <c r="C622">
        <f>IFERROR(VLOOKUP(TRIM(B622),Inventory!E:E,1,0),0)</f>
        <v>0</v>
      </c>
      <c r="D622" t="str">
        <f t="shared" si="19"/>
        <v/>
      </c>
    </row>
    <row r="623" spans="1:4" x14ac:dyDescent="0.25">
      <c r="A623" s="7"/>
      <c r="B623" s="5" t="str">
        <f t="shared" si="18"/>
        <v/>
      </c>
      <c r="C623">
        <f>IFERROR(VLOOKUP(TRIM(B623),Inventory!E:E,1,0),0)</f>
        <v>0</v>
      </c>
      <c r="D623" t="str">
        <f t="shared" si="19"/>
        <v/>
      </c>
    </row>
    <row r="624" spans="1:4" x14ac:dyDescent="0.25">
      <c r="A624" s="7"/>
      <c r="B624" s="5" t="str">
        <f t="shared" si="18"/>
        <v/>
      </c>
      <c r="C624">
        <f>IFERROR(VLOOKUP(TRIM(B624),Inventory!E:E,1,0),0)</f>
        <v>0</v>
      </c>
      <c r="D624" t="str">
        <f t="shared" si="19"/>
        <v/>
      </c>
    </row>
    <row r="625" spans="1:4" x14ac:dyDescent="0.25">
      <c r="A625" s="7"/>
      <c r="B625" s="5" t="str">
        <f t="shared" si="18"/>
        <v/>
      </c>
      <c r="C625">
        <f>IFERROR(VLOOKUP(TRIM(B625),Inventory!E:E,1,0),0)</f>
        <v>0</v>
      </c>
      <c r="D625" t="str">
        <f t="shared" si="19"/>
        <v/>
      </c>
    </row>
    <row r="626" spans="1:4" x14ac:dyDescent="0.25">
      <c r="A626" s="7"/>
      <c r="B626" s="5" t="str">
        <f t="shared" si="18"/>
        <v/>
      </c>
      <c r="C626">
        <f>IFERROR(VLOOKUP(TRIM(B626),Inventory!E:E,1,0),0)</f>
        <v>0</v>
      </c>
      <c r="D626" t="str">
        <f t="shared" si="19"/>
        <v/>
      </c>
    </row>
    <row r="627" spans="1:4" x14ac:dyDescent="0.25">
      <c r="A627" s="7"/>
      <c r="B627" s="5" t="str">
        <f t="shared" si="18"/>
        <v/>
      </c>
      <c r="C627">
        <f>IFERROR(VLOOKUP(TRIM(B627),Inventory!E:E,1,0),0)</f>
        <v>0</v>
      </c>
      <c r="D627" t="str">
        <f t="shared" si="19"/>
        <v/>
      </c>
    </row>
    <row r="628" spans="1:4" x14ac:dyDescent="0.25">
      <c r="A628" s="7"/>
      <c r="B628" s="5" t="str">
        <f t="shared" si="18"/>
        <v/>
      </c>
      <c r="C628">
        <f>IFERROR(VLOOKUP(TRIM(B628),Inventory!E:E,1,0),0)</f>
        <v>0</v>
      </c>
      <c r="D628" t="str">
        <f t="shared" si="19"/>
        <v/>
      </c>
    </row>
    <row r="629" spans="1:4" x14ac:dyDescent="0.25">
      <c r="A629" s="7"/>
      <c r="B629" s="5" t="str">
        <f t="shared" si="18"/>
        <v/>
      </c>
      <c r="C629">
        <f>IFERROR(VLOOKUP(TRIM(B629),Inventory!E:E,1,0),0)</f>
        <v>0</v>
      </c>
      <c r="D629" t="str">
        <f t="shared" si="19"/>
        <v/>
      </c>
    </row>
    <row r="630" spans="1:4" x14ac:dyDescent="0.25">
      <c r="A630" s="7"/>
      <c r="B630" s="5" t="str">
        <f t="shared" si="18"/>
        <v/>
      </c>
      <c r="C630">
        <f>IFERROR(VLOOKUP(TRIM(B630),Inventory!E:E,1,0),0)</f>
        <v>0</v>
      </c>
      <c r="D630" t="str">
        <f t="shared" si="19"/>
        <v/>
      </c>
    </row>
    <row r="631" spans="1:4" x14ac:dyDescent="0.25">
      <c r="A631" s="7"/>
      <c r="B631" s="5" t="str">
        <f t="shared" si="18"/>
        <v/>
      </c>
      <c r="C631">
        <f>IFERROR(VLOOKUP(TRIM(B631),Inventory!E:E,1,0),0)</f>
        <v>0</v>
      </c>
      <c r="D631" t="str">
        <f t="shared" si="19"/>
        <v/>
      </c>
    </row>
    <row r="632" spans="1:4" x14ac:dyDescent="0.25">
      <c r="A632" s="7"/>
      <c r="B632" s="5" t="str">
        <f t="shared" si="18"/>
        <v/>
      </c>
      <c r="C632">
        <f>IFERROR(VLOOKUP(TRIM(B632),Inventory!E:E,1,0),0)</f>
        <v>0</v>
      </c>
      <c r="D632" t="str">
        <f t="shared" si="19"/>
        <v/>
      </c>
    </row>
    <row r="633" spans="1:4" x14ac:dyDescent="0.25">
      <c r="A633" s="7"/>
      <c r="B633" s="5" t="str">
        <f t="shared" si="18"/>
        <v/>
      </c>
      <c r="C633">
        <f>IFERROR(VLOOKUP(TRIM(B633),Inventory!E:E,1,0),0)</f>
        <v>0</v>
      </c>
      <c r="D633" t="str">
        <f t="shared" si="19"/>
        <v/>
      </c>
    </row>
    <row r="634" spans="1:4" x14ac:dyDescent="0.25">
      <c r="A634" s="7"/>
      <c r="B634" s="5" t="str">
        <f t="shared" si="18"/>
        <v/>
      </c>
      <c r="C634">
        <f>IFERROR(VLOOKUP(TRIM(B634),Inventory!E:E,1,0),0)</f>
        <v>0</v>
      </c>
      <c r="D634" t="str">
        <f t="shared" si="19"/>
        <v/>
      </c>
    </row>
    <row r="635" spans="1:4" x14ac:dyDescent="0.25">
      <c r="A635" s="7"/>
      <c r="B635" s="5" t="str">
        <f t="shared" si="18"/>
        <v/>
      </c>
      <c r="C635">
        <f>IFERROR(VLOOKUP(TRIM(B635),Inventory!E:E,1,0),0)</f>
        <v>0</v>
      </c>
      <c r="D635" t="str">
        <f t="shared" si="19"/>
        <v/>
      </c>
    </row>
    <row r="636" spans="1:4" x14ac:dyDescent="0.25">
      <c r="A636" s="7"/>
      <c r="B636" s="5" t="str">
        <f t="shared" si="18"/>
        <v/>
      </c>
      <c r="C636">
        <f>IFERROR(VLOOKUP(TRIM(B636),Inventory!E:E,1,0),0)</f>
        <v>0</v>
      </c>
      <c r="D636" t="str">
        <f t="shared" si="19"/>
        <v/>
      </c>
    </row>
    <row r="637" spans="1:4" x14ac:dyDescent="0.25">
      <c r="A637" s="7"/>
      <c r="B637" s="5" t="str">
        <f t="shared" si="18"/>
        <v/>
      </c>
      <c r="C637">
        <f>IFERROR(VLOOKUP(TRIM(B637),Inventory!E:E,1,0),0)</f>
        <v>0</v>
      </c>
      <c r="D637" t="str">
        <f t="shared" si="19"/>
        <v/>
      </c>
    </row>
    <row r="638" spans="1:4" x14ac:dyDescent="0.25">
      <c r="A638" s="7"/>
      <c r="B638" s="5" t="str">
        <f t="shared" si="18"/>
        <v/>
      </c>
      <c r="C638">
        <f>IFERROR(VLOOKUP(TRIM(B638),Inventory!E:E,1,0),0)</f>
        <v>0</v>
      </c>
      <c r="D638" t="str">
        <f t="shared" si="19"/>
        <v/>
      </c>
    </row>
    <row r="639" spans="1:4" x14ac:dyDescent="0.25">
      <c r="A639" s="7"/>
      <c r="B639" s="5" t="str">
        <f t="shared" si="18"/>
        <v/>
      </c>
      <c r="C639">
        <f>IFERROR(VLOOKUP(TRIM(B639),Inventory!E:E,1,0),0)</f>
        <v>0</v>
      </c>
      <c r="D639" t="str">
        <f t="shared" si="19"/>
        <v/>
      </c>
    </row>
    <row r="640" spans="1:4" x14ac:dyDescent="0.25">
      <c r="A640" s="7"/>
      <c r="B640" s="5" t="str">
        <f t="shared" si="18"/>
        <v/>
      </c>
      <c r="C640">
        <f>IFERROR(VLOOKUP(TRIM(B640),Inventory!E:E,1,0),0)</f>
        <v>0</v>
      </c>
      <c r="D640" t="str">
        <f t="shared" si="19"/>
        <v/>
      </c>
    </row>
    <row r="641" spans="1:4" x14ac:dyDescent="0.25">
      <c r="A641" s="7"/>
      <c r="B641" s="5" t="str">
        <f t="shared" si="18"/>
        <v/>
      </c>
      <c r="C641">
        <f>IFERROR(VLOOKUP(TRIM(B641),Inventory!E:E,1,0),0)</f>
        <v>0</v>
      </c>
      <c r="D641" t="str">
        <f t="shared" si="19"/>
        <v/>
      </c>
    </row>
    <row r="642" spans="1:4" x14ac:dyDescent="0.25">
      <c r="A642" s="7"/>
      <c r="B642" s="5" t="str">
        <f t="shared" si="18"/>
        <v/>
      </c>
      <c r="C642">
        <f>IFERROR(VLOOKUP(TRIM(B642),Inventory!E:E,1,0),0)</f>
        <v>0</v>
      </c>
      <c r="D642" t="str">
        <f t="shared" si="19"/>
        <v/>
      </c>
    </row>
    <row r="643" spans="1:4" x14ac:dyDescent="0.25">
      <c r="A643" s="7"/>
      <c r="B643" s="5" t="str">
        <f t="shared" ref="B643:B706" si="20">SUBSTITUTE(SUBSTITUTE(A643,"ö","0"),"Ö","0")</f>
        <v/>
      </c>
      <c r="C643">
        <f>IFERROR(VLOOKUP(TRIM(B643),Inventory!E:E,1,0),0)</f>
        <v>0</v>
      </c>
      <c r="D643" t="str">
        <f t="shared" ref="D643:D706" si="21">IF(AND(TRIM(A643)&lt;&gt;"",C643=0),"NINCS A LISTÁBAN","")</f>
        <v/>
      </c>
    </row>
    <row r="644" spans="1:4" x14ac:dyDescent="0.25">
      <c r="A644" s="7"/>
      <c r="B644" s="5" t="str">
        <f t="shared" si="20"/>
        <v/>
      </c>
      <c r="C644">
        <f>IFERROR(VLOOKUP(TRIM(B644),Inventory!E:E,1,0),0)</f>
        <v>0</v>
      </c>
      <c r="D644" t="str">
        <f t="shared" si="21"/>
        <v/>
      </c>
    </row>
    <row r="645" spans="1:4" x14ac:dyDescent="0.25">
      <c r="A645" s="7"/>
      <c r="B645" s="5" t="str">
        <f t="shared" si="20"/>
        <v/>
      </c>
      <c r="C645">
        <f>IFERROR(VLOOKUP(TRIM(B645),Inventory!E:E,1,0),0)</f>
        <v>0</v>
      </c>
      <c r="D645" t="str">
        <f t="shared" si="21"/>
        <v/>
      </c>
    </row>
    <row r="646" spans="1:4" x14ac:dyDescent="0.25">
      <c r="A646" s="7"/>
      <c r="B646" s="5" t="str">
        <f t="shared" si="20"/>
        <v/>
      </c>
      <c r="C646">
        <f>IFERROR(VLOOKUP(TRIM(B646),Inventory!E:E,1,0),0)</f>
        <v>0</v>
      </c>
      <c r="D646" t="str">
        <f t="shared" si="21"/>
        <v/>
      </c>
    </row>
    <row r="647" spans="1:4" x14ac:dyDescent="0.25">
      <c r="A647" s="7"/>
      <c r="B647" s="5" t="str">
        <f t="shared" si="20"/>
        <v/>
      </c>
      <c r="C647">
        <f>IFERROR(VLOOKUP(TRIM(B647),Inventory!E:E,1,0),0)</f>
        <v>0</v>
      </c>
      <c r="D647" t="str">
        <f t="shared" si="21"/>
        <v/>
      </c>
    </row>
    <row r="648" spans="1:4" x14ac:dyDescent="0.25">
      <c r="A648" s="7"/>
      <c r="B648" s="5" t="str">
        <f t="shared" si="20"/>
        <v/>
      </c>
      <c r="C648">
        <f>IFERROR(VLOOKUP(TRIM(B648),Inventory!E:E,1,0),0)</f>
        <v>0</v>
      </c>
      <c r="D648" t="str">
        <f t="shared" si="21"/>
        <v/>
      </c>
    </row>
    <row r="649" spans="1:4" x14ac:dyDescent="0.25">
      <c r="A649" s="7"/>
      <c r="B649" s="5" t="str">
        <f t="shared" si="20"/>
        <v/>
      </c>
      <c r="C649">
        <f>IFERROR(VLOOKUP(TRIM(B649),Inventory!E:E,1,0),0)</f>
        <v>0</v>
      </c>
      <c r="D649" t="str">
        <f t="shared" si="21"/>
        <v/>
      </c>
    </row>
    <row r="650" spans="1:4" x14ac:dyDescent="0.25">
      <c r="A650" s="7"/>
      <c r="B650" s="5" t="str">
        <f t="shared" si="20"/>
        <v/>
      </c>
      <c r="C650">
        <f>IFERROR(VLOOKUP(TRIM(B650),Inventory!E:E,1,0),0)</f>
        <v>0</v>
      </c>
      <c r="D650" t="str">
        <f t="shared" si="21"/>
        <v/>
      </c>
    </row>
    <row r="651" spans="1:4" x14ac:dyDescent="0.25">
      <c r="A651" s="7"/>
      <c r="B651" s="5" t="str">
        <f t="shared" si="20"/>
        <v/>
      </c>
      <c r="C651">
        <f>IFERROR(VLOOKUP(TRIM(B651),Inventory!E:E,1,0),0)</f>
        <v>0</v>
      </c>
      <c r="D651" t="str">
        <f t="shared" si="21"/>
        <v/>
      </c>
    </row>
    <row r="652" spans="1:4" x14ac:dyDescent="0.25">
      <c r="A652" s="7"/>
      <c r="B652" s="5" t="str">
        <f t="shared" si="20"/>
        <v/>
      </c>
      <c r="C652">
        <f>IFERROR(VLOOKUP(TRIM(B652),Inventory!E:E,1,0),0)</f>
        <v>0</v>
      </c>
      <c r="D652" t="str">
        <f t="shared" si="21"/>
        <v/>
      </c>
    </row>
    <row r="653" spans="1:4" x14ac:dyDescent="0.25">
      <c r="A653" s="7"/>
      <c r="B653" s="5" t="str">
        <f t="shared" si="20"/>
        <v/>
      </c>
      <c r="C653">
        <f>IFERROR(VLOOKUP(TRIM(B653),Inventory!E:E,1,0),0)</f>
        <v>0</v>
      </c>
      <c r="D653" t="str">
        <f t="shared" si="21"/>
        <v/>
      </c>
    </row>
    <row r="654" spans="1:4" x14ac:dyDescent="0.25">
      <c r="A654" s="7"/>
      <c r="B654" s="5" t="str">
        <f t="shared" si="20"/>
        <v/>
      </c>
      <c r="C654">
        <f>IFERROR(VLOOKUP(TRIM(B654),Inventory!E:E,1,0),0)</f>
        <v>0</v>
      </c>
      <c r="D654" t="str">
        <f t="shared" si="21"/>
        <v/>
      </c>
    </row>
    <row r="655" spans="1:4" x14ac:dyDescent="0.25">
      <c r="A655" s="7"/>
      <c r="B655" s="5" t="str">
        <f t="shared" si="20"/>
        <v/>
      </c>
      <c r="C655">
        <f>IFERROR(VLOOKUP(TRIM(B655),Inventory!E:E,1,0),0)</f>
        <v>0</v>
      </c>
      <c r="D655" t="str">
        <f t="shared" si="21"/>
        <v/>
      </c>
    </row>
    <row r="656" spans="1:4" x14ac:dyDescent="0.25">
      <c r="A656" s="7"/>
      <c r="B656" s="5" t="str">
        <f t="shared" si="20"/>
        <v/>
      </c>
      <c r="C656">
        <f>IFERROR(VLOOKUP(TRIM(B656),Inventory!E:E,1,0),0)</f>
        <v>0</v>
      </c>
      <c r="D656" t="str">
        <f t="shared" si="21"/>
        <v/>
      </c>
    </row>
    <row r="657" spans="1:4" x14ac:dyDescent="0.25">
      <c r="A657" s="7"/>
      <c r="B657" s="5" t="str">
        <f t="shared" si="20"/>
        <v/>
      </c>
      <c r="C657">
        <f>IFERROR(VLOOKUP(TRIM(B657),Inventory!E:E,1,0),0)</f>
        <v>0</v>
      </c>
      <c r="D657" t="str">
        <f t="shared" si="21"/>
        <v/>
      </c>
    </row>
    <row r="658" spans="1:4" x14ac:dyDescent="0.25">
      <c r="A658" s="7"/>
      <c r="B658" s="5" t="str">
        <f t="shared" si="20"/>
        <v/>
      </c>
      <c r="C658">
        <f>IFERROR(VLOOKUP(TRIM(B658),Inventory!E:E,1,0),0)</f>
        <v>0</v>
      </c>
      <c r="D658" t="str">
        <f t="shared" si="21"/>
        <v/>
      </c>
    </row>
    <row r="659" spans="1:4" x14ac:dyDescent="0.25">
      <c r="A659" s="7"/>
      <c r="B659" s="5" t="str">
        <f t="shared" si="20"/>
        <v/>
      </c>
      <c r="C659">
        <f>IFERROR(VLOOKUP(TRIM(B659),Inventory!E:E,1,0),0)</f>
        <v>0</v>
      </c>
      <c r="D659" t="str">
        <f t="shared" si="21"/>
        <v/>
      </c>
    </row>
    <row r="660" spans="1:4" x14ac:dyDescent="0.25">
      <c r="A660" s="7"/>
      <c r="B660" s="5" t="str">
        <f t="shared" si="20"/>
        <v/>
      </c>
      <c r="C660">
        <f>IFERROR(VLOOKUP(TRIM(B660),Inventory!E:E,1,0),0)</f>
        <v>0</v>
      </c>
      <c r="D660" t="str">
        <f t="shared" si="21"/>
        <v/>
      </c>
    </row>
    <row r="661" spans="1:4" x14ac:dyDescent="0.25">
      <c r="A661" s="7"/>
      <c r="B661" s="5" t="str">
        <f t="shared" si="20"/>
        <v/>
      </c>
      <c r="C661">
        <f>IFERROR(VLOOKUP(TRIM(B661),Inventory!E:E,1,0),0)</f>
        <v>0</v>
      </c>
      <c r="D661" t="str">
        <f t="shared" si="21"/>
        <v/>
      </c>
    </row>
    <row r="662" spans="1:4" x14ac:dyDescent="0.25">
      <c r="A662" s="7"/>
      <c r="B662" s="5" t="str">
        <f t="shared" si="20"/>
        <v/>
      </c>
      <c r="C662">
        <f>IFERROR(VLOOKUP(TRIM(B662),Inventory!E:E,1,0),0)</f>
        <v>0</v>
      </c>
      <c r="D662" t="str">
        <f t="shared" si="21"/>
        <v/>
      </c>
    </row>
    <row r="663" spans="1:4" x14ac:dyDescent="0.25">
      <c r="A663" s="7"/>
      <c r="B663" s="5" t="str">
        <f t="shared" si="20"/>
        <v/>
      </c>
      <c r="C663">
        <f>IFERROR(VLOOKUP(TRIM(B663),Inventory!E:E,1,0),0)</f>
        <v>0</v>
      </c>
      <c r="D663" t="str">
        <f t="shared" si="21"/>
        <v/>
      </c>
    </row>
    <row r="664" spans="1:4" x14ac:dyDescent="0.25">
      <c r="A664" s="7"/>
      <c r="B664" s="5" t="str">
        <f t="shared" si="20"/>
        <v/>
      </c>
      <c r="C664">
        <f>IFERROR(VLOOKUP(TRIM(B664),Inventory!E:E,1,0),0)</f>
        <v>0</v>
      </c>
      <c r="D664" t="str">
        <f t="shared" si="21"/>
        <v/>
      </c>
    </row>
    <row r="665" spans="1:4" x14ac:dyDescent="0.25">
      <c r="A665" s="7"/>
      <c r="B665" s="5" t="str">
        <f t="shared" si="20"/>
        <v/>
      </c>
      <c r="C665">
        <f>IFERROR(VLOOKUP(TRIM(B665),Inventory!E:E,1,0),0)</f>
        <v>0</v>
      </c>
      <c r="D665" t="str">
        <f t="shared" si="21"/>
        <v/>
      </c>
    </row>
    <row r="666" spans="1:4" x14ac:dyDescent="0.25">
      <c r="A666" s="7"/>
      <c r="B666" s="5" t="str">
        <f t="shared" si="20"/>
        <v/>
      </c>
      <c r="C666">
        <f>IFERROR(VLOOKUP(TRIM(B666),Inventory!E:E,1,0),0)</f>
        <v>0</v>
      </c>
      <c r="D666" t="str">
        <f t="shared" si="21"/>
        <v/>
      </c>
    </row>
    <row r="667" spans="1:4" x14ac:dyDescent="0.25">
      <c r="A667" s="7"/>
      <c r="B667" s="5" t="str">
        <f t="shared" si="20"/>
        <v/>
      </c>
      <c r="C667">
        <f>IFERROR(VLOOKUP(TRIM(B667),Inventory!E:E,1,0),0)</f>
        <v>0</v>
      </c>
      <c r="D667" t="str">
        <f t="shared" si="21"/>
        <v/>
      </c>
    </row>
    <row r="668" spans="1:4" x14ac:dyDescent="0.25">
      <c r="A668" s="7"/>
      <c r="B668" s="5" t="str">
        <f t="shared" si="20"/>
        <v/>
      </c>
      <c r="C668">
        <f>IFERROR(VLOOKUP(TRIM(B668),Inventory!E:E,1,0),0)</f>
        <v>0</v>
      </c>
      <c r="D668" t="str">
        <f t="shared" si="21"/>
        <v/>
      </c>
    </row>
    <row r="669" spans="1:4" x14ac:dyDescent="0.25">
      <c r="A669" s="7"/>
      <c r="B669" s="5" t="str">
        <f t="shared" si="20"/>
        <v/>
      </c>
      <c r="C669">
        <f>IFERROR(VLOOKUP(TRIM(B669),Inventory!E:E,1,0),0)</f>
        <v>0</v>
      </c>
      <c r="D669" t="str">
        <f t="shared" si="21"/>
        <v/>
      </c>
    </row>
    <row r="670" spans="1:4" x14ac:dyDescent="0.25">
      <c r="A670" s="7"/>
      <c r="B670" s="5" t="str">
        <f t="shared" si="20"/>
        <v/>
      </c>
      <c r="C670">
        <f>IFERROR(VLOOKUP(TRIM(B670),Inventory!E:E,1,0),0)</f>
        <v>0</v>
      </c>
      <c r="D670" t="str">
        <f t="shared" si="21"/>
        <v/>
      </c>
    </row>
    <row r="671" spans="1:4" x14ac:dyDescent="0.25">
      <c r="A671" s="7"/>
      <c r="B671" s="5" t="str">
        <f t="shared" si="20"/>
        <v/>
      </c>
      <c r="C671">
        <f>IFERROR(VLOOKUP(TRIM(B671),Inventory!E:E,1,0),0)</f>
        <v>0</v>
      </c>
      <c r="D671" t="str">
        <f t="shared" si="21"/>
        <v/>
      </c>
    </row>
    <row r="672" spans="1:4" x14ac:dyDescent="0.25">
      <c r="A672" s="7"/>
      <c r="B672" s="5" t="str">
        <f t="shared" si="20"/>
        <v/>
      </c>
      <c r="C672">
        <f>IFERROR(VLOOKUP(TRIM(B672),Inventory!E:E,1,0),0)</f>
        <v>0</v>
      </c>
      <c r="D672" t="str">
        <f t="shared" si="21"/>
        <v/>
      </c>
    </row>
    <row r="673" spans="1:4" x14ac:dyDescent="0.25">
      <c r="A673" s="7"/>
      <c r="B673" s="5" t="str">
        <f t="shared" si="20"/>
        <v/>
      </c>
      <c r="C673">
        <f>IFERROR(VLOOKUP(TRIM(B673),Inventory!E:E,1,0),0)</f>
        <v>0</v>
      </c>
      <c r="D673" t="str">
        <f t="shared" si="21"/>
        <v/>
      </c>
    </row>
    <row r="674" spans="1:4" x14ac:dyDescent="0.25">
      <c r="A674" s="7"/>
      <c r="B674" s="5" t="str">
        <f t="shared" si="20"/>
        <v/>
      </c>
      <c r="C674">
        <f>IFERROR(VLOOKUP(TRIM(B674),Inventory!E:E,1,0),0)</f>
        <v>0</v>
      </c>
      <c r="D674" t="str">
        <f t="shared" si="21"/>
        <v/>
      </c>
    </row>
    <row r="675" spans="1:4" x14ac:dyDescent="0.25">
      <c r="A675" s="7"/>
      <c r="B675" s="5" t="str">
        <f t="shared" si="20"/>
        <v/>
      </c>
      <c r="C675">
        <f>IFERROR(VLOOKUP(TRIM(B675),Inventory!E:E,1,0),0)</f>
        <v>0</v>
      </c>
      <c r="D675" t="str">
        <f t="shared" si="21"/>
        <v/>
      </c>
    </row>
    <row r="676" spans="1:4" x14ac:dyDescent="0.25">
      <c r="A676" s="7"/>
      <c r="B676" s="5" t="str">
        <f t="shared" si="20"/>
        <v/>
      </c>
      <c r="C676">
        <f>IFERROR(VLOOKUP(TRIM(B676),Inventory!E:E,1,0),0)</f>
        <v>0</v>
      </c>
      <c r="D676" t="str">
        <f t="shared" si="21"/>
        <v/>
      </c>
    </row>
    <row r="677" spans="1:4" x14ac:dyDescent="0.25">
      <c r="A677" s="7"/>
      <c r="B677" s="5" t="str">
        <f t="shared" si="20"/>
        <v/>
      </c>
      <c r="C677">
        <f>IFERROR(VLOOKUP(TRIM(B677),Inventory!E:E,1,0),0)</f>
        <v>0</v>
      </c>
      <c r="D677" t="str">
        <f t="shared" si="21"/>
        <v/>
      </c>
    </row>
    <row r="678" spans="1:4" x14ac:dyDescent="0.25">
      <c r="A678" s="7"/>
      <c r="B678" s="5" t="str">
        <f t="shared" si="20"/>
        <v/>
      </c>
      <c r="C678">
        <f>IFERROR(VLOOKUP(TRIM(B678),Inventory!E:E,1,0),0)</f>
        <v>0</v>
      </c>
      <c r="D678" t="str">
        <f t="shared" si="21"/>
        <v/>
      </c>
    </row>
    <row r="679" spans="1:4" x14ac:dyDescent="0.25">
      <c r="A679" s="7"/>
      <c r="B679" s="5" t="str">
        <f t="shared" si="20"/>
        <v/>
      </c>
      <c r="C679">
        <f>IFERROR(VLOOKUP(TRIM(B679),Inventory!E:E,1,0),0)</f>
        <v>0</v>
      </c>
      <c r="D679" t="str">
        <f t="shared" si="21"/>
        <v/>
      </c>
    </row>
    <row r="680" spans="1:4" x14ac:dyDescent="0.25">
      <c r="A680" s="7"/>
      <c r="B680" s="5" t="str">
        <f t="shared" si="20"/>
        <v/>
      </c>
      <c r="C680">
        <f>IFERROR(VLOOKUP(TRIM(B680),Inventory!E:E,1,0),0)</f>
        <v>0</v>
      </c>
      <c r="D680" t="str">
        <f t="shared" si="21"/>
        <v/>
      </c>
    </row>
    <row r="681" spans="1:4" x14ac:dyDescent="0.25">
      <c r="A681" s="7"/>
      <c r="B681" s="5" t="str">
        <f t="shared" si="20"/>
        <v/>
      </c>
      <c r="C681">
        <f>IFERROR(VLOOKUP(TRIM(B681),Inventory!E:E,1,0),0)</f>
        <v>0</v>
      </c>
      <c r="D681" t="str">
        <f t="shared" si="21"/>
        <v/>
      </c>
    </row>
    <row r="682" spans="1:4" x14ac:dyDescent="0.25">
      <c r="A682" s="7"/>
      <c r="B682" s="5" t="str">
        <f t="shared" si="20"/>
        <v/>
      </c>
      <c r="C682">
        <f>IFERROR(VLOOKUP(TRIM(B682),Inventory!E:E,1,0),0)</f>
        <v>0</v>
      </c>
      <c r="D682" t="str">
        <f t="shared" si="21"/>
        <v/>
      </c>
    </row>
    <row r="683" spans="1:4" x14ac:dyDescent="0.25">
      <c r="A683" s="7"/>
      <c r="B683" s="5" t="str">
        <f t="shared" si="20"/>
        <v/>
      </c>
      <c r="C683">
        <f>IFERROR(VLOOKUP(TRIM(B683),Inventory!E:E,1,0),0)</f>
        <v>0</v>
      </c>
      <c r="D683" t="str">
        <f t="shared" si="21"/>
        <v/>
      </c>
    </row>
    <row r="684" spans="1:4" x14ac:dyDescent="0.25">
      <c r="A684" s="7"/>
      <c r="B684" s="5" t="str">
        <f t="shared" si="20"/>
        <v/>
      </c>
      <c r="C684">
        <f>IFERROR(VLOOKUP(TRIM(B684),Inventory!E:E,1,0),0)</f>
        <v>0</v>
      </c>
      <c r="D684" t="str">
        <f t="shared" si="21"/>
        <v/>
      </c>
    </row>
    <row r="685" spans="1:4" x14ac:dyDescent="0.25">
      <c r="A685" s="7"/>
      <c r="B685" s="5" t="str">
        <f t="shared" si="20"/>
        <v/>
      </c>
      <c r="C685">
        <f>IFERROR(VLOOKUP(TRIM(B685),Inventory!E:E,1,0),0)</f>
        <v>0</v>
      </c>
      <c r="D685" t="str">
        <f t="shared" si="21"/>
        <v/>
      </c>
    </row>
    <row r="686" spans="1:4" x14ac:dyDescent="0.25">
      <c r="A686" s="7"/>
      <c r="B686" s="5" t="str">
        <f t="shared" si="20"/>
        <v/>
      </c>
      <c r="C686">
        <f>IFERROR(VLOOKUP(TRIM(B686),Inventory!E:E,1,0),0)</f>
        <v>0</v>
      </c>
      <c r="D686" t="str">
        <f t="shared" si="21"/>
        <v/>
      </c>
    </row>
    <row r="687" spans="1:4" x14ac:dyDescent="0.25">
      <c r="A687" s="7"/>
      <c r="B687" s="5" t="str">
        <f t="shared" si="20"/>
        <v/>
      </c>
      <c r="C687">
        <f>IFERROR(VLOOKUP(TRIM(B687),Inventory!E:E,1,0),0)</f>
        <v>0</v>
      </c>
      <c r="D687" t="str">
        <f t="shared" si="21"/>
        <v/>
      </c>
    </row>
    <row r="688" spans="1:4" x14ac:dyDescent="0.25">
      <c r="A688" s="7"/>
      <c r="B688" s="5" t="str">
        <f t="shared" si="20"/>
        <v/>
      </c>
      <c r="C688">
        <f>IFERROR(VLOOKUP(TRIM(B688),Inventory!E:E,1,0),0)</f>
        <v>0</v>
      </c>
      <c r="D688" t="str">
        <f t="shared" si="21"/>
        <v/>
      </c>
    </row>
    <row r="689" spans="1:4" x14ac:dyDescent="0.25">
      <c r="A689" s="7"/>
      <c r="B689" s="5" t="str">
        <f t="shared" si="20"/>
        <v/>
      </c>
      <c r="C689">
        <f>IFERROR(VLOOKUP(TRIM(B689),Inventory!E:E,1,0),0)</f>
        <v>0</v>
      </c>
      <c r="D689" t="str">
        <f t="shared" si="21"/>
        <v/>
      </c>
    </row>
    <row r="690" spans="1:4" x14ac:dyDescent="0.25">
      <c r="A690" s="7"/>
      <c r="B690" s="5" t="str">
        <f t="shared" si="20"/>
        <v/>
      </c>
      <c r="C690">
        <f>IFERROR(VLOOKUP(TRIM(B690),Inventory!E:E,1,0),0)</f>
        <v>0</v>
      </c>
      <c r="D690" t="str">
        <f t="shared" si="21"/>
        <v/>
      </c>
    </row>
    <row r="691" spans="1:4" x14ac:dyDescent="0.25">
      <c r="A691" s="7"/>
      <c r="B691" s="5" t="str">
        <f t="shared" si="20"/>
        <v/>
      </c>
      <c r="C691">
        <f>IFERROR(VLOOKUP(TRIM(B691),Inventory!E:E,1,0),0)</f>
        <v>0</v>
      </c>
      <c r="D691" t="str">
        <f t="shared" si="21"/>
        <v/>
      </c>
    </row>
    <row r="692" spans="1:4" x14ac:dyDescent="0.25">
      <c r="A692" s="7"/>
      <c r="B692" s="5" t="str">
        <f t="shared" si="20"/>
        <v/>
      </c>
      <c r="C692">
        <f>IFERROR(VLOOKUP(TRIM(B692),Inventory!E:E,1,0),0)</f>
        <v>0</v>
      </c>
      <c r="D692" t="str">
        <f t="shared" si="21"/>
        <v/>
      </c>
    </row>
    <row r="693" spans="1:4" x14ac:dyDescent="0.25">
      <c r="A693" s="7"/>
      <c r="B693" s="5" t="str">
        <f t="shared" si="20"/>
        <v/>
      </c>
      <c r="C693">
        <f>IFERROR(VLOOKUP(TRIM(B693),Inventory!E:E,1,0),0)</f>
        <v>0</v>
      </c>
      <c r="D693" t="str">
        <f t="shared" si="21"/>
        <v/>
      </c>
    </row>
    <row r="694" spans="1:4" x14ac:dyDescent="0.25">
      <c r="A694" s="7"/>
      <c r="B694" s="5" t="str">
        <f t="shared" si="20"/>
        <v/>
      </c>
      <c r="C694">
        <f>IFERROR(VLOOKUP(TRIM(B694),Inventory!E:E,1,0),0)</f>
        <v>0</v>
      </c>
      <c r="D694" t="str">
        <f t="shared" si="21"/>
        <v/>
      </c>
    </row>
    <row r="695" spans="1:4" x14ac:dyDescent="0.25">
      <c r="A695" s="7"/>
      <c r="B695" s="5" t="str">
        <f t="shared" si="20"/>
        <v/>
      </c>
      <c r="C695">
        <f>IFERROR(VLOOKUP(TRIM(B695),Inventory!E:E,1,0),0)</f>
        <v>0</v>
      </c>
      <c r="D695" t="str">
        <f t="shared" si="21"/>
        <v/>
      </c>
    </row>
    <row r="696" spans="1:4" x14ac:dyDescent="0.25">
      <c r="A696" s="7"/>
      <c r="B696" s="5" t="str">
        <f t="shared" si="20"/>
        <v/>
      </c>
      <c r="C696">
        <f>IFERROR(VLOOKUP(TRIM(B696),Inventory!E:E,1,0),0)</f>
        <v>0</v>
      </c>
      <c r="D696" t="str">
        <f t="shared" si="21"/>
        <v/>
      </c>
    </row>
    <row r="697" spans="1:4" x14ac:dyDescent="0.25">
      <c r="A697" s="7"/>
      <c r="B697" s="5" t="str">
        <f t="shared" si="20"/>
        <v/>
      </c>
      <c r="C697">
        <f>IFERROR(VLOOKUP(TRIM(B697),Inventory!E:E,1,0),0)</f>
        <v>0</v>
      </c>
      <c r="D697" t="str">
        <f t="shared" si="21"/>
        <v/>
      </c>
    </row>
    <row r="698" spans="1:4" x14ac:dyDescent="0.25">
      <c r="A698" s="7"/>
      <c r="B698" s="5" t="str">
        <f t="shared" si="20"/>
        <v/>
      </c>
      <c r="C698">
        <f>IFERROR(VLOOKUP(TRIM(B698),Inventory!E:E,1,0),0)</f>
        <v>0</v>
      </c>
      <c r="D698" t="str">
        <f t="shared" si="21"/>
        <v/>
      </c>
    </row>
    <row r="699" spans="1:4" x14ac:dyDescent="0.25">
      <c r="A699" s="7"/>
      <c r="B699" s="5" t="str">
        <f t="shared" si="20"/>
        <v/>
      </c>
      <c r="C699">
        <f>IFERROR(VLOOKUP(TRIM(B699),Inventory!E:E,1,0),0)</f>
        <v>0</v>
      </c>
      <c r="D699" t="str">
        <f t="shared" si="21"/>
        <v/>
      </c>
    </row>
    <row r="700" spans="1:4" x14ac:dyDescent="0.25">
      <c r="A700" s="7"/>
      <c r="B700" s="5" t="str">
        <f t="shared" si="20"/>
        <v/>
      </c>
      <c r="C700">
        <f>IFERROR(VLOOKUP(TRIM(B700),Inventory!E:E,1,0),0)</f>
        <v>0</v>
      </c>
      <c r="D700" t="str">
        <f t="shared" si="21"/>
        <v/>
      </c>
    </row>
    <row r="701" spans="1:4" x14ac:dyDescent="0.25">
      <c r="A701" s="7"/>
      <c r="B701" s="5" t="str">
        <f t="shared" si="20"/>
        <v/>
      </c>
      <c r="C701">
        <f>IFERROR(VLOOKUP(TRIM(B701),Inventory!E:E,1,0),0)</f>
        <v>0</v>
      </c>
      <c r="D701" t="str">
        <f t="shared" si="21"/>
        <v/>
      </c>
    </row>
    <row r="702" spans="1:4" x14ac:dyDescent="0.25">
      <c r="A702" s="7"/>
      <c r="B702" s="5" t="str">
        <f t="shared" si="20"/>
        <v/>
      </c>
      <c r="C702">
        <f>IFERROR(VLOOKUP(TRIM(B702),Inventory!E:E,1,0),0)</f>
        <v>0</v>
      </c>
      <c r="D702" t="str">
        <f t="shared" si="21"/>
        <v/>
      </c>
    </row>
    <row r="703" spans="1:4" x14ac:dyDescent="0.25">
      <c r="A703" s="7"/>
      <c r="B703" s="5" t="str">
        <f t="shared" si="20"/>
        <v/>
      </c>
      <c r="C703">
        <f>IFERROR(VLOOKUP(TRIM(B703),Inventory!E:E,1,0),0)</f>
        <v>0</v>
      </c>
      <c r="D703" t="str">
        <f t="shared" si="21"/>
        <v/>
      </c>
    </row>
    <row r="704" spans="1:4" x14ac:dyDescent="0.25">
      <c r="A704" s="7"/>
      <c r="B704" s="5" t="str">
        <f t="shared" si="20"/>
        <v/>
      </c>
      <c r="C704">
        <f>IFERROR(VLOOKUP(TRIM(B704),Inventory!E:E,1,0),0)</f>
        <v>0</v>
      </c>
      <c r="D704" t="str">
        <f t="shared" si="21"/>
        <v/>
      </c>
    </row>
    <row r="705" spans="1:4" x14ac:dyDescent="0.25">
      <c r="A705" s="7"/>
      <c r="B705" s="5" t="str">
        <f t="shared" si="20"/>
        <v/>
      </c>
      <c r="C705">
        <f>IFERROR(VLOOKUP(TRIM(B705),Inventory!E:E,1,0),0)</f>
        <v>0</v>
      </c>
      <c r="D705" t="str">
        <f t="shared" si="21"/>
        <v/>
      </c>
    </row>
    <row r="706" spans="1:4" x14ac:dyDescent="0.25">
      <c r="A706" s="7"/>
      <c r="B706" s="5" t="str">
        <f t="shared" si="20"/>
        <v/>
      </c>
      <c r="C706">
        <f>IFERROR(VLOOKUP(TRIM(B706),Inventory!E:E,1,0),0)</f>
        <v>0</v>
      </c>
      <c r="D706" t="str">
        <f t="shared" si="21"/>
        <v/>
      </c>
    </row>
    <row r="707" spans="1:4" x14ac:dyDescent="0.25">
      <c r="A707" s="7"/>
      <c r="B707" s="5" t="str">
        <f t="shared" ref="B707:B737" si="22">SUBSTITUTE(SUBSTITUTE(A707,"ö","0"),"Ö","0")</f>
        <v/>
      </c>
      <c r="C707">
        <f>IFERROR(VLOOKUP(TRIM(B707),Inventory!E:E,1,0),0)</f>
        <v>0</v>
      </c>
      <c r="D707" t="str">
        <f t="shared" ref="D707:D737" si="23">IF(AND(TRIM(A707)&lt;&gt;"",C707=0),"NINCS A LISTÁBAN","")</f>
        <v/>
      </c>
    </row>
    <row r="708" spans="1:4" x14ac:dyDescent="0.25">
      <c r="A708" s="7"/>
      <c r="B708" s="5" t="str">
        <f t="shared" si="22"/>
        <v/>
      </c>
      <c r="C708">
        <f>IFERROR(VLOOKUP(TRIM(B708),Inventory!E:E,1,0),0)</f>
        <v>0</v>
      </c>
      <c r="D708" t="str">
        <f t="shared" si="23"/>
        <v/>
      </c>
    </row>
    <row r="709" spans="1:4" x14ac:dyDescent="0.25">
      <c r="A709" s="7"/>
      <c r="B709" s="5" t="str">
        <f t="shared" si="22"/>
        <v/>
      </c>
      <c r="C709">
        <f>IFERROR(VLOOKUP(TRIM(B709),Inventory!E:E,1,0),0)</f>
        <v>0</v>
      </c>
      <c r="D709" t="str">
        <f t="shared" si="23"/>
        <v/>
      </c>
    </row>
    <row r="710" spans="1:4" x14ac:dyDescent="0.25">
      <c r="A710" s="7"/>
      <c r="B710" s="5" t="str">
        <f t="shared" si="22"/>
        <v/>
      </c>
      <c r="C710">
        <f>IFERROR(VLOOKUP(TRIM(B710),Inventory!E:E,1,0),0)</f>
        <v>0</v>
      </c>
      <c r="D710" t="str">
        <f t="shared" si="23"/>
        <v/>
      </c>
    </row>
    <row r="711" spans="1:4" x14ac:dyDescent="0.25">
      <c r="A711" s="7"/>
      <c r="B711" s="5" t="str">
        <f t="shared" si="22"/>
        <v/>
      </c>
      <c r="C711">
        <f>IFERROR(VLOOKUP(TRIM(B711),Inventory!E:E,1,0),0)</f>
        <v>0</v>
      </c>
      <c r="D711" t="str">
        <f t="shared" si="23"/>
        <v/>
      </c>
    </row>
    <row r="712" spans="1:4" x14ac:dyDescent="0.25">
      <c r="A712" s="7"/>
      <c r="B712" s="5" t="str">
        <f t="shared" si="22"/>
        <v/>
      </c>
      <c r="C712">
        <f>IFERROR(VLOOKUP(TRIM(B712),Inventory!E:E,1,0),0)</f>
        <v>0</v>
      </c>
      <c r="D712" t="str">
        <f t="shared" si="23"/>
        <v/>
      </c>
    </row>
    <row r="713" spans="1:4" x14ac:dyDescent="0.25">
      <c r="A713" s="7"/>
      <c r="B713" s="5" t="str">
        <f t="shared" si="22"/>
        <v/>
      </c>
      <c r="C713">
        <f>IFERROR(VLOOKUP(TRIM(B713),Inventory!E:E,1,0),0)</f>
        <v>0</v>
      </c>
      <c r="D713" t="str">
        <f t="shared" si="23"/>
        <v/>
      </c>
    </row>
    <row r="714" spans="1:4" x14ac:dyDescent="0.25">
      <c r="A714" s="7"/>
      <c r="B714" s="5" t="str">
        <f t="shared" si="22"/>
        <v/>
      </c>
      <c r="C714">
        <f>IFERROR(VLOOKUP(TRIM(B714),Inventory!E:E,1,0),0)</f>
        <v>0</v>
      </c>
      <c r="D714" t="str">
        <f t="shared" si="23"/>
        <v/>
      </c>
    </row>
    <row r="715" spans="1:4" x14ac:dyDescent="0.25">
      <c r="A715" s="7"/>
      <c r="B715" s="5" t="str">
        <f t="shared" si="22"/>
        <v/>
      </c>
      <c r="C715">
        <f>IFERROR(VLOOKUP(TRIM(B715),Inventory!E:E,1,0),0)</f>
        <v>0</v>
      </c>
      <c r="D715" t="str">
        <f t="shared" si="23"/>
        <v/>
      </c>
    </row>
    <row r="716" spans="1:4" x14ac:dyDescent="0.25">
      <c r="A716" s="7"/>
      <c r="B716" s="5" t="str">
        <f t="shared" si="22"/>
        <v/>
      </c>
      <c r="C716">
        <f>IFERROR(VLOOKUP(TRIM(B716),Inventory!E:E,1,0),0)</f>
        <v>0</v>
      </c>
      <c r="D716" t="str">
        <f t="shared" si="23"/>
        <v/>
      </c>
    </row>
    <row r="717" spans="1:4" x14ac:dyDescent="0.25">
      <c r="A717" s="7"/>
      <c r="B717" s="5" t="str">
        <f t="shared" si="22"/>
        <v/>
      </c>
      <c r="C717">
        <f>IFERROR(VLOOKUP(TRIM(B717),Inventory!E:E,1,0),0)</f>
        <v>0</v>
      </c>
      <c r="D717" t="str">
        <f t="shared" si="23"/>
        <v/>
      </c>
    </row>
    <row r="718" spans="1:4" x14ac:dyDescent="0.25">
      <c r="A718" s="7"/>
      <c r="B718" s="5" t="str">
        <f t="shared" si="22"/>
        <v/>
      </c>
      <c r="C718">
        <f>IFERROR(VLOOKUP(TRIM(B718),Inventory!E:E,1,0),0)</f>
        <v>0</v>
      </c>
      <c r="D718" t="str">
        <f t="shared" si="23"/>
        <v/>
      </c>
    </row>
    <row r="719" spans="1:4" x14ac:dyDescent="0.25">
      <c r="A719" s="7"/>
      <c r="B719" s="5" t="str">
        <f t="shared" si="22"/>
        <v/>
      </c>
      <c r="C719">
        <f>IFERROR(VLOOKUP(TRIM(B719),Inventory!E:E,1,0),0)</f>
        <v>0</v>
      </c>
      <c r="D719" t="str">
        <f t="shared" si="23"/>
        <v/>
      </c>
    </row>
    <row r="720" spans="1:4" x14ac:dyDescent="0.25">
      <c r="A720" s="7"/>
      <c r="B720" s="5" t="str">
        <f t="shared" si="22"/>
        <v/>
      </c>
      <c r="C720">
        <f>IFERROR(VLOOKUP(TRIM(B720),Inventory!E:E,1,0),0)</f>
        <v>0</v>
      </c>
      <c r="D720" t="str">
        <f t="shared" si="23"/>
        <v/>
      </c>
    </row>
    <row r="721" spans="1:4" x14ac:dyDescent="0.25">
      <c r="A721" s="7"/>
      <c r="B721" s="5" t="str">
        <f t="shared" si="22"/>
        <v/>
      </c>
      <c r="C721">
        <f>IFERROR(VLOOKUP(TRIM(B721),Inventory!E:E,1,0),0)</f>
        <v>0</v>
      </c>
      <c r="D721" t="str">
        <f t="shared" si="23"/>
        <v/>
      </c>
    </row>
    <row r="722" spans="1:4" x14ac:dyDescent="0.25">
      <c r="A722" s="7"/>
      <c r="B722" s="5" t="str">
        <f t="shared" si="22"/>
        <v/>
      </c>
      <c r="C722">
        <f>IFERROR(VLOOKUP(TRIM(B722),Inventory!E:E,1,0),0)</f>
        <v>0</v>
      </c>
      <c r="D722" t="str">
        <f t="shared" si="23"/>
        <v/>
      </c>
    </row>
    <row r="723" spans="1:4" x14ac:dyDescent="0.25">
      <c r="A723" s="7"/>
      <c r="B723" s="5" t="str">
        <f t="shared" si="22"/>
        <v/>
      </c>
      <c r="C723">
        <f>IFERROR(VLOOKUP(TRIM(B723),Inventory!E:E,1,0),0)</f>
        <v>0</v>
      </c>
      <c r="D723" t="str">
        <f t="shared" si="23"/>
        <v/>
      </c>
    </row>
    <row r="724" spans="1:4" x14ac:dyDescent="0.25">
      <c r="A724" s="7"/>
      <c r="B724" s="5" t="str">
        <f t="shared" si="22"/>
        <v/>
      </c>
      <c r="C724">
        <f>IFERROR(VLOOKUP(TRIM(B724),Inventory!E:E,1,0),0)</f>
        <v>0</v>
      </c>
      <c r="D724" t="str">
        <f t="shared" si="23"/>
        <v/>
      </c>
    </row>
    <row r="725" spans="1:4" x14ac:dyDescent="0.25">
      <c r="A725" s="7"/>
      <c r="B725" s="5" t="str">
        <f t="shared" si="22"/>
        <v/>
      </c>
      <c r="C725">
        <f>IFERROR(VLOOKUP(TRIM(B725),Inventory!E:E,1,0),0)</f>
        <v>0</v>
      </c>
      <c r="D725" t="str">
        <f t="shared" si="23"/>
        <v/>
      </c>
    </row>
    <row r="726" spans="1:4" x14ac:dyDescent="0.25">
      <c r="A726" s="7"/>
      <c r="B726" s="5" t="str">
        <f t="shared" si="22"/>
        <v/>
      </c>
      <c r="C726">
        <f>IFERROR(VLOOKUP(TRIM(B726),Inventory!E:E,1,0),0)</f>
        <v>0</v>
      </c>
      <c r="D726" t="str">
        <f t="shared" si="23"/>
        <v/>
      </c>
    </row>
    <row r="727" spans="1:4" x14ac:dyDescent="0.25">
      <c r="A727" s="7"/>
      <c r="B727" s="5" t="str">
        <f t="shared" si="22"/>
        <v/>
      </c>
      <c r="C727">
        <f>IFERROR(VLOOKUP(TRIM(B727),Inventory!E:E,1,0),0)</f>
        <v>0</v>
      </c>
      <c r="D727" t="str">
        <f t="shared" si="23"/>
        <v/>
      </c>
    </row>
    <row r="728" spans="1:4" x14ac:dyDescent="0.25">
      <c r="A728" s="7"/>
      <c r="B728" s="5" t="str">
        <f t="shared" si="22"/>
        <v/>
      </c>
      <c r="C728">
        <f>IFERROR(VLOOKUP(TRIM(B728),Inventory!E:E,1,0),0)</f>
        <v>0</v>
      </c>
      <c r="D728" t="str">
        <f t="shared" si="23"/>
        <v/>
      </c>
    </row>
    <row r="729" spans="1:4" x14ac:dyDescent="0.25">
      <c r="A729" s="7"/>
      <c r="B729" s="5" t="str">
        <f t="shared" si="22"/>
        <v/>
      </c>
      <c r="C729">
        <f>IFERROR(VLOOKUP(TRIM(B729),Inventory!E:E,1,0),0)</f>
        <v>0</v>
      </c>
      <c r="D729" t="str">
        <f t="shared" si="23"/>
        <v/>
      </c>
    </row>
    <row r="730" spans="1:4" x14ac:dyDescent="0.25">
      <c r="A730" s="7"/>
      <c r="B730" s="5" t="str">
        <f t="shared" si="22"/>
        <v/>
      </c>
      <c r="C730">
        <f>IFERROR(VLOOKUP(TRIM(B730),Inventory!E:E,1,0),0)</f>
        <v>0</v>
      </c>
      <c r="D730" t="str">
        <f t="shared" si="23"/>
        <v/>
      </c>
    </row>
    <row r="731" spans="1:4" x14ac:dyDescent="0.25">
      <c r="A731" s="7"/>
      <c r="B731" s="5" t="str">
        <f t="shared" si="22"/>
        <v/>
      </c>
      <c r="C731">
        <f>IFERROR(VLOOKUP(TRIM(B731),Inventory!E:E,1,0),0)</f>
        <v>0</v>
      </c>
      <c r="D731" t="str">
        <f t="shared" si="23"/>
        <v/>
      </c>
    </row>
    <row r="732" spans="1:4" x14ac:dyDescent="0.25">
      <c r="A732" s="7"/>
      <c r="B732" s="5" t="str">
        <f t="shared" si="22"/>
        <v/>
      </c>
      <c r="C732">
        <f>IFERROR(VLOOKUP(TRIM(B732),Inventory!E:E,1,0),0)</f>
        <v>0</v>
      </c>
      <c r="D732" t="str">
        <f t="shared" si="23"/>
        <v/>
      </c>
    </row>
    <row r="733" spans="1:4" x14ac:dyDescent="0.25">
      <c r="A733" s="7"/>
      <c r="B733" s="5" t="str">
        <f t="shared" si="22"/>
        <v/>
      </c>
      <c r="C733">
        <f>IFERROR(VLOOKUP(TRIM(B733),Inventory!E:E,1,0),0)</f>
        <v>0</v>
      </c>
      <c r="D733" t="str">
        <f t="shared" si="23"/>
        <v/>
      </c>
    </row>
    <row r="734" spans="1:4" x14ac:dyDescent="0.25">
      <c r="A734" s="7"/>
      <c r="B734" s="5" t="str">
        <f t="shared" si="22"/>
        <v/>
      </c>
      <c r="C734">
        <f>IFERROR(VLOOKUP(TRIM(B734),Inventory!E:E,1,0),0)</f>
        <v>0</v>
      </c>
      <c r="D734" t="str">
        <f t="shared" si="23"/>
        <v/>
      </c>
    </row>
    <row r="735" spans="1:4" x14ac:dyDescent="0.25">
      <c r="A735" s="7"/>
      <c r="B735" s="5" t="str">
        <f t="shared" si="22"/>
        <v/>
      </c>
      <c r="C735">
        <f>IFERROR(VLOOKUP(TRIM(B735),Inventory!E:E,1,0),0)</f>
        <v>0</v>
      </c>
      <c r="D735" t="str">
        <f t="shared" si="23"/>
        <v/>
      </c>
    </row>
    <row r="736" spans="1:4" x14ac:dyDescent="0.25">
      <c r="A736" s="7"/>
      <c r="B736" s="5" t="str">
        <f t="shared" si="22"/>
        <v/>
      </c>
      <c r="C736">
        <f>IFERROR(VLOOKUP(TRIM(B736),Inventory!E:E,1,0),0)</f>
        <v>0</v>
      </c>
      <c r="D736" t="str">
        <f t="shared" si="23"/>
        <v/>
      </c>
    </row>
    <row r="737" spans="1:4" x14ac:dyDescent="0.25">
      <c r="A737" s="7"/>
      <c r="B737" s="5" t="str">
        <f t="shared" si="22"/>
        <v/>
      </c>
      <c r="C737">
        <f>IFERROR(VLOOKUP(TRIM(B737),Inventory!E:E,1,0),0)</f>
        <v>0</v>
      </c>
      <c r="D737" t="str">
        <f t="shared" si="23"/>
        <v/>
      </c>
    </row>
  </sheetData>
  <sheetProtection algorithmName="SHA-512" hashValue="aTgslSsKs9VFgEQAeO2UDlfL5ShJQaR6gDcEkPpyR0IALPD4bMiqM4AyMy3VQFM/yqqZXveTYPKiUFEjE9R+xg==" saltValue="LHo2anMF5P0hDTNwEuh6Ag==" spinCount="100000" sheet="1" objects="1" scenarios="1"/>
  <conditionalFormatting sqref="A1:A1048576">
    <cfRule type="duplicateValues" dxfId="0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DeleteScan">
                <anchor moveWithCells="1" sizeWithCells="1">
                  <from>
                    <xdr:col>5</xdr:col>
                    <xdr:colOff>76200</xdr:colOff>
                    <xdr:row>0</xdr:row>
                    <xdr:rowOff>57150</xdr:rowOff>
                  </from>
                  <to>
                    <xdr:col>6</xdr:col>
                    <xdr:colOff>571500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adFromFile">
                <anchor moveWithCells="1" sizeWithCells="1">
                  <from>
                    <xdr:col>7</xdr:col>
                    <xdr:colOff>114300</xdr:colOff>
                    <xdr:row>0</xdr:row>
                    <xdr:rowOff>85725</xdr:rowOff>
                  </from>
                  <to>
                    <xdr:col>9</xdr:col>
                    <xdr:colOff>371475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2</vt:i4>
      </vt:variant>
    </vt:vector>
  </HeadingPairs>
  <TitlesOfParts>
    <vt:vector size="2" baseType="lpstr">
      <vt:lpstr>Inventory</vt:lpstr>
      <vt:lpstr>Scan</vt:lpstr>
    </vt:vector>
  </TitlesOfParts>
  <Company>HMEI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László9</dc:creator>
  <cp:lastModifiedBy>tamaslaszlo</cp:lastModifiedBy>
  <dcterms:created xsi:type="dcterms:W3CDTF">2019-06-20T03:44:59Z</dcterms:created>
  <dcterms:modified xsi:type="dcterms:W3CDTF">2019-07-04T12:13:56Z</dcterms:modified>
</cp:coreProperties>
</file>