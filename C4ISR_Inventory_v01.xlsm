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9A2BC8F2-FDF8-428A-8EB0-7A614F2926E2}" xr6:coauthVersionLast="44" xr6:coauthVersionMax="44" xr10:uidLastSave="{00000000-0000-0000-0000-000000000000}"/>
  <bookViews>
    <workbookView xWindow="-120" yWindow="-120" windowWidth="29040" windowHeight="17640" xr2:uid="{A647B8B8-CC8C-4AC7-96BC-E75F06109E5C}"/>
  </bookViews>
  <sheets>
    <sheet name="Scan" sheetId="1" r:id="rId1"/>
    <sheet name="Inventory" sheetId="3" r:id="rId2"/>
    <sheet name="Full Inventory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<sst xmlns="http://schemas.openxmlformats.org/spreadsheetml/2006/main" count="3292" uniqueCount="110">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</sst>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8</xdr:row>
          <xdr:rowOff>57150</xdr:rowOff>
        </xdr:from>
        <xdr:to>
          <xdr:col>11</xdr:col>
          <xdr:colOff>285750</xdr:colOff>
          <xdr:row>9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to ENG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95250</xdr:rowOff>
        </xdr:from>
        <xdr:to>
          <xdr:col>11</xdr:col>
          <xdr:colOff>333375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to HUN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66675</xdr:rowOff>
        </xdr:from>
        <xdr:to>
          <xdr:col>11</xdr:col>
          <xdr:colOff>409575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ADS Inventory to Full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0</xdr:row>
          <xdr:rowOff>47625</xdr:rowOff>
        </xdr:from>
        <xdr:to>
          <xdr:col>13</xdr:col>
          <xdr:colOff>447675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from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0</xdr:row>
          <xdr:rowOff>47625</xdr:rowOff>
        </xdr:from>
        <xdr:to>
          <xdr:col>7</xdr:col>
          <xdr:colOff>552450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ADS Inventory to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0</xdr:row>
          <xdr:rowOff>57150</xdr:rowOff>
        </xdr:from>
        <xdr:to>
          <xdr:col>4</xdr:col>
          <xdr:colOff>104775</xdr:colOff>
          <xdr:row>0</xdr:row>
          <xdr:rowOff>266700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Scanned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selection activeCell="H29" sqref="H29"/>
    </sheetView>
  </sheetViews>
  <sheetFormatPr defaultRowHeight="15" x14ac:dyDescent="0.25"/>
  <cols>
    <col min="1" max="2" width="21.140625" style="4" bestFit="1" customWidth="1"/>
    <col min="3" max="3" width="17.5703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/>
      <c r="B2" s="4" t="str">
        <f>SUBSTITUTE(SUBSTITUTE(A2,"ö","0"),"Ö","0")</f>
        <v/>
      </c>
      <c r="C2" s="4" t="str">
        <f>IF(AND(TRIM(A2)&lt;&gt;"",IFERROR(VLOOKUP(TRIM(B2),Inventory!E:E,1,0),0)=0),"NINCS A LISTÁBAN","")</f>
        <v/>
      </c>
    </row>
    <row r="3" spans="1:3" x14ac:dyDescent="0.25">
      <c r="A3" s="5"/>
      <c r="B3" s="4" t="str">
        <f t="shared" ref="B3:B66" si="0">SUBSTITUTE(SUBSTITUTE(A3,"ö","0"),"Ö","0")</f>
        <v/>
      </c>
      <c r="C3" s="4" t="str">
        <f>IF(AND(TRIM(A3)&lt;&gt;"",IFERROR(VLOOKUP(TRIM(B3),Inventory!E:E,1,0),0)=0),"NINCS A LISTÁBAN","")</f>
        <v/>
      </c>
    </row>
    <row r="4" spans="1:3" x14ac:dyDescent="0.25">
      <c r="A4" s="5"/>
      <c r="B4" s="4" t="str">
        <f t="shared" si="0"/>
        <v/>
      </c>
      <c r="C4" s="4" t="str">
        <f>IF(AND(TRIM(A4)&lt;&gt;"",IFERROR(VLOOKUP(TRIM(B4),Inventory!E:E,1,0),0)=0),"NINCS A LISTÁBAN","")</f>
        <v/>
      </c>
    </row>
    <row r="5" spans="1:3" x14ac:dyDescent="0.25">
      <c r="A5" s="5"/>
      <c r="B5" s="4" t="str">
        <f t="shared" si="0"/>
        <v/>
      </c>
      <c r="C5" s="4" t="str">
        <f>IF(AND(TRIM(A5)&lt;&gt;"",IFERROR(VLOOKUP(TRIM(B5),Inventory!E:E,1,0),0)=0),"NINCS A LISTÁBAN","")</f>
        <v/>
      </c>
    </row>
    <row r="6" spans="1:3" x14ac:dyDescent="0.25">
      <c r="A6" s="5"/>
      <c r="B6" s="4" t="str">
        <f t="shared" si="0"/>
        <v/>
      </c>
      <c r="C6" s="4" t="str">
        <f>IF(AND(TRIM(A6)&lt;&gt;"",IFERROR(VLOOKUP(TRIM(B6),Inventory!E:E,1,0),0)=0),"NINCS A LISTÁBAN","")</f>
        <v/>
      </c>
    </row>
    <row r="7" spans="1:3" x14ac:dyDescent="0.25">
      <c r="A7" s="5"/>
      <c r="B7" s="4" t="str">
        <f t="shared" si="0"/>
        <v/>
      </c>
      <c r="C7" s="4" t="str">
        <f>IF(AND(TRIM(A7)&lt;&gt;"",IFERROR(VLOOKUP(TRIM(B7),Inventory!E:E,1,0),0)=0),"NINCS A LISTÁBAN","")</f>
        <v/>
      </c>
    </row>
    <row r="8" spans="1:3" x14ac:dyDescent="0.25">
      <c r="A8" s="5"/>
      <c r="B8" s="4" t="str">
        <f t="shared" si="0"/>
        <v/>
      </c>
      <c r="C8" s="4" t="str">
        <f>IF(AND(TRIM(A8)&lt;&gt;"",IFERROR(VLOOKUP(TRIM(B8),Inventory!E:E,1,0),0)=0),"NINCS A LISTÁBAN","")</f>
        <v/>
      </c>
    </row>
    <row r="9" spans="1:3" x14ac:dyDescent="0.25">
      <c r="A9" s="5"/>
      <c r="B9" s="4" t="str">
        <f t="shared" si="0"/>
        <v/>
      </c>
      <c r="C9" s="4" t="str">
        <f>IF(AND(TRIM(A9)&lt;&gt;"",IFERROR(VLOOKUP(TRIM(B9),Inventory!E:E,1,0),0)=0),"NINCS A LISTÁBAN","")</f>
        <v/>
      </c>
    </row>
    <row r="10" spans="1:3" x14ac:dyDescent="0.25">
      <c r="A10" s="5"/>
      <c r="B10" s="4" t="str">
        <f t="shared" si="0"/>
        <v/>
      </c>
      <c r="C10" s="4" t="str">
        <f>IF(AND(TRIM(A10)&lt;&gt;"",IFERROR(VLOOKUP(TRIM(B10),Inventory!E:E,1,0),0)=0),"NINCS A LISTÁBAN","")</f>
        <v/>
      </c>
    </row>
    <row r="11" spans="1:3" x14ac:dyDescent="0.25">
      <c r="A11" s="5"/>
      <c r="B11" s="4" t="str">
        <f t="shared" si="0"/>
        <v/>
      </c>
      <c r="C11" s="4" t="str">
        <f>IF(AND(TRIM(A11)&lt;&gt;"",IFERROR(VLOOKUP(TRIM(B11),Inventory!E:E,1,0),0)=0),"NINCS A LISTÁBAN","")</f>
        <v/>
      </c>
    </row>
    <row r="12" spans="1:3" x14ac:dyDescent="0.25">
      <c r="A12" s="5"/>
      <c r="B12" s="4" t="str">
        <f t="shared" si="0"/>
        <v/>
      </c>
      <c r="C12" s="4" t="str">
        <f>IF(AND(TRIM(A12)&lt;&gt;"",IFERROR(VLOOKUP(TRIM(B12),Inventory!E:E,1,0),0)=0),"NINCS A LISTÁBAN","")</f>
        <v/>
      </c>
    </row>
    <row r="13" spans="1:3" x14ac:dyDescent="0.25">
      <c r="A13" s="5"/>
      <c r="B13" s="4" t="str">
        <f t="shared" si="0"/>
        <v/>
      </c>
      <c r="C13" s="4" t="str">
        <f>IF(AND(TRIM(A13)&lt;&gt;"",IFERROR(VLOOKUP(TRIM(B13),Inventory!E:E,1,0),0)=0),"NINCS A LISTÁBAN","")</f>
        <v/>
      </c>
    </row>
    <row r="14" spans="1:3" x14ac:dyDescent="0.25">
      <c r="A14" s="5"/>
      <c r="B14" s="4" t="str">
        <f t="shared" si="0"/>
        <v/>
      </c>
      <c r="C14" s="4" t="str">
        <f>IF(AND(TRIM(A14)&lt;&gt;"",IFERROR(VLOOKUP(TRIM(B14),Inventory!E:E,1,0),0)=0),"NINCS A LISTÁBAN","")</f>
        <v/>
      </c>
    </row>
    <row r="15" spans="1:3" x14ac:dyDescent="0.25">
      <c r="A15" s="5"/>
      <c r="B15" s="4" t="str">
        <f t="shared" si="0"/>
        <v/>
      </c>
      <c r="C15" s="4" t="str">
        <f>IF(AND(TRIM(A15)&lt;&gt;"",IFERROR(VLOOKUP(TRIM(B15),Inventory!E:E,1,0),0)=0),"NINCS A LISTÁBAN","")</f>
        <v/>
      </c>
    </row>
    <row r="16" spans="1:3" x14ac:dyDescent="0.25">
      <c r="A16" s="5"/>
      <c r="B16" s="4" t="str">
        <f t="shared" si="0"/>
        <v/>
      </c>
      <c r="C16" s="4" t="str">
        <f>IF(AND(TRIM(A16)&lt;&gt;"",IFERROR(VLOOKUP(TRIM(B16),Inventory!E:E,1,0),0)=0),"NINCS A LISTÁBAN","")</f>
        <v/>
      </c>
    </row>
    <row r="17" spans="1:3" x14ac:dyDescent="0.25">
      <c r="A17" s="5"/>
      <c r="B17" s="4" t="str">
        <f t="shared" si="0"/>
        <v/>
      </c>
      <c r="C17" s="4" t="str">
        <f>IF(AND(TRIM(A17)&lt;&gt;"",IFERROR(VLOOKUP(TRIM(B17),Inventory!E:E,1,0),0)=0),"NINCS A LISTÁBAN","")</f>
        <v/>
      </c>
    </row>
    <row r="18" spans="1:3" x14ac:dyDescent="0.25">
      <c r="A18" s="5"/>
      <c r="B18" s="4" t="str">
        <f t="shared" si="0"/>
        <v/>
      </c>
      <c r="C18" s="4" t="str">
        <f>IF(AND(TRIM(A18)&lt;&gt;"",IFERROR(VLOOKUP(TRIM(B18),Inventory!E:E,1,0),0)=0),"NINCS A LISTÁBAN","")</f>
        <v/>
      </c>
    </row>
    <row r="19" spans="1:3" x14ac:dyDescent="0.25">
      <c r="A19" s="5"/>
      <c r="B19" s="4" t="str">
        <f t="shared" si="0"/>
        <v/>
      </c>
      <c r="C19" s="4" t="str">
        <f>IF(AND(TRIM(A19)&lt;&gt;"",IFERROR(VLOOKUP(TRIM(B19),Inventory!E:E,1,0),0)=0),"NINCS A LISTÁBAN","")</f>
        <v/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witchToENG">
                <anchor moveWithCells="1" sizeWithCells="1">
                  <from>
                    <xdr:col>9</xdr:col>
                    <xdr:colOff>104775</xdr:colOff>
                    <xdr:row>8</xdr:row>
                    <xdr:rowOff>57150</xdr:rowOff>
                  </from>
                  <to>
                    <xdr:col>11</xdr:col>
                    <xdr:colOff>285750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witchToHUN">
                <anchor moveWithCells="1" sizeWithCells="1">
                  <from>
                    <xdr:col>9</xdr:col>
                    <xdr:colOff>133350</xdr:colOff>
                    <xdr:row>6</xdr:row>
                    <xdr:rowOff>95250</xdr:rowOff>
                  </from>
                  <to>
                    <xdr:col>11</xdr:col>
                    <xdr:colOff>333375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ToFullInventory">
                <anchor moveWithCells="1" sizeWithCells="1">
                  <from>
                    <xdr:col>8</xdr:col>
                    <xdr:colOff>0</xdr:colOff>
                    <xdr:row>0</xdr:row>
                    <xdr:rowOff>66675</xdr:rowOff>
                  </from>
                  <to>
                    <xdr:col>11</xdr:col>
                    <xdr:colOff>409575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adFromFile">
                <anchor moveWithCells="1" sizeWithCells="1">
                  <from>
                    <xdr:col>11</xdr:col>
                    <xdr:colOff>466725</xdr:colOff>
                    <xdr:row>0</xdr:row>
                    <xdr:rowOff>47625</xdr:rowOff>
                  </from>
                  <to>
                    <xdr:col>13</xdr:col>
                    <xdr:colOff>447675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ToInventory">
                <anchor moveWithCells="1" sizeWithCells="1">
                  <from>
                    <xdr:col>4</xdr:col>
                    <xdr:colOff>371475</xdr:colOff>
                    <xdr:row>0</xdr:row>
                    <xdr:rowOff>47625</xdr:rowOff>
                  </from>
                  <to>
                    <xdr:col>7</xdr:col>
                    <xdr:colOff>552450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Scan">
                <anchor moveWithCells="1" sizeWithCells="1">
                  <from>
                    <xdr:col>2</xdr:col>
                    <xdr:colOff>723900</xdr:colOff>
                    <xdr:row>0</xdr:row>
                    <xdr:rowOff>57150</xdr:rowOff>
                  </from>
                  <to>
                    <xdr:col>4</xdr:col>
                    <xdr:colOff>104775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59" activePane="bottomLeft" state="frozen"/>
      <selection pane="bottomLeft" activeCell="E59" sqref="E59:E100"/>
    </sheetView>
  </sheetViews>
  <sheetFormatPr defaultRowHeight="15" x14ac:dyDescent="0.25"/>
  <cols>
    <col min="1" max="1" width="64.5703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5703125" bestFit="1" customWidth="1"/>
    <col min="6" max="6" width="8.7109375" bestFit="1" customWidth="1"/>
    <col min="7" max="7" width="26.42578125" bestFit="1" customWidth="1"/>
    <col min="8" max="8" width="19.5703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defaultRowHeight="15" x14ac:dyDescent="0.25"/>
  <cols>
    <col min="1" max="1" width="8.28515625" style="2" bestFit="1" customWidth="1"/>
    <col min="2" max="2" width="64.5703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5703125" style="2" bestFit="1" customWidth="1"/>
    <col min="7" max="7" width="8.7109375" style="2" bestFit="1" customWidth="1"/>
    <col min="8" max="8" width="26.42578125" style="2" bestFit="1" customWidth="1"/>
    <col min="9" max="9" width="19.5703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2019-09-27T11:05:43Z</dcterms:modified>
</cp:coreProperties>
</file>