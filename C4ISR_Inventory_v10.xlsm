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Hub\C4ISR_Inventory\"/>
    </mc:Choice>
  </mc:AlternateContent>
  <xr:revisionPtr revIDLastSave="0" documentId="13_ncr:1_{EAF7A2D2-550B-4013-A018-0349CB412FB0}" xr6:coauthVersionLast="45" xr6:coauthVersionMax="45" xr10:uidLastSave="{00000000-0000-0000-0000-000000000000}"/>
  <bookViews>
    <workbookView xWindow="-120" yWindow="-120" windowWidth="29040" windowHeight="17640" activeTab="2" xr2:uid="{00000000-000D-0000-FFFF-FFFF00000000}"/>
  </bookViews>
  <sheets>
    <sheet name="Scan" sheetId="1" r:id="rId1"/>
    <sheet name="Inventory" sheetId="3" r:id="rId2"/>
    <sheet name="Full Inventory" sheetId="2" r:id="rId3"/>
    <sheet name="Stat" sheetId="5" r:id="rId4"/>
  </sheets>
  <functionGroups builtInGroupCount="19"/>
  <definedNames>
    <definedName name="_xlnm._FilterDatabase" localSheetId="2" hidden="1">'Full Inventory'!$A$1:$I$1</definedName>
    <definedName name="_xlnm._FilterDatabase" localSheetId="1" hidden="1">Inventory!$A$1:$K$500</definedName>
  </definedNames>
  <calcPr calcId="191029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391" i="1" l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2" i="1"/>
  <c r="J2" i="3"/>
  <c r="J3" i="3"/>
  <c r="J4" i="3"/>
  <c r="J5" i="3"/>
  <c r="J6" i="3"/>
  <c r="J7" i="3"/>
  <c r="I2" i="3" l="1"/>
  <c r="I3" i="3"/>
  <c r="I4" i="3"/>
  <c r="I5" i="3"/>
  <c r="I6" i="3"/>
  <c r="I7" i="3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J33" i="3" s="1"/>
  <c r="I34" i="3"/>
  <c r="J34" i="3" s="1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J65" i="3" s="1"/>
  <c r="I66" i="3"/>
  <c r="J66" i="3" s="1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 s="1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J97" i="3" s="1"/>
  <c r="I98" i="3"/>
  <c r="J98" i="3" s="1"/>
  <c r="I99" i="3"/>
  <c r="J99" i="3" s="1"/>
  <c r="I100" i="3"/>
  <c r="J100" i="3" s="1"/>
  <c r="I101" i="3"/>
  <c r="J101" i="3" s="1"/>
  <c r="I102" i="3"/>
  <c r="J102" i="3" s="1"/>
  <c r="I103" i="3"/>
  <c r="J103" i="3" s="1"/>
  <c r="I104" i="3"/>
  <c r="J104" i="3" s="1"/>
  <c r="I105" i="3"/>
  <c r="J105" i="3" s="1"/>
  <c r="I106" i="3"/>
  <c r="J106" i="3" s="1"/>
  <c r="I107" i="3"/>
  <c r="J107" i="3" s="1"/>
  <c r="I108" i="3"/>
  <c r="J108" i="3" s="1"/>
  <c r="I109" i="3"/>
  <c r="J109" i="3" s="1"/>
  <c r="B3" i="1" l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5" i="1"/>
  <c r="C525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1" i="1"/>
  <c r="C541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7" i="1"/>
  <c r="C557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3" i="1"/>
  <c r="C573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1" i="1"/>
  <c r="C581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89" i="1"/>
  <c r="C589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7" i="1"/>
  <c r="C597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5" i="1"/>
  <c r="C605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3" i="1"/>
  <c r="C613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1" i="1"/>
  <c r="C621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29" i="1"/>
  <c r="C629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7" i="1"/>
  <c r="C637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5" i="1"/>
  <c r="C645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3" i="1"/>
  <c r="C653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1" i="1"/>
  <c r="C661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69" i="1"/>
  <c r="C669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7" i="1"/>
  <c r="C677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5" i="1"/>
  <c r="C685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3" i="1"/>
  <c r="C693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1" i="1"/>
  <c r="C701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09" i="1"/>
  <c r="C709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7" i="1"/>
  <c r="C717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5" i="1"/>
  <c r="C725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3" i="1"/>
  <c r="C733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1" i="1"/>
  <c r="C741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49" i="1"/>
  <c r="C749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7" i="1"/>
  <c r="C757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5" i="1"/>
  <c r="C765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3" i="1"/>
  <c r="C773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1" i="1"/>
  <c r="C821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29" i="1"/>
  <c r="C829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7" i="1"/>
  <c r="C837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5" i="1"/>
  <c r="C845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3" i="1"/>
  <c r="C853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1" i="1"/>
  <c r="C861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69" i="1"/>
  <c r="C869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7" i="1"/>
  <c r="C877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5" i="1"/>
  <c r="C885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3" i="1"/>
  <c r="C893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1" i="1"/>
  <c r="C901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09" i="1"/>
  <c r="C909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7" i="1"/>
  <c r="C917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5" i="1"/>
  <c r="C925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3" i="1"/>
  <c r="C933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1" i="1"/>
  <c r="C941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49" i="1"/>
  <c r="C949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7" i="1"/>
  <c r="C957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5" i="1"/>
  <c r="C965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3" i="1"/>
  <c r="C973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1" i="1"/>
  <c r="C981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89" i="1"/>
  <c r="C989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7" i="1"/>
  <c r="C997" i="1"/>
  <c r="B998" i="1"/>
  <c r="C998" i="1"/>
  <c r="B999" i="1"/>
  <c r="C999" i="1"/>
  <c r="B1000" i="1"/>
  <c r="C1000" i="1"/>
  <c r="B1001" i="1"/>
  <c r="C1001" i="1"/>
  <c r="B1002" i="1"/>
  <c r="C1002" i="1"/>
  <c r="B1003" i="1"/>
  <c r="C1003" i="1"/>
  <c r="B1004" i="1"/>
  <c r="C1004" i="1"/>
  <c r="B1005" i="1"/>
  <c r="C1005" i="1"/>
  <c r="B1006" i="1"/>
  <c r="C1006" i="1"/>
  <c r="B1007" i="1"/>
  <c r="C1007" i="1"/>
  <c r="B1008" i="1"/>
  <c r="C1008" i="1"/>
  <c r="B1009" i="1"/>
  <c r="C1009" i="1"/>
  <c r="B1010" i="1"/>
  <c r="C1010" i="1"/>
  <c r="B1011" i="1"/>
  <c r="C1011" i="1"/>
  <c r="B1012" i="1"/>
  <c r="C1012" i="1"/>
  <c r="B1013" i="1"/>
  <c r="C1013" i="1"/>
  <c r="B1014" i="1"/>
  <c r="C1014" i="1"/>
  <c r="B1015" i="1"/>
  <c r="C1015" i="1"/>
  <c r="B1016" i="1"/>
  <c r="C1016" i="1"/>
  <c r="B1017" i="1"/>
  <c r="C1017" i="1"/>
  <c r="B1018" i="1"/>
  <c r="C1018" i="1"/>
  <c r="B1019" i="1"/>
  <c r="C1019" i="1"/>
  <c r="B1020" i="1"/>
  <c r="C1020" i="1"/>
  <c r="B1021" i="1"/>
  <c r="C1021" i="1"/>
  <c r="B1022" i="1"/>
  <c r="C1022" i="1"/>
  <c r="B1023" i="1"/>
  <c r="C1023" i="1"/>
  <c r="B1024" i="1"/>
  <c r="C1024" i="1"/>
  <c r="B1025" i="1"/>
  <c r="C1025" i="1"/>
  <c r="B1026" i="1"/>
  <c r="C1026" i="1"/>
  <c r="B1027" i="1"/>
  <c r="C1027" i="1"/>
  <c r="B1028" i="1"/>
  <c r="C1028" i="1"/>
  <c r="B1029" i="1"/>
  <c r="C1029" i="1"/>
  <c r="B1030" i="1"/>
  <c r="C1030" i="1"/>
  <c r="B1031" i="1"/>
  <c r="C1031" i="1"/>
  <c r="B1032" i="1"/>
  <c r="C1032" i="1"/>
  <c r="B1033" i="1"/>
  <c r="C1033" i="1"/>
  <c r="B1034" i="1"/>
  <c r="C1034" i="1"/>
  <c r="B1035" i="1"/>
  <c r="C1035" i="1"/>
  <c r="B1036" i="1"/>
  <c r="C1036" i="1"/>
  <c r="B1037" i="1"/>
  <c r="C1037" i="1"/>
  <c r="B1038" i="1"/>
  <c r="C1038" i="1"/>
  <c r="B1039" i="1"/>
  <c r="C1039" i="1"/>
  <c r="B1040" i="1"/>
  <c r="C1040" i="1"/>
  <c r="B1041" i="1"/>
  <c r="C1041" i="1"/>
  <c r="B1042" i="1"/>
  <c r="C1042" i="1"/>
  <c r="B1043" i="1"/>
  <c r="C1043" i="1"/>
  <c r="B1044" i="1"/>
  <c r="C1044" i="1"/>
  <c r="B1045" i="1"/>
  <c r="C1045" i="1"/>
  <c r="B1046" i="1"/>
  <c r="C1046" i="1"/>
  <c r="B1047" i="1"/>
  <c r="C1047" i="1"/>
  <c r="B1048" i="1"/>
  <c r="C1048" i="1"/>
  <c r="B1049" i="1"/>
  <c r="C1049" i="1"/>
  <c r="B1050" i="1"/>
  <c r="C1050" i="1"/>
  <c r="B1051" i="1"/>
  <c r="C1051" i="1"/>
  <c r="B1052" i="1"/>
  <c r="C1052" i="1"/>
  <c r="B1053" i="1"/>
  <c r="C1053" i="1"/>
  <c r="B1054" i="1"/>
  <c r="C1054" i="1"/>
  <c r="B1055" i="1"/>
  <c r="C1055" i="1"/>
  <c r="B1056" i="1"/>
  <c r="C1056" i="1"/>
  <c r="B1057" i="1"/>
  <c r="C1057" i="1"/>
  <c r="B1058" i="1"/>
  <c r="C1058" i="1"/>
  <c r="B1059" i="1"/>
  <c r="C1059" i="1"/>
  <c r="B1060" i="1"/>
  <c r="C1060" i="1"/>
  <c r="B1061" i="1"/>
  <c r="C1061" i="1"/>
  <c r="B1062" i="1"/>
  <c r="C1062" i="1"/>
  <c r="B1063" i="1"/>
  <c r="C1063" i="1"/>
  <c r="B1064" i="1"/>
  <c r="C1064" i="1"/>
  <c r="B1065" i="1"/>
  <c r="C1065" i="1"/>
  <c r="B1066" i="1"/>
  <c r="C1066" i="1"/>
  <c r="B1067" i="1"/>
  <c r="C1067" i="1"/>
  <c r="B1068" i="1"/>
  <c r="C1068" i="1"/>
  <c r="B1069" i="1"/>
  <c r="C1069" i="1"/>
  <c r="B1070" i="1"/>
  <c r="C1070" i="1"/>
  <c r="B1071" i="1"/>
  <c r="C1071" i="1"/>
  <c r="B1072" i="1"/>
  <c r="C1072" i="1"/>
  <c r="B1073" i="1"/>
  <c r="C1073" i="1"/>
  <c r="B1074" i="1"/>
  <c r="C1074" i="1"/>
  <c r="B1075" i="1"/>
  <c r="C1075" i="1"/>
  <c r="B1076" i="1"/>
  <c r="C1076" i="1"/>
  <c r="B1077" i="1"/>
  <c r="C1077" i="1"/>
  <c r="B1078" i="1"/>
  <c r="C1078" i="1"/>
  <c r="B1079" i="1"/>
  <c r="C1079" i="1"/>
  <c r="B1080" i="1"/>
  <c r="C1080" i="1"/>
  <c r="B1081" i="1"/>
  <c r="C1081" i="1"/>
  <c r="B1082" i="1"/>
  <c r="C1082" i="1"/>
  <c r="B1083" i="1"/>
  <c r="C1083" i="1"/>
  <c r="B1084" i="1"/>
  <c r="C1084" i="1"/>
  <c r="B1085" i="1"/>
  <c r="C1085" i="1"/>
  <c r="B1086" i="1"/>
  <c r="C1086" i="1"/>
  <c r="B1087" i="1"/>
  <c r="C1087" i="1"/>
  <c r="B1088" i="1"/>
  <c r="C1088" i="1"/>
  <c r="B1089" i="1"/>
  <c r="C1089" i="1"/>
  <c r="B1090" i="1"/>
  <c r="C1090" i="1"/>
  <c r="B1091" i="1"/>
  <c r="C1091" i="1"/>
  <c r="B1092" i="1"/>
  <c r="C1092" i="1"/>
  <c r="B1093" i="1"/>
  <c r="C1093" i="1"/>
  <c r="B1094" i="1"/>
  <c r="C1094" i="1"/>
  <c r="B1095" i="1"/>
  <c r="C1095" i="1"/>
  <c r="B1096" i="1"/>
  <c r="C1096" i="1"/>
  <c r="B1097" i="1"/>
  <c r="C1097" i="1"/>
  <c r="B1098" i="1"/>
  <c r="C1098" i="1"/>
  <c r="B1099" i="1"/>
  <c r="C1099" i="1"/>
  <c r="B1100" i="1"/>
  <c r="C1100" i="1"/>
  <c r="B1101" i="1"/>
  <c r="C1101" i="1"/>
  <c r="B1102" i="1"/>
  <c r="C1102" i="1"/>
  <c r="B1103" i="1"/>
  <c r="C1103" i="1"/>
  <c r="B1104" i="1"/>
  <c r="C1104" i="1"/>
  <c r="B1105" i="1"/>
  <c r="C1105" i="1"/>
  <c r="B1106" i="1"/>
  <c r="C1106" i="1"/>
  <c r="B1107" i="1"/>
  <c r="C1107" i="1"/>
  <c r="B1108" i="1"/>
  <c r="C1108" i="1"/>
  <c r="B1109" i="1"/>
  <c r="C1109" i="1"/>
  <c r="B1110" i="1"/>
  <c r="C1110" i="1"/>
  <c r="B1111" i="1"/>
  <c r="C1111" i="1"/>
  <c r="B1112" i="1"/>
  <c r="C1112" i="1"/>
  <c r="B1113" i="1"/>
  <c r="C1113" i="1"/>
  <c r="B1114" i="1"/>
  <c r="C1114" i="1"/>
  <c r="B1115" i="1"/>
  <c r="C1115" i="1"/>
  <c r="B1116" i="1"/>
  <c r="C1116" i="1"/>
  <c r="B1117" i="1"/>
  <c r="C1117" i="1"/>
  <c r="B1118" i="1"/>
  <c r="C1118" i="1"/>
  <c r="B1119" i="1"/>
  <c r="C1119" i="1"/>
  <c r="B1120" i="1"/>
  <c r="C1120" i="1"/>
  <c r="B1121" i="1"/>
  <c r="C1121" i="1"/>
  <c r="B1122" i="1"/>
  <c r="C1122" i="1"/>
  <c r="B1123" i="1"/>
  <c r="C1123" i="1"/>
  <c r="B1124" i="1"/>
  <c r="C1124" i="1"/>
  <c r="B1125" i="1"/>
  <c r="C1125" i="1"/>
  <c r="B1126" i="1"/>
  <c r="C1126" i="1"/>
  <c r="B1127" i="1"/>
  <c r="C1127" i="1"/>
  <c r="B1128" i="1"/>
  <c r="C1128" i="1"/>
  <c r="B1129" i="1"/>
  <c r="C1129" i="1"/>
  <c r="B1130" i="1"/>
  <c r="C1130" i="1"/>
  <c r="B1131" i="1"/>
  <c r="C1131" i="1"/>
  <c r="B1132" i="1"/>
  <c r="C1132" i="1"/>
  <c r="B1133" i="1"/>
  <c r="C1133" i="1"/>
  <c r="B1134" i="1"/>
  <c r="C1134" i="1"/>
  <c r="B1135" i="1"/>
  <c r="C1135" i="1"/>
  <c r="B1136" i="1"/>
  <c r="C1136" i="1"/>
  <c r="B1137" i="1"/>
  <c r="C1137" i="1"/>
  <c r="B1138" i="1"/>
  <c r="C1138" i="1"/>
  <c r="B1139" i="1"/>
  <c r="C1139" i="1"/>
  <c r="B1140" i="1"/>
  <c r="C1140" i="1"/>
  <c r="B1141" i="1"/>
  <c r="C1141" i="1"/>
  <c r="B1142" i="1"/>
  <c r="C1142" i="1"/>
  <c r="B1143" i="1"/>
  <c r="C1143" i="1"/>
  <c r="B1144" i="1"/>
  <c r="C1144" i="1"/>
  <c r="B1145" i="1"/>
  <c r="C1145" i="1"/>
  <c r="B1146" i="1"/>
  <c r="C1146" i="1"/>
  <c r="B1147" i="1"/>
  <c r="C1147" i="1"/>
  <c r="B1148" i="1"/>
  <c r="C1148" i="1"/>
  <c r="B1149" i="1"/>
  <c r="C1149" i="1"/>
  <c r="B1150" i="1"/>
  <c r="C1150" i="1"/>
  <c r="B1151" i="1"/>
  <c r="C1151" i="1"/>
  <c r="B1152" i="1"/>
  <c r="C1152" i="1"/>
  <c r="B1153" i="1"/>
  <c r="C1153" i="1"/>
  <c r="B1154" i="1"/>
  <c r="C1154" i="1"/>
  <c r="B1155" i="1"/>
  <c r="C1155" i="1"/>
  <c r="B1156" i="1"/>
  <c r="C1156" i="1"/>
  <c r="B1157" i="1"/>
  <c r="C1157" i="1"/>
  <c r="B1158" i="1"/>
  <c r="C1158" i="1"/>
  <c r="B1159" i="1"/>
  <c r="C1159" i="1"/>
  <c r="B1160" i="1"/>
  <c r="C1160" i="1"/>
  <c r="B1161" i="1"/>
  <c r="C1161" i="1"/>
  <c r="B1162" i="1"/>
  <c r="C1162" i="1"/>
  <c r="B1163" i="1"/>
  <c r="C1163" i="1"/>
  <c r="B1164" i="1"/>
  <c r="C1164" i="1"/>
  <c r="B1165" i="1"/>
  <c r="C1165" i="1"/>
  <c r="B1166" i="1"/>
  <c r="C1166" i="1"/>
  <c r="B1167" i="1"/>
  <c r="C1167" i="1"/>
  <c r="B1168" i="1"/>
  <c r="C1168" i="1"/>
  <c r="B1169" i="1"/>
  <c r="C1169" i="1"/>
  <c r="B1170" i="1"/>
  <c r="C1170" i="1"/>
  <c r="B1171" i="1"/>
  <c r="C1171" i="1"/>
  <c r="B1172" i="1"/>
  <c r="C1172" i="1"/>
  <c r="B1173" i="1"/>
  <c r="C1173" i="1"/>
  <c r="B1174" i="1"/>
  <c r="C1174" i="1"/>
  <c r="B1175" i="1"/>
  <c r="C1175" i="1"/>
  <c r="B1176" i="1"/>
  <c r="C1176" i="1"/>
  <c r="B1177" i="1"/>
  <c r="C1177" i="1"/>
  <c r="B1178" i="1"/>
  <c r="C1178" i="1"/>
  <c r="B1179" i="1"/>
  <c r="C1179" i="1"/>
  <c r="B1180" i="1"/>
  <c r="C1180" i="1"/>
  <c r="B1181" i="1"/>
  <c r="C1181" i="1"/>
  <c r="B1182" i="1"/>
  <c r="C1182" i="1"/>
  <c r="B1183" i="1"/>
  <c r="C1183" i="1"/>
  <c r="B1184" i="1"/>
  <c r="C1184" i="1"/>
  <c r="B1185" i="1"/>
  <c r="C1185" i="1"/>
  <c r="B1186" i="1"/>
  <c r="C1186" i="1"/>
  <c r="B1187" i="1"/>
  <c r="C1187" i="1"/>
  <c r="B1188" i="1"/>
  <c r="C1188" i="1"/>
  <c r="B1189" i="1"/>
  <c r="C1189" i="1"/>
  <c r="B1190" i="1"/>
  <c r="C1190" i="1"/>
  <c r="B1191" i="1"/>
  <c r="C1191" i="1"/>
  <c r="B1192" i="1"/>
  <c r="C1192" i="1"/>
  <c r="B1193" i="1"/>
  <c r="C1193" i="1"/>
  <c r="B1194" i="1"/>
  <c r="C1194" i="1"/>
  <c r="B1195" i="1"/>
  <c r="C1195" i="1"/>
  <c r="B1196" i="1"/>
  <c r="C1196" i="1"/>
  <c r="B1197" i="1"/>
  <c r="C1197" i="1"/>
  <c r="B1198" i="1"/>
  <c r="C1198" i="1"/>
  <c r="B1199" i="1"/>
  <c r="C1199" i="1"/>
  <c r="B1200" i="1"/>
  <c r="C1200" i="1"/>
  <c r="B1201" i="1"/>
  <c r="C1201" i="1"/>
  <c r="B1202" i="1"/>
  <c r="C1202" i="1"/>
  <c r="B1203" i="1"/>
  <c r="C1203" i="1"/>
  <c r="B1204" i="1"/>
  <c r="C1204" i="1"/>
  <c r="B1205" i="1"/>
  <c r="C1205" i="1"/>
  <c r="B1206" i="1"/>
  <c r="C1206" i="1"/>
  <c r="B1207" i="1"/>
  <c r="C1207" i="1"/>
  <c r="B1208" i="1"/>
  <c r="C1208" i="1"/>
  <c r="B1209" i="1"/>
  <c r="C1209" i="1"/>
  <c r="B1210" i="1"/>
  <c r="C1210" i="1"/>
  <c r="B1211" i="1"/>
  <c r="C1211" i="1"/>
  <c r="B1212" i="1"/>
  <c r="C1212" i="1"/>
  <c r="B1213" i="1"/>
  <c r="C1213" i="1"/>
  <c r="B1214" i="1"/>
  <c r="C1214" i="1"/>
  <c r="B1215" i="1"/>
  <c r="C1215" i="1"/>
  <c r="B1216" i="1"/>
  <c r="C1216" i="1"/>
  <c r="B1217" i="1"/>
  <c r="C1217" i="1"/>
  <c r="B1218" i="1"/>
  <c r="C1218" i="1"/>
  <c r="B1219" i="1"/>
  <c r="C1219" i="1"/>
  <c r="B1220" i="1"/>
  <c r="C1220" i="1"/>
  <c r="B1221" i="1"/>
  <c r="C1221" i="1"/>
  <c r="B1222" i="1"/>
  <c r="C1222" i="1"/>
  <c r="B1223" i="1"/>
  <c r="C1223" i="1"/>
  <c r="B1224" i="1"/>
  <c r="C1224" i="1"/>
  <c r="B1225" i="1"/>
  <c r="C1225" i="1"/>
  <c r="B1226" i="1"/>
  <c r="C1226" i="1"/>
  <c r="B1227" i="1"/>
  <c r="C1227" i="1"/>
  <c r="B1228" i="1"/>
  <c r="C1228" i="1"/>
  <c r="B1229" i="1"/>
  <c r="C1229" i="1"/>
  <c r="B1230" i="1"/>
  <c r="C1230" i="1"/>
  <c r="B1231" i="1"/>
  <c r="C1231" i="1"/>
  <c r="B1232" i="1"/>
  <c r="C1232" i="1"/>
  <c r="B1233" i="1"/>
  <c r="C1233" i="1"/>
  <c r="B1234" i="1"/>
  <c r="C1234" i="1"/>
  <c r="B1235" i="1"/>
  <c r="C1235" i="1"/>
  <c r="B1236" i="1"/>
  <c r="C1236" i="1"/>
  <c r="B1237" i="1"/>
  <c r="C1237" i="1"/>
  <c r="B1238" i="1"/>
  <c r="C1238" i="1"/>
  <c r="B1239" i="1"/>
  <c r="C1239" i="1"/>
  <c r="B1240" i="1"/>
  <c r="C1240" i="1"/>
  <c r="B1241" i="1"/>
  <c r="C1241" i="1"/>
  <c r="B1242" i="1"/>
  <c r="C1242" i="1"/>
  <c r="B1243" i="1"/>
  <c r="C1243" i="1"/>
  <c r="B1244" i="1"/>
  <c r="C1244" i="1"/>
  <c r="B1245" i="1"/>
  <c r="C1245" i="1"/>
  <c r="B1246" i="1"/>
  <c r="C1246" i="1"/>
  <c r="B1247" i="1"/>
  <c r="C1247" i="1"/>
  <c r="B1248" i="1"/>
  <c r="C1248" i="1"/>
  <c r="B1249" i="1"/>
  <c r="C1249" i="1"/>
  <c r="B1250" i="1"/>
  <c r="C1250" i="1"/>
  <c r="B1251" i="1"/>
  <c r="C1251" i="1"/>
  <c r="B1252" i="1"/>
  <c r="C1252" i="1"/>
  <c r="B1253" i="1"/>
  <c r="C1253" i="1"/>
  <c r="B1254" i="1"/>
  <c r="C1254" i="1"/>
  <c r="B1255" i="1"/>
  <c r="C1255" i="1"/>
  <c r="B1256" i="1"/>
  <c r="C1256" i="1"/>
  <c r="B1257" i="1"/>
  <c r="C1257" i="1"/>
  <c r="B1258" i="1"/>
  <c r="C1258" i="1"/>
  <c r="B1259" i="1"/>
  <c r="C1259" i="1"/>
  <c r="B1260" i="1"/>
  <c r="C1260" i="1"/>
  <c r="B1261" i="1"/>
  <c r="C1261" i="1"/>
  <c r="B1262" i="1"/>
  <c r="C1262" i="1"/>
  <c r="B1263" i="1"/>
  <c r="C1263" i="1"/>
  <c r="B1264" i="1"/>
  <c r="C1264" i="1"/>
  <c r="B1265" i="1"/>
  <c r="C1265" i="1"/>
  <c r="B1266" i="1"/>
  <c r="C1266" i="1"/>
  <c r="B1267" i="1"/>
  <c r="C1267" i="1"/>
  <c r="B1268" i="1"/>
  <c r="C1268" i="1"/>
  <c r="B1269" i="1"/>
  <c r="C1269" i="1"/>
  <c r="B1270" i="1"/>
  <c r="C1270" i="1"/>
  <c r="B1271" i="1"/>
  <c r="C1271" i="1"/>
  <c r="B1272" i="1"/>
  <c r="C1272" i="1"/>
  <c r="B1273" i="1"/>
  <c r="C1273" i="1"/>
  <c r="B1274" i="1"/>
  <c r="C1274" i="1"/>
  <c r="B1275" i="1"/>
  <c r="C1275" i="1"/>
  <c r="B1276" i="1"/>
  <c r="C1276" i="1"/>
  <c r="B1277" i="1"/>
  <c r="C1277" i="1"/>
  <c r="B1278" i="1"/>
  <c r="C1278" i="1"/>
  <c r="B1279" i="1"/>
  <c r="C1279" i="1"/>
  <c r="B1280" i="1"/>
  <c r="C1280" i="1"/>
  <c r="B1281" i="1"/>
  <c r="C1281" i="1"/>
  <c r="B1282" i="1"/>
  <c r="C1282" i="1"/>
  <c r="B1283" i="1"/>
  <c r="C1283" i="1"/>
  <c r="B1284" i="1"/>
  <c r="C1284" i="1"/>
  <c r="B1285" i="1"/>
  <c r="C1285" i="1"/>
  <c r="B1286" i="1"/>
  <c r="C1286" i="1"/>
  <c r="B1287" i="1"/>
  <c r="C1287" i="1"/>
  <c r="B1288" i="1"/>
  <c r="C1288" i="1"/>
  <c r="B1289" i="1"/>
  <c r="C1289" i="1"/>
  <c r="B1290" i="1"/>
  <c r="C1290" i="1"/>
  <c r="B1291" i="1"/>
  <c r="C1291" i="1"/>
  <c r="B1292" i="1"/>
  <c r="C1292" i="1"/>
  <c r="B1293" i="1"/>
  <c r="C1293" i="1"/>
  <c r="B1294" i="1"/>
  <c r="C1294" i="1"/>
  <c r="B1295" i="1"/>
  <c r="C1295" i="1"/>
  <c r="B1296" i="1"/>
  <c r="C1296" i="1"/>
  <c r="B1297" i="1"/>
  <c r="C1297" i="1"/>
  <c r="B1298" i="1"/>
  <c r="C1298" i="1"/>
  <c r="B1299" i="1"/>
  <c r="C1299" i="1"/>
  <c r="B1300" i="1"/>
  <c r="C1300" i="1"/>
  <c r="B1301" i="1"/>
  <c r="C1301" i="1"/>
  <c r="B1302" i="1"/>
  <c r="C1302" i="1"/>
  <c r="B1303" i="1"/>
  <c r="C1303" i="1"/>
  <c r="B1304" i="1"/>
  <c r="C1304" i="1"/>
  <c r="B1305" i="1"/>
  <c r="C1305" i="1"/>
  <c r="B1306" i="1"/>
  <c r="C1306" i="1"/>
  <c r="B1307" i="1"/>
  <c r="C1307" i="1"/>
  <c r="B1308" i="1"/>
  <c r="C1308" i="1"/>
  <c r="B1309" i="1"/>
  <c r="C1309" i="1"/>
  <c r="B1310" i="1"/>
  <c r="C1310" i="1"/>
  <c r="B1311" i="1"/>
  <c r="C1311" i="1"/>
  <c r="B1312" i="1"/>
  <c r="C1312" i="1"/>
  <c r="B1313" i="1"/>
  <c r="C1313" i="1"/>
  <c r="B1314" i="1"/>
  <c r="C1314" i="1"/>
  <c r="B1315" i="1"/>
  <c r="C1315" i="1"/>
  <c r="B1316" i="1"/>
  <c r="C1316" i="1"/>
  <c r="B1317" i="1"/>
  <c r="C1317" i="1"/>
  <c r="B1318" i="1"/>
  <c r="C1318" i="1"/>
  <c r="B1319" i="1"/>
  <c r="C1319" i="1"/>
  <c r="B1320" i="1"/>
  <c r="C1320" i="1"/>
  <c r="B1321" i="1"/>
  <c r="C1321" i="1"/>
  <c r="B1322" i="1"/>
  <c r="C1322" i="1"/>
  <c r="B1323" i="1"/>
  <c r="C1323" i="1"/>
  <c r="B1324" i="1"/>
  <c r="C1324" i="1"/>
  <c r="B1325" i="1"/>
  <c r="C1325" i="1"/>
  <c r="B1326" i="1"/>
  <c r="C1326" i="1"/>
  <c r="B1327" i="1"/>
  <c r="C1327" i="1"/>
  <c r="B1328" i="1"/>
  <c r="C1328" i="1"/>
  <c r="B1329" i="1"/>
  <c r="C1329" i="1"/>
  <c r="B1330" i="1"/>
  <c r="C1330" i="1"/>
  <c r="B1331" i="1"/>
  <c r="C1331" i="1"/>
  <c r="B1332" i="1"/>
  <c r="C1332" i="1"/>
  <c r="B1333" i="1"/>
  <c r="C1333" i="1"/>
  <c r="B1334" i="1"/>
  <c r="C1334" i="1"/>
  <c r="B1335" i="1"/>
  <c r="C1335" i="1"/>
  <c r="B1336" i="1"/>
  <c r="C1336" i="1"/>
  <c r="B1337" i="1"/>
  <c r="C1337" i="1"/>
  <c r="B1338" i="1"/>
  <c r="C1338" i="1"/>
  <c r="B1339" i="1"/>
  <c r="C1339" i="1"/>
  <c r="B1340" i="1"/>
  <c r="C1340" i="1"/>
  <c r="B1341" i="1"/>
  <c r="C1341" i="1"/>
  <c r="B1342" i="1"/>
  <c r="C1342" i="1"/>
  <c r="B1343" i="1"/>
  <c r="C1343" i="1"/>
  <c r="B1344" i="1"/>
  <c r="C1344" i="1"/>
  <c r="B1345" i="1"/>
  <c r="C1345" i="1"/>
  <c r="B1346" i="1"/>
  <c r="C1346" i="1"/>
  <c r="B1347" i="1"/>
  <c r="C1347" i="1"/>
  <c r="B1348" i="1"/>
  <c r="C1348" i="1"/>
  <c r="B1349" i="1"/>
  <c r="C1349" i="1"/>
  <c r="B1350" i="1"/>
  <c r="C1350" i="1"/>
  <c r="B1351" i="1"/>
  <c r="C1351" i="1"/>
  <c r="B1352" i="1"/>
  <c r="C1352" i="1"/>
  <c r="B1353" i="1"/>
  <c r="C1353" i="1"/>
  <c r="B1354" i="1"/>
  <c r="C1354" i="1"/>
  <c r="B1355" i="1"/>
  <c r="C1355" i="1"/>
  <c r="B1356" i="1"/>
  <c r="C1356" i="1"/>
  <c r="B1357" i="1"/>
  <c r="C1357" i="1"/>
  <c r="B1358" i="1"/>
  <c r="C1358" i="1"/>
  <c r="B1359" i="1"/>
  <c r="C1359" i="1"/>
  <c r="B1360" i="1"/>
  <c r="C1360" i="1"/>
  <c r="B1361" i="1"/>
  <c r="C1361" i="1"/>
  <c r="B1362" i="1"/>
  <c r="C1362" i="1"/>
  <c r="B1363" i="1"/>
  <c r="C1363" i="1"/>
  <c r="B1364" i="1"/>
  <c r="C1364" i="1"/>
  <c r="B1365" i="1"/>
  <c r="C1365" i="1"/>
  <c r="B1366" i="1"/>
  <c r="C1366" i="1"/>
  <c r="B1367" i="1"/>
  <c r="C1367" i="1"/>
  <c r="B1368" i="1"/>
  <c r="C1368" i="1"/>
  <c r="B1369" i="1"/>
  <c r="C1369" i="1"/>
  <c r="B1370" i="1"/>
  <c r="C1370" i="1"/>
  <c r="B1371" i="1"/>
  <c r="C1371" i="1"/>
  <c r="B1372" i="1"/>
  <c r="C1372" i="1"/>
  <c r="B1373" i="1"/>
  <c r="C1373" i="1"/>
  <c r="B1374" i="1"/>
  <c r="C1374" i="1"/>
  <c r="B1375" i="1"/>
  <c r="C1375" i="1"/>
  <c r="B1376" i="1"/>
  <c r="C1376" i="1"/>
  <c r="B1377" i="1"/>
  <c r="C1377" i="1"/>
  <c r="B1378" i="1"/>
  <c r="C1378" i="1"/>
  <c r="B1379" i="1"/>
  <c r="C1379" i="1"/>
  <c r="B1380" i="1"/>
  <c r="C1380" i="1"/>
  <c r="B1381" i="1"/>
  <c r="C1381" i="1"/>
  <c r="B1382" i="1"/>
  <c r="C1382" i="1"/>
  <c r="B1383" i="1"/>
  <c r="C1383" i="1"/>
  <c r="B1384" i="1"/>
  <c r="C1384" i="1"/>
  <c r="B1385" i="1"/>
  <c r="C1385" i="1"/>
  <c r="B1386" i="1"/>
  <c r="C1386" i="1"/>
  <c r="B1387" i="1"/>
  <c r="C1387" i="1"/>
  <c r="B1388" i="1"/>
  <c r="C1388" i="1"/>
  <c r="B1389" i="1"/>
  <c r="C1389" i="1"/>
  <c r="B1390" i="1"/>
  <c r="C1390" i="1"/>
  <c r="B1391" i="1"/>
  <c r="C1391" i="1"/>
  <c r="B1392" i="1"/>
  <c r="C1392" i="1"/>
  <c r="B1393" i="1"/>
  <c r="C1393" i="1"/>
  <c r="B1394" i="1"/>
  <c r="C1394" i="1"/>
  <c r="B1395" i="1"/>
  <c r="C1395" i="1"/>
  <c r="B1396" i="1"/>
  <c r="C1396" i="1"/>
  <c r="B1397" i="1"/>
  <c r="C1397" i="1"/>
  <c r="B1398" i="1"/>
  <c r="C1398" i="1"/>
  <c r="B1399" i="1"/>
  <c r="C1399" i="1"/>
  <c r="B1400" i="1"/>
  <c r="C1400" i="1"/>
  <c r="B1401" i="1"/>
  <c r="C1401" i="1"/>
  <c r="B1402" i="1"/>
  <c r="C1402" i="1"/>
  <c r="B1403" i="1"/>
  <c r="C1403" i="1"/>
  <c r="B1404" i="1"/>
  <c r="C1404" i="1"/>
  <c r="B1405" i="1"/>
  <c r="C1405" i="1"/>
  <c r="B1406" i="1"/>
  <c r="C1406" i="1"/>
  <c r="B1407" i="1"/>
  <c r="C1407" i="1"/>
  <c r="B1408" i="1"/>
  <c r="C1408" i="1"/>
  <c r="B1409" i="1"/>
  <c r="C1409" i="1"/>
  <c r="B1410" i="1"/>
  <c r="C1410" i="1"/>
  <c r="B1411" i="1"/>
  <c r="C1411" i="1"/>
  <c r="B1412" i="1"/>
  <c r="C1412" i="1"/>
  <c r="B1413" i="1"/>
  <c r="C1413" i="1"/>
  <c r="B1414" i="1"/>
  <c r="C1414" i="1"/>
  <c r="B1415" i="1"/>
  <c r="C1415" i="1"/>
  <c r="B1416" i="1"/>
  <c r="C1416" i="1"/>
  <c r="B1417" i="1"/>
  <c r="C1417" i="1"/>
  <c r="B1418" i="1"/>
  <c r="C1418" i="1"/>
  <c r="B1419" i="1"/>
  <c r="C1419" i="1"/>
  <c r="B1420" i="1"/>
  <c r="C1420" i="1"/>
  <c r="B1421" i="1"/>
  <c r="C1421" i="1"/>
  <c r="B1422" i="1"/>
  <c r="C1422" i="1"/>
  <c r="B1423" i="1"/>
  <c r="C1423" i="1"/>
  <c r="B1424" i="1"/>
  <c r="C1424" i="1"/>
  <c r="B1425" i="1"/>
  <c r="C1425" i="1"/>
  <c r="B1426" i="1"/>
  <c r="C1426" i="1"/>
  <c r="B1427" i="1"/>
  <c r="C1427" i="1"/>
  <c r="B1428" i="1"/>
  <c r="C1428" i="1"/>
  <c r="B1429" i="1"/>
  <c r="C1429" i="1"/>
  <c r="B1430" i="1"/>
  <c r="C1430" i="1"/>
  <c r="B1431" i="1"/>
  <c r="C1431" i="1"/>
  <c r="B1432" i="1"/>
  <c r="C1432" i="1"/>
  <c r="B1433" i="1"/>
  <c r="C1433" i="1"/>
  <c r="B1434" i="1"/>
  <c r="C1434" i="1"/>
  <c r="B1435" i="1"/>
  <c r="C1435" i="1"/>
  <c r="B1436" i="1"/>
  <c r="C1436" i="1"/>
  <c r="B1437" i="1"/>
  <c r="C1437" i="1"/>
  <c r="B1438" i="1"/>
  <c r="C1438" i="1"/>
  <c r="B1439" i="1"/>
  <c r="C1439" i="1"/>
  <c r="B1440" i="1"/>
  <c r="C1440" i="1"/>
  <c r="B1441" i="1"/>
  <c r="C1441" i="1"/>
  <c r="B1442" i="1"/>
  <c r="C1442" i="1"/>
  <c r="B1443" i="1"/>
  <c r="C1443" i="1"/>
  <c r="B1444" i="1"/>
  <c r="C1444" i="1"/>
  <c r="B1445" i="1"/>
  <c r="C1445" i="1"/>
  <c r="B1446" i="1"/>
  <c r="C1446" i="1"/>
  <c r="B1447" i="1"/>
  <c r="C1447" i="1"/>
  <c r="B1448" i="1"/>
  <c r="C1448" i="1"/>
  <c r="B1449" i="1"/>
  <c r="C1449" i="1"/>
  <c r="B1450" i="1"/>
  <c r="C1450" i="1"/>
  <c r="B1451" i="1"/>
  <c r="C1451" i="1"/>
  <c r="B1452" i="1"/>
  <c r="C1452" i="1"/>
  <c r="B1453" i="1"/>
  <c r="C1453" i="1"/>
  <c r="B1454" i="1"/>
  <c r="C1454" i="1"/>
  <c r="B1455" i="1"/>
  <c r="C1455" i="1"/>
  <c r="B1456" i="1"/>
  <c r="C1456" i="1"/>
  <c r="B1457" i="1"/>
  <c r="C1457" i="1"/>
  <c r="B1458" i="1"/>
  <c r="C1458" i="1"/>
  <c r="B1459" i="1"/>
  <c r="C1459" i="1"/>
  <c r="B1460" i="1"/>
  <c r="C1460" i="1"/>
  <c r="B1461" i="1"/>
  <c r="C1461" i="1"/>
  <c r="B1462" i="1"/>
  <c r="C1462" i="1"/>
  <c r="B1463" i="1"/>
  <c r="C1463" i="1"/>
  <c r="B1464" i="1"/>
  <c r="C1464" i="1"/>
  <c r="B1465" i="1"/>
  <c r="C1465" i="1"/>
  <c r="B1466" i="1"/>
  <c r="C1466" i="1"/>
  <c r="B1467" i="1"/>
  <c r="C1467" i="1"/>
  <c r="B1468" i="1"/>
  <c r="C1468" i="1"/>
  <c r="B1469" i="1"/>
  <c r="C1469" i="1"/>
  <c r="B1470" i="1"/>
  <c r="C1470" i="1"/>
  <c r="B1471" i="1"/>
  <c r="C1471" i="1"/>
  <c r="B1472" i="1"/>
  <c r="C1472" i="1"/>
  <c r="B1473" i="1"/>
  <c r="C1473" i="1"/>
  <c r="B1474" i="1"/>
  <c r="C1474" i="1"/>
  <c r="B1475" i="1"/>
  <c r="C1475" i="1"/>
  <c r="B1476" i="1"/>
  <c r="C1476" i="1"/>
  <c r="B1477" i="1"/>
  <c r="C1477" i="1"/>
  <c r="B1478" i="1"/>
  <c r="C1478" i="1"/>
  <c r="B1479" i="1"/>
  <c r="C1479" i="1"/>
  <c r="B1480" i="1"/>
  <c r="C1480" i="1"/>
  <c r="B1481" i="1"/>
  <c r="C1481" i="1"/>
  <c r="B1482" i="1"/>
  <c r="C1482" i="1"/>
  <c r="B1483" i="1"/>
  <c r="C1483" i="1"/>
  <c r="B1484" i="1"/>
  <c r="C1484" i="1"/>
  <c r="B1485" i="1"/>
  <c r="C1485" i="1"/>
  <c r="B1486" i="1"/>
  <c r="C1486" i="1"/>
  <c r="B1487" i="1"/>
  <c r="C1487" i="1"/>
  <c r="B1488" i="1"/>
  <c r="C1488" i="1"/>
  <c r="B1489" i="1"/>
  <c r="C1489" i="1"/>
  <c r="B1490" i="1"/>
  <c r="C1490" i="1"/>
  <c r="B1491" i="1"/>
  <c r="C1491" i="1"/>
  <c r="B1492" i="1"/>
  <c r="C1492" i="1"/>
  <c r="B1493" i="1"/>
  <c r="C1493" i="1"/>
  <c r="B1494" i="1"/>
  <c r="C1494" i="1"/>
  <c r="B1495" i="1"/>
  <c r="C1495" i="1"/>
  <c r="B1496" i="1"/>
  <c r="C1496" i="1"/>
  <c r="B1497" i="1"/>
  <c r="C1497" i="1"/>
  <c r="B1498" i="1"/>
  <c r="C1498" i="1"/>
  <c r="B1499" i="1"/>
  <c r="C1499" i="1"/>
  <c r="B1500" i="1"/>
  <c r="C1500" i="1"/>
  <c r="B1501" i="1"/>
  <c r="C1501" i="1"/>
  <c r="B1502" i="1"/>
  <c r="C1502" i="1"/>
  <c r="B1503" i="1"/>
  <c r="C1503" i="1"/>
  <c r="B1504" i="1"/>
  <c r="C1504" i="1"/>
  <c r="B1505" i="1"/>
  <c r="C1505" i="1"/>
  <c r="B1506" i="1"/>
  <c r="C1506" i="1"/>
  <c r="B1507" i="1"/>
  <c r="C1507" i="1"/>
  <c r="B1508" i="1"/>
  <c r="C1508" i="1"/>
  <c r="B1509" i="1"/>
  <c r="C1509" i="1"/>
  <c r="B1510" i="1"/>
  <c r="C1510" i="1"/>
  <c r="B1511" i="1"/>
  <c r="C1511" i="1"/>
  <c r="B1512" i="1"/>
  <c r="C1512" i="1"/>
  <c r="B1513" i="1"/>
  <c r="C1513" i="1"/>
  <c r="B1514" i="1"/>
  <c r="C1514" i="1"/>
  <c r="B1515" i="1"/>
  <c r="C1515" i="1"/>
  <c r="B1516" i="1"/>
  <c r="C1516" i="1"/>
  <c r="B1517" i="1"/>
  <c r="C1517" i="1"/>
  <c r="B1518" i="1"/>
  <c r="C1518" i="1"/>
  <c r="B1519" i="1"/>
  <c r="C1519" i="1"/>
  <c r="B1520" i="1"/>
  <c r="C1520" i="1"/>
  <c r="B1521" i="1"/>
  <c r="C1521" i="1"/>
  <c r="B1522" i="1"/>
  <c r="C1522" i="1"/>
  <c r="B1523" i="1"/>
  <c r="C1523" i="1"/>
  <c r="B1524" i="1"/>
  <c r="C1524" i="1"/>
  <c r="B1525" i="1"/>
  <c r="C1525" i="1"/>
  <c r="B1526" i="1"/>
  <c r="C1526" i="1"/>
  <c r="B1527" i="1"/>
  <c r="C1527" i="1"/>
  <c r="B1528" i="1"/>
  <c r="C1528" i="1"/>
  <c r="B1529" i="1"/>
  <c r="C1529" i="1"/>
  <c r="B1530" i="1"/>
  <c r="C1530" i="1"/>
  <c r="B1531" i="1"/>
  <c r="C1531" i="1"/>
  <c r="B1532" i="1"/>
  <c r="C1532" i="1"/>
  <c r="B1533" i="1"/>
  <c r="C1533" i="1"/>
  <c r="B1534" i="1"/>
  <c r="C1534" i="1"/>
  <c r="B1535" i="1"/>
  <c r="C1535" i="1"/>
  <c r="B1536" i="1"/>
  <c r="C1536" i="1"/>
  <c r="B1537" i="1"/>
  <c r="C1537" i="1"/>
  <c r="B1538" i="1"/>
  <c r="C1538" i="1"/>
  <c r="B1539" i="1"/>
  <c r="C1539" i="1"/>
  <c r="B1540" i="1"/>
  <c r="C1540" i="1"/>
  <c r="B1541" i="1"/>
  <c r="C1541" i="1"/>
  <c r="B1542" i="1"/>
  <c r="C1542" i="1"/>
  <c r="B1543" i="1"/>
  <c r="C1543" i="1"/>
  <c r="B1544" i="1"/>
  <c r="C1544" i="1"/>
  <c r="B1545" i="1"/>
  <c r="C1545" i="1"/>
  <c r="B1546" i="1"/>
  <c r="C1546" i="1"/>
  <c r="B1547" i="1"/>
  <c r="C1547" i="1"/>
  <c r="B1548" i="1"/>
  <c r="C1548" i="1"/>
  <c r="B1549" i="1"/>
  <c r="C1549" i="1"/>
  <c r="B1550" i="1"/>
  <c r="C1550" i="1"/>
  <c r="B1551" i="1"/>
  <c r="C1551" i="1"/>
  <c r="B1552" i="1"/>
  <c r="C1552" i="1"/>
  <c r="B1553" i="1"/>
  <c r="C1553" i="1"/>
  <c r="B1554" i="1"/>
  <c r="C1554" i="1"/>
  <c r="B1555" i="1"/>
  <c r="C1555" i="1"/>
  <c r="B1556" i="1"/>
  <c r="C1556" i="1"/>
  <c r="B1557" i="1"/>
  <c r="C1557" i="1"/>
  <c r="B1558" i="1"/>
  <c r="C1558" i="1"/>
  <c r="B1559" i="1"/>
  <c r="C1559" i="1"/>
  <c r="B1560" i="1"/>
  <c r="C1560" i="1"/>
  <c r="B1561" i="1"/>
  <c r="C1561" i="1"/>
  <c r="B1562" i="1"/>
  <c r="C1562" i="1"/>
  <c r="B1563" i="1"/>
  <c r="C1563" i="1"/>
  <c r="B1564" i="1"/>
  <c r="C1564" i="1"/>
  <c r="B1565" i="1"/>
  <c r="C1565" i="1"/>
  <c r="B1566" i="1"/>
  <c r="C1566" i="1"/>
  <c r="B1567" i="1"/>
  <c r="C1567" i="1"/>
  <c r="B1568" i="1"/>
  <c r="C1568" i="1"/>
  <c r="B1569" i="1"/>
  <c r="C1569" i="1"/>
  <c r="B1570" i="1"/>
  <c r="C1570" i="1"/>
  <c r="B1571" i="1"/>
  <c r="C1571" i="1"/>
  <c r="B1572" i="1"/>
  <c r="C1572" i="1"/>
  <c r="B1573" i="1"/>
  <c r="C1573" i="1"/>
  <c r="B1574" i="1"/>
  <c r="C1574" i="1"/>
  <c r="B1575" i="1"/>
  <c r="C1575" i="1"/>
  <c r="B1576" i="1"/>
  <c r="C1576" i="1"/>
  <c r="B1577" i="1"/>
  <c r="C1577" i="1"/>
  <c r="B1578" i="1"/>
  <c r="C1578" i="1"/>
  <c r="B1579" i="1"/>
  <c r="C1579" i="1"/>
  <c r="B1580" i="1"/>
  <c r="C1580" i="1"/>
  <c r="B1581" i="1"/>
  <c r="C1581" i="1"/>
  <c r="B1582" i="1"/>
  <c r="C1582" i="1"/>
  <c r="B1583" i="1"/>
  <c r="C1583" i="1"/>
  <c r="B1584" i="1"/>
  <c r="C1584" i="1"/>
  <c r="B1585" i="1"/>
  <c r="C1585" i="1"/>
  <c r="B1586" i="1"/>
  <c r="C1586" i="1"/>
  <c r="B1587" i="1"/>
  <c r="C1587" i="1"/>
  <c r="B1588" i="1"/>
  <c r="C1588" i="1"/>
  <c r="B1589" i="1"/>
  <c r="C1589" i="1"/>
  <c r="B1590" i="1"/>
  <c r="C1590" i="1"/>
  <c r="B1591" i="1"/>
  <c r="C1591" i="1"/>
  <c r="B1592" i="1"/>
  <c r="C1592" i="1"/>
  <c r="B1593" i="1"/>
  <c r="C1593" i="1"/>
  <c r="B1594" i="1"/>
  <c r="C1594" i="1"/>
  <c r="B1595" i="1"/>
  <c r="C1595" i="1"/>
  <c r="B1596" i="1"/>
  <c r="C1596" i="1"/>
  <c r="B1597" i="1"/>
  <c r="C1597" i="1"/>
  <c r="B1598" i="1"/>
  <c r="C1598" i="1"/>
  <c r="B1599" i="1"/>
  <c r="C1599" i="1"/>
  <c r="B1600" i="1"/>
  <c r="C1600" i="1"/>
  <c r="B1601" i="1"/>
  <c r="C1601" i="1"/>
  <c r="B1602" i="1"/>
  <c r="C1602" i="1"/>
  <c r="B1603" i="1"/>
  <c r="C1603" i="1"/>
  <c r="B1604" i="1"/>
  <c r="C1604" i="1"/>
  <c r="B1605" i="1"/>
  <c r="C1605" i="1"/>
  <c r="B1606" i="1"/>
  <c r="C1606" i="1"/>
  <c r="B1607" i="1"/>
  <c r="C1607" i="1"/>
  <c r="B1608" i="1"/>
  <c r="C1608" i="1"/>
  <c r="B1609" i="1"/>
  <c r="C1609" i="1"/>
  <c r="B1610" i="1"/>
  <c r="C1610" i="1"/>
  <c r="B1611" i="1"/>
  <c r="C1611" i="1"/>
  <c r="B1612" i="1"/>
  <c r="C1612" i="1"/>
  <c r="B1613" i="1"/>
  <c r="C1613" i="1"/>
  <c r="B1614" i="1"/>
  <c r="C1614" i="1"/>
  <c r="B1615" i="1"/>
  <c r="C1615" i="1"/>
  <c r="B1616" i="1"/>
  <c r="C1616" i="1"/>
  <c r="B1617" i="1"/>
  <c r="C1617" i="1"/>
  <c r="B1618" i="1"/>
  <c r="C1618" i="1"/>
  <c r="B1619" i="1"/>
  <c r="C1619" i="1"/>
  <c r="B1620" i="1"/>
  <c r="C1620" i="1"/>
  <c r="B1621" i="1"/>
  <c r="C1621" i="1"/>
  <c r="B1622" i="1"/>
  <c r="C1622" i="1"/>
  <c r="B1623" i="1"/>
  <c r="C1623" i="1"/>
  <c r="B1624" i="1"/>
  <c r="C1624" i="1"/>
  <c r="B1625" i="1"/>
  <c r="C1625" i="1"/>
  <c r="B1626" i="1"/>
  <c r="C1626" i="1"/>
  <c r="B1627" i="1"/>
  <c r="C1627" i="1"/>
  <c r="B1628" i="1"/>
  <c r="C1628" i="1"/>
  <c r="B1629" i="1"/>
  <c r="C1629" i="1"/>
  <c r="B1630" i="1"/>
  <c r="C1630" i="1"/>
  <c r="B1631" i="1"/>
  <c r="C1631" i="1"/>
  <c r="B1632" i="1"/>
  <c r="C1632" i="1"/>
  <c r="B1633" i="1"/>
  <c r="C1633" i="1"/>
  <c r="B1634" i="1"/>
  <c r="C1634" i="1"/>
  <c r="B1635" i="1"/>
  <c r="C1635" i="1"/>
  <c r="B1636" i="1"/>
  <c r="C1636" i="1"/>
  <c r="B1637" i="1"/>
  <c r="C1637" i="1"/>
  <c r="B1638" i="1"/>
  <c r="C1638" i="1"/>
  <c r="B1639" i="1"/>
  <c r="C1639" i="1"/>
  <c r="B1640" i="1"/>
  <c r="C1640" i="1"/>
  <c r="B1641" i="1"/>
  <c r="C1641" i="1"/>
  <c r="B1642" i="1"/>
  <c r="C1642" i="1"/>
  <c r="B1643" i="1"/>
  <c r="C1643" i="1"/>
  <c r="B1644" i="1"/>
  <c r="C1644" i="1"/>
  <c r="B1645" i="1"/>
  <c r="C1645" i="1"/>
  <c r="B1646" i="1"/>
  <c r="C1646" i="1"/>
  <c r="B1647" i="1"/>
  <c r="C1647" i="1"/>
  <c r="B1648" i="1"/>
  <c r="C1648" i="1"/>
  <c r="B1649" i="1"/>
  <c r="C1649" i="1"/>
  <c r="B1650" i="1"/>
  <c r="C1650" i="1"/>
  <c r="B1651" i="1"/>
  <c r="C1651" i="1"/>
  <c r="B1652" i="1"/>
  <c r="C1652" i="1"/>
  <c r="B1653" i="1"/>
  <c r="C1653" i="1"/>
  <c r="B1654" i="1"/>
  <c r="C1654" i="1"/>
  <c r="B1655" i="1"/>
  <c r="C1655" i="1"/>
  <c r="B1656" i="1"/>
  <c r="C1656" i="1"/>
  <c r="B1657" i="1"/>
  <c r="C1657" i="1"/>
  <c r="B1658" i="1"/>
  <c r="C1658" i="1"/>
  <c r="B1659" i="1"/>
  <c r="C1659" i="1"/>
  <c r="B1660" i="1"/>
  <c r="C1660" i="1"/>
  <c r="B1661" i="1"/>
  <c r="C1661" i="1"/>
  <c r="B1662" i="1"/>
  <c r="C1662" i="1"/>
  <c r="B1663" i="1"/>
  <c r="C1663" i="1"/>
  <c r="B1664" i="1"/>
  <c r="C1664" i="1"/>
  <c r="B1665" i="1"/>
  <c r="C1665" i="1"/>
  <c r="B1666" i="1"/>
  <c r="C1666" i="1"/>
  <c r="B1667" i="1"/>
  <c r="C1667" i="1"/>
  <c r="B1668" i="1"/>
  <c r="C1668" i="1"/>
  <c r="B1669" i="1"/>
  <c r="C1669" i="1"/>
  <c r="B1670" i="1"/>
  <c r="C1670" i="1"/>
  <c r="B1671" i="1"/>
  <c r="C1671" i="1"/>
  <c r="B1672" i="1"/>
  <c r="C1672" i="1"/>
  <c r="B1673" i="1"/>
  <c r="C1673" i="1"/>
  <c r="B1674" i="1"/>
  <c r="C1674" i="1"/>
  <c r="B1675" i="1"/>
  <c r="C1675" i="1"/>
  <c r="B1676" i="1"/>
  <c r="C1676" i="1"/>
  <c r="B1677" i="1"/>
  <c r="C1677" i="1"/>
  <c r="B1678" i="1"/>
  <c r="C1678" i="1"/>
  <c r="B1679" i="1"/>
  <c r="C1679" i="1"/>
  <c r="B1680" i="1"/>
  <c r="C1680" i="1"/>
  <c r="B1681" i="1"/>
  <c r="C1681" i="1"/>
  <c r="B1682" i="1"/>
  <c r="C1682" i="1"/>
  <c r="B1683" i="1"/>
  <c r="C1683" i="1"/>
  <c r="B1684" i="1"/>
  <c r="C1684" i="1"/>
  <c r="B1685" i="1"/>
  <c r="C1685" i="1"/>
  <c r="B1686" i="1"/>
  <c r="C1686" i="1"/>
  <c r="B1687" i="1"/>
  <c r="C1687" i="1"/>
  <c r="B1688" i="1"/>
  <c r="C1688" i="1"/>
  <c r="B1689" i="1"/>
  <c r="C1689" i="1"/>
  <c r="B1690" i="1"/>
  <c r="C1690" i="1"/>
  <c r="B1691" i="1"/>
  <c r="C1691" i="1"/>
  <c r="B1692" i="1"/>
  <c r="C1692" i="1"/>
  <c r="B1693" i="1"/>
  <c r="C1693" i="1"/>
  <c r="B1694" i="1"/>
  <c r="C1694" i="1"/>
  <c r="B1695" i="1"/>
  <c r="C1695" i="1"/>
  <c r="B1696" i="1"/>
  <c r="C1696" i="1"/>
  <c r="B1697" i="1"/>
  <c r="C1697" i="1"/>
  <c r="B1698" i="1"/>
  <c r="C1698" i="1"/>
  <c r="B1699" i="1"/>
  <c r="C1699" i="1"/>
  <c r="B1700" i="1"/>
  <c r="C1700" i="1"/>
  <c r="B1701" i="1"/>
  <c r="C1701" i="1"/>
  <c r="B1702" i="1"/>
  <c r="C1702" i="1"/>
  <c r="B1703" i="1"/>
  <c r="C1703" i="1"/>
  <c r="B1704" i="1"/>
  <c r="C1704" i="1"/>
  <c r="B1705" i="1"/>
  <c r="C1705" i="1"/>
  <c r="B1706" i="1"/>
  <c r="C1706" i="1"/>
  <c r="B1707" i="1"/>
  <c r="C1707" i="1"/>
  <c r="B1708" i="1"/>
  <c r="C1708" i="1"/>
  <c r="B1709" i="1"/>
  <c r="C1709" i="1"/>
  <c r="B1710" i="1"/>
  <c r="C1710" i="1"/>
  <c r="B1711" i="1"/>
  <c r="C1711" i="1"/>
  <c r="B1712" i="1"/>
  <c r="C1712" i="1"/>
  <c r="B1713" i="1"/>
  <c r="C1713" i="1"/>
  <c r="B1714" i="1"/>
  <c r="C1714" i="1"/>
  <c r="B1715" i="1"/>
  <c r="C1715" i="1"/>
  <c r="B1716" i="1"/>
  <c r="C1716" i="1"/>
  <c r="B1717" i="1"/>
  <c r="C1717" i="1"/>
  <c r="B1718" i="1"/>
  <c r="C1718" i="1"/>
  <c r="B1719" i="1"/>
  <c r="C1719" i="1"/>
  <c r="B1720" i="1"/>
  <c r="C1720" i="1"/>
  <c r="B1721" i="1"/>
  <c r="C1721" i="1"/>
  <c r="B1722" i="1"/>
  <c r="C1722" i="1"/>
  <c r="B1723" i="1"/>
  <c r="C1723" i="1"/>
  <c r="B1724" i="1"/>
  <c r="C1724" i="1"/>
  <c r="B1725" i="1"/>
  <c r="C1725" i="1"/>
  <c r="B1726" i="1"/>
  <c r="C1726" i="1"/>
  <c r="B1727" i="1"/>
  <c r="C1727" i="1"/>
  <c r="B1728" i="1"/>
  <c r="C1728" i="1"/>
  <c r="B1729" i="1"/>
  <c r="C1729" i="1"/>
  <c r="B1730" i="1"/>
  <c r="C1730" i="1"/>
  <c r="B1731" i="1"/>
  <c r="C1731" i="1"/>
  <c r="B1732" i="1"/>
  <c r="C1732" i="1"/>
  <c r="B1733" i="1"/>
  <c r="C1733" i="1"/>
  <c r="B1734" i="1"/>
  <c r="C1734" i="1"/>
  <c r="B1735" i="1"/>
  <c r="C1735" i="1"/>
  <c r="B1736" i="1"/>
  <c r="C1736" i="1"/>
  <c r="B1737" i="1"/>
  <c r="C1737" i="1"/>
  <c r="B1738" i="1"/>
  <c r="C1738" i="1"/>
  <c r="B1739" i="1"/>
  <c r="C1739" i="1"/>
  <c r="B1740" i="1"/>
  <c r="C1740" i="1"/>
  <c r="B1741" i="1"/>
  <c r="C1741" i="1"/>
  <c r="B1742" i="1"/>
  <c r="C1742" i="1"/>
  <c r="B1743" i="1"/>
  <c r="C1743" i="1"/>
  <c r="B1744" i="1"/>
  <c r="C1744" i="1"/>
  <c r="B1745" i="1"/>
  <c r="C1745" i="1"/>
  <c r="B1746" i="1"/>
  <c r="C1746" i="1"/>
  <c r="B1747" i="1"/>
  <c r="C1747" i="1"/>
  <c r="B1748" i="1"/>
  <c r="C1748" i="1"/>
  <c r="B1749" i="1"/>
  <c r="C1749" i="1"/>
  <c r="B1750" i="1"/>
  <c r="C1750" i="1"/>
  <c r="B1751" i="1"/>
  <c r="C1751" i="1"/>
  <c r="B1752" i="1"/>
  <c r="C1752" i="1"/>
  <c r="B1753" i="1"/>
  <c r="C1753" i="1"/>
  <c r="B1754" i="1"/>
  <c r="C1754" i="1"/>
  <c r="B1755" i="1"/>
  <c r="C1755" i="1"/>
  <c r="B1756" i="1"/>
  <c r="C1756" i="1"/>
  <c r="B1757" i="1"/>
  <c r="C1757" i="1"/>
  <c r="B1758" i="1"/>
  <c r="C1758" i="1"/>
  <c r="B1759" i="1"/>
  <c r="C1759" i="1"/>
  <c r="B1760" i="1"/>
  <c r="C1760" i="1"/>
  <c r="B1761" i="1"/>
  <c r="C1761" i="1"/>
  <c r="B1762" i="1"/>
  <c r="C1762" i="1"/>
  <c r="B1763" i="1"/>
  <c r="C1763" i="1"/>
  <c r="B1764" i="1"/>
  <c r="C1764" i="1"/>
  <c r="B1765" i="1"/>
  <c r="C1765" i="1"/>
  <c r="B1766" i="1"/>
  <c r="C1766" i="1"/>
  <c r="B1767" i="1"/>
  <c r="C1767" i="1"/>
  <c r="B1768" i="1"/>
  <c r="C1768" i="1"/>
  <c r="B1769" i="1"/>
  <c r="C1769" i="1"/>
  <c r="B1770" i="1"/>
  <c r="C1770" i="1"/>
  <c r="B1771" i="1"/>
  <c r="C1771" i="1"/>
  <c r="B1772" i="1"/>
  <c r="C1772" i="1"/>
  <c r="B1773" i="1"/>
  <c r="C1773" i="1"/>
  <c r="B1774" i="1"/>
  <c r="C1774" i="1"/>
  <c r="B1775" i="1"/>
  <c r="C1775" i="1"/>
  <c r="B1776" i="1"/>
  <c r="C1776" i="1"/>
  <c r="B1777" i="1"/>
  <c r="C1777" i="1"/>
  <c r="B1778" i="1"/>
  <c r="C1778" i="1"/>
  <c r="B1779" i="1"/>
  <c r="C1779" i="1"/>
  <c r="B1780" i="1"/>
  <c r="C1780" i="1"/>
  <c r="B1781" i="1"/>
  <c r="C1781" i="1"/>
  <c r="B1782" i="1"/>
  <c r="C1782" i="1"/>
  <c r="B1783" i="1"/>
  <c r="C1783" i="1"/>
  <c r="B1784" i="1"/>
  <c r="C1784" i="1"/>
  <c r="B1785" i="1"/>
  <c r="C1785" i="1"/>
  <c r="B1786" i="1"/>
  <c r="C1786" i="1"/>
  <c r="B1787" i="1"/>
  <c r="C1787" i="1"/>
  <c r="B1788" i="1"/>
  <c r="C1788" i="1"/>
  <c r="B1789" i="1"/>
  <c r="C1789" i="1"/>
  <c r="B1790" i="1"/>
  <c r="C1790" i="1"/>
  <c r="B1791" i="1"/>
  <c r="C1791" i="1"/>
  <c r="B1792" i="1"/>
  <c r="C1792" i="1"/>
  <c r="B1793" i="1"/>
  <c r="C1793" i="1"/>
  <c r="B1794" i="1"/>
  <c r="C1794" i="1"/>
  <c r="B1795" i="1"/>
  <c r="C1795" i="1"/>
  <c r="B1796" i="1"/>
  <c r="C1796" i="1"/>
  <c r="B1797" i="1"/>
  <c r="C1797" i="1"/>
  <c r="B1798" i="1"/>
  <c r="C1798" i="1"/>
  <c r="B1799" i="1"/>
  <c r="C1799" i="1"/>
  <c r="B1800" i="1"/>
  <c r="C1800" i="1"/>
  <c r="B1801" i="1"/>
  <c r="C1801" i="1"/>
  <c r="B1802" i="1"/>
  <c r="C1802" i="1"/>
  <c r="B1803" i="1"/>
  <c r="C1803" i="1"/>
  <c r="B1804" i="1"/>
  <c r="C1804" i="1"/>
  <c r="B1805" i="1"/>
  <c r="C1805" i="1"/>
  <c r="B1806" i="1"/>
  <c r="C1806" i="1"/>
  <c r="B1807" i="1"/>
  <c r="C1807" i="1"/>
  <c r="B1808" i="1"/>
  <c r="C1808" i="1"/>
  <c r="B1809" i="1"/>
  <c r="C1809" i="1"/>
  <c r="B1810" i="1"/>
  <c r="C1810" i="1"/>
  <c r="B1811" i="1"/>
  <c r="C1811" i="1"/>
  <c r="B1812" i="1"/>
  <c r="C1812" i="1"/>
  <c r="B1813" i="1"/>
  <c r="C1813" i="1"/>
  <c r="B1814" i="1"/>
  <c r="C1814" i="1"/>
  <c r="B1815" i="1"/>
  <c r="C1815" i="1"/>
  <c r="B1816" i="1"/>
  <c r="C1816" i="1"/>
  <c r="B1817" i="1"/>
  <c r="C1817" i="1"/>
  <c r="B1818" i="1"/>
  <c r="C1818" i="1"/>
  <c r="B1819" i="1"/>
  <c r="C1819" i="1"/>
  <c r="B1820" i="1"/>
  <c r="C1820" i="1"/>
  <c r="B1821" i="1"/>
  <c r="C1821" i="1"/>
  <c r="B1822" i="1"/>
  <c r="C1822" i="1"/>
  <c r="B1823" i="1"/>
  <c r="C1823" i="1"/>
  <c r="B1824" i="1"/>
  <c r="C1824" i="1"/>
  <c r="B1825" i="1"/>
  <c r="C1825" i="1"/>
  <c r="B1826" i="1"/>
  <c r="C1826" i="1"/>
  <c r="B1827" i="1"/>
  <c r="C1827" i="1"/>
  <c r="B1828" i="1"/>
  <c r="C1828" i="1"/>
  <c r="B1829" i="1"/>
  <c r="C1829" i="1"/>
  <c r="B1830" i="1"/>
  <c r="C1830" i="1"/>
  <c r="B1831" i="1"/>
  <c r="C1831" i="1"/>
  <c r="B1832" i="1"/>
  <c r="C1832" i="1"/>
  <c r="B1833" i="1"/>
  <c r="C1833" i="1"/>
  <c r="B1834" i="1"/>
  <c r="C1834" i="1"/>
  <c r="B1835" i="1"/>
  <c r="C1835" i="1"/>
  <c r="B1836" i="1"/>
  <c r="C1836" i="1"/>
  <c r="B1837" i="1"/>
  <c r="C1837" i="1"/>
  <c r="B1838" i="1"/>
  <c r="C1838" i="1"/>
  <c r="B1839" i="1"/>
  <c r="C1839" i="1"/>
  <c r="B1840" i="1"/>
  <c r="C1840" i="1"/>
  <c r="B1841" i="1"/>
  <c r="C1841" i="1"/>
  <c r="B1842" i="1"/>
  <c r="C1842" i="1"/>
  <c r="B1843" i="1"/>
  <c r="C1843" i="1"/>
  <c r="B1844" i="1"/>
  <c r="C1844" i="1"/>
  <c r="B1845" i="1"/>
  <c r="C1845" i="1"/>
  <c r="B1846" i="1"/>
  <c r="C1846" i="1"/>
  <c r="B1847" i="1"/>
  <c r="C1847" i="1"/>
  <c r="B1848" i="1"/>
  <c r="C1848" i="1"/>
  <c r="B1849" i="1"/>
  <c r="C1849" i="1"/>
  <c r="B1850" i="1"/>
  <c r="C1850" i="1"/>
  <c r="B1851" i="1"/>
  <c r="C1851" i="1"/>
  <c r="B1852" i="1"/>
  <c r="C1852" i="1"/>
  <c r="B1853" i="1"/>
  <c r="C1853" i="1"/>
  <c r="B1854" i="1"/>
  <c r="C1854" i="1"/>
  <c r="B1855" i="1"/>
  <c r="C1855" i="1"/>
  <c r="B1856" i="1"/>
  <c r="C1856" i="1"/>
  <c r="B1857" i="1"/>
  <c r="C1857" i="1"/>
  <c r="B1858" i="1"/>
  <c r="C1858" i="1"/>
  <c r="B1859" i="1"/>
  <c r="C1859" i="1"/>
  <c r="B1860" i="1"/>
  <c r="C1860" i="1"/>
  <c r="B1861" i="1"/>
  <c r="C1861" i="1"/>
  <c r="B1862" i="1"/>
  <c r="C1862" i="1"/>
  <c r="B1863" i="1"/>
  <c r="C1863" i="1"/>
  <c r="B1864" i="1"/>
  <c r="C1864" i="1"/>
  <c r="B1865" i="1"/>
  <c r="C1865" i="1"/>
  <c r="B1866" i="1"/>
  <c r="C1866" i="1"/>
  <c r="B1867" i="1"/>
  <c r="C1867" i="1"/>
  <c r="B1868" i="1"/>
  <c r="C1868" i="1"/>
  <c r="B1869" i="1"/>
  <c r="C1869" i="1"/>
  <c r="B1870" i="1"/>
  <c r="C1870" i="1"/>
  <c r="B1871" i="1"/>
  <c r="C1871" i="1"/>
  <c r="B1872" i="1"/>
  <c r="C1872" i="1"/>
  <c r="B1873" i="1"/>
  <c r="C1873" i="1"/>
  <c r="B1874" i="1"/>
  <c r="C1874" i="1"/>
  <c r="B1875" i="1"/>
  <c r="C1875" i="1"/>
  <c r="B1876" i="1"/>
  <c r="C1876" i="1"/>
  <c r="B1877" i="1"/>
  <c r="C1877" i="1"/>
  <c r="B1878" i="1"/>
  <c r="C1878" i="1"/>
  <c r="B1879" i="1"/>
  <c r="C1879" i="1"/>
  <c r="B1880" i="1"/>
  <c r="C1880" i="1"/>
  <c r="B1881" i="1"/>
  <c r="C1881" i="1"/>
  <c r="B1882" i="1"/>
  <c r="C1882" i="1"/>
  <c r="B1883" i="1"/>
  <c r="C1883" i="1"/>
  <c r="B1884" i="1"/>
  <c r="C1884" i="1"/>
  <c r="B1885" i="1"/>
  <c r="C1885" i="1"/>
  <c r="B1886" i="1"/>
  <c r="C1886" i="1"/>
  <c r="B1887" i="1"/>
  <c r="C1887" i="1"/>
  <c r="B1888" i="1"/>
  <c r="C1888" i="1"/>
  <c r="B1889" i="1"/>
  <c r="C1889" i="1"/>
  <c r="B1890" i="1"/>
  <c r="C1890" i="1"/>
  <c r="B1891" i="1"/>
  <c r="C1891" i="1"/>
  <c r="B1892" i="1"/>
  <c r="C1892" i="1"/>
  <c r="B1893" i="1"/>
  <c r="C1893" i="1"/>
  <c r="B1894" i="1"/>
  <c r="C1894" i="1"/>
  <c r="B1895" i="1"/>
  <c r="C1895" i="1"/>
  <c r="B1896" i="1"/>
  <c r="C1896" i="1"/>
  <c r="B1897" i="1"/>
  <c r="C1897" i="1"/>
  <c r="B1898" i="1"/>
  <c r="C1898" i="1"/>
  <c r="B1899" i="1"/>
  <c r="C1899" i="1"/>
  <c r="B1900" i="1"/>
  <c r="C1900" i="1"/>
  <c r="B1901" i="1"/>
  <c r="C1901" i="1"/>
  <c r="B1902" i="1"/>
  <c r="C1902" i="1"/>
  <c r="B1903" i="1"/>
  <c r="C1903" i="1"/>
  <c r="B1904" i="1"/>
  <c r="C1904" i="1"/>
  <c r="B1905" i="1"/>
  <c r="C1905" i="1"/>
  <c r="B1906" i="1"/>
  <c r="C1906" i="1"/>
  <c r="B1907" i="1"/>
  <c r="C1907" i="1"/>
  <c r="B1908" i="1"/>
  <c r="C1908" i="1"/>
  <c r="B1909" i="1"/>
  <c r="C1909" i="1"/>
  <c r="B1910" i="1"/>
  <c r="C1910" i="1"/>
  <c r="B1911" i="1"/>
  <c r="C1911" i="1"/>
  <c r="B1912" i="1"/>
  <c r="C1912" i="1"/>
  <c r="B1913" i="1"/>
  <c r="C1913" i="1"/>
  <c r="B1914" i="1"/>
  <c r="C1914" i="1"/>
  <c r="B1915" i="1"/>
  <c r="C1915" i="1"/>
  <c r="B1916" i="1"/>
  <c r="C1916" i="1"/>
  <c r="B1917" i="1"/>
  <c r="C1917" i="1"/>
  <c r="B1918" i="1"/>
  <c r="C1918" i="1"/>
  <c r="B1919" i="1"/>
  <c r="C1919" i="1"/>
  <c r="B1920" i="1"/>
  <c r="C1920" i="1"/>
  <c r="B1921" i="1"/>
  <c r="C1921" i="1"/>
  <c r="B1922" i="1"/>
  <c r="C1922" i="1"/>
  <c r="B1923" i="1"/>
  <c r="C1923" i="1"/>
  <c r="B1924" i="1"/>
  <c r="C1924" i="1"/>
  <c r="B1925" i="1"/>
  <c r="C1925" i="1"/>
  <c r="B1926" i="1"/>
  <c r="C1926" i="1"/>
  <c r="B1927" i="1"/>
  <c r="C1927" i="1"/>
  <c r="B1928" i="1"/>
  <c r="C1928" i="1"/>
  <c r="B1929" i="1"/>
  <c r="C1929" i="1"/>
  <c r="B1930" i="1"/>
  <c r="C1930" i="1"/>
  <c r="B1931" i="1"/>
  <c r="C1931" i="1"/>
  <c r="B1932" i="1"/>
  <c r="C1932" i="1"/>
  <c r="B1933" i="1"/>
  <c r="C1933" i="1"/>
  <c r="B1934" i="1"/>
  <c r="C1934" i="1"/>
  <c r="B1935" i="1"/>
  <c r="C1935" i="1"/>
  <c r="B1936" i="1"/>
  <c r="C1936" i="1"/>
  <c r="B1937" i="1"/>
  <c r="C1937" i="1"/>
  <c r="B1938" i="1"/>
  <c r="C1938" i="1"/>
  <c r="B1939" i="1"/>
  <c r="C1939" i="1"/>
  <c r="B1940" i="1"/>
  <c r="C1940" i="1"/>
  <c r="B1941" i="1"/>
  <c r="C1941" i="1"/>
  <c r="B1942" i="1"/>
  <c r="C1942" i="1"/>
  <c r="B1943" i="1"/>
  <c r="C1943" i="1"/>
  <c r="B1944" i="1"/>
  <c r="C1944" i="1"/>
  <c r="B1945" i="1"/>
  <c r="C1945" i="1"/>
  <c r="B1946" i="1"/>
  <c r="C1946" i="1"/>
  <c r="B1947" i="1"/>
  <c r="C1947" i="1"/>
  <c r="B1948" i="1"/>
  <c r="C1948" i="1"/>
  <c r="B1949" i="1"/>
  <c r="C1949" i="1"/>
  <c r="B1950" i="1"/>
  <c r="C1950" i="1"/>
  <c r="B1951" i="1"/>
  <c r="C1951" i="1"/>
  <c r="B1952" i="1"/>
  <c r="C1952" i="1"/>
  <c r="B1953" i="1"/>
  <c r="C1953" i="1"/>
  <c r="B1954" i="1"/>
  <c r="C1954" i="1"/>
  <c r="B1955" i="1"/>
  <c r="C1955" i="1"/>
  <c r="B1956" i="1"/>
  <c r="C1956" i="1"/>
  <c r="B1957" i="1"/>
  <c r="C1957" i="1"/>
  <c r="B1958" i="1"/>
  <c r="C1958" i="1"/>
  <c r="B1959" i="1"/>
  <c r="C1959" i="1"/>
  <c r="B1960" i="1"/>
  <c r="C1960" i="1"/>
  <c r="B1961" i="1"/>
  <c r="C1961" i="1"/>
  <c r="B1962" i="1"/>
  <c r="C1962" i="1"/>
  <c r="B1963" i="1"/>
  <c r="C1963" i="1"/>
  <c r="B1964" i="1"/>
  <c r="C1964" i="1"/>
  <c r="B1965" i="1"/>
  <c r="C1965" i="1"/>
  <c r="B1966" i="1"/>
  <c r="C1966" i="1"/>
  <c r="B1967" i="1"/>
  <c r="C1967" i="1"/>
  <c r="B1968" i="1"/>
  <c r="C1968" i="1"/>
  <c r="B1969" i="1"/>
  <c r="C1969" i="1"/>
  <c r="B1970" i="1"/>
  <c r="C1970" i="1"/>
  <c r="B1971" i="1"/>
  <c r="C1971" i="1"/>
  <c r="B1972" i="1"/>
  <c r="C1972" i="1"/>
  <c r="B1973" i="1"/>
  <c r="C1973" i="1"/>
  <c r="B1974" i="1"/>
  <c r="C1974" i="1"/>
  <c r="B1975" i="1"/>
  <c r="C1975" i="1"/>
  <c r="B1976" i="1"/>
  <c r="C1976" i="1"/>
  <c r="B1977" i="1"/>
  <c r="C1977" i="1"/>
  <c r="B1978" i="1"/>
  <c r="C1978" i="1"/>
  <c r="B1979" i="1"/>
  <c r="C1979" i="1"/>
  <c r="B1980" i="1"/>
  <c r="C1980" i="1"/>
  <c r="B1981" i="1"/>
  <c r="C1981" i="1"/>
  <c r="B1982" i="1"/>
  <c r="C1982" i="1"/>
  <c r="B1983" i="1"/>
  <c r="C1983" i="1"/>
  <c r="B1984" i="1"/>
  <c r="C1984" i="1"/>
  <c r="B1985" i="1"/>
  <c r="C1985" i="1"/>
  <c r="B1986" i="1"/>
  <c r="C1986" i="1"/>
  <c r="B1987" i="1"/>
  <c r="C1987" i="1"/>
  <c r="B1988" i="1"/>
  <c r="C1988" i="1"/>
  <c r="B1989" i="1"/>
  <c r="C1989" i="1"/>
  <c r="B1990" i="1"/>
  <c r="C1990" i="1"/>
  <c r="B1991" i="1"/>
  <c r="C1991" i="1"/>
  <c r="B1992" i="1"/>
  <c r="C1992" i="1"/>
  <c r="B1993" i="1"/>
  <c r="C1993" i="1"/>
  <c r="B1994" i="1"/>
  <c r="C1994" i="1"/>
  <c r="B1995" i="1"/>
  <c r="C1995" i="1"/>
  <c r="B1996" i="1"/>
  <c r="C1996" i="1"/>
  <c r="B1997" i="1"/>
  <c r="C1997" i="1"/>
  <c r="B1998" i="1"/>
  <c r="C1998" i="1"/>
  <c r="B1999" i="1"/>
  <c r="C1999" i="1"/>
  <c r="B2000" i="1"/>
  <c r="C2000" i="1"/>
  <c r="C2" i="1"/>
  <c r="B2" i="1"/>
  <c r="J412" i="2" l="1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2" i="2"/>
  <c r="J110" i="3" l="1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K1" i="3" l="1"/>
  <c r="N1" i="1" s="1"/>
  <c r="D20" i="1" l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" i="1"/>
  <c r="E27" i="1"/>
  <c r="E91" i="1"/>
  <c r="E155" i="1"/>
  <c r="E219" i="1"/>
  <c r="E283" i="1"/>
  <c r="E347" i="1"/>
  <c r="E411" i="1"/>
  <c r="E475" i="1"/>
  <c r="E539" i="1"/>
  <c r="E603" i="1"/>
  <c r="E667" i="1"/>
  <c r="E731" i="1"/>
  <c r="E795" i="1"/>
  <c r="E859" i="1"/>
  <c r="E60" i="1"/>
  <c r="E124" i="1"/>
  <c r="E188" i="1"/>
  <c r="E252" i="1"/>
  <c r="E316" i="1"/>
  <c r="E380" i="1"/>
  <c r="E444" i="1"/>
  <c r="E508" i="1"/>
  <c r="E572" i="1"/>
  <c r="E636" i="1"/>
  <c r="E700" i="1"/>
  <c r="E29" i="1"/>
  <c r="E93" i="1"/>
  <c r="E157" i="1"/>
  <c r="E221" i="1"/>
  <c r="E285" i="1"/>
  <c r="E349" i="1"/>
  <c r="E413" i="1"/>
  <c r="E477" i="1"/>
  <c r="E541" i="1"/>
  <c r="E605" i="1"/>
  <c r="E669" i="1"/>
  <c r="E733" i="1"/>
  <c r="E797" i="1"/>
  <c r="E861" i="1"/>
  <c r="E54" i="1"/>
  <c r="E118" i="1"/>
  <c r="E182" i="1"/>
  <c r="E246" i="1"/>
  <c r="E310" i="1"/>
  <c r="E374" i="1"/>
  <c r="E438" i="1"/>
  <c r="E502" i="1"/>
  <c r="E566" i="1"/>
  <c r="E630" i="1"/>
  <c r="E694" i="1"/>
  <c r="E758" i="1"/>
  <c r="E822" i="1"/>
  <c r="E886" i="1"/>
  <c r="E950" i="1"/>
  <c r="E1014" i="1"/>
  <c r="E63" i="1"/>
  <c r="E127" i="1"/>
  <c r="E191" i="1"/>
  <c r="E255" i="1"/>
  <c r="E319" i="1"/>
  <c r="E383" i="1"/>
  <c r="E447" i="1"/>
  <c r="E511" i="1"/>
  <c r="E575" i="1"/>
  <c r="E639" i="1"/>
  <c r="E703" i="1"/>
  <c r="E767" i="1"/>
  <c r="E831" i="1"/>
  <c r="E40" i="1"/>
  <c r="E104" i="1"/>
  <c r="E168" i="1"/>
  <c r="E232" i="1"/>
  <c r="E296" i="1"/>
  <c r="E360" i="1"/>
  <c r="E424" i="1"/>
  <c r="E488" i="1"/>
  <c r="E552" i="1"/>
  <c r="E616" i="1"/>
  <c r="E680" i="1"/>
  <c r="E744" i="1"/>
  <c r="E81" i="1"/>
  <c r="E145" i="1"/>
  <c r="E209" i="1"/>
  <c r="E273" i="1"/>
  <c r="E337" i="1"/>
  <c r="E401" i="1"/>
  <c r="E465" i="1"/>
  <c r="E529" i="1"/>
  <c r="E593" i="1"/>
  <c r="E657" i="1"/>
  <c r="E721" i="1"/>
  <c r="E785" i="1"/>
  <c r="E849" i="1"/>
  <c r="E42" i="1"/>
  <c r="E106" i="1"/>
  <c r="E170" i="1"/>
  <c r="E234" i="1"/>
  <c r="E298" i="1"/>
  <c r="E362" i="1"/>
  <c r="E426" i="1"/>
  <c r="E490" i="1"/>
  <c r="E554" i="1"/>
  <c r="E618" i="1"/>
  <c r="E682" i="1"/>
  <c r="E746" i="1"/>
  <c r="E810" i="1"/>
  <c r="E874" i="1"/>
  <c r="E938" i="1"/>
  <c r="E1002" i="1"/>
  <c r="E907" i="1"/>
  <c r="E971" i="1"/>
  <c r="E1035" i="1"/>
  <c r="E1099" i="1"/>
  <c r="E1163" i="1"/>
  <c r="E1227" i="1"/>
  <c r="E1291" i="1"/>
  <c r="E1355" i="1"/>
  <c r="E1419" i="1"/>
  <c r="E1483" i="1"/>
  <c r="E1547" i="1"/>
  <c r="E1619" i="1"/>
  <c r="E780" i="1"/>
  <c r="E844" i="1"/>
  <c r="E908" i="1"/>
  <c r="E972" i="1"/>
  <c r="E1036" i="1"/>
  <c r="E1100" i="1"/>
  <c r="E1164" i="1"/>
  <c r="E35" i="1"/>
  <c r="E99" i="1"/>
  <c r="E163" i="1"/>
  <c r="E227" i="1"/>
  <c r="E291" i="1"/>
  <c r="E355" i="1"/>
  <c r="E419" i="1"/>
  <c r="E483" i="1"/>
  <c r="E547" i="1"/>
  <c r="E611" i="1"/>
  <c r="E675" i="1"/>
  <c r="E739" i="1"/>
  <c r="E803" i="1"/>
  <c r="E867" i="1"/>
  <c r="E68" i="1"/>
  <c r="E132" i="1"/>
  <c r="E196" i="1"/>
  <c r="E260" i="1"/>
  <c r="E324" i="1"/>
  <c r="E388" i="1"/>
  <c r="E452" i="1"/>
  <c r="E516" i="1"/>
  <c r="E580" i="1"/>
  <c r="E644" i="1"/>
  <c r="E708" i="1"/>
  <c r="E37" i="1"/>
  <c r="E101" i="1"/>
  <c r="E165" i="1"/>
  <c r="E229" i="1"/>
  <c r="E293" i="1"/>
  <c r="E357" i="1"/>
  <c r="E421" i="1"/>
  <c r="E485" i="1"/>
  <c r="E549" i="1"/>
  <c r="E613" i="1"/>
  <c r="E677" i="1"/>
  <c r="E741" i="1"/>
  <c r="E805" i="1"/>
  <c r="E869" i="1"/>
  <c r="E62" i="1"/>
  <c r="E126" i="1"/>
  <c r="E190" i="1"/>
  <c r="E254" i="1"/>
  <c r="E318" i="1"/>
  <c r="E382" i="1"/>
  <c r="E446" i="1"/>
  <c r="E510" i="1"/>
  <c r="E574" i="1"/>
  <c r="E638" i="1"/>
  <c r="E702" i="1"/>
  <c r="E766" i="1"/>
  <c r="E830" i="1"/>
  <c r="E894" i="1"/>
  <c r="E958" i="1"/>
  <c r="E1022" i="1"/>
  <c r="E71" i="1"/>
  <c r="E135" i="1"/>
  <c r="E199" i="1"/>
  <c r="E263" i="1"/>
  <c r="E327" i="1"/>
  <c r="E391" i="1"/>
  <c r="E455" i="1"/>
  <c r="E519" i="1"/>
  <c r="E583" i="1"/>
  <c r="E647" i="1"/>
  <c r="E711" i="1"/>
  <c r="E775" i="1"/>
  <c r="E839" i="1"/>
  <c r="E48" i="1"/>
  <c r="E112" i="1"/>
  <c r="E176" i="1"/>
  <c r="E240" i="1"/>
  <c r="E304" i="1"/>
  <c r="E368" i="1"/>
  <c r="E432" i="1"/>
  <c r="E496" i="1"/>
  <c r="E560" i="1"/>
  <c r="E624" i="1"/>
  <c r="E688" i="1"/>
  <c r="E25" i="1"/>
  <c r="E89" i="1"/>
  <c r="E153" i="1"/>
  <c r="E217" i="1"/>
  <c r="E281" i="1"/>
  <c r="E345" i="1"/>
  <c r="E409" i="1"/>
  <c r="E473" i="1"/>
  <c r="E537" i="1"/>
  <c r="E601" i="1"/>
  <c r="E665" i="1"/>
  <c r="E729" i="1"/>
  <c r="E793" i="1"/>
  <c r="E857" i="1"/>
  <c r="E50" i="1"/>
  <c r="E114" i="1"/>
  <c r="E178" i="1"/>
  <c r="E242" i="1"/>
  <c r="E306" i="1"/>
  <c r="E370" i="1"/>
  <c r="E434" i="1"/>
  <c r="E498" i="1"/>
  <c r="E562" i="1"/>
  <c r="E626" i="1"/>
  <c r="E690" i="1"/>
  <c r="E754" i="1"/>
  <c r="E818" i="1"/>
  <c r="E882" i="1"/>
  <c r="E946" i="1"/>
  <c r="E1010" i="1"/>
  <c r="E915" i="1"/>
  <c r="E979" i="1"/>
  <c r="E1043" i="1"/>
  <c r="E1107" i="1"/>
  <c r="E1171" i="1"/>
  <c r="E1235" i="1"/>
  <c r="E1299" i="1"/>
  <c r="E43" i="1"/>
  <c r="E107" i="1"/>
  <c r="E171" i="1"/>
  <c r="E235" i="1"/>
  <c r="E299" i="1"/>
  <c r="E363" i="1"/>
  <c r="E427" i="1"/>
  <c r="E491" i="1"/>
  <c r="E555" i="1"/>
  <c r="E619" i="1"/>
  <c r="E683" i="1"/>
  <c r="E747" i="1"/>
  <c r="E811" i="1"/>
  <c r="E875" i="1"/>
  <c r="E76" i="1"/>
  <c r="E140" i="1"/>
  <c r="E204" i="1"/>
  <c r="E268" i="1"/>
  <c r="E332" i="1"/>
  <c r="E396" i="1"/>
  <c r="E460" i="1"/>
  <c r="E524" i="1"/>
  <c r="E588" i="1"/>
  <c r="E652" i="1"/>
  <c r="E716" i="1"/>
  <c r="E45" i="1"/>
  <c r="E109" i="1"/>
  <c r="E173" i="1"/>
  <c r="E237" i="1"/>
  <c r="E301" i="1"/>
  <c r="E365" i="1"/>
  <c r="E429" i="1"/>
  <c r="E493" i="1"/>
  <c r="E557" i="1"/>
  <c r="E621" i="1"/>
  <c r="E685" i="1"/>
  <c r="E749" i="1"/>
  <c r="E813" i="1"/>
  <c r="E877" i="1"/>
  <c r="E70" i="1"/>
  <c r="E134" i="1"/>
  <c r="E198" i="1"/>
  <c r="E262" i="1"/>
  <c r="E326" i="1"/>
  <c r="E390" i="1"/>
  <c r="E454" i="1"/>
  <c r="E518" i="1"/>
  <c r="E582" i="1"/>
  <c r="E646" i="1"/>
  <c r="E710" i="1"/>
  <c r="E774" i="1"/>
  <c r="E838" i="1"/>
  <c r="E902" i="1"/>
  <c r="E966" i="1"/>
  <c r="E1030" i="1"/>
  <c r="E79" i="1"/>
  <c r="E143" i="1"/>
  <c r="E207" i="1"/>
  <c r="E271" i="1"/>
  <c r="E335" i="1"/>
  <c r="E399" i="1"/>
  <c r="E463" i="1"/>
  <c r="E527" i="1"/>
  <c r="E591" i="1"/>
  <c r="E655" i="1"/>
  <c r="E719" i="1"/>
  <c r="E783" i="1"/>
  <c r="E847" i="1"/>
  <c r="E56" i="1"/>
  <c r="E120" i="1"/>
  <c r="E184" i="1"/>
  <c r="E248" i="1"/>
  <c r="E312" i="1"/>
  <c r="E376" i="1"/>
  <c r="E440" i="1"/>
  <c r="E504" i="1"/>
  <c r="E568" i="1"/>
  <c r="E632" i="1"/>
  <c r="E696" i="1"/>
  <c r="E33" i="1"/>
  <c r="E97" i="1"/>
  <c r="E161" i="1"/>
  <c r="E225" i="1"/>
  <c r="E289" i="1"/>
  <c r="E353" i="1"/>
  <c r="E417" i="1"/>
  <c r="E481" i="1"/>
  <c r="E545" i="1"/>
  <c r="E609" i="1"/>
  <c r="E673" i="1"/>
  <c r="E737" i="1"/>
  <c r="E801" i="1"/>
  <c r="E865" i="1"/>
  <c r="E58" i="1"/>
  <c r="E122" i="1"/>
  <c r="E186" i="1"/>
  <c r="E250" i="1"/>
  <c r="E314" i="1"/>
  <c r="E378" i="1"/>
  <c r="E442" i="1"/>
  <c r="E506" i="1"/>
  <c r="E570" i="1"/>
  <c r="E634" i="1"/>
  <c r="E698" i="1"/>
  <c r="E762" i="1"/>
  <c r="E826" i="1"/>
  <c r="E890" i="1"/>
  <c r="E954" i="1"/>
  <c r="E1018" i="1"/>
  <c r="E923" i="1"/>
  <c r="E987" i="1"/>
  <c r="E1051" i="1"/>
  <c r="E1115" i="1"/>
  <c r="E1179" i="1"/>
  <c r="E1243" i="1"/>
  <c r="E1307" i="1"/>
  <c r="E1371" i="1"/>
  <c r="E1435" i="1"/>
  <c r="E1499" i="1"/>
  <c r="E1563" i="1"/>
  <c r="E1643" i="1"/>
  <c r="E796" i="1"/>
  <c r="E860" i="1"/>
  <c r="E924" i="1"/>
  <c r="E988" i="1"/>
  <c r="E1052" i="1"/>
  <c r="E51" i="1"/>
  <c r="E115" i="1"/>
  <c r="E179" i="1"/>
  <c r="E243" i="1"/>
  <c r="E307" i="1"/>
  <c r="E371" i="1"/>
  <c r="E435" i="1"/>
  <c r="E499" i="1"/>
  <c r="E563" i="1"/>
  <c r="E627" i="1"/>
  <c r="E691" i="1"/>
  <c r="E755" i="1"/>
  <c r="E819" i="1"/>
  <c r="E20" i="1"/>
  <c r="E84" i="1"/>
  <c r="E148" i="1"/>
  <c r="E212" i="1"/>
  <c r="E276" i="1"/>
  <c r="E340" i="1"/>
  <c r="E404" i="1"/>
  <c r="E468" i="1"/>
  <c r="E532" i="1"/>
  <c r="E596" i="1"/>
  <c r="E660" i="1"/>
  <c r="E724" i="1"/>
  <c r="E53" i="1"/>
  <c r="E117" i="1"/>
  <c r="E181" i="1"/>
  <c r="E245" i="1"/>
  <c r="E309" i="1"/>
  <c r="E373" i="1"/>
  <c r="E437" i="1"/>
  <c r="E501" i="1"/>
  <c r="E565" i="1"/>
  <c r="E629" i="1"/>
  <c r="E693" i="1"/>
  <c r="E757" i="1"/>
  <c r="E821" i="1"/>
  <c r="E885" i="1"/>
  <c r="E78" i="1"/>
  <c r="E142" i="1"/>
  <c r="E206" i="1"/>
  <c r="E270" i="1"/>
  <c r="E334" i="1"/>
  <c r="E398" i="1"/>
  <c r="E462" i="1"/>
  <c r="E526" i="1"/>
  <c r="E590" i="1"/>
  <c r="E654" i="1"/>
  <c r="E718" i="1"/>
  <c r="E782" i="1"/>
  <c r="E846" i="1"/>
  <c r="E910" i="1"/>
  <c r="E974" i="1"/>
  <c r="E23" i="1"/>
  <c r="E87" i="1"/>
  <c r="E151" i="1"/>
  <c r="E215" i="1"/>
  <c r="E279" i="1"/>
  <c r="E343" i="1"/>
  <c r="E407" i="1"/>
  <c r="E471" i="1"/>
  <c r="E535" i="1"/>
  <c r="E599" i="1"/>
  <c r="E663" i="1"/>
  <c r="E727" i="1"/>
  <c r="E791" i="1"/>
  <c r="E855" i="1"/>
  <c r="E64" i="1"/>
  <c r="E128" i="1"/>
  <c r="E192" i="1"/>
  <c r="E256" i="1"/>
  <c r="E320" i="1"/>
  <c r="E384" i="1"/>
  <c r="E448" i="1"/>
  <c r="E512" i="1"/>
  <c r="E576" i="1"/>
  <c r="E640" i="1"/>
  <c r="E704" i="1"/>
  <c r="E41" i="1"/>
  <c r="E105" i="1"/>
  <c r="E169" i="1"/>
  <c r="E233" i="1"/>
  <c r="E297" i="1"/>
  <c r="E361" i="1"/>
  <c r="E425" i="1"/>
  <c r="E489" i="1"/>
  <c r="E553" i="1"/>
  <c r="E617" i="1"/>
  <c r="E681" i="1"/>
  <c r="E745" i="1"/>
  <c r="E809" i="1"/>
  <c r="E873" i="1"/>
  <c r="E66" i="1"/>
  <c r="E130" i="1"/>
  <c r="E194" i="1"/>
  <c r="E258" i="1"/>
  <c r="E322" i="1"/>
  <c r="E386" i="1"/>
  <c r="E450" i="1"/>
  <c r="E514" i="1"/>
  <c r="E578" i="1"/>
  <c r="E642" i="1"/>
  <c r="E706" i="1"/>
  <c r="E770" i="1"/>
  <c r="E834" i="1"/>
  <c r="E898" i="1"/>
  <c r="E962" i="1"/>
  <c r="E1026" i="1"/>
  <c r="E931" i="1"/>
  <c r="E995" i="1"/>
  <c r="E1059" i="1"/>
  <c r="E1123" i="1"/>
  <c r="E59" i="1"/>
  <c r="E123" i="1"/>
  <c r="E187" i="1"/>
  <c r="E251" i="1"/>
  <c r="E315" i="1"/>
  <c r="E379" i="1"/>
  <c r="E443" i="1"/>
  <c r="E507" i="1"/>
  <c r="E571" i="1"/>
  <c r="E635" i="1"/>
  <c r="E699" i="1"/>
  <c r="E763" i="1"/>
  <c r="E827" i="1"/>
  <c r="E28" i="1"/>
  <c r="E92" i="1"/>
  <c r="E156" i="1"/>
  <c r="E220" i="1"/>
  <c r="E284" i="1"/>
  <c r="E348" i="1"/>
  <c r="E412" i="1"/>
  <c r="E476" i="1"/>
  <c r="E540" i="1"/>
  <c r="E604" i="1"/>
  <c r="E668" i="1"/>
  <c r="E732" i="1"/>
  <c r="E61" i="1"/>
  <c r="E125" i="1"/>
  <c r="E189" i="1"/>
  <c r="E253" i="1"/>
  <c r="E317" i="1"/>
  <c r="E381" i="1"/>
  <c r="E445" i="1"/>
  <c r="E509" i="1"/>
  <c r="E573" i="1"/>
  <c r="E637" i="1"/>
  <c r="E701" i="1"/>
  <c r="E765" i="1"/>
  <c r="E829" i="1"/>
  <c r="E22" i="1"/>
  <c r="E86" i="1"/>
  <c r="E150" i="1"/>
  <c r="E214" i="1"/>
  <c r="E278" i="1"/>
  <c r="E342" i="1"/>
  <c r="E406" i="1"/>
  <c r="E470" i="1"/>
  <c r="E534" i="1"/>
  <c r="E598" i="1"/>
  <c r="E662" i="1"/>
  <c r="E726" i="1"/>
  <c r="E790" i="1"/>
  <c r="E854" i="1"/>
  <c r="E918" i="1"/>
  <c r="E982" i="1"/>
  <c r="E31" i="1"/>
  <c r="E95" i="1"/>
  <c r="E159" i="1"/>
  <c r="E223" i="1"/>
  <c r="E287" i="1"/>
  <c r="E351" i="1"/>
  <c r="E415" i="1"/>
  <c r="E479" i="1"/>
  <c r="E543" i="1"/>
  <c r="E607" i="1"/>
  <c r="E671" i="1"/>
  <c r="E735" i="1"/>
  <c r="E799" i="1"/>
  <c r="E863" i="1"/>
  <c r="E72" i="1"/>
  <c r="E136" i="1"/>
  <c r="E200" i="1"/>
  <c r="E264" i="1"/>
  <c r="E328" i="1"/>
  <c r="E392" i="1"/>
  <c r="E456" i="1"/>
  <c r="E520" i="1"/>
  <c r="E584" i="1"/>
  <c r="E648" i="1"/>
  <c r="E712" i="1"/>
  <c r="E49" i="1"/>
  <c r="E113" i="1"/>
  <c r="E177" i="1"/>
  <c r="E241" i="1"/>
  <c r="E305" i="1"/>
  <c r="E369" i="1"/>
  <c r="E433" i="1"/>
  <c r="E497" i="1"/>
  <c r="E561" i="1"/>
  <c r="E625" i="1"/>
  <c r="E689" i="1"/>
  <c r="E753" i="1"/>
  <c r="E817" i="1"/>
  <c r="E881" i="1"/>
  <c r="E74" i="1"/>
  <c r="E138" i="1"/>
  <c r="E202" i="1"/>
  <c r="E266" i="1"/>
  <c r="E330" i="1"/>
  <c r="E394" i="1"/>
  <c r="E458" i="1"/>
  <c r="E522" i="1"/>
  <c r="E586" i="1"/>
  <c r="E650" i="1"/>
  <c r="E714" i="1"/>
  <c r="E778" i="1"/>
  <c r="E842" i="1"/>
  <c r="E906" i="1"/>
  <c r="E970" i="1"/>
  <c r="E1034" i="1"/>
  <c r="E939" i="1"/>
  <c r="E1003" i="1"/>
  <c r="E1067" i="1"/>
  <c r="E1131" i="1"/>
  <c r="E1195" i="1"/>
  <c r="E1259" i="1"/>
  <c r="E1323" i="1"/>
  <c r="E1387" i="1"/>
  <c r="E1451" i="1"/>
  <c r="E1515" i="1"/>
  <c r="E1579" i="1"/>
  <c r="E1675" i="1"/>
  <c r="E812" i="1"/>
  <c r="E876" i="1"/>
  <c r="E940" i="1"/>
  <c r="E1004" i="1"/>
  <c r="E1068" i="1"/>
  <c r="E1132" i="1"/>
  <c r="E67" i="1"/>
  <c r="E131" i="1"/>
  <c r="E195" i="1"/>
  <c r="E259" i="1"/>
  <c r="E323" i="1"/>
  <c r="E387" i="1"/>
  <c r="E451" i="1"/>
  <c r="E515" i="1"/>
  <c r="E579" i="1"/>
  <c r="E643" i="1"/>
  <c r="E707" i="1"/>
  <c r="E771" i="1"/>
  <c r="E835" i="1"/>
  <c r="E36" i="1"/>
  <c r="E100" i="1"/>
  <c r="E164" i="1"/>
  <c r="E228" i="1"/>
  <c r="E292" i="1"/>
  <c r="E356" i="1"/>
  <c r="E420" i="1"/>
  <c r="E484" i="1"/>
  <c r="E548" i="1"/>
  <c r="E612" i="1"/>
  <c r="E676" i="1"/>
  <c r="E740" i="1"/>
  <c r="E69" i="1"/>
  <c r="E133" i="1"/>
  <c r="E197" i="1"/>
  <c r="E261" i="1"/>
  <c r="E325" i="1"/>
  <c r="E389" i="1"/>
  <c r="E453" i="1"/>
  <c r="E517" i="1"/>
  <c r="E581" i="1"/>
  <c r="E645" i="1"/>
  <c r="E709" i="1"/>
  <c r="E773" i="1"/>
  <c r="E837" i="1"/>
  <c r="E30" i="1"/>
  <c r="E94" i="1"/>
  <c r="E158" i="1"/>
  <c r="E222" i="1"/>
  <c r="E286" i="1"/>
  <c r="E350" i="1"/>
  <c r="E414" i="1"/>
  <c r="E478" i="1"/>
  <c r="E542" i="1"/>
  <c r="E606" i="1"/>
  <c r="E670" i="1"/>
  <c r="E734" i="1"/>
  <c r="E798" i="1"/>
  <c r="E862" i="1"/>
  <c r="E926" i="1"/>
  <c r="E990" i="1"/>
  <c r="E39" i="1"/>
  <c r="E103" i="1"/>
  <c r="E167" i="1"/>
  <c r="E231" i="1"/>
  <c r="E295" i="1"/>
  <c r="E359" i="1"/>
  <c r="E423" i="1"/>
  <c r="E487" i="1"/>
  <c r="E551" i="1"/>
  <c r="E615" i="1"/>
  <c r="E679" i="1"/>
  <c r="E743" i="1"/>
  <c r="E807" i="1"/>
  <c r="E871" i="1"/>
  <c r="E80" i="1"/>
  <c r="E144" i="1"/>
  <c r="E208" i="1"/>
  <c r="E272" i="1"/>
  <c r="E336" i="1"/>
  <c r="E400" i="1"/>
  <c r="E464" i="1"/>
  <c r="E528" i="1"/>
  <c r="E592" i="1"/>
  <c r="E656" i="1"/>
  <c r="E720" i="1"/>
  <c r="E57" i="1"/>
  <c r="E121" i="1"/>
  <c r="E185" i="1"/>
  <c r="E249" i="1"/>
  <c r="E313" i="1"/>
  <c r="E377" i="1"/>
  <c r="E441" i="1"/>
  <c r="E505" i="1"/>
  <c r="E569" i="1"/>
  <c r="E633" i="1"/>
  <c r="E697" i="1"/>
  <c r="E761" i="1"/>
  <c r="E825" i="1"/>
  <c r="E889" i="1"/>
  <c r="E82" i="1"/>
  <c r="E146" i="1"/>
  <c r="E210" i="1"/>
  <c r="E274" i="1"/>
  <c r="E338" i="1"/>
  <c r="E402" i="1"/>
  <c r="E466" i="1"/>
  <c r="E530" i="1"/>
  <c r="E594" i="1"/>
  <c r="E658" i="1"/>
  <c r="E722" i="1"/>
  <c r="E786" i="1"/>
  <c r="E850" i="1"/>
  <c r="E914" i="1"/>
  <c r="E978" i="1"/>
  <c r="E883" i="1"/>
  <c r="E947" i="1"/>
  <c r="E1011" i="1"/>
  <c r="E1075" i="1"/>
  <c r="E1139" i="1"/>
  <c r="E1203" i="1"/>
  <c r="E1267" i="1"/>
  <c r="E1331" i="1"/>
  <c r="E1395" i="1"/>
  <c r="E1459" i="1"/>
  <c r="E1523" i="1"/>
  <c r="E1587" i="1"/>
  <c r="E756" i="1"/>
  <c r="E820" i="1"/>
  <c r="E884" i="1"/>
  <c r="E948" i="1"/>
  <c r="E1012" i="1"/>
  <c r="E1076" i="1"/>
  <c r="E1140" i="1"/>
  <c r="E1204" i="1"/>
  <c r="E1268" i="1"/>
  <c r="E1332" i="1"/>
  <c r="E1396" i="1"/>
  <c r="E893" i="1"/>
  <c r="E75" i="1"/>
  <c r="E139" i="1"/>
  <c r="E203" i="1"/>
  <c r="E267" i="1"/>
  <c r="E331" i="1"/>
  <c r="E395" i="1"/>
  <c r="E459" i="1"/>
  <c r="E523" i="1"/>
  <c r="E587" i="1"/>
  <c r="E651" i="1"/>
  <c r="E715" i="1"/>
  <c r="E779" i="1"/>
  <c r="E843" i="1"/>
  <c r="E44" i="1"/>
  <c r="E108" i="1"/>
  <c r="E172" i="1"/>
  <c r="E236" i="1"/>
  <c r="E300" i="1"/>
  <c r="E364" i="1"/>
  <c r="E428" i="1"/>
  <c r="E492" i="1"/>
  <c r="E556" i="1"/>
  <c r="E620" i="1"/>
  <c r="E684" i="1"/>
  <c r="E748" i="1"/>
  <c r="E77" i="1"/>
  <c r="E141" i="1"/>
  <c r="E205" i="1"/>
  <c r="E269" i="1"/>
  <c r="E333" i="1"/>
  <c r="E397" i="1"/>
  <c r="E461" i="1"/>
  <c r="E525" i="1"/>
  <c r="E589" i="1"/>
  <c r="E653" i="1"/>
  <c r="E717" i="1"/>
  <c r="E781" i="1"/>
  <c r="E845" i="1"/>
  <c r="E38" i="1"/>
  <c r="E102" i="1"/>
  <c r="E166" i="1"/>
  <c r="E230" i="1"/>
  <c r="E294" i="1"/>
  <c r="E358" i="1"/>
  <c r="E422" i="1"/>
  <c r="E486" i="1"/>
  <c r="E550" i="1"/>
  <c r="E614" i="1"/>
  <c r="E678" i="1"/>
  <c r="E742" i="1"/>
  <c r="E806" i="1"/>
  <c r="E870" i="1"/>
  <c r="E934" i="1"/>
  <c r="E998" i="1"/>
  <c r="E47" i="1"/>
  <c r="E111" i="1"/>
  <c r="E175" i="1"/>
  <c r="E239" i="1"/>
  <c r="E303" i="1"/>
  <c r="E367" i="1"/>
  <c r="E431" i="1"/>
  <c r="E495" i="1"/>
  <c r="E559" i="1"/>
  <c r="E623" i="1"/>
  <c r="E687" i="1"/>
  <c r="E751" i="1"/>
  <c r="E815" i="1"/>
  <c r="E24" i="1"/>
  <c r="E88" i="1"/>
  <c r="E152" i="1"/>
  <c r="E216" i="1"/>
  <c r="E280" i="1"/>
  <c r="E344" i="1"/>
  <c r="E408" i="1"/>
  <c r="E472" i="1"/>
  <c r="E536" i="1"/>
  <c r="E600" i="1"/>
  <c r="E664" i="1"/>
  <c r="E728" i="1"/>
  <c r="E65" i="1"/>
  <c r="E129" i="1"/>
  <c r="E193" i="1"/>
  <c r="E257" i="1"/>
  <c r="E321" i="1"/>
  <c r="E385" i="1"/>
  <c r="E449" i="1"/>
  <c r="E513" i="1"/>
  <c r="E577" i="1"/>
  <c r="E641" i="1"/>
  <c r="E705" i="1"/>
  <c r="E769" i="1"/>
  <c r="E833" i="1"/>
  <c r="E26" i="1"/>
  <c r="E90" i="1"/>
  <c r="E154" i="1"/>
  <c r="E218" i="1"/>
  <c r="E282" i="1"/>
  <c r="E346" i="1"/>
  <c r="E410" i="1"/>
  <c r="E474" i="1"/>
  <c r="E538" i="1"/>
  <c r="E602" i="1"/>
  <c r="E531" i="1"/>
  <c r="E180" i="1"/>
  <c r="E692" i="1"/>
  <c r="E469" i="1"/>
  <c r="E110" i="1"/>
  <c r="E622" i="1"/>
  <c r="E119" i="1"/>
  <c r="E631" i="1"/>
  <c r="E288" i="1"/>
  <c r="E73" i="1"/>
  <c r="E585" i="1"/>
  <c r="E226" i="1"/>
  <c r="E674" i="1"/>
  <c r="E930" i="1"/>
  <c r="E1027" i="1"/>
  <c r="E1251" i="1"/>
  <c r="E1403" i="1"/>
  <c r="E1531" i="1"/>
  <c r="E764" i="1"/>
  <c r="E892" i="1"/>
  <c r="E1020" i="1"/>
  <c r="E1124" i="1"/>
  <c r="E1220" i="1"/>
  <c r="E1292" i="1"/>
  <c r="E1364" i="1"/>
  <c r="E1436" i="1"/>
  <c r="E941" i="1"/>
  <c r="E1005" i="1"/>
  <c r="E1069" i="1"/>
  <c r="E1133" i="1"/>
  <c r="E1197" i="1"/>
  <c r="E1261" i="1"/>
  <c r="E1325" i="1"/>
  <c r="E1389" i="1"/>
  <c r="E1453" i="1"/>
  <c r="E1517" i="1"/>
  <c r="E1581" i="1"/>
  <c r="E1078" i="1"/>
  <c r="E1142" i="1"/>
  <c r="E1206" i="1"/>
  <c r="E1270" i="1"/>
  <c r="E1334" i="1"/>
  <c r="E1398" i="1"/>
  <c r="E1462" i="1"/>
  <c r="E1526" i="1"/>
  <c r="E1590" i="1"/>
  <c r="E1654" i="1"/>
  <c r="E1718" i="1"/>
  <c r="E1782" i="1"/>
  <c r="E1846" i="1"/>
  <c r="E1910" i="1"/>
  <c r="E1974" i="1"/>
  <c r="E1647" i="1"/>
  <c r="E919" i="1"/>
  <c r="E983" i="1"/>
  <c r="E1047" i="1"/>
  <c r="E1111" i="1"/>
  <c r="E1175" i="1"/>
  <c r="E1239" i="1"/>
  <c r="E1303" i="1"/>
  <c r="E1367" i="1"/>
  <c r="E1431" i="1"/>
  <c r="E1495" i="1"/>
  <c r="E1559" i="1"/>
  <c r="E1639" i="1"/>
  <c r="E792" i="1"/>
  <c r="E856" i="1"/>
  <c r="E920" i="1"/>
  <c r="E984" i="1"/>
  <c r="E1048" i="1"/>
  <c r="E1112" i="1"/>
  <c r="E1176" i="1"/>
  <c r="E1240" i="1"/>
  <c r="E1304" i="1"/>
  <c r="E1368" i="1"/>
  <c r="E1432" i="1"/>
  <c r="E929" i="1"/>
  <c r="E993" i="1"/>
  <c r="E1057" i="1"/>
  <c r="E1121" i="1"/>
  <c r="E1185" i="1"/>
  <c r="E1249" i="1"/>
  <c r="E1313" i="1"/>
  <c r="E1377" i="1"/>
  <c r="E1441" i="1"/>
  <c r="E1505" i="1"/>
  <c r="E1569" i="1"/>
  <c r="E1066" i="1"/>
  <c r="E1130" i="1"/>
  <c r="E1194" i="1"/>
  <c r="E1258" i="1"/>
  <c r="E1322" i="1"/>
  <c r="E1386" i="1"/>
  <c r="E1450" i="1"/>
  <c r="E1514" i="1"/>
  <c r="E1578" i="1"/>
  <c r="E1642" i="1"/>
  <c r="E1706" i="1"/>
  <c r="E1770" i="1"/>
  <c r="E1834" i="1"/>
  <c r="E1898" i="1"/>
  <c r="E1962" i="1"/>
  <c r="E1635" i="1"/>
  <c r="E1684" i="1"/>
  <c r="E1868" i="1"/>
  <c r="E1869" i="1"/>
  <c r="E1652" i="1"/>
  <c r="E1852" i="1"/>
  <c r="E1861" i="1"/>
  <c r="E1621" i="1"/>
  <c r="E1685" i="1"/>
  <c r="E1749" i="1"/>
  <c r="E1837" i="1"/>
  <c r="E1711" i="1"/>
  <c r="E1775" i="1"/>
  <c r="E1839" i="1"/>
  <c r="E1903" i="1"/>
  <c r="E83" i="1"/>
  <c r="E595" i="1"/>
  <c r="E244" i="1"/>
  <c r="E21" i="1"/>
  <c r="E533" i="1"/>
  <c r="E174" i="1"/>
  <c r="E686" i="1"/>
  <c r="E183" i="1"/>
  <c r="E695" i="1"/>
  <c r="E352" i="1"/>
  <c r="E137" i="1"/>
  <c r="E649" i="1"/>
  <c r="E290" i="1"/>
  <c r="E730" i="1"/>
  <c r="E986" i="1"/>
  <c r="E1083" i="1"/>
  <c r="E1275" i="1"/>
  <c r="E1411" i="1"/>
  <c r="E1539" i="1"/>
  <c r="E772" i="1"/>
  <c r="E900" i="1"/>
  <c r="E1028" i="1"/>
  <c r="E1148" i="1"/>
  <c r="E1228" i="1"/>
  <c r="E1300" i="1"/>
  <c r="E1372" i="1"/>
  <c r="E1444" i="1"/>
  <c r="E949" i="1"/>
  <c r="E1013" i="1"/>
  <c r="E1077" i="1"/>
  <c r="E1141" i="1"/>
  <c r="E1205" i="1"/>
  <c r="E1269" i="1"/>
  <c r="E1333" i="1"/>
  <c r="E1397" i="1"/>
  <c r="E1461" i="1"/>
  <c r="E1525" i="1"/>
  <c r="E1589" i="1"/>
  <c r="E1086" i="1"/>
  <c r="E1150" i="1"/>
  <c r="E1214" i="1"/>
  <c r="E1278" i="1"/>
  <c r="E1342" i="1"/>
  <c r="E1406" i="1"/>
  <c r="E1470" i="1"/>
  <c r="E1534" i="1"/>
  <c r="E1598" i="1"/>
  <c r="E1662" i="1"/>
  <c r="E1726" i="1"/>
  <c r="E147" i="1"/>
  <c r="E659" i="1"/>
  <c r="E308" i="1"/>
  <c r="E85" i="1"/>
  <c r="E597" i="1"/>
  <c r="E238" i="1"/>
  <c r="E750" i="1"/>
  <c r="E247" i="1"/>
  <c r="E759" i="1"/>
  <c r="E416" i="1"/>
  <c r="E201" i="1"/>
  <c r="E713" i="1"/>
  <c r="E354" i="1"/>
  <c r="E738" i="1"/>
  <c r="E994" i="1"/>
  <c r="E1091" i="1"/>
  <c r="E1283" i="1"/>
  <c r="E1427" i="1"/>
  <c r="E1555" i="1"/>
  <c r="E788" i="1"/>
  <c r="E916" i="1"/>
  <c r="E1044" i="1"/>
  <c r="E1156" i="1"/>
  <c r="E1236" i="1"/>
  <c r="E1308" i="1"/>
  <c r="E1380" i="1"/>
  <c r="E1452" i="1"/>
  <c r="E957" i="1"/>
  <c r="E1021" i="1"/>
  <c r="E1085" i="1"/>
  <c r="E1149" i="1"/>
  <c r="E1213" i="1"/>
  <c r="E1277" i="1"/>
  <c r="E1341" i="1"/>
  <c r="E1405" i="1"/>
  <c r="E1469" i="1"/>
  <c r="E1533" i="1"/>
  <c r="E1597" i="1"/>
  <c r="E1094" i="1"/>
  <c r="E1158" i="1"/>
  <c r="E1222" i="1"/>
  <c r="E1286" i="1"/>
  <c r="E1350" i="1"/>
  <c r="E1414" i="1"/>
  <c r="E1478" i="1"/>
  <c r="E1542" i="1"/>
  <c r="E1606" i="1"/>
  <c r="E1670" i="1"/>
  <c r="E1734" i="1"/>
  <c r="E1798" i="1"/>
  <c r="E1862" i="1"/>
  <c r="E1926" i="1"/>
  <c r="E1990" i="1"/>
  <c r="E1679" i="1"/>
  <c r="E935" i="1"/>
  <c r="E999" i="1"/>
  <c r="E1063" i="1"/>
  <c r="E1127" i="1"/>
  <c r="E1191" i="1"/>
  <c r="E1255" i="1"/>
  <c r="E1319" i="1"/>
  <c r="E1383" i="1"/>
  <c r="E1447" i="1"/>
  <c r="E1511" i="1"/>
  <c r="E1575" i="1"/>
  <c r="E1671" i="1"/>
  <c r="E808" i="1"/>
  <c r="E872" i="1"/>
  <c r="E936" i="1"/>
  <c r="E1000" i="1"/>
  <c r="E1064" i="1"/>
  <c r="E1128" i="1"/>
  <c r="E1192" i="1"/>
  <c r="E1256" i="1"/>
  <c r="E1320" i="1"/>
  <c r="E1384" i="1"/>
  <c r="E1448" i="1"/>
  <c r="E945" i="1"/>
  <c r="E1009" i="1"/>
  <c r="E1073" i="1"/>
  <c r="E1137" i="1"/>
  <c r="E1201" i="1"/>
  <c r="E1265" i="1"/>
  <c r="E1329" i="1"/>
  <c r="E1393" i="1"/>
  <c r="E1457" i="1"/>
  <c r="E1521" i="1"/>
  <c r="E1585" i="1"/>
  <c r="E1082" i="1"/>
  <c r="E1146" i="1"/>
  <c r="E1210" i="1"/>
  <c r="E1274" i="1"/>
  <c r="E1338" i="1"/>
  <c r="E1402" i="1"/>
  <c r="E1466" i="1"/>
  <c r="E1530" i="1"/>
  <c r="E1594" i="1"/>
  <c r="E1658" i="1"/>
  <c r="E1722" i="1"/>
  <c r="E1786" i="1"/>
  <c r="E1850" i="1"/>
  <c r="E1914" i="1"/>
  <c r="E1978" i="1"/>
  <c r="E1667" i="1"/>
  <c r="E1724" i="1"/>
  <c r="E1916" i="1"/>
  <c r="E1933" i="1"/>
  <c r="E1700" i="1"/>
  <c r="E1908" i="1"/>
  <c r="E1917" i="1"/>
  <c r="E1637" i="1"/>
  <c r="E1701" i="1"/>
  <c r="E1765" i="1"/>
  <c r="E1877" i="1"/>
  <c r="E1727" i="1"/>
  <c r="E1791" i="1"/>
  <c r="E1855" i="1"/>
  <c r="E1919" i="1"/>
  <c r="E1983" i="1"/>
  <c r="E1496" i="1"/>
  <c r="E1568" i="1"/>
  <c r="E1656" i="1"/>
  <c r="E1832" i="1"/>
  <c r="E18" i="1"/>
  <c r="E1695" i="1"/>
  <c r="E1776" i="1"/>
  <c r="E1976" i="1"/>
  <c r="E211" i="1"/>
  <c r="E723" i="1"/>
  <c r="E372" i="1"/>
  <c r="E149" i="1"/>
  <c r="E661" i="1"/>
  <c r="E302" i="1"/>
  <c r="E814" i="1"/>
  <c r="E311" i="1"/>
  <c r="E823" i="1"/>
  <c r="E480" i="1"/>
  <c r="E265" i="1"/>
  <c r="E777" i="1"/>
  <c r="E418" i="1"/>
  <c r="E794" i="1"/>
  <c r="E891" i="1"/>
  <c r="E1147" i="1"/>
  <c r="E1315" i="1"/>
  <c r="E1443" i="1"/>
  <c r="E1571" i="1"/>
  <c r="E804" i="1"/>
  <c r="E932" i="1"/>
  <c r="E1060" i="1"/>
  <c r="E1172" i="1"/>
  <c r="E1244" i="1"/>
  <c r="E1316" i="1"/>
  <c r="E1388" i="1"/>
  <c r="E901" i="1"/>
  <c r="E965" i="1"/>
  <c r="E1029" i="1"/>
  <c r="E1093" i="1"/>
  <c r="E1157" i="1"/>
  <c r="E1221" i="1"/>
  <c r="E1285" i="1"/>
  <c r="E1349" i="1"/>
  <c r="E1413" i="1"/>
  <c r="E1477" i="1"/>
  <c r="E1541" i="1"/>
  <c r="E1038" i="1"/>
  <c r="E1102" i="1"/>
  <c r="E1166" i="1"/>
  <c r="E1230" i="1"/>
  <c r="E1294" i="1"/>
  <c r="E1358" i="1"/>
  <c r="E1422" i="1"/>
  <c r="E1486" i="1"/>
  <c r="E1550" i="1"/>
  <c r="E1614" i="1"/>
  <c r="E1678" i="1"/>
  <c r="E1742" i="1"/>
  <c r="E1806" i="1"/>
  <c r="E1870" i="1"/>
  <c r="E1934" i="1"/>
  <c r="E1998" i="1"/>
  <c r="E879" i="1"/>
  <c r="E943" i="1"/>
  <c r="E1007" i="1"/>
  <c r="E1071" i="1"/>
  <c r="E1135" i="1"/>
  <c r="E1199" i="1"/>
  <c r="E1263" i="1"/>
  <c r="E1327" i="1"/>
  <c r="E1391" i="1"/>
  <c r="E1455" i="1"/>
  <c r="E1519" i="1"/>
  <c r="E1583" i="1"/>
  <c r="E752" i="1"/>
  <c r="E816" i="1"/>
  <c r="E880" i="1"/>
  <c r="E944" i="1"/>
  <c r="E1008" i="1"/>
  <c r="E1072" i="1"/>
  <c r="E1136" i="1"/>
  <c r="E1200" i="1"/>
  <c r="E1264" i="1"/>
  <c r="E1328" i="1"/>
  <c r="E1392" i="1"/>
  <c r="E1456" i="1"/>
  <c r="E953" i="1"/>
  <c r="E1017" i="1"/>
  <c r="E1081" i="1"/>
  <c r="E1145" i="1"/>
  <c r="E1209" i="1"/>
  <c r="E1273" i="1"/>
  <c r="E1337" i="1"/>
  <c r="E1401" i="1"/>
  <c r="E1465" i="1"/>
  <c r="E1529" i="1"/>
  <c r="E1593" i="1"/>
  <c r="E1090" i="1"/>
  <c r="E1154" i="1"/>
  <c r="E1218" i="1"/>
  <c r="E1282" i="1"/>
  <c r="E1346" i="1"/>
  <c r="E1410" i="1"/>
  <c r="E1474" i="1"/>
  <c r="E1538" i="1"/>
  <c r="E1602" i="1"/>
  <c r="E1666" i="1"/>
  <c r="E1730" i="1"/>
  <c r="E1794" i="1"/>
  <c r="E1858" i="1"/>
  <c r="E1922" i="1"/>
  <c r="E1986" i="1"/>
  <c r="E1683" i="1"/>
  <c r="E1748" i="1"/>
  <c r="E275" i="1"/>
  <c r="E787" i="1"/>
  <c r="E436" i="1"/>
  <c r="E213" i="1"/>
  <c r="E725" i="1"/>
  <c r="E366" i="1"/>
  <c r="E878" i="1"/>
  <c r="E375" i="1"/>
  <c r="E32" i="1"/>
  <c r="E544" i="1"/>
  <c r="E329" i="1"/>
  <c r="E841" i="1"/>
  <c r="E482" i="1"/>
  <c r="E802" i="1"/>
  <c r="E899" i="1"/>
  <c r="E1155" i="1"/>
  <c r="E1339" i="1"/>
  <c r="E1467" i="1"/>
  <c r="E1595" i="1"/>
  <c r="E828" i="1"/>
  <c r="E956" i="1"/>
  <c r="E1084" i="1"/>
  <c r="E1180" i="1"/>
  <c r="E1252" i="1"/>
  <c r="E1324" i="1"/>
  <c r="E1404" i="1"/>
  <c r="E909" i="1"/>
  <c r="E973" i="1"/>
  <c r="E1037" i="1"/>
  <c r="E1101" i="1"/>
  <c r="E1165" i="1"/>
  <c r="E1229" i="1"/>
  <c r="E1293" i="1"/>
  <c r="E1357" i="1"/>
  <c r="E1421" i="1"/>
  <c r="E1485" i="1"/>
  <c r="E1549" i="1"/>
  <c r="E1046" i="1"/>
  <c r="E1110" i="1"/>
  <c r="E1174" i="1"/>
  <c r="E1238" i="1"/>
  <c r="E1302" i="1"/>
  <c r="E1366" i="1"/>
  <c r="E1430" i="1"/>
  <c r="E1494" i="1"/>
  <c r="E1558" i="1"/>
  <c r="E1622" i="1"/>
  <c r="E1686" i="1"/>
  <c r="E1750" i="1"/>
  <c r="E1814" i="1"/>
  <c r="E1878" i="1"/>
  <c r="E1942" i="1"/>
  <c r="E8" i="1"/>
  <c r="E887" i="1"/>
  <c r="E951" i="1"/>
  <c r="E1015" i="1"/>
  <c r="E1079" i="1"/>
  <c r="E1143" i="1"/>
  <c r="E1207" i="1"/>
  <c r="E1271" i="1"/>
  <c r="E1335" i="1"/>
  <c r="E1399" i="1"/>
  <c r="E1463" i="1"/>
  <c r="E1527" i="1"/>
  <c r="E1599" i="1"/>
  <c r="E760" i="1"/>
  <c r="E824" i="1"/>
  <c r="E888" i="1"/>
  <c r="E952" i="1"/>
  <c r="E1016" i="1"/>
  <c r="E1080" i="1"/>
  <c r="E1144" i="1"/>
  <c r="E1208" i="1"/>
  <c r="E1272" i="1"/>
  <c r="E1336" i="1"/>
  <c r="E1400" i="1"/>
  <c r="E897" i="1"/>
  <c r="E961" i="1"/>
  <c r="E1025" i="1"/>
  <c r="E1089" i="1"/>
  <c r="E1153" i="1"/>
  <c r="E1217" i="1"/>
  <c r="E1281" i="1"/>
  <c r="E1345" i="1"/>
  <c r="E1409" i="1"/>
  <c r="E1473" i="1"/>
  <c r="E1537" i="1"/>
  <c r="E1601" i="1"/>
  <c r="E1098" i="1"/>
  <c r="E1162" i="1"/>
  <c r="E1226" i="1"/>
  <c r="E1290" i="1"/>
  <c r="E1354" i="1"/>
  <c r="E1418" i="1"/>
  <c r="E1482" i="1"/>
  <c r="E1546" i="1"/>
  <c r="E1610" i="1"/>
  <c r="E1674" i="1"/>
  <c r="E1738" i="1"/>
  <c r="E1802" i="1"/>
  <c r="E1866" i="1"/>
  <c r="E1930" i="1"/>
  <c r="E1994" i="1"/>
  <c r="E1691" i="1"/>
  <c r="E1772" i="1"/>
  <c r="E1964" i="1"/>
  <c r="E1997" i="1"/>
  <c r="E1756" i="1"/>
  <c r="E1956" i="1"/>
  <c r="E1989" i="1"/>
  <c r="E1653" i="1"/>
  <c r="E1717" i="1"/>
  <c r="E1781" i="1"/>
  <c r="E1941" i="1"/>
  <c r="E1743" i="1"/>
  <c r="E1807" i="1"/>
  <c r="E1871" i="1"/>
  <c r="E339" i="1"/>
  <c r="E851" i="1"/>
  <c r="E500" i="1"/>
  <c r="E277" i="1"/>
  <c r="E789" i="1"/>
  <c r="E430" i="1"/>
  <c r="E942" i="1"/>
  <c r="E439" i="1"/>
  <c r="E96" i="1"/>
  <c r="E608" i="1"/>
  <c r="E393" i="1"/>
  <c r="E34" i="1"/>
  <c r="E546" i="1"/>
  <c r="E858" i="1"/>
  <c r="E955" i="1"/>
  <c r="E1187" i="1"/>
  <c r="E1347" i="1"/>
  <c r="E1475" i="1"/>
  <c r="E1611" i="1"/>
  <c r="E836" i="1"/>
  <c r="E964" i="1"/>
  <c r="E1092" i="1"/>
  <c r="E1188" i="1"/>
  <c r="E1260" i="1"/>
  <c r="E1340" i="1"/>
  <c r="E1412" i="1"/>
  <c r="E917" i="1"/>
  <c r="E981" i="1"/>
  <c r="E1045" i="1"/>
  <c r="E1109" i="1"/>
  <c r="E1173" i="1"/>
  <c r="E1237" i="1"/>
  <c r="E1301" i="1"/>
  <c r="E1365" i="1"/>
  <c r="E1429" i="1"/>
  <c r="E1493" i="1"/>
  <c r="E1557" i="1"/>
  <c r="E1054" i="1"/>
  <c r="E1118" i="1"/>
  <c r="E1182" i="1"/>
  <c r="E1246" i="1"/>
  <c r="E1310" i="1"/>
  <c r="E1374" i="1"/>
  <c r="E1438" i="1"/>
  <c r="E1502" i="1"/>
  <c r="E1566" i="1"/>
  <c r="E1630" i="1"/>
  <c r="E1694" i="1"/>
  <c r="E1758" i="1"/>
  <c r="E1822" i="1"/>
  <c r="E1886" i="1"/>
  <c r="E1950" i="1"/>
  <c r="E16" i="1"/>
  <c r="E895" i="1"/>
  <c r="E959" i="1"/>
  <c r="E1023" i="1"/>
  <c r="E1087" i="1"/>
  <c r="E1151" i="1"/>
  <c r="E1215" i="1"/>
  <c r="E1279" i="1"/>
  <c r="E1343" i="1"/>
  <c r="E1407" i="1"/>
  <c r="E1471" i="1"/>
  <c r="E1535" i="1"/>
  <c r="E1607" i="1"/>
  <c r="E768" i="1"/>
  <c r="E832" i="1"/>
  <c r="E896" i="1"/>
  <c r="E960" i="1"/>
  <c r="E1024" i="1"/>
  <c r="E1088" i="1"/>
  <c r="E1152" i="1"/>
  <c r="E1216" i="1"/>
  <c r="E1280" i="1"/>
  <c r="E1344" i="1"/>
  <c r="E1408" i="1"/>
  <c r="E905" i="1"/>
  <c r="E969" i="1"/>
  <c r="E1033" i="1"/>
  <c r="E1097" i="1"/>
  <c r="E1161" i="1"/>
  <c r="E1225" i="1"/>
  <c r="E1289" i="1"/>
  <c r="E1353" i="1"/>
  <c r="E1417" i="1"/>
  <c r="E1481" i="1"/>
  <c r="E1545" i="1"/>
  <c r="E1042" i="1"/>
  <c r="E1106" i="1"/>
  <c r="E1170" i="1"/>
  <c r="E1234" i="1"/>
  <c r="E1298" i="1"/>
  <c r="E403" i="1"/>
  <c r="E52" i="1"/>
  <c r="E564" i="1"/>
  <c r="E341" i="1"/>
  <c r="E853" i="1"/>
  <c r="E494" i="1"/>
  <c r="E1006" i="1"/>
  <c r="E503" i="1"/>
  <c r="E160" i="1"/>
  <c r="E672" i="1"/>
  <c r="E457" i="1"/>
  <c r="E98" i="1"/>
  <c r="E610" i="1"/>
  <c r="E866" i="1"/>
  <c r="E963" i="1"/>
  <c r="E1211" i="1"/>
  <c r="E1363" i="1"/>
  <c r="E1491" i="1"/>
  <c r="E1627" i="1"/>
  <c r="E852" i="1"/>
  <c r="E980" i="1"/>
  <c r="E1108" i="1"/>
  <c r="E1196" i="1"/>
  <c r="E1276" i="1"/>
  <c r="E1348" i="1"/>
  <c r="E1420" i="1"/>
  <c r="E925" i="1"/>
  <c r="E989" i="1"/>
  <c r="E1053" i="1"/>
  <c r="E1117" i="1"/>
  <c r="E1181" i="1"/>
  <c r="E1245" i="1"/>
  <c r="E1309" i="1"/>
  <c r="E1373" i="1"/>
  <c r="E1437" i="1"/>
  <c r="E1501" i="1"/>
  <c r="E1565" i="1"/>
  <c r="E1062" i="1"/>
  <c r="E1126" i="1"/>
  <c r="E1190" i="1"/>
  <c r="E1254" i="1"/>
  <c r="E1318" i="1"/>
  <c r="E1382" i="1"/>
  <c r="E1446" i="1"/>
  <c r="E1510" i="1"/>
  <c r="E1574" i="1"/>
  <c r="E1638" i="1"/>
  <c r="E1702" i="1"/>
  <c r="E1766" i="1"/>
  <c r="E1830" i="1"/>
  <c r="E1894" i="1"/>
  <c r="E1958" i="1"/>
  <c r="E1591" i="1"/>
  <c r="E903" i="1"/>
  <c r="E967" i="1"/>
  <c r="E1031" i="1"/>
  <c r="E1095" i="1"/>
  <c r="E1159" i="1"/>
  <c r="E1223" i="1"/>
  <c r="E1287" i="1"/>
  <c r="E1351" i="1"/>
  <c r="E1415" i="1"/>
  <c r="E1479" i="1"/>
  <c r="E1543" i="1"/>
  <c r="E1615" i="1"/>
  <c r="E776" i="1"/>
  <c r="E840" i="1"/>
  <c r="E904" i="1"/>
  <c r="E968" i="1"/>
  <c r="E1032" i="1"/>
  <c r="E1096" i="1"/>
  <c r="E1160" i="1"/>
  <c r="E1224" i="1"/>
  <c r="E1288" i="1"/>
  <c r="E1352" i="1"/>
  <c r="E1416" i="1"/>
  <c r="E913" i="1"/>
  <c r="E977" i="1"/>
  <c r="E1041" i="1"/>
  <c r="E1105" i="1"/>
  <c r="E1169" i="1"/>
  <c r="E1233" i="1"/>
  <c r="E1297" i="1"/>
  <c r="E1361" i="1"/>
  <c r="E1425" i="1"/>
  <c r="E1489" i="1"/>
  <c r="E1553" i="1"/>
  <c r="E1050" i="1"/>
  <c r="E1114" i="1"/>
  <c r="E1178" i="1"/>
  <c r="E1242" i="1"/>
  <c r="E1306" i="1"/>
  <c r="E1370" i="1"/>
  <c r="E1434" i="1"/>
  <c r="E1498" i="1"/>
  <c r="E1562" i="1"/>
  <c r="E1626" i="1"/>
  <c r="E1690" i="1"/>
  <c r="E1754" i="1"/>
  <c r="E1818" i="1"/>
  <c r="E1882" i="1"/>
  <c r="E1946" i="1"/>
  <c r="E12" i="1"/>
  <c r="E1628" i="1"/>
  <c r="E1820" i="1"/>
  <c r="E6" i="1"/>
  <c r="E1548" i="1"/>
  <c r="E1804" i="1"/>
  <c r="E14" i="1"/>
  <c r="E1605" i="1"/>
  <c r="E1669" i="1"/>
  <c r="E1733" i="1"/>
  <c r="E1797" i="1"/>
  <c r="E1687" i="1"/>
  <c r="E1759" i="1"/>
  <c r="E1823" i="1"/>
  <c r="E1887" i="1"/>
  <c r="E1951" i="1"/>
  <c r="E17" i="1"/>
  <c r="E1536" i="1"/>
  <c r="E1600" i="1"/>
  <c r="E1736" i="1"/>
  <c r="E1920" i="1"/>
  <c r="E1913" i="1"/>
  <c r="E1688" i="1"/>
  <c r="E1880" i="1"/>
  <c r="E1905" i="1"/>
  <c r="E1712" i="1"/>
  <c r="E55" i="1"/>
  <c r="E1019" i="1"/>
  <c r="E1212" i="1"/>
  <c r="E1189" i="1"/>
  <c r="E1134" i="1"/>
  <c r="E1646" i="1"/>
  <c r="E1966" i="1"/>
  <c r="E1039" i="1"/>
  <c r="E1295" i="1"/>
  <c r="E1551" i="1"/>
  <c r="E912" i="1"/>
  <c r="E1168" i="1"/>
  <c r="E1424" i="1"/>
  <c r="E1113" i="1"/>
  <c r="E1369" i="1"/>
  <c r="E1058" i="1"/>
  <c r="E1314" i="1"/>
  <c r="E1490" i="1"/>
  <c r="E1650" i="1"/>
  <c r="E1826" i="1"/>
  <c r="E4" i="1"/>
  <c r="E1892" i="1"/>
  <c r="E1676" i="1"/>
  <c r="E1885" i="1"/>
  <c r="E1693" i="1"/>
  <c r="E1845" i="1"/>
  <c r="E1783" i="1"/>
  <c r="E1911" i="1"/>
  <c r="E1999" i="1"/>
  <c r="E1544" i="1"/>
  <c r="E1640" i="1"/>
  <c r="E1872" i="1"/>
  <c r="E1945" i="1"/>
  <c r="E1752" i="1"/>
  <c r="E1809" i="1"/>
  <c r="E1680" i="1"/>
  <c r="E1912" i="1"/>
  <c r="E1921" i="1"/>
  <c r="E1641" i="1"/>
  <c r="E1705" i="1"/>
  <c r="E1769" i="1"/>
  <c r="E1897" i="1"/>
  <c r="E1731" i="1"/>
  <c r="E1795" i="1"/>
  <c r="E1859" i="1"/>
  <c r="E1923" i="1"/>
  <c r="E1500" i="1"/>
  <c r="E1692" i="1"/>
  <c r="E1893" i="1"/>
  <c r="E1900" i="1"/>
  <c r="E1596" i="1"/>
  <c r="E996" i="1"/>
  <c r="E1518" i="1"/>
  <c r="E848" i="1"/>
  <c r="E1250" i="1"/>
  <c r="E1980" i="1"/>
  <c r="E1608" i="1"/>
  <c r="E1857" i="1"/>
  <c r="E1841" i="1"/>
  <c r="E1644" i="1"/>
  <c r="E567" i="1"/>
  <c r="E1219" i="1"/>
  <c r="E1284" i="1"/>
  <c r="E1253" i="1"/>
  <c r="E1198" i="1"/>
  <c r="E1710" i="1"/>
  <c r="E1982" i="1"/>
  <c r="E1055" i="1"/>
  <c r="E1311" i="1"/>
  <c r="E1567" i="1"/>
  <c r="E928" i="1"/>
  <c r="E1184" i="1"/>
  <c r="E1440" i="1"/>
  <c r="E1129" i="1"/>
  <c r="E1385" i="1"/>
  <c r="E1074" i="1"/>
  <c r="E1330" i="1"/>
  <c r="E1506" i="1"/>
  <c r="E1682" i="1"/>
  <c r="E1842" i="1"/>
  <c r="E1603" i="1"/>
  <c r="E1940" i="1"/>
  <c r="E1732" i="1"/>
  <c r="E1949" i="1"/>
  <c r="E1709" i="1"/>
  <c r="E1909" i="1"/>
  <c r="E1799" i="1"/>
  <c r="E1927" i="1"/>
  <c r="E9" i="1"/>
  <c r="E1552" i="1"/>
  <c r="E1672" i="1"/>
  <c r="E1896" i="1"/>
  <c r="E1977" i="1"/>
  <c r="E1800" i="1"/>
  <c r="E1873" i="1"/>
  <c r="E1744" i="1"/>
  <c r="E1936" i="1"/>
  <c r="E1953" i="1"/>
  <c r="E1649" i="1"/>
  <c r="E1713" i="1"/>
  <c r="E1777" i="1"/>
  <c r="E1929" i="1"/>
  <c r="E1739" i="1"/>
  <c r="E1803" i="1"/>
  <c r="E1867" i="1"/>
  <c r="E1931" i="1"/>
  <c r="E1995" i="1"/>
  <c r="E1508" i="1"/>
  <c r="E1588" i="1"/>
  <c r="E1740" i="1"/>
  <c r="E1573" i="1"/>
  <c r="E1305" i="1"/>
  <c r="E1954" i="1"/>
  <c r="E1879" i="1"/>
  <c r="E1952" i="1"/>
  <c r="E1779" i="1"/>
  <c r="E1836" i="1"/>
  <c r="E467" i="1"/>
  <c r="E224" i="1"/>
  <c r="E1379" i="1"/>
  <c r="E1356" i="1"/>
  <c r="E1317" i="1"/>
  <c r="E1262" i="1"/>
  <c r="E1774" i="1"/>
  <c r="E1631" i="1"/>
  <c r="E1103" i="1"/>
  <c r="E1359" i="1"/>
  <c r="E1623" i="1"/>
  <c r="E976" i="1"/>
  <c r="E1232" i="1"/>
  <c r="E921" i="1"/>
  <c r="E1177" i="1"/>
  <c r="E1433" i="1"/>
  <c r="E1122" i="1"/>
  <c r="E1362" i="1"/>
  <c r="E1522" i="1"/>
  <c r="E1698" i="1"/>
  <c r="E1874" i="1"/>
  <c r="E1651" i="1"/>
  <c r="E1988" i="1"/>
  <c r="E1780" i="1"/>
  <c r="E15" i="1"/>
  <c r="E1725" i="1"/>
  <c r="E1981" i="1"/>
  <c r="E1815" i="1"/>
  <c r="E1935" i="1"/>
  <c r="E1472" i="1"/>
  <c r="E1560" i="1"/>
  <c r="E1696" i="1"/>
  <c r="E1944" i="1"/>
  <c r="E19" i="1"/>
  <c r="E1824" i="1"/>
  <c r="E1937" i="1"/>
  <c r="E1768" i="1"/>
  <c r="E1960" i="1"/>
  <c r="E1985" i="1"/>
  <c r="E1657" i="1"/>
  <c r="E1721" i="1"/>
  <c r="E1785" i="1"/>
  <c r="E1961" i="1"/>
  <c r="E1747" i="1"/>
  <c r="E1811" i="1"/>
  <c r="E1875" i="1"/>
  <c r="E1939" i="1"/>
  <c r="E5" i="1"/>
  <c r="E1524" i="1"/>
  <c r="E1957" i="1"/>
  <c r="E1061" i="1"/>
  <c r="E1049" i="1"/>
  <c r="E1796" i="1"/>
  <c r="E1975" i="1"/>
  <c r="E1616" i="1"/>
  <c r="E1843" i="1"/>
  <c r="E1805" i="1"/>
  <c r="E116" i="1"/>
  <c r="E736" i="1"/>
  <c r="E1507" i="1"/>
  <c r="E1428" i="1"/>
  <c r="E1381" i="1"/>
  <c r="E1326" i="1"/>
  <c r="E1790" i="1"/>
  <c r="E1663" i="1"/>
  <c r="E1119" i="1"/>
  <c r="E1375" i="1"/>
  <c r="E1655" i="1"/>
  <c r="E992" i="1"/>
  <c r="E1248" i="1"/>
  <c r="E937" i="1"/>
  <c r="E1193" i="1"/>
  <c r="E1449" i="1"/>
  <c r="E1138" i="1"/>
  <c r="E1378" i="1"/>
  <c r="E1554" i="1"/>
  <c r="E1714" i="1"/>
  <c r="E1890" i="1"/>
  <c r="E1516" i="1"/>
  <c r="E1813" i="1"/>
  <c r="E1828" i="1"/>
  <c r="E1613" i="1"/>
  <c r="E1741" i="1"/>
  <c r="E1703" i="1"/>
  <c r="E1831" i="1"/>
  <c r="E1943" i="1"/>
  <c r="E1480" i="1"/>
  <c r="E1576" i="1"/>
  <c r="E1720" i="1"/>
  <c r="E1968" i="1"/>
  <c r="E1520" i="1"/>
  <c r="E1856" i="1"/>
  <c r="E1969" i="1"/>
  <c r="E1792" i="1"/>
  <c r="E1984" i="1"/>
  <c r="E11" i="1"/>
  <c r="E1665" i="1"/>
  <c r="E1729" i="1"/>
  <c r="E1793" i="1"/>
  <c r="E3" i="1"/>
  <c r="E1755" i="1"/>
  <c r="E1819" i="1"/>
  <c r="E1883" i="1"/>
  <c r="E1947" i="1"/>
  <c r="E13" i="1"/>
  <c r="E1532" i="1"/>
  <c r="E1604" i="1"/>
  <c r="E1764" i="1"/>
  <c r="E1948" i="1"/>
  <c r="E1973" i="1"/>
  <c r="E1231" i="1"/>
  <c r="E1778" i="1"/>
  <c r="E1751" i="1"/>
  <c r="E1704" i="1"/>
  <c r="E1753" i="1"/>
  <c r="E1484" i="1"/>
  <c r="E628" i="1"/>
  <c r="E521" i="1"/>
  <c r="E1659" i="1"/>
  <c r="E933" i="1"/>
  <c r="E1445" i="1"/>
  <c r="E1390" i="1"/>
  <c r="E1838" i="1"/>
  <c r="E911" i="1"/>
  <c r="E1167" i="1"/>
  <c r="E1423" i="1"/>
  <c r="E784" i="1"/>
  <c r="E1040" i="1"/>
  <c r="E1296" i="1"/>
  <c r="E985" i="1"/>
  <c r="E1241" i="1"/>
  <c r="E1497" i="1"/>
  <c r="E1186" i="1"/>
  <c r="E1394" i="1"/>
  <c r="E1570" i="1"/>
  <c r="E1746" i="1"/>
  <c r="E1906" i="1"/>
  <c r="E1660" i="1"/>
  <c r="E1901" i="1"/>
  <c r="E1884" i="1"/>
  <c r="E1629" i="1"/>
  <c r="E1757" i="1"/>
  <c r="E1719" i="1"/>
  <c r="E1847" i="1"/>
  <c r="E1959" i="1"/>
  <c r="E1488" i="1"/>
  <c r="E1584" i="1"/>
  <c r="E1760" i="1"/>
  <c r="E1992" i="1"/>
  <c r="E1624" i="1"/>
  <c r="E1904" i="1"/>
  <c r="E1993" i="1"/>
  <c r="E1816" i="1"/>
  <c r="E10" i="1"/>
  <c r="E1609" i="1"/>
  <c r="E1673" i="1"/>
  <c r="E1737" i="1"/>
  <c r="E1801" i="1"/>
  <c r="E1699" i="1"/>
  <c r="E1763" i="1"/>
  <c r="E1827" i="1"/>
  <c r="E1891" i="1"/>
  <c r="E1955" i="1"/>
  <c r="E1468" i="1"/>
  <c r="E1540" i="1"/>
  <c r="E1620" i="1"/>
  <c r="E1788" i="1"/>
  <c r="E1972" i="1"/>
  <c r="E7" i="1"/>
  <c r="E1812" i="1"/>
  <c r="E2" i="1"/>
  <c r="E975" i="1"/>
  <c r="E1360" i="1"/>
  <c r="E1442" i="1"/>
  <c r="E1661" i="1"/>
  <c r="E1849" i="1"/>
  <c r="E1689" i="1"/>
  <c r="E1971" i="1"/>
  <c r="E405" i="1"/>
  <c r="E162" i="1"/>
  <c r="E868" i="1"/>
  <c r="E997" i="1"/>
  <c r="E1509" i="1"/>
  <c r="E1454" i="1"/>
  <c r="E1854" i="1"/>
  <c r="E927" i="1"/>
  <c r="E1183" i="1"/>
  <c r="E1439" i="1"/>
  <c r="E800" i="1"/>
  <c r="E1056" i="1"/>
  <c r="E1312" i="1"/>
  <c r="E1001" i="1"/>
  <c r="E1257" i="1"/>
  <c r="E1513" i="1"/>
  <c r="E1202" i="1"/>
  <c r="E1426" i="1"/>
  <c r="E1586" i="1"/>
  <c r="E1762" i="1"/>
  <c r="E1938" i="1"/>
  <c r="E1708" i="1"/>
  <c r="E1965" i="1"/>
  <c r="E1932" i="1"/>
  <c r="E1645" i="1"/>
  <c r="E1773" i="1"/>
  <c r="E1735" i="1"/>
  <c r="E1863" i="1"/>
  <c r="E1967" i="1"/>
  <c r="E1504" i="1"/>
  <c r="E1592" i="1"/>
  <c r="E1784" i="1"/>
  <c r="E1817" i="1"/>
  <c r="E1664" i="1"/>
  <c r="E1928" i="1"/>
  <c r="E1464" i="1"/>
  <c r="E1840" i="1"/>
  <c r="E1825" i="1"/>
  <c r="E1617" i="1"/>
  <c r="E1681" i="1"/>
  <c r="E1745" i="1"/>
  <c r="E1833" i="1"/>
  <c r="E1707" i="1"/>
  <c r="E1771" i="1"/>
  <c r="E1835" i="1"/>
  <c r="E1899" i="1"/>
  <c r="E1963" i="1"/>
  <c r="E1476" i="1"/>
  <c r="E1556" i="1"/>
  <c r="E1636" i="1"/>
  <c r="E1996" i="1"/>
  <c r="E666" i="1"/>
  <c r="E1902" i="1"/>
  <c r="E1487" i="1"/>
  <c r="E1561" i="1"/>
  <c r="E1460" i="1"/>
  <c r="E1512" i="1"/>
  <c r="E1864" i="1"/>
  <c r="E1715" i="1"/>
  <c r="E1564" i="1"/>
  <c r="E558" i="1"/>
  <c r="E922" i="1"/>
  <c r="E1116" i="1"/>
  <c r="E1125" i="1"/>
  <c r="E1070" i="1"/>
  <c r="E1582" i="1"/>
  <c r="E1918" i="1"/>
  <c r="E991" i="1"/>
  <c r="E1247" i="1"/>
  <c r="E1503" i="1"/>
  <c r="E864" i="1"/>
  <c r="E1120" i="1"/>
  <c r="E1376" i="1"/>
  <c r="E1065" i="1"/>
  <c r="E1321" i="1"/>
  <c r="E1577" i="1"/>
  <c r="E1266" i="1"/>
  <c r="E1458" i="1"/>
  <c r="E1634" i="1"/>
  <c r="E1810" i="1"/>
  <c r="E1970" i="1"/>
  <c r="E1844" i="1"/>
  <c r="E1612" i="1"/>
  <c r="E1829" i="1"/>
  <c r="E1677" i="1"/>
  <c r="E1821" i="1"/>
  <c r="E1767" i="1"/>
  <c r="E1895" i="1"/>
  <c r="E1991" i="1"/>
  <c r="E1528" i="1"/>
  <c r="E1632" i="1"/>
  <c r="E1848" i="1"/>
  <c r="E1881" i="1"/>
  <c r="E1728" i="1"/>
  <c r="E2000" i="1"/>
  <c r="E1648" i="1"/>
  <c r="E1888" i="1"/>
  <c r="E1889" i="1"/>
  <c r="E1633" i="1"/>
  <c r="E1697" i="1"/>
  <c r="E1761" i="1"/>
  <c r="E1865" i="1"/>
  <c r="E1723" i="1"/>
  <c r="E1787" i="1"/>
  <c r="E1851" i="1"/>
  <c r="E1915" i="1"/>
  <c r="E1979" i="1"/>
  <c r="E1492" i="1"/>
  <c r="E1572" i="1"/>
  <c r="E1668" i="1"/>
  <c r="E1860" i="1"/>
  <c r="E1853" i="1"/>
  <c r="E1987" i="1"/>
  <c r="E1580" i="1"/>
  <c r="E1876" i="1"/>
  <c r="E1716" i="1"/>
  <c r="E1925" i="1"/>
  <c r="E1924" i="1"/>
  <c r="E46" i="1"/>
  <c r="E1104" i="1"/>
  <c r="E1618" i="1"/>
  <c r="E1789" i="1"/>
  <c r="E1808" i="1"/>
  <c r="E1625" i="1"/>
  <c r="E1907" i="1"/>
  <c r="K78" i="1" l="1"/>
  <c r="L78" i="1" s="1"/>
  <c r="K565" i="1"/>
  <c r="L565" i="1" s="1"/>
  <c r="K1215" i="1"/>
  <c r="L1215" i="1" s="1"/>
  <c r="K1256" i="1"/>
  <c r="L1256" i="1" s="1"/>
  <c r="K853" i="1"/>
  <c r="L853" i="1" s="1"/>
  <c r="K72" i="1"/>
  <c r="L72" i="1" s="1"/>
  <c r="K1565" i="1"/>
  <c r="L1565" i="1" s="1"/>
  <c r="K211" i="1"/>
  <c r="L211" i="1" s="1"/>
  <c r="K1262" i="1"/>
  <c r="L1262" i="1" s="1"/>
  <c r="K1055" i="1"/>
  <c r="L1055" i="1" s="1"/>
  <c r="K637" i="1"/>
  <c r="L637" i="1" s="1"/>
  <c r="K1545" i="1"/>
  <c r="L1545" i="1" s="1"/>
  <c r="K1949" i="1"/>
  <c r="L1949" i="1" s="1"/>
  <c r="K541" i="1"/>
  <c r="L541" i="1" s="1"/>
  <c r="K168" i="1"/>
  <c r="L168" i="1" s="1"/>
  <c r="K1469" i="1"/>
  <c r="L1469" i="1" s="1"/>
  <c r="K1437" i="1"/>
  <c r="L1437" i="1" s="1"/>
  <c r="K936" i="1"/>
  <c r="L936" i="1" s="1"/>
  <c r="K543" i="1"/>
  <c r="L543" i="1" s="1"/>
  <c r="K142" i="1"/>
  <c r="L142" i="1" s="1"/>
  <c r="K415" i="1"/>
  <c r="L415" i="1" s="1"/>
  <c r="K1821" i="1"/>
  <c r="L1821" i="1" s="1"/>
  <c r="K584" i="1"/>
  <c r="L584" i="1" s="1"/>
  <c r="K782" i="1"/>
  <c r="L782" i="1" s="1"/>
  <c r="K275" i="1"/>
  <c r="L275" i="1" s="1"/>
  <c r="K1326" i="1"/>
  <c r="L1326" i="1" s="1"/>
  <c r="K1087" i="1"/>
  <c r="L1087" i="1" s="1"/>
  <c r="K669" i="1"/>
  <c r="L669" i="1" s="1"/>
  <c r="K1298" i="1"/>
  <c r="L1298" i="1" s="1"/>
  <c r="K1533" i="1"/>
  <c r="L1533" i="1" s="1"/>
  <c r="K607" i="1"/>
  <c r="L607" i="1" s="1"/>
  <c r="K381" i="1"/>
  <c r="L381" i="1" s="1"/>
  <c r="K1832" i="1"/>
  <c r="L1832" i="1" s="1"/>
  <c r="K477" i="1"/>
  <c r="L477" i="1" s="1"/>
  <c r="K1385" i="1"/>
  <c r="L1385" i="1" s="1"/>
  <c r="K521" i="1"/>
  <c r="L521" i="1" s="1"/>
  <c r="K430" i="1"/>
  <c r="L430" i="1" s="1"/>
  <c r="K863" i="1"/>
  <c r="L863" i="1" s="1"/>
  <c r="K157" i="1"/>
  <c r="L157" i="1" s="1"/>
  <c r="K302" i="1"/>
  <c r="L302" i="1" s="1"/>
  <c r="K104" i="1"/>
  <c r="L104" i="1" s="1"/>
  <c r="K1629" i="1"/>
  <c r="L1629" i="1" s="1"/>
  <c r="K1330" i="1"/>
  <c r="L1330" i="1" s="1"/>
  <c r="K1757" i="1"/>
  <c r="L1757" i="1" s="1"/>
  <c r="K639" i="1"/>
  <c r="L639" i="1" s="1"/>
  <c r="K413" i="1"/>
  <c r="L413" i="1" s="1"/>
  <c r="K1681" i="1"/>
  <c r="L1681" i="1" s="1"/>
  <c r="K1394" i="1"/>
  <c r="L1394" i="1" s="1"/>
  <c r="K287" i="1"/>
  <c r="L287" i="1" s="1"/>
  <c r="K61" i="1"/>
  <c r="L61" i="1" s="1"/>
  <c r="K989" i="1"/>
  <c r="L989" i="1" s="1"/>
  <c r="K861" i="1"/>
  <c r="L861" i="1" s="1"/>
  <c r="K466" i="1"/>
  <c r="L466" i="1" s="1"/>
  <c r="K1769" i="1"/>
  <c r="L1769" i="1" s="1"/>
  <c r="K552" i="1"/>
  <c r="L552" i="1" s="1"/>
  <c r="K1975" i="1"/>
  <c r="L1975" i="1" s="1"/>
  <c r="K82" i="1"/>
  <c r="L82" i="1" s="1"/>
  <c r="K371" i="1"/>
  <c r="L371" i="1" s="1"/>
  <c r="K1390" i="1"/>
  <c r="L1390" i="1" s="1"/>
  <c r="K1183" i="1"/>
  <c r="L1183" i="1" s="1"/>
  <c r="K701" i="1"/>
  <c r="L701" i="1" s="1"/>
  <c r="K1817" i="1"/>
  <c r="L1817" i="1" s="1"/>
  <c r="K1501" i="1"/>
  <c r="L1501" i="1" s="1"/>
  <c r="K319" i="1"/>
  <c r="L319" i="1" s="1"/>
  <c r="K93" i="1"/>
  <c r="L93" i="1" s="1"/>
  <c r="K1033" i="1"/>
  <c r="L1033" i="1" s="1"/>
  <c r="K969" i="1"/>
  <c r="L969" i="1" s="1"/>
  <c r="K1646" i="1"/>
  <c r="L1646" i="1" s="1"/>
  <c r="K585" i="1"/>
  <c r="L585" i="1" s="1"/>
  <c r="K1234" i="1"/>
  <c r="L1234" i="1" s="1"/>
  <c r="K392" i="1"/>
  <c r="L392" i="1" s="1"/>
  <c r="K63" i="1"/>
  <c r="L63" i="1" s="1"/>
  <c r="K200" i="1"/>
  <c r="L200" i="1" s="1"/>
  <c r="K1202" i="1"/>
  <c r="L1202" i="1" s="1"/>
  <c r="K1362" i="1"/>
  <c r="L1362" i="1" s="1"/>
  <c r="K445" i="1"/>
  <c r="L445" i="1" s="1"/>
  <c r="K242" i="1"/>
  <c r="L242" i="1" s="1"/>
  <c r="K1735" i="1"/>
  <c r="L1735" i="1" s="1"/>
  <c r="K467" i="1"/>
  <c r="L467" i="1" s="1"/>
  <c r="K1896" i="1"/>
  <c r="L1896" i="1" s="1"/>
  <c r="K425" i="1"/>
  <c r="L425" i="1" s="1"/>
  <c r="K1981" i="1"/>
  <c r="L1981" i="1" s="1"/>
  <c r="K1693" i="1"/>
  <c r="L1693" i="1" s="1"/>
  <c r="K361" i="1"/>
  <c r="L361" i="1" s="1"/>
  <c r="K46" i="1"/>
  <c r="L46" i="1" s="1"/>
  <c r="K4" i="1"/>
  <c r="L4" i="1" s="1"/>
  <c r="K40" i="1"/>
  <c r="L40" i="1" s="1"/>
  <c r="K462" i="1"/>
  <c r="L462" i="1" s="1"/>
  <c r="K671" i="1"/>
  <c r="L671" i="1" s="1"/>
  <c r="K370" i="1"/>
  <c r="L370" i="1" s="1"/>
  <c r="K1934" i="1"/>
  <c r="L1934" i="1" s="1"/>
  <c r="K383" i="1"/>
  <c r="L383" i="1" s="1"/>
  <c r="K125" i="1"/>
  <c r="L125" i="1" s="1"/>
  <c r="K1992" i="1"/>
  <c r="L1992" i="1" s="1"/>
  <c r="K489" i="1"/>
  <c r="L489" i="1" s="1"/>
  <c r="K1807" i="1"/>
  <c r="L1807" i="1" s="1"/>
  <c r="K1454" i="1"/>
  <c r="L1454" i="1" s="1"/>
  <c r="K808" i="1"/>
  <c r="L808" i="1" s="1"/>
  <c r="K1192" i="1"/>
  <c r="L1192" i="1" s="1"/>
  <c r="K1823" i="1"/>
  <c r="L1823" i="1" s="1"/>
  <c r="K62" i="1"/>
  <c r="L62" i="1" s="1"/>
  <c r="K255" i="1"/>
  <c r="L255" i="1" s="1"/>
  <c r="K1586" i="1"/>
  <c r="L1586" i="1" s="1"/>
  <c r="K29" i="1"/>
  <c r="L29" i="1" s="1"/>
  <c r="K174" i="1"/>
  <c r="L174" i="1" s="1"/>
  <c r="K1193" i="1"/>
  <c r="L1193" i="1" s="1"/>
  <c r="K1889" i="1"/>
  <c r="L1889" i="1" s="1"/>
  <c r="K1288" i="1"/>
  <c r="L1288" i="1" s="1"/>
  <c r="K1257" i="1"/>
  <c r="L1257" i="1" s="1"/>
  <c r="K338" i="1"/>
  <c r="L338" i="1" s="1"/>
  <c r="K1903" i="1"/>
  <c r="L1903" i="1" s="1"/>
  <c r="K1289" i="1"/>
  <c r="L1289" i="1" s="1"/>
  <c r="K872" i="1"/>
  <c r="L872" i="1" s="1"/>
  <c r="K1224" i="1"/>
  <c r="L1224" i="1" s="1"/>
  <c r="K191" i="1"/>
  <c r="L191" i="1" s="1"/>
  <c r="K1198" i="1"/>
  <c r="L1198" i="1" s="1"/>
  <c r="K1149" i="1"/>
  <c r="L1149" i="1" s="1"/>
  <c r="K520" i="1"/>
  <c r="L520" i="1" s="1"/>
  <c r="K366" i="1"/>
  <c r="L366" i="1" s="1"/>
  <c r="K147" i="1"/>
  <c r="L147" i="1" s="1"/>
  <c r="K1789" i="1"/>
  <c r="L1789" i="1" s="1"/>
  <c r="K910" i="1"/>
  <c r="L910" i="1" s="1"/>
  <c r="K1001" i="1"/>
  <c r="L1001" i="1" s="1"/>
  <c r="K841" i="1"/>
  <c r="L841" i="1" s="1"/>
  <c r="K1550" i="1"/>
  <c r="L1550" i="1" s="1"/>
  <c r="K1426" i="1"/>
  <c r="L1426" i="1" s="1"/>
  <c r="K1133" i="1"/>
  <c r="L1133" i="1" s="1"/>
  <c r="K1245" i="1"/>
  <c r="L1245" i="1" s="1"/>
  <c r="K1751" i="1"/>
  <c r="L1751" i="1" s="1"/>
  <c r="K1181" i="1"/>
  <c r="L1181" i="1" s="1"/>
  <c r="K658" i="1"/>
  <c r="L658" i="1" s="1"/>
  <c r="K893" i="1"/>
  <c r="L893" i="1" s="1"/>
  <c r="K479" i="1"/>
  <c r="L479" i="1" s="1"/>
  <c r="K221" i="1"/>
  <c r="L221" i="1" s="1"/>
  <c r="K713" i="1"/>
  <c r="L713" i="1" s="1"/>
  <c r="K681" i="1"/>
  <c r="L681" i="1" s="1"/>
  <c r="K846" i="1"/>
  <c r="L846" i="1" s="1"/>
  <c r="K51" i="1"/>
  <c r="L51" i="1" s="1"/>
  <c r="K1038" i="1"/>
  <c r="L1038" i="1" s="1"/>
  <c r="K895" i="1"/>
  <c r="L895" i="1" s="1"/>
  <c r="K573" i="1"/>
  <c r="L573" i="1" s="1"/>
  <c r="K1449" i="1"/>
  <c r="L1449" i="1" s="1"/>
  <c r="K690" i="1"/>
  <c r="L690" i="1" s="1"/>
  <c r="K127" i="1"/>
  <c r="L127" i="1" s="1"/>
  <c r="K8" i="1"/>
  <c r="L8" i="1" s="1"/>
  <c r="K1704" i="1"/>
  <c r="L1704" i="1" s="1"/>
  <c r="K1352" i="1"/>
  <c r="L1352" i="1" s="1"/>
  <c r="K829" i="1"/>
  <c r="L829" i="1" s="1"/>
  <c r="K1582" i="1"/>
  <c r="L1582" i="1" s="1"/>
  <c r="K1160" i="1"/>
  <c r="L1160" i="1" s="1"/>
  <c r="K1958" i="1"/>
  <c r="L1958" i="1" s="1"/>
  <c r="K206" i="1"/>
  <c r="L206" i="1" s="1"/>
  <c r="K754" i="1"/>
  <c r="L754" i="1" s="1"/>
  <c r="K1053" i="1"/>
  <c r="L1053" i="1" s="1"/>
  <c r="K511" i="1"/>
  <c r="L511" i="1" s="1"/>
  <c r="K253" i="1"/>
  <c r="L253" i="1" s="1"/>
  <c r="K809" i="1"/>
  <c r="L809" i="1" s="1"/>
  <c r="K745" i="1"/>
  <c r="L745" i="1" s="1"/>
  <c r="K1102" i="1"/>
  <c r="L1102" i="1" s="1"/>
  <c r="K334" i="1"/>
  <c r="L334" i="1" s="1"/>
  <c r="K1895" i="1"/>
  <c r="L1895" i="1" s="1"/>
  <c r="K648" i="1"/>
  <c r="L648" i="1" s="1"/>
  <c r="K1230" i="1"/>
  <c r="L1230" i="1" s="1"/>
  <c r="K424" i="1"/>
  <c r="L424" i="1" s="1"/>
  <c r="K110" i="1"/>
  <c r="L110" i="1" s="1"/>
  <c r="K553" i="1"/>
  <c r="L553" i="1" s="1"/>
  <c r="K1513" i="1"/>
  <c r="L1513" i="1" s="1"/>
  <c r="K786" i="1"/>
  <c r="L786" i="1" s="1"/>
  <c r="K159" i="1"/>
  <c r="L159" i="1" s="1"/>
  <c r="K17" i="1"/>
  <c r="L17" i="1" s="1"/>
  <c r="K1736" i="1"/>
  <c r="L1736" i="1" s="1"/>
  <c r="K1384" i="1"/>
  <c r="L1384" i="1" s="1"/>
  <c r="K1021" i="1"/>
  <c r="L1021" i="1" s="1"/>
  <c r="K398" i="1"/>
  <c r="L398" i="1" s="1"/>
  <c r="K878" i="1"/>
  <c r="L878" i="1" s="1"/>
  <c r="K232" i="1"/>
  <c r="L232" i="1" s="1"/>
  <c r="K1725" i="1"/>
  <c r="L1725" i="1" s="1"/>
  <c r="K1917" i="1"/>
  <c r="L1917" i="1" s="1"/>
  <c r="K1937" i="1"/>
  <c r="L1937" i="1" s="1"/>
  <c r="K1373" i="1"/>
  <c r="L1373" i="1" s="1"/>
  <c r="K616" i="1"/>
  <c r="L616" i="1" s="1"/>
  <c r="K873" i="1"/>
  <c r="L873" i="1" s="1"/>
  <c r="K777" i="1"/>
  <c r="L777" i="1" s="1"/>
  <c r="K1358" i="1"/>
  <c r="L1358" i="1" s="1"/>
  <c r="K968" i="1"/>
  <c r="L968" i="1" s="1"/>
  <c r="K270" i="1"/>
  <c r="L270" i="1" s="1"/>
  <c r="K776" i="1"/>
  <c r="L776" i="1" s="1"/>
  <c r="K1422" i="1"/>
  <c r="L1422" i="1" s="1"/>
  <c r="K1075" i="1"/>
  <c r="L1075" i="1" s="1"/>
  <c r="K957" i="1"/>
  <c r="L957" i="1" s="1"/>
  <c r="K1279" i="1"/>
  <c r="L1279" i="1" s="1"/>
  <c r="K765" i="1"/>
  <c r="L765" i="1" s="1"/>
  <c r="K1166" i="1"/>
  <c r="L1166" i="1" s="1"/>
  <c r="K959" i="1"/>
  <c r="L959" i="1" s="1"/>
  <c r="K605" i="1"/>
  <c r="L605" i="1" s="1"/>
  <c r="K703" i="1"/>
  <c r="L703" i="1" s="1"/>
  <c r="K1800" i="1"/>
  <c r="L1800" i="1" s="1"/>
  <c r="K1713" i="1"/>
  <c r="L1713" i="1" s="1"/>
  <c r="K1597" i="1"/>
  <c r="L1597" i="1" s="1"/>
  <c r="K733" i="1"/>
  <c r="L733" i="1" s="1"/>
  <c r="K1518" i="1"/>
  <c r="L1518" i="1" s="1"/>
  <c r="K264" i="1"/>
  <c r="L264" i="1" s="1"/>
  <c r="K1885" i="1"/>
  <c r="L1885" i="1" s="1"/>
  <c r="K1458" i="1"/>
  <c r="L1458" i="1" s="1"/>
  <c r="K494" i="1"/>
  <c r="L494" i="1" s="1"/>
  <c r="K831" i="1"/>
  <c r="L831" i="1" s="1"/>
  <c r="K509" i="1"/>
  <c r="L509" i="1" s="1"/>
  <c r="K1213" i="1"/>
  <c r="L1213" i="1" s="1"/>
  <c r="K575" i="1"/>
  <c r="L575" i="1" s="1"/>
  <c r="K317" i="1"/>
  <c r="L317" i="1" s="1"/>
  <c r="K1983" i="1"/>
  <c r="L1983" i="1" s="1"/>
  <c r="K814" i="1"/>
  <c r="L814" i="1" s="1"/>
  <c r="K840" i="1"/>
  <c r="L840" i="1" s="1"/>
  <c r="K1486" i="1"/>
  <c r="L1486" i="1" s="1"/>
  <c r="K909" i="1"/>
  <c r="L909" i="1" s="1"/>
  <c r="K1085" i="1"/>
  <c r="L1085" i="1" s="1"/>
  <c r="K1343" i="1"/>
  <c r="L1343" i="1" s="1"/>
  <c r="K797" i="1"/>
  <c r="L797" i="1" s="1"/>
  <c r="K306" i="1"/>
  <c r="L306" i="1" s="1"/>
  <c r="K1134" i="1"/>
  <c r="L1134" i="1" s="1"/>
  <c r="K447" i="1"/>
  <c r="L447" i="1" s="1"/>
  <c r="K189" i="1"/>
  <c r="L189" i="1" s="1"/>
  <c r="K1661" i="1"/>
  <c r="L1661" i="1" s="1"/>
  <c r="K1000" i="1"/>
  <c r="L1000" i="1" s="1"/>
  <c r="K1017" i="1"/>
  <c r="L1017" i="1" s="1"/>
  <c r="K826" i="1"/>
  <c r="L826" i="1" s="1"/>
  <c r="K1792" i="1"/>
  <c r="L1792" i="1" s="1"/>
  <c r="K526" i="1"/>
  <c r="L526" i="1" s="1"/>
  <c r="K750" i="1"/>
  <c r="L750" i="1" s="1"/>
  <c r="K456" i="1"/>
  <c r="L456" i="1" s="1"/>
  <c r="K1906" i="1"/>
  <c r="L1906" i="1" s="1"/>
  <c r="K881" i="1"/>
  <c r="L881" i="1" s="1"/>
  <c r="K1100" i="1"/>
  <c r="L1100" i="1" s="1"/>
  <c r="K1683" i="1"/>
  <c r="L1683" i="1" s="1"/>
  <c r="K1203" i="1"/>
  <c r="L1203" i="1" s="1"/>
  <c r="K1522" i="1"/>
  <c r="L1522" i="1" s="1"/>
  <c r="K1746" i="1"/>
  <c r="L1746" i="1" s="1"/>
  <c r="K595" i="1"/>
  <c r="L595" i="1" s="1"/>
  <c r="K1640" i="1"/>
  <c r="L1640" i="1" s="1"/>
  <c r="K1453" i="1"/>
  <c r="L1453" i="1" s="1"/>
  <c r="K1625" i="1"/>
  <c r="L1625" i="1" s="1"/>
  <c r="K1574" i="1"/>
  <c r="L1574" i="1" s="1"/>
  <c r="K1831" i="1"/>
  <c r="L1831" i="1" s="1"/>
  <c r="K1578" i="1"/>
  <c r="L1578" i="1" s="1"/>
  <c r="K540" i="1"/>
  <c r="L540" i="1" s="1"/>
  <c r="K911" i="1"/>
  <c r="L911" i="1" s="1"/>
  <c r="K1239" i="1"/>
  <c r="L1239" i="1" s="1"/>
  <c r="K904" i="1"/>
  <c r="L904" i="1" s="1"/>
  <c r="K105" i="1"/>
  <c r="L105" i="1" s="1"/>
  <c r="K492" i="1"/>
  <c r="L492" i="1" s="1"/>
  <c r="K756" i="1"/>
  <c r="L756" i="1" s="1"/>
  <c r="K1780" i="1"/>
  <c r="L1780" i="1" s="1"/>
  <c r="K1363" i="1"/>
  <c r="L1363" i="1" s="1"/>
  <c r="K1651" i="1"/>
  <c r="L1651" i="1" s="1"/>
  <c r="K1442" i="1"/>
  <c r="L1442" i="1" s="1"/>
  <c r="K882" i="1"/>
  <c r="L882" i="1" s="1"/>
  <c r="K1541" i="1"/>
  <c r="L1541" i="1" s="1"/>
  <c r="K1801" i="1"/>
  <c r="L1801" i="1" s="1"/>
  <c r="K267" i="1"/>
  <c r="L267" i="1" s="1"/>
  <c r="K1950" i="1"/>
  <c r="L1950" i="1" s="1"/>
  <c r="K1781" i="1"/>
  <c r="L1781" i="1" s="1"/>
  <c r="K49" i="1"/>
  <c r="L49" i="1" s="1"/>
  <c r="K10" i="1"/>
  <c r="L10" i="1" s="1"/>
  <c r="K470" i="1"/>
  <c r="L470" i="1" s="1"/>
  <c r="K50" i="1"/>
  <c r="L50" i="1" s="1"/>
  <c r="K670" i="1"/>
  <c r="L670" i="1" s="1"/>
  <c r="K531" i="1"/>
  <c r="L531" i="1" s="1"/>
  <c r="K942" i="1"/>
  <c r="L942" i="1" s="1"/>
  <c r="K179" i="1"/>
  <c r="L179" i="1" s="1"/>
  <c r="K764" i="1"/>
  <c r="L764" i="1" s="1"/>
  <c r="K1608" i="1"/>
  <c r="L1608" i="1" s="1"/>
  <c r="K164" i="1"/>
  <c r="L164" i="1" s="1"/>
  <c r="K263" i="1"/>
  <c r="L263" i="1" s="1"/>
  <c r="K615" i="1"/>
  <c r="L615" i="1" s="1"/>
  <c r="K60" i="1"/>
  <c r="L60" i="1" s="1"/>
  <c r="K1924" i="1"/>
  <c r="L1924" i="1" s="1"/>
  <c r="K9" i="1"/>
  <c r="L9" i="1" s="1"/>
  <c r="K1226" i="1"/>
  <c r="L1226" i="1" s="1"/>
  <c r="K1504" i="1"/>
  <c r="L1504" i="1" s="1"/>
  <c r="K1927" i="1"/>
  <c r="L1927" i="1" s="1"/>
  <c r="K1666" i="1"/>
  <c r="L1666" i="1" s="1"/>
  <c r="K356" i="1"/>
  <c r="L356" i="1" s="1"/>
  <c r="K326" i="1"/>
  <c r="L326" i="1" s="1"/>
  <c r="K1398" i="1"/>
  <c r="L1398" i="1" s="1"/>
  <c r="K1534" i="1"/>
  <c r="L1534" i="1" s="1"/>
  <c r="K1560" i="1"/>
  <c r="L1560" i="1" s="1"/>
  <c r="K979" i="1"/>
  <c r="L979" i="1" s="1"/>
  <c r="K1606" i="1"/>
  <c r="L1606" i="1" s="1"/>
  <c r="K1161" i="1"/>
  <c r="L1161" i="1" s="1"/>
  <c r="K1756" i="1"/>
  <c r="L1756" i="1" s="1"/>
  <c r="K1247" i="1"/>
  <c r="L1247" i="1" s="1"/>
  <c r="K722" i="1"/>
  <c r="L722" i="1" s="1"/>
  <c r="K1719" i="1"/>
  <c r="L1719" i="1" s="1"/>
  <c r="K1619" i="1"/>
  <c r="L1619" i="1" s="1"/>
  <c r="K789" i="1"/>
  <c r="L789" i="1" s="1"/>
  <c r="K1864" i="1"/>
  <c r="L1864" i="1" s="1"/>
  <c r="K752" i="1"/>
  <c r="L752" i="1" s="1"/>
  <c r="K423" i="1"/>
  <c r="L423" i="1" s="1"/>
  <c r="K175" i="1"/>
  <c r="L175" i="1" s="1"/>
  <c r="K1997" i="1"/>
  <c r="L1997" i="1" s="1"/>
  <c r="K1152" i="1"/>
  <c r="L1152" i="1" s="1"/>
  <c r="K501" i="1"/>
  <c r="L501" i="1" s="1"/>
  <c r="K181" i="1"/>
  <c r="L181" i="1" s="1"/>
  <c r="K875" i="1"/>
  <c r="L875" i="1" s="1"/>
  <c r="K1675" i="1"/>
  <c r="L1675" i="1" s="1"/>
  <c r="K939" i="1"/>
  <c r="L939" i="1" s="1"/>
  <c r="K738" i="1"/>
  <c r="L738" i="1" s="1"/>
  <c r="K774" i="1"/>
  <c r="L774" i="1" s="1"/>
  <c r="K1936" i="1"/>
  <c r="L1936" i="1" s="1"/>
  <c r="K1677" i="1"/>
  <c r="L1677" i="1" s="1"/>
  <c r="K1663" i="1"/>
  <c r="L1663" i="1" s="1"/>
  <c r="K1294" i="1"/>
  <c r="L1294" i="1" s="1"/>
  <c r="K297" i="1"/>
  <c r="L297" i="1" s="1"/>
  <c r="K1549" i="1"/>
  <c r="L1549" i="1" s="1"/>
  <c r="K1320" i="1"/>
  <c r="L1320" i="1" s="1"/>
  <c r="K1129" i="1"/>
  <c r="L1129" i="1" s="1"/>
  <c r="K1768" i="1"/>
  <c r="L1768" i="1" s="1"/>
  <c r="K403" i="1"/>
  <c r="L403" i="1" s="1"/>
  <c r="K818" i="1"/>
  <c r="L818" i="1" s="1"/>
  <c r="K636" i="1"/>
  <c r="L636" i="1" s="1"/>
  <c r="K1998" i="1"/>
  <c r="L1998" i="1" s="1"/>
  <c r="K434" i="1"/>
  <c r="L434" i="1" s="1"/>
  <c r="K822" i="1"/>
  <c r="L822" i="1" s="1"/>
  <c r="K1383" i="1"/>
  <c r="L1383" i="1" s="1"/>
  <c r="K446" i="1"/>
  <c r="L446" i="1" s="1"/>
  <c r="K216" i="1"/>
  <c r="L216" i="1" s="1"/>
  <c r="K386" i="1"/>
  <c r="L386" i="1" s="1"/>
  <c r="K821" i="1"/>
  <c r="L821" i="1" s="1"/>
  <c r="K1039" i="1"/>
  <c r="L1039" i="1" s="1"/>
  <c r="K1200" i="1"/>
  <c r="L1200" i="1" s="1"/>
  <c r="K961" i="1"/>
  <c r="L961" i="1" s="1"/>
  <c r="K459" i="1"/>
  <c r="L459" i="1" s="1"/>
  <c r="K87" i="1"/>
  <c r="L87" i="1" s="1"/>
  <c r="K1253" i="1"/>
  <c r="L1253" i="1" s="1"/>
  <c r="K1295" i="1"/>
  <c r="L1295" i="1" s="1"/>
  <c r="K155" i="1"/>
  <c r="L155" i="1" s="1"/>
  <c r="K564" i="1"/>
  <c r="L564" i="1" s="1"/>
  <c r="K1042" i="1"/>
  <c r="L1042" i="1" s="1"/>
  <c r="K794" i="1"/>
  <c r="L794" i="1" s="1"/>
  <c r="K927" i="1"/>
  <c r="L927" i="1" s="1"/>
  <c r="K15" i="1"/>
  <c r="L15" i="1" s="1"/>
  <c r="K562" i="1"/>
  <c r="L562" i="1" s="1"/>
  <c r="K1235" i="1"/>
  <c r="L1235" i="1" s="1"/>
  <c r="K1556" i="1"/>
  <c r="L1556" i="1" s="1"/>
  <c r="K1341" i="1"/>
  <c r="L1341" i="1" s="1"/>
  <c r="K1985" i="1"/>
  <c r="L1985" i="1" s="1"/>
  <c r="K914" i="1"/>
  <c r="L914" i="1" s="1"/>
  <c r="K1309" i="1"/>
  <c r="L1309" i="1" s="1"/>
  <c r="K193" i="1"/>
  <c r="L193" i="1" s="1"/>
  <c r="K1078" i="1"/>
  <c r="L1078" i="1" s="1"/>
  <c r="K1076" i="1"/>
  <c r="L1076" i="1" s="1"/>
  <c r="K837" i="1"/>
  <c r="L837" i="1" s="1"/>
  <c r="K1397" i="1"/>
  <c r="L1397" i="1" s="1"/>
  <c r="K1242" i="1"/>
  <c r="L1242" i="1" s="1"/>
  <c r="K1368" i="1"/>
  <c r="L1368" i="1" s="1"/>
  <c r="K621" i="1"/>
  <c r="L621" i="1" s="1"/>
  <c r="K1585" i="1"/>
  <c r="L1585" i="1" s="1"/>
  <c r="K320" i="1"/>
  <c r="L320" i="1" s="1"/>
  <c r="K1914" i="1"/>
  <c r="L1914" i="1" s="1"/>
  <c r="K1588" i="1"/>
  <c r="L1588" i="1" s="1"/>
  <c r="K508" i="1"/>
  <c r="L508" i="1" s="1"/>
  <c r="K561" i="1"/>
  <c r="L561" i="1" s="1"/>
  <c r="K1006" i="1"/>
  <c r="L1006" i="1" s="1"/>
  <c r="K488" i="1"/>
  <c r="L488" i="1" s="1"/>
  <c r="K435" i="1"/>
  <c r="L435" i="1" s="1"/>
  <c r="K285" i="1"/>
  <c r="L285" i="1" s="1"/>
  <c r="K1405" i="1"/>
  <c r="L1405" i="1" s="1"/>
  <c r="K1119" i="1"/>
  <c r="L1119" i="1" s="1"/>
  <c r="K819" i="1"/>
  <c r="L819" i="1" s="1"/>
  <c r="K1576" i="1"/>
  <c r="L1576" i="1" s="1"/>
  <c r="K767" i="1"/>
  <c r="L767" i="1" s="1"/>
  <c r="K349" i="1"/>
  <c r="L349" i="1" s="1"/>
  <c r="K1543" i="1"/>
  <c r="L1543" i="1" s="1"/>
  <c r="K1117" i="1"/>
  <c r="L1117" i="1" s="1"/>
  <c r="K166" i="1"/>
  <c r="L166" i="1" s="1"/>
  <c r="K372" i="1"/>
  <c r="L372" i="1" s="1"/>
  <c r="K421" i="1"/>
  <c r="L421" i="1" s="1"/>
  <c r="K74" i="1"/>
  <c r="L74" i="1" s="1"/>
  <c r="K1709" i="1"/>
  <c r="L1709" i="1" s="1"/>
  <c r="K1359" i="1"/>
  <c r="L1359" i="1" s="1"/>
  <c r="K262" i="1"/>
  <c r="L262" i="1" s="1"/>
  <c r="K672" i="1"/>
  <c r="L672" i="1" s="1"/>
  <c r="K1734" i="1"/>
  <c r="L1734" i="1" s="1"/>
  <c r="K483" i="1"/>
  <c r="L483" i="1" s="1"/>
  <c r="K41" i="1"/>
  <c r="L41" i="1" s="1"/>
  <c r="K1554" i="1"/>
  <c r="L1554" i="1" s="1"/>
  <c r="K1875" i="1"/>
  <c r="L1875" i="1" s="1"/>
  <c r="K620" i="1"/>
  <c r="L620" i="1" s="1"/>
  <c r="K1925" i="1"/>
  <c r="L1925" i="1" s="1"/>
  <c r="K123" i="1"/>
  <c r="L123" i="1" s="1"/>
  <c r="K1644" i="1"/>
  <c r="L1644" i="1" s="1"/>
  <c r="K1391" i="1"/>
  <c r="L1391" i="1" s="1"/>
  <c r="K1074" i="1"/>
  <c r="L1074" i="1" s="1"/>
  <c r="K1427" i="1"/>
  <c r="L1427" i="1" s="1"/>
  <c r="K28" i="1"/>
  <c r="L28" i="1" s="1"/>
  <c r="K1808" i="1"/>
  <c r="L1808" i="1" s="1"/>
  <c r="K269" i="1"/>
  <c r="L269" i="1" s="1"/>
  <c r="K1465" i="1"/>
  <c r="L1465" i="1" s="1"/>
  <c r="K1674" i="1"/>
  <c r="L1674" i="1" s="1"/>
  <c r="K1639" i="1"/>
  <c r="L1639" i="1" s="1"/>
  <c r="K1544" i="1"/>
  <c r="L1544" i="1" s="1"/>
  <c r="K1682" i="1"/>
  <c r="L1682" i="1" s="1"/>
  <c r="K1523" i="1"/>
  <c r="L1523" i="1" s="1"/>
  <c r="K862" i="1"/>
  <c r="L862" i="1" s="1"/>
  <c r="K566" i="1"/>
  <c r="L566" i="1" s="1"/>
  <c r="K281" i="1"/>
  <c r="L281" i="1" s="1"/>
  <c r="K129" i="1"/>
  <c r="L129" i="1" s="1"/>
  <c r="K686" i="1"/>
  <c r="L686" i="1" s="1"/>
  <c r="K393" i="1"/>
  <c r="L393" i="1" s="1"/>
  <c r="K243" i="1"/>
  <c r="L243" i="1" s="1"/>
  <c r="K1811" i="1"/>
  <c r="L1811" i="1" s="1"/>
  <c r="K844" i="1"/>
  <c r="L844" i="1" s="1"/>
  <c r="K1061" i="1"/>
  <c r="L1061" i="1" s="1"/>
  <c r="K1400" i="1"/>
  <c r="L1400" i="1" s="1"/>
  <c r="K1024" i="1"/>
  <c r="L1024" i="1" s="1"/>
  <c r="K1742" i="1"/>
  <c r="L1742" i="1" s="1"/>
  <c r="K649" i="1"/>
  <c r="L649" i="1" s="1"/>
  <c r="K1766" i="1"/>
  <c r="L1766" i="1" s="1"/>
  <c r="K1132" i="1"/>
  <c r="L1132" i="1" s="1"/>
  <c r="K85" i="1"/>
  <c r="L85" i="1" s="1"/>
  <c r="K1141" i="1"/>
  <c r="L1141" i="1" s="1"/>
  <c r="K198" i="1"/>
  <c r="L198" i="1" s="1"/>
  <c r="K1774" i="1"/>
  <c r="L1774" i="1" s="1"/>
  <c r="K1825" i="1"/>
  <c r="L1825" i="1" s="1"/>
  <c r="K1138" i="1"/>
  <c r="L1138" i="1" s="1"/>
  <c r="K1873" i="1"/>
  <c r="L1873" i="1" s="1"/>
  <c r="K245" i="1"/>
  <c r="L245" i="1" s="1"/>
  <c r="K628" i="1"/>
  <c r="L628" i="1" s="1"/>
  <c r="K1243" i="1"/>
  <c r="L1243" i="1" s="1"/>
  <c r="K1974" i="1"/>
  <c r="L1974" i="1" s="1"/>
  <c r="K1307" i="1"/>
  <c r="L1307" i="1" s="1"/>
  <c r="K684" i="1"/>
  <c r="L684" i="1" s="1"/>
  <c r="K1548" i="1"/>
  <c r="L1548" i="1" s="1"/>
  <c r="K1716" i="1"/>
  <c r="L1716" i="1" s="1"/>
  <c r="K778" i="1"/>
  <c r="L778" i="1" s="1"/>
  <c r="K549" i="1"/>
  <c r="L549" i="1" s="1"/>
  <c r="K144" i="1"/>
  <c r="L144" i="1" s="1"/>
  <c r="K1798" i="1"/>
  <c r="L1798" i="1" s="1"/>
  <c r="K251" i="1"/>
  <c r="L251" i="1" s="1"/>
  <c r="K532" i="1"/>
  <c r="L532" i="1" s="1"/>
  <c r="K1135" i="1"/>
  <c r="L1135" i="1" s="1"/>
  <c r="K652" i="1"/>
  <c r="L652" i="1" s="1"/>
  <c r="K1443" i="1"/>
  <c r="L1443" i="1" s="1"/>
  <c r="K67" i="1"/>
  <c r="L67" i="1" s="1"/>
  <c r="K260" i="1"/>
  <c r="L260" i="1" s="1"/>
  <c r="K1793" i="1"/>
  <c r="L1793" i="1" s="1"/>
  <c r="K432" i="1"/>
  <c r="L432" i="1" s="1"/>
  <c r="K1456" i="1"/>
  <c r="L1456" i="1" s="1"/>
  <c r="K109" i="1"/>
  <c r="L109" i="1" s="1"/>
  <c r="K1940" i="1"/>
  <c r="L1940" i="1" s="1"/>
  <c r="K685" i="1"/>
  <c r="L685" i="1" s="1"/>
  <c r="K1805" i="1"/>
  <c r="L1805" i="1" s="1"/>
  <c r="K830" i="1"/>
  <c r="L830" i="1" s="1"/>
  <c r="K452" i="1"/>
  <c r="L452" i="1" s="1"/>
  <c r="K928" i="1"/>
  <c r="L928" i="1" s="1"/>
  <c r="K227" i="1"/>
  <c r="L227" i="1" s="1"/>
  <c r="K1471" i="1"/>
  <c r="L1471" i="1" s="1"/>
  <c r="K1551" i="1"/>
  <c r="L1551" i="1" s="1"/>
  <c r="K419" i="1"/>
  <c r="L419" i="1" s="1"/>
  <c r="K180" i="1"/>
  <c r="L180" i="1" s="1"/>
  <c r="K1500" i="1"/>
  <c r="L1500" i="1" s="1"/>
  <c r="K1050" i="1"/>
  <c r="L1050" i="1" s="1"/>
  <c r="K422" i="1"/>
  <c r="L422" i="1" s="1"/>
  <c r="K870" i="1"/>
  <c r="L870" i="1" s="1"/>
  <c r="K311" i="1"/>
  <c r="L311" i="1" s="1"/>
  <c r="K427" i="1"/>
  <c r="L427" i="1" s="1"/>
  <c r="K1945" i="1"/>
  <c r="L1945" i="1" s="1"/>
  <c r="K557" i="1"/>
  <c r="L557" i="1" s="1"/>
  <c r="K677" i="1"/>
  <c r="L677" i="1" s="1"/>
  <c r="K64" i="1"/>
  <c r="L64" i="1" s="1"/>
  <c r="K379" i="1"/>
  <c r="L379" i="1" s="1"/>
  <c r="K1445" i="1"/>
  <c r="L1445" i="1" s="1"/>
  <c r="K315" i="1"/>
  <c r="L315" i="1" s="1"/>
  <c r="K1921" i="1"/>
  <c r="L1921" i="1" s="1"/>
  <c r="K780" i="1"/>
  <c r="L780" i="1" s="1"/>
  <c r="K112" i="1"/>
  <c r="L112" i="1" s="1"/>
  <c r="K365" i="1"/>
  <c r="L365" i="1" s="1"/>
  <c r="K1790" i="1"/>
  <c r="L1790" i="1" s="1"/>
  <c r="K214" i="1"/>
  <c r="L214" i="1" s="1"/>
  <c r="K1360" i="1"/>
  <c r="L1360" i="1" s="1"/>
  <c r="K546" i="1"/>
  <c r="L546" i="1" s="1"/>
  <c r="K599" i="1"/>
  <c r="L599" i="1" s="1"/>
  <c r="K1952" i="1"/>
  <c r="L1952" i="1" s="1"/>
  <c r="K52" i="1"/>
  <c r="L52" i="1" s="1"/>
  <c r="K879" i="1"/>
  <c r="L879" i="1" s="1"/>
  <c r="K316" i="1"/>
  <c r="L316" i="1" s="1"/>
  <c r="K1264" i="1"/>
  <c r="L1264" i="1" s="1"/>
  <c r="K1788" i="1"/>
  <c r="L1788" i="1" s="1"/>
  <c r="K1900" i="1"/>
  <c r="L1900" i="1" s="1"/>
  <c r="K758" i="1"/>
  <c r="L758" i="1" s="1"/>
  <c r="K1881" i="1"/>
  <c r="L1881" i="1" s="1"/>
  <c r="K1266" i="1"/>
  <c r="L1266" i="1" s="1"/>
  <c r="K1460" i="1"/>
  <c r="L1460" i="1" s="1"/>
  <c r="K1140" i="1"/>
  <c r="L1140" i="1" s="1"/>
  <c r="K1463" i="1"/>
  <c r="L1463" i="1" s="1"/>
  <c r="K233" i="1"/>
  <c r="L233" i="1" s="1"/>
  <c r="K1714" i="1"/>
  <c r="L1714" i="1" s="1"/>
  <c r="K404" i="1"/>
  <c r="L404" i="1" s="1"/>
  <c r="K124" i="1"/>
  <c r="L124" i="1" s="1"/>
  <c r="K342" i="1"/>
  <c r="L342" i="1" s="1"/>
  <c r="K45" i="1"/>
  <c r="L45" i="1" s="1"/>
  <c r="K1485" i="1"/>
  <c r="L1485" i="1" s="1"/>
  <c r="K116" i="1"/>
  <c r="L116" i="1" s="1"/>
  <c r="K136" i="1"/>
  <c r="L136" i="1" s="1"/>
  <c r="K1618" i="1"/>
  <c r="L1618" i="1" s="1"/>
  <c r="K1587" i="1"/>
  <c r="L1587" i="1" s="1"/>
  <c r="K196" i="1"/>
  <c r="L196" i="1" s="1"/>
  <c r="K197" i="1"/>
  <c r="L197" i="1" s="1"/>
  <c r="K1208" i="1"/>
  <c r="L1208" i="1" s="1"/>
  <c r="K1722" i="1"/>
  <c r="L1722" i="1" s="1"/>
  <c r="K805" i="1"/>
  <c r="L805" i="1" s="1"/>
  <c r="K654" i="1"/>
  <c r="L654" i="1" s="1"/>
  <c r="K1960" i="1"/>
  <c r="L1960" i="1" s="1"/>
  <c r="K1842" i="1"/>
  <c r="L1842" i="1" s="1"/>
  <c r="K1779" i="1"/>
  <c r="L1779" i="1" s="1"/>
  <c r="K27" i="1"/>
  <c r="L27" i="1" s="1"/>
  <c r="K433" i="1"/>
  <c r="L433" i="1" s="1"/>
  <c r="K1856" i="1"/>
  <c r="L1856" i="1" s="1"/>
  <c r="K1838" i="1"/>
  <c r="L1838" i="1" s="1"/>
  <c r="K1417" i="1"/>
  <c r="L1417" i="1" s="1"/>
  <c r="K499" i="1"/>
  <c r="L499" i="1" s="1"/>
  <c r="K1971" i="1"/>
  <c r="L1971" i="1" s="1"/>
  <c r="K516" i="1"/>
  <c r="L516" i="1" s="1"/>
  <c r="K1314" i="1"/>
  <c r="L1314" i="1" s="1"/>
  <c r="K1871" i="1"/>
  <c r="L1871" i="1" s="1"/>
  <c r="K604" i="1"/>
  <c r="L604" i="1" s="1"/>
  <c r="K1407" i="1"/>
  <c r="L1407" i="1" s="1"/>
  <c r="K1065" i="1"/>
  <c r="L1065" i="1" s="1"/>
  <c r="K1691" i="1"/>
  <c r="L1691" i="1" s="1"/>
  <c r="K1869" i="1"/>
  <c r="L1869" i="1" s="1"/>
  <c r="K149" i="1"/>
  <c r="L149" i="1" s="1"/>
  <c r="K693" i="1"/>
  <c r="L693" i="1" s="1"/>
  <c r="K1653" i="1"/>
  <c r="L1653" i="1" s="1"/>
  <c r="K358" i="1"/>
  <c r="L358" i="1" s="1"/>
  <c r="K223" i="1"/>
  <c r="L223" i="1" s="1"/>
  <c r="K201" i="1"/>
  <c r="L201" i="1" s="1"/>
  <c r="K1043" i="1"/>
  <c r="L1043" i="1" s="1"/>
  <c r="K1482" i="1"/>
  <c r="L1482" i="1" s="1"/>
  <c r="K309" i="1"/>
  <c r="L309" i="1" s="1"/>
  <c r="K1045" i="1"/>
  <c r="L1045" i="1" s="1"/>
  <c r="K460" i="1"/>
  <c r="L460" i="1" s="1"/>
  <c r="K156" i="1"/>
  <c r="L156" i="1" s="1"/>
  <c r="K662" i="1"/>
  <c r="L662" i="1" s="1"/>
  <c r="K1410" i="1"/>
  <c r="L1410" i="1" s="1"/>
  <c r="K906" i="1"/>
  <c r="L906" i="1" s="1"/>
  <c r="K674" i="1"/>
  <c r="L674" i="1" s="1"/>
  <c r="K578" i="1"/>
  <c r="L578" i="1" s="1"/>
  <c r="K1839" i="1"/>
  <c r="L1839" i="1" s="1"/>
  <c r="K12" i="1"/>
  <c r="L12" i="1" s="1"/>
  <c r="K1125" i="1"/>
  <c r="L1125" i="1" s="1"/>
  <c r="K1300" i="1"/>
  <c r="L1300" i="1" s="1"/>
  <c r="K354" i="1"/>
  <c r="L354" i="1" s="1"/>
  <c r="K608" i="1"/>
  <c r="L608" i="1" s="1"/>
  <c r="K1570" i="1"/>
  <c r="L1570" i="1" s="1"/>
  <c r="K1270" i="1"/>
  <c r="L1270" i="1" s="1"/>
  <c r="K1418" i="1"/>
  <c r="L1418" i="1" s="1"/>
  <c r="K345" i="1"/>
  <c r="L345" i="1" s="1"/>
  <c r="K1127" i="1"/>
  <c r="L1127" i="1" s="1"/>
  <c r="K635" i="1"/>
  <c r="L635" i="1" s="1"/>
  <c r="K502" i="1"/>
  <c r="L502" i="1" s="1"/>
  <c r="K1488" i="1"/>
  <c r="L1488" i="1" s="1"/>
  <c r="K384" i="1"/>
  <c r="L384" i="1" s="1"/>
  <c r="K1729" i="1"/>
  <c r="L1729" i="1" s="1"/>
  <c r="K749" i="1"/>
  <c r="L749" i="1" s="1"/>
  <c r="K1901" i="1"/>
  <c r="L1901" i="1" s="1"/>
  <c r="K1374" i="1"/>
  <c r="L1374" i="1" s="1"/>
  <c r="K600" i="1"/>
  <c r="L600" i="1" s="1"/>
  <c r="K290" i="1"/>
  <c r="L290" i="1" s="1"/>
  <c r="K986" i="1"/>
  <c r="L986" i="1" s="1"/>
  <c r="K1415" i="1"/>
  <c r="L1415" i="1" s="1"/>
  <c r="K176" i="1"/>
  <c r="L176" i="1" s="1"/>
  <c r="K619" i="1"/>
  <c r="L619" i="1" s="1"/>
  <c r="K702" i="1"/>
  <c r="L702" i="1" s="1"/>
  <c r="K209" i="1"/>
  <c r="L209" i="1" s="1"/>
  <c r="K1919" i="1"/>
  <c r="L1919" i="1" s="1"/>
  <c r="K1909" i="1"/>
  <c r="L1909" i="1" s="1"/>
  <c r="K454" i="1"/>
  <c r="L454" i="1" s="1"/>
  <c r="K998" i="1"/>
  <c r="L998" i="1" s="1"/>
  <c r="K407" i="1"/>
  <c r="L407" i="1" s="1"/>
  <c r="K1920" i="1"/>
  <c r="L1920" i="1" s="1"/>
  <c r="K834" i="1"/>
  <c r="L834" i="1" s="1"/>
  <c r="K869" i="1"/>
  <c r="L869" i="1" s="1"/>
  <c r="K514" i="1"/>
  <c r="L514" i="1" s="1"/>
  <c r="K1598" i="1"/>
  <c r="L1598" i="1" s="1"/>
  <c r="K472" i="1"/>
  <c r="L472" i="1" s="1"/>
  <c r="K731" i="1"/>
  <c r="L731" i="1" s="1"/>
  <c r="K1765" i="1"/>
  <c r="L1765" i="1" s="1"/>
  <c r="K1603" i="1"/>
  <c r="L1603" i="1" s="1"/>
  <c r="K369" i="1"/>
  <c r="L369" i="1" s="1"/>
  <c r="K601" i="1"/>
  <c r="L601" i="1" s="1"/>
  <c r="K545" i="1"/>
  <c r="L545" i="1" s="1"/>
  <c r="K1581" i="1"/>
  <c r="L1581" i="1" s="1"/>
  <c r="K79" i="1"/>
  <c r="L79" i="1" s="1"/>
  <c r="K90" i="1"/>
  <c r="L90" i="1" s="1"/>
  <c r="K568" i="1"/>
  <c r="L568" i="1" s="1"/>
  <c r="K401" i="1"/>
  <c r="L401" i="1" s="1"/>
  <c r="K1079" i="1"/>
  <c r="L1079" i="1" s="1"/>
  <c r="K33" i="1"/>
  <c r="L33" i="1" s="1"/>
  <c r="K1752" i="1"/>
  <c r="L1752" i="1" s="1"/>
  <c r="K344" i="1"/>
  <c r="L344" i="1" s="1"/>
  <c r="K1540" i="1"/>
  <c r="L1540" i="1" s="1"/>
  <c r="K1476" i="1"/>
  <c r="L1476" i="1" s="1"/>
  <c r="K182" i="1"/>
  <c r="L182" i="1" s="1"/>
  <c r="K1511" i="1"/>
  <c r="L1511" i="1" s="1"/>
  <c r="K226" i="1"/>
  <c r="L226" i="1" s="1"/>
  <c r="K1139" i="1"/>
  <c r="L1139" i="1" s="1"/>
  <c r="K115" i="1"/>
  <c r="L115" i="1" s="1"/>
  <c r="K1106" i="1"/>
  <c r="L1106" i="1" s="1"/>
  <c r="K1448" i="1"/>
  <c r="L1448" i="1" s="1"/>
  <c r="K351" i="1"/>
  <c r="L351" i="1" s="1"/>
  <c r="K1070" i="1"/>
  <c r="L1070" i="1" s="1"/>
  <c r="K925" i="1"/>
  <c r="L925" i="1" s="1"/>
  <c r="K884" i="1"/>
  <c r="L884" i="1" s="1"/>
  <c r="K169" i="1"/>
  <c r="L169" i="1" s="1"/>
  <c r="K1650" i="1"/>
  <c r="L1650" i="1" s="1"/>
  <c r="K1395" i="1"/>
  <c r="L1395" i="1" s="1"/>
  <c r="K468" i="1"/>
  <c r="L468" i="1" s="1"/>
  <c r="K859" i="1"/>
  <c r="L859" i="1" s="1"/>
  <c r="K718" i="1"/>
  <c r="L718" i="1" s="1"/>
  <c r="K905" i="1"/>
  <c r="L905" i="1" s="1"/>
  <c r="K1874" i="1"/>
  <c r="L1874" i="1" s="1"/>
  <c r="K1268" i="1"/>
  <c r="L1268" i="1" s="1"/>
  <c r="K732" i="1"/>
  <c r="L732" i="1" s="1"/>
  <c r="K230" i="1"/>
  <c r="L230" i="1" s="1"/>
  <c r="K138" i="1"/>
  <c r="L138" i="1" s="1"/>
  <c r="K1029" i="1"/>
  <c r="L1029" i="1" s="1"/>
  <c r="K1970" i="1"/>
  <c r="L1970" i="1" s="1"/>
  <c r="K744" i="1"/>
  <c r="L744" i="1" s="1"/>
  <c r="K1778" i="1"/>
  <c r="L1778" i="1" s="1"/>
  <c r="K1747" i="1"/>
  <c r="L1747" i="1" s="1"/>
  <c r="K1194" i="1"/>
  <c r="L1194" i="1" s="1"/>
  <c r="K763" i="1"/>
  <c r="L763" i="1" s="1"/>
  <c r="K1112" i="1"/>
  <c r="L1112" i="1" s="1"/>
  <c r="K845" i="1"/>
  <c r="L845" i="1" s="1"/>
  <c r="K215" i="1"/>
  <c r="L215" i="1" s="1"/>
  <c r="K1710" i="1"/>
  <c r="L1710" i="1" s="1"/>
  <c r="K137" i="1"/>
  <c r="L137" i="1" s="1"/>
  <c r="K339" i="1"/>
  <c r="L339" i="1" s="1"/>
  <c r="K1939" i="1"/>
  <c r="L1939" i="1" s="1"/>
  <c r="K1770" i="1"/>
  <c r="L1770" i="1" s="1"/>
  <c r="K1990" i="1"/>
  <c r="L1990" i="1" s="1"/>
  <c r="K444" i="1"/>
  <c r="L444" i="1" s="1"/>
  <c r="K1229" i="1"/>
  <c r="L1229" i="1" s="1"/>
  <c r="K1487" i="1"/>
  <c r="L1487" i="1" s="1"/>
  <c r="K1994" i="1"/>
  <c r="L1994" i="1" s="1"/>
  <c r="K691" i="1"/>
  <c r="L691" i="1" s="1"/>
  <c r="K1724" i="1"/>
  <c r="L1724" i="1" s="1"/>
  <c r="K922" i="1"/>
  <c r="L922" i="1" s="1"/>
  <c r="K1758" i="1"/>
  <c r="L1758" i="1" s="1"/>
  <c r="K202" i="1"/>
  <c r="L202" i="1" s="1"/>
  <c r="K130" i="1"/>
  <c r="L130" i="1" s="1"/>
  <c r="K95" i="1"/>
  <c r="L95" i="1" s="1"/>
  <c r="K1321" i="1"/>
  <c r="L1321" i="1" s="1"/>
  <c r="K1331" i="1"/>
  <c r="L1331" i="1" s="1"/>
  <c r="K1025" i="1"/>
  <c r="L1025" i="1" s="1"/>
  <c r="K213" i="1"/>
  <c r="L213" i="1" s="1"/>
  <c r="K757" i="1"/>
  <c r="L757" i="1" s="1"/>
  <c r="K1205" i="1"/>
  <c r="L1205" i="1" s="1"/>
  <c r="K1668" i="1"/>
  <c r="L1668" i="1" s="1"/>
  <c r="K799" i="1"/>
  <c r="L799" i="1" s="1"/>
  <c r="K617" i="1"/>
  <c r="L617" i="1" s="1"/>
  <c r="K1536" i="1"/>
  <c r="L1536" i="1" s="1"/>
  <c r="K965" i="1"/>
  <c r="L965" i="1" s="1"/>
  <c r="K405" i="1"/>
  <c r="L405" i="1" s="1"/>
  <c r="K1058" i="1"/>
  <c r="L1058" i="1" s="1"/>
  <c r="K1830" i="1"/>
  <c r="L1830" i="1" s="1"/>
  <c r="K944" i="1"/>
  <c r="L944" i="1" s="1"/>
  <c r="K43" i="1"/>
  <c r="L43" i="1" s="1"/>
  <c r="K391" i="1"/>
  <c r="L391" i="1" s="1"/>
  <c r="K1530" i="1"/>
  <c r="L1530" i="1" s="1"/>
  <c r="K1457" i="1"/>
  <c r="L1457" i="1" s="1"/>
  <c r="K737" i="1"/>
  <c r="L737" i="1" s="1"/>
  <c r="K1048" i="1"/>
  <c r="L1048" i="1" s="1"/>
  <c r="K37" i="1"/>
  <c r="L37" i="1" s="1"/>
  <c r="K1285" i="1"/>
  <c r="L1285" i="1" s="1"/>
  <c r="K1031" i="1"/>
  <c r="L1031" i="1" s="1"/>
  <c r="K120" i="1"/>
  <c r="L120" i="1" s="1"/>
  <c r="K1204" i="1"/>
  <c r="L1204" i="1" s="1"/>
  <c r="K1250" i="1"/>
  <c r="L1250" i="1" s="1"/>
  <c r="K1515" i="1"/>
  <c r="L1515" i="1" s="1"/>
  <c r="K103" i="1"/>
  <c r="L103" i="1" s="1"/>
  <c r="K1553" i="1"/>
  <c r="L1553" i="1" s="1"/>
  <c r="K1787" i="1"/>
  <c r="L1787" i="1" s="1"/>
  <c r="K1942" i="1"/>
  <c r="L1942" i="1" s="1"/>
  <c r="K1684" i="1"/>
  <c r="L1684" i="1" s="1"/>
  <c r="K387" i="1"/>
  <c r="L387" i="1" s="1"/>
  <c r="K89" i="1"/>
  <c r="L89" i="1" s="1"/>
  <c r="K1302" i="1"/>
  <c r="L1302" i="1" s="1"/>
  <c r="K139" i="1"/>
  <c r="L139" i="1" s="1"/>
  <c r="K941" i="1"/>
  <c r="L941" i="1" s="1"/>
  <c r="K1583" i="1"/>
  <c r="L1583" i="1" s="1"/>
  <c r="K1926" i="1"/>
  <c r="L1926" i="1" s="1"/>
  <c r="K76" i="1"/>
  <c r="L76" i="1" s="1"/>
  <c r="K1517" i="1"/>
  <c r="L1517" i="1" s="1"/>
  <c r="K843" i="1"/>
  <c r="L843" i="1" s="1"/>
  <c r="K838" i="1"/>
  <c r="L838" i="1" s="1"/>
  <c r="K892" i="1"/>
  <c r="L892" i="1" s="1"/>
  <c r="K825" i="1"/>
  <c r="L825" i="1" s="1"/>
  <c r="K1732" i="1"/>
  <c r="L1732" i="1" s="1"/>
  <c r="K1568" i="1"/>
  <c r="L1568" i="1" s="1"/>
  <c r="K1615" i="1"/>
  <c r="L1615" i="1" s="1"/>
  <c r="K486" i="1"/>
  <c r="L486" i="1" s="1"/>
  <c r="K1222" i="1"/>
  <c r="L1222" i="1" s="1"/>
  <c r="K567" i="1"/>
  <c r="L567" i="1" s="1"/>
  <c r="K1493" i="1"/>
  <c r="L1493" i="1" s="1"/>
  <c r="K1967" i="1"/>
  <c r="L1967" i="1" s="1"/>
  <c r="K877" i="1"/>
  <c r="L877" i="1" s="1"/>
  <c r="K813" i="1"/>
  <c r="L813" i="1" s="1"/>
  <c r="K769" i="1"/>
  <c r="L769" i="1" s="1"/>
  <c r="K1430" i="1"/>
  <c r="L1430" i="1" s="1"/>
  <c r="K165" i="1"/>
  <c r="L165" i="1" s="1"/>
  <c r="K1861" i="1"/>
  <c r="L1861" i="1" s="1"/>
  <c r="K1336" i="1"/>
  <c r="L1336" i="1" s="1"/>
  <c r="K187" i="1"/>
  <c r="L187" i="1" s="1"/>
  <c r="K1835" i="1"/>
  <c r="L1835" i="1" s="1"/>
  <c r="K1467" i="1"/>
  <c r="L1467" i="1" s="1"/>
  <c r="K1767" i="1"/>
  <c r="L1767" i="1" s="1"/>
  <c r="K559" i="1"/>
  <c r="L559" i="1" s="1"/>
  <c r="K1695" i="1"/>
  <c r="L1695" i="1" s="1"/>
  <c r="K395" i="1"/>
  <c r="L395" i="1" s="1"/>
  <c r="K441" i="1"/>
  <c r="L441" i="1" s="1"/>
  <c r="K128" i="1"/>
  <c r="L128" i="1" s="1"/>
  <c r="K513" i="1"/>
  <c r="L513" i="1" s="1"/>
  <c r="K1436" i="1"/>
  <c r="L1436" i="1" s="1"/>
  <c r="K1209" i="1"/>
  <c r="L1209" i="1" s="1"/>
  <c r="K330" i="1"/>
  <c r="L330" i="1" s="1"/>
  <c r="K865" i="1"/>
  <c r="L865" i="1" s="1"/>
  <c r="K1324" i="1"/>
  <c r="L1324" i="1" s="1"/>
  <c r="K1708" i="1"/>
  <c r="L1708" i="1" s="1"/>
  <c r="K953" i="1"/>
  <c r="L953" i="1" s="1"/>
  <c r="K457" i="1"/>
  <c r="L457" i="1" s="1"/>
  <c r="K1810" i="1"/>
  <c r="L1810" i="1" s="1"/>
  <c r="K1555" i="1"/>
  <c r="L1555" i="1" s="1"/>
  <c r="K1148" i="1"/>
  <c r="L1148" i="1" s="1"/>
  <c r="K1731" i="1"/>
  <c r="L1731" i="1" s="1"/>
  <c r="K1678" i="1"/>
  <c r="L1678" i="1" s="1"/>
  <c r="K1641" i="1"/>
  <c r="L1641" i="1" s="1"/>
  <c r="K1978" i="1"/>
  <c r="L1978" i="1" s="1"/>
  <c r="K236" i="1"/>
  <c r="L236" i="1" s="1"/>
  <c r="K1564" i="1"/>
  <c r="L1564" i="1" s="1"/>
  <c r="K1207" i="1"/>
  <c r="L1207" i="1" s="1"/>
  <c r="K234" i="1"/>
  <c r="L234" i="1" s="1"/>
  <c r="K975" i="1"/>
  <c r="L975" i="1" s="1"/>
  <c r="K590" i="1"/>
  <c r="L590" i="1" s="1"/>
  <c r="K1096" i="1"/>
  <c r="L1096" i="1" s="1"/>
  <c r="K1938" i="1"/>
  <c r="L1938" i="1" s="1"/>
  <c r="K1907" i="1"/>
  <c r="L1907" i="1" s="1"/>
  <c r="K775" i="1"/>
  <c r="L775" i="1" s="1"/>
  <c r="K1655" i="1"/>
  <c r="L1655" i="1" s="1"/>
  <c r="K920" i="1"/>
  <c r="L920" i="1" s="1"/>
  <c r="K795" i="1"/>
  <c r="L795" i="1" s="1"/>
  <c r="K360" i="1"/>
  <c r="L360" i="1" s="1"/>
  <c r="K1902" i="1"/>
  <c r="L1902" i="1" s="1"/>
  <c r="K1097" i="1"/>
  <c r="L1097" i="1" s="1"/>
  <c r="K627" i="1"/>
  <c r="L627" i="1" s="1"/>
  <c r="K924" i="1"/>
  <c r="L924" i="1" s="1"/>
  <c r="K491" i="1"/>
  <c r="L491" i="1" s="1"/>
  <c r="K303" i="1"/>
  <c r="L303" i="1" s="1"/>
  <c r="K708" i="1"/>
  <c r="L708" i="1" s="1"/>
  <c r="K1514" i="1"/>
  <c r="L1514" i="1" s="1"/>
  <c r="K1023" i="1"/>
  <c r="L1023" i="1" s="1"/>
  <c r="K274" i="1"/>
  <c r="L274" i="1" s="1"/>
  <c r="K915" i="1"/>
  <c r="L915" i="1" s="1"/>
  <c r="K956" i="1"/>
  <c r="L956" i="1" s="1"/>
  <c r="K1090" i="1"/>
  <c r="L1090" i="1" s="1"/>
  <c r="K220" i="1"/>
  <c r="L220" i="1" s="1"/>
  <c r="K1755" i="1"/>
  <c r="L1755" i="1" s="1"/>
  <c r="K1335" i="1"/>
  <c r="L1335" i="1" s="1"/>
  <c r="K1623" i="1"/>
  <c r="L1623" i="1" s="1"/>
  <c r="K1577" i="1"/>
  <c r="L1577" i="1" s="1"/>
  <c r="K598" i="1"/>
  <c r="L598" i="1" s="1"/>
  <c r="K1030" i="1"/>
  <c r="L1030" i="1" s="1"/>
  <c r="K277" i="1"/>
  <c r="L277" i="1" s="1"/>
  <c r="K917" i="1"/>
  <c r="L917" i="1" s="1"/>
  <c r="K1237" i="1"/>
  <c r="L1237" i="1" s="1"/>
  <c r="K1409" i="1"/>
  <c r="L1409" i="1" s="1"/>
  <c r="K1151" i="1"/>
  <c r="L1151" i="1" s="1"/>
  <c r="K937" i="1"/>
  <c r="L937" i="1" s="1"/>
  <c r="K1011" i="1"/>
  <c r="L1011" i="1" s="1"/>
  <c r="K19" i="1"/>
  <c r="L19" i="1" s="1"/>
  <c r="K469" i="1"/>
  <c r="L469" i="1" s="1"/>
  <c r="K903" i="1"/>
  <c r="L903" i="1" s="1"/>
  <c r="K1287" i="1"/>
  <c r="L1287" i="1" s="1"/>
  <c r="K1660" i="1"/>
  <c r="L1660" i="1" s="1"/>
  <c r="K1826" i="1"/>
  <c r="L1826" i="1" s="1"/>
  <c r="K25" i="1"/>
  <c r="L25" i="1" s="1"/>
  <c r="K271" i="1"/>
  <c r="L271" i="1" s="1"/>
  <c r="K523" i="1"/>
  <c r="L523" i="1" s="1"/>
  <c r="K1068" i="1"/>
  <c r="L1068" i="1" s="1"/>
  <c r="K817" i="1"/>
  <c r="L817" i="1" s="1"/>
  <c r="K69" i="1"/>
  <c r="L69" i="1" s="1"/>
  <c r="K11" i="1"/>
  <c r="L11" i="1" s="1"/>
  <c r="K506" i="1"/>
  <c r="L506" i="1" s="1"/>
  <c r="K581" i="1"/>
  <c r="L581" i="1" s="1"/>
  <c r="K1483" i="1"/>
  <c r="L1483" i="1" s="1"/>
  <c r="K1251" i="1"/>
  <c r="L1251" i="1" s="1"/>
  <c r="K1177" i="1"/>
  <c r="L1177" i="1" s="1"/>
  <c r="K1632" i="1"/>
  <c r="L1632" i="1" s="1"/>
  <c r="K900" i="1"/>
  <c r="L900" i="1" s="1"/>
  <c r="K647" i="1"/>
  <c r="L647" i="1" s="1"/>
  <c r="K1959" i="1"/>
  <c r="L1959" i="1" s="1"/>
  <c r="K94" i="1"/>
  <c r="L94" i="1" s="1"/>
  <c r="K1080" i="1"/>
  <c r="L1080" i="1" s="1"/>
  <c r="K420" i="1"/>
  <c r="L420" i="1" s="1"/>
  <c r="K18" i="1"/>
  <c r="L18" i="1" s="1"/>
  <c r="K1005" i="1"/>
  <c r="L1005" i="1" s="1"/>
  <c r="K1935" i="1"/>
  <c r="L1935" i="1" s="1"/>
  <c r="K1607" i="1"/>
  <c r="L1607" i="1" s="1"/>
  <c r="K1450" i="1"/>
  <c r="L1450" i="1" s="1"/>
  <c r="K1986" i="1"/>
  <c r="L1986" i="1" s="1"/>
  <c r="K525" i="1"/>
  <c r="L525" i="1" s="1"/>
  <c r="K30" i="1"/>
  <c r="L30" i="1" s="1"/>
  <c r="K1882" i="1"/>
  <c r="L1882" i="1" s="1"/>
  <c r="K500" i="1"/>
  <c r="L500" i="1" s="1"/>
  <c r="K952" i="1"/>
  <c r="L952" i="1" s="1"/>
  <c r="K1897" i="1"/>
  <c r="L1897" i="1" s="1"/>
  <c r="K1429" i="1"/>
  <c r="L1429" i="1" s="1"/>
  <c r="K550" i="1"/>
  <c r="L550" i="1" s="1"/>
  <c r="K1446" i="1"/>
  <c r="L1446" i="1" s="1"/>
  <c r="K727" i="1"/>
  <c r="L727" i="1" s="1"/>
  <c r="K1557" i="1"/>
  <c r="L1557" i="1" s="1"/>
  <c r="K1706" i="1"/>
  <c r="L1706" i="1" s="1"/>
  <c r="K1086" i="1"/>
  <c r="L1086" i="1" s="1"/>
  <c r="K1351" i="1"/>
  <c r="L1351" i="1" s="1"/>
  <c r="K340" i="1"/>
  <c r="L340" i="1" s="1"/>
  <c r="K898" i="1"/>
  <c r="L898" i="1" s="1"/>
  <c r="K453" i="1"/>
  <c r="L453" i="1" s="1"/>
  <c r="K1479" i="1"/>
  <c r="L1479" i="1" s="1"/>
  <c r="K241" i="1"/>
  <c r="L241" i="1" s="1"/>
  <c r="K1372" i="1"/>
  <c r="L1372" i="1" s="1"/>
  <c r="K1878" i="1"/>
  <c r="L1878" i="1" s="1"/>
  <c r="K1334" i="1"/>
  <c r="L1334" i="1" s="1"/>
  <c r="K414" i="1"/>
  <c r="L414" i="1" s="1"/>
  <c r="K812" i="1"/>
  <c r="L812" i="1" s="1"/>
  <c r="K1240" i="1"/>
  <c r="L1240" i="1" s="1"/>
  <c r="K1462" i="1"/>
  <c r="L1462" i="1" s="1"/>
  <c r="K1396" i="1"/>
  <c r="L1396" i="1" s="1"/>
  <c r="K544" i="1"/>
  <c r="L544" i="1" s="1"/>
  <c r="K1217" i="1"/>
  <c r="L1217" i="1" s="1"/>
  <c r="K194" i="1"/>
  <c r="L194" i="1" s="1"/>
  <c r="K967" i="1"/>
  <c r="L967" i="1" s="1"/>
  <c r="K1636" i="1"/>
  <c r="L1636" i="1" s="1"/>
  <c r="K714" i="1"/>
  <c r="L714" i="1" s="1"/>
  <c r="K688" i="1"/>
  <c r="L688" i="1" s="1"/>
  <c r="K1995" i="1"/>
  <c r="L1995" i="1" s="1"/>
  <c r="K1063" i="1"/>
  <c r="L1063" i="1" s="1"/>
  <c r="K558" i="1"/>
  <c r="L558" i="1" s="1"/>
  <c r="K31" i="1"/>
  <c r="L31" i="1" s="1"/>
  <c r="K1481" i="1"/>
  <c r="L1481" i="1" s="1"/>
  <c r="K83" i="1"/>
  <c r="L83" i="1" s="1"/>
  <c r="K1715" i="1"/>
  <c r="L1715" i="1" s="1"/>
  <c r="K1604" i="1"/>
  <c r="L1604" i="1" s="1"/>
  <c r="K47" i="1"/>
  <c r="L47" i="1" s="1"/>
  <c r="K1870" i="1"/>
  <c r="L1870" i="1" s="1"/>
  <c r="K114" i="1"/>
  <c r="L114" i="1" s="1"/>
  <c r="K723" i="1"/>
  <c r="L723" i="1" s="1"/>
  <c r="K1292" i="1"/>
  <c r="L1292" i="1" s="1"/>
  <c r="K1552" i="1"/>
  <c r="L1552" i="1" s="1"/>
  <c r="K1880" i="1"/>
  <c r="L1880" i="1" s="1"/>
  <c r="K1816" i="1"/>
  <c r="L1816" i="1" s="1"/>
  <c r="K160" i="1"/>
  <c r="L160" i="1" s="1"/>
  <c r="K974" i="1"/>
  <c r="L974" i="1" s="1"/>
  <c r="K1416" i="1"/>
  <c r="L1416" i="1" s="1"/>
  <c r="K563" i="1"/>
  <c r="L563" i="1" s="1"/>
  <c r="K596" i="1"/>
  <c r="L596" i="1" s="1"/>
  <c r="K1137" i="1"/>
  <c r="L1137" i="1" s="1"/>
  <c r="K1091" i="1"/>
  <c r="L1091" i="1" s="1"/>
  <c r="K1890" i="1"/>
  <c r="L1890" i="1" s="1"/>
  <c r="K154" i="1"/>
  <c r="L154" i="1" s="1"/>
  <c r="K1652" i="1"/>
  <c r="L1652" i="1" s="1"/>
  <c r="K735" i="1"/>
  <c r="L735" i="1" s="1"/>
  <c r="K210" i="1"/>
  <c r="L210" i="1" s="1"/>
  <c r="K787" i="1"/>
  <c r="L787" i="1" s="1"/>
  <c r="K1892" i="1"/>
  <c r="L1892" i="1" s="1"/>
  <c r="K359" i="1"/>
  <c r="L359" i="1" s="1"/>
  <c r="K632" i="1"/>
  <c r="L632" i="1" s="1"/>
  <c r="K783" i="1"/>
  <c r="L783" i="1" s="1"/>
  <c r="K725" i="1"/>
  <c r="L725" i="1" s="1"/>
  <c r="K1128" i="1"/>
  <c r="L1128" i="1" s="1"/>
  <c r="K498" i="1"/>
  <c r="L498" i="1" s="1"/>
  <c r="K1107" i="1"/>
  <c r="L1107" i="1" s="1"/>
  <c r="K1628" i="1"/>
  <c r="L1628" i="1" s="1"/>
  <c r="K1474" i="1"/>
  <c r="L1474" i="1" s="1"/>
  <c r="K1599" i="1"/>
  <c r="L1599" i="1" s="1"/>
  <c r="K1464" i="1"/>
  <c r="L1464" i="1" s="1"/>
  <c r="K465" i="1"/>
  <c r="L465" i="1" s="1"/>
  <c r="K712" i="1"/>
  <c r="L712" i="1" s="1"/>
  <c r="K146" i="1"/>
  <c r="L146" i="1" s="1"/>
  <c r="K1435" i="1"/>
  <c r="L1435" i="1" s="1"/>
  <c r="K1999" i="1"/>
  <c r="L1999" i="1" s="1"/>
  <c r="K341" i="1"/>
  <c r="L341" i="1" s="1"/>
  <c r="K1269" i="1"/>
  <c r="L1269" i="1" s="1"/>
  <c r="K1973" i="1"/>
  <c r="L1973" i="1" s="1"/>
  <c r="K1988" i="1"/>
  <c r="L1988" i="1" s="1"/>
  <c r="K1887" i="1"/>
  <c r="L1887" i="1" s="1"/>
  <c r="K1225" i="1"/>
  <c r="L1225" i="1" s="1"/>
  <c r="K1267" i="1"/>
  <c r="L1267" i="1" s="1"/>
  <c r="K7" i="1"/>
  <c r="L7" i="1" s="1"/>
  <c r="K533" i="1"/>
  <c r="L533" i="1" s="1"/>
  <c r="K409" i="1"/>
  <c r="L409" i="1" s="1"/>
  <c r="K631" i="1"/>
  <c r="L631" i="1" s="1"/>
  <c r="K889" i="1"/>
  <c r="L889" i="1" s="1"/>
  <c r="K1526" i="1"/>
  <c r="L1526" i="1" s="1"/>
  <c r="K2000" i="1"/>
  <c r="L2000" i="1" s="1"/>
  <c r="K1520" i="1"/>
  <c r="L1520" i="1" s="1"/>
  <c r="K983" i="1"/>
  <c r="L983" i="1" s="1"/>
  <c r="K1310" i="1"/>
  <c r="L1310" i="1" s="1"/>
  <c r="K1318" i="1"/>
  <c r="L1318" i="1" s="1"/>
  <c r="K101" i="1"/>
  <c r="L101" i="1" s="1"/>
  <c r="K791" i="1"/>
  <c r="L791" i="1" s="1"/>
  <c r="K999" i="1"/>
  <c r="L999" i="1" s="1"/>
  <c r="K583" i="1"/>
  <c r="L583" i="1" s="1"/>
  <c r="K847" i="1"/>
  <c r="L847" i="1" s="1"/>
  <c r="K1101" i="1"/>
  <c r="L1101" i="1" s="1"/>
  <c r="K527" i="1"/>
  <c r="L527" i="1" s="1"/>
  <c r="K1923" i="1"/>
  <c r="L1923" i="1" s="1"/>
  <c r="K399" i="1"/>
  <c r="L399" i="1" s="1"/>
  <c r="K548" i="1"/>
  <c r="L548" i="1" s="1"/>
  <c r="K1584" i="1"/>
  <c r="L1584" i="1" s="1"/>
  <c r="K582" i="1"/>
  <c r="L582" i="1" s="1"/>
  <c r="K1424" i="1"/>
  <c r="L1424" i="1" s="1"/>
  <c r="K1382" i="1"/>
  <c r="L1382" i="1" s="1"/>
  <c r="K355" i="1"/>
  <c r="L355" i="1" s="1"/>
  <c r="K77" i="1"/>
  <c r="L77" i="1" s="1"/>
  <c r="K1037" i="1"/>
  <c r="L1037" i="1" s="1"/>
  <c r="K190" i="1"/>
  <c r="L190" i="1" s="1"/>
  <c r="K515" i="1"/>
  <c r="L515" i="1" s="1"/>
  <c r="K1730" i="1"/>
  <c r="L1730" i="1" s="1"/>
  <c r="K1635" i="1"/>
  <c r="L1635" i="1" s="1"/>
  <c r="K1308" i="1"/>
  <c r="L1308" i="1" s="1"/>
  <c r="K1700" i="1"/>
  <c r="L1700" i="1" s="1"/>
  <c r="K623" i="1"/>
  <c r="L623" i="1" s="1"/>
  <c r="K1954" i="1"/>
  <c r="L1954" i="1" s="1"/>
  <c r="K192" i="1"/>
  <c r="L192" i="1" s="1"/>
  <c r="K353" i="1"/>
  <c r="L353" i="1" s="1"/>
  <c r="K614" i="1"/>
  <c r="L614" i="1" s="1"/>
  <c r="K1478" i="1"/>
  <c r="L1478" i="1" s="1"/>
  <c r="K855" i="1"/>
  <c r="L855" i="1" s="1"/>
  <c r="K1717" i="1"/>
  <c r="L1717" i="1" s="1"/>
  <c r="K823" i="1"/>
  <c r="L823" i="1" s="1"/>
  <c r="K638" i="1"/>
  <c r="L638" i="1" s="1"/>
  <c r="K1827" i="1"/>
  <c r="L1827" i="1" s="1"/>
  <c r="K484" i="1"/>
  <c r="L484" i="1" s="1"/>
  <c r="K709" i="1"/>
  <c r="L709" i="1" s="1"/>
  <c r="K284" i="1"/>
  <c r="L284" i="1" s="1"/>
  <c r="K984" i="1"/>
  <c r="L984" i="1" s="1"/>
  <c r="K1567" i="1"/>
  <c r="L1567" i="1" s="1"/>
  <c r="K918" i="1"/>
  <c r="L918" i="1" s="1"/>
  <c r="K963" i="1"/>
  <c r="L963" i="1" s="1"/>
  <c r="K734" i="1"/>
  <c r="L734" i="1" s="1"/>
  <c r="K762" i="1"/>
  <c r="L762" i="1" s="1"/>
  <c r="K555" i="1"/>
  <c r="L555" i="1" s="1"/>
  <c r="K603" i="1"/>
  <c r="L603" i="1" s="1"/>
  <c r="K463" i="1"/>
  <c r="L463" i="1" s="1"/>
  <c r="K800" i="1"/>
  <c r="L800" i="1" s="1"/>
  <c r="K1633" i="1"/>
  <c r="L1633" i="1" s="1"/>
  <c r="K476" i="1"/>
  <c r="L476" i="1" s="1"/>
  <c r="K1828" i="1"/>
  <c r="L1828" i="1" s="1"/>
  <c r="K950" i="1"/>
  <c r="L950" i="1" s="1"/>
  <c r="K907" i="1"/>
  <c r="L907" i="1" s="1"/>
  <c r="K1081" i="1"/>
  <c r="L1081" i="1" s="1"/>
  <c r="K1680" i="1"/>
  <c r="L1680" i="1" s="1"/>
  <c r="K1804" i="1"/>
  <c r="L1804" i="1" s="1"/>
  <c r="K1277" i="1"/>
  <c r="L1277" i="1" s="1"/>
  <c r="K1853" i="1"/>
  <c r="L1853" i="1" s="1"/>
  <c r="K276" i="1"/>
  <c r="L276" i="1" s="1"/>
  <c r="K680" i="1"/>
  <c r="L680" i="1" s="1"/>
  <c r="K1170" i="1"/>
  <c r="L1170" i="1" s="1"/>
  <c r="K1353" i="1"/>
  <c r="L1353" i="1" s="1"/>
  <c r="K1614" i="1"/>
  <c r="L1614" i="1" s="1"/>
  <c r="K991" i="1"/>
  <c r="L991" i="1" s="1"/>
  <c r="K1745" i="1"/>
  <c r="L1745" i="1" s="1"/>
  <c r="K307" i="1"/>
  <c r="L307" i="1" s="1"/>
  <c r="K1843" i="1"/>
  <c r="L1843" i="1" s="1"/>
  <c r="K348" i="1"/>
  <c r="L348" i="1" s="1"/>
  <c r="K238" i="1"/>
  <c r="L238" i="1" s="1"/>
  <c r="K1575" i="1"/>
  <c r="L1575" i="1" s="1"/>
  <c r="K594" i="1"/>
  <c r="L594" i="1" s="1"/>
  <c r="K851" i="1"/>
  <c r="L851" i="1" s="1"/>
  <c r="K292" i="1"/>
  <c r="L292" i="1" s="1"/>
  <c r="K362" i="1"/>
  <c r="L362" i="1" s="1"/>
  <c r="K1634" i="1"/>
  <c r="L1634" i="1" s="1"/>
  <c r="K1977" i="1"/>
  <c r="L1977" i="1" s="1"/>
  <c r="K1332" i="1"/>
  <c r="L1332" i="1" s="1"/>
  <c r="K1806" i="1"/>
  <c r="L1806" i="1" s="1"/>
  <c r="K1672" i="1"/>
  <c r="L1672" i="1" s="1"/>
  <c r="K755" i="1"/>
  <c r="L755" i="1" s="1"/>
  <c r="K1412" i="1"/>
  <c r="L1412" i="1" s="1"/>
  <c r="K1933" i="1"/>
  <c r="L1933" i="1" s="1"/>
  <c r="K729" i="1"/>
  <c r="L729" i="1" s="1"/>
  <c r="K352" i="1"/>
  <c r="L352" i="1" s="1"/>
  <c r="K118" i="1"/>
  <c r="L118" i="1" s="1"/>
  <c r="K1847" i="1"/>
  <c r="L1847" i="1" s="1"/>
  <c r="K1495" i="1"/>
  <c r="L1495" i="1" s="1"/>
  <c r="K530" i="1"/>
  <c r="L530" i="1" s="1"/>
  <c r="K947" i="1"/>
  <c r="L947" i="1" s="1"/>
  <c r="K1948" i="1"/>
  <c r="L1948" i="1" s="1"/>
  <c r="K1799" i="1"/>
  <c r="L1799" i="1" s="1"/>
  <c r="K1829" i="1"/>
  <c r="L1829" i="1" s="1"/>
  <c r="K528" i="1"/>
  <c r="L528" i="1" s="1"/>
  <c r="K913" i="1"/>
  <c r="L913" i="1" s="1"/>
  <c r="K1512" i="1"/>
  <c r="L1512" i="1" s="1"/>
  <c r="K946" i="1"/>
  <c r="L946" i="1" s="1"/>
  <c r="K1299" i="1"/>
  <c r="L1299" i="1" s="1"/>
  <c r="K820" i="1"/>
  <c r="L820" i="1" s="1"/>
  <c r="K272" i="1"/>
  <c r="L272" i="1" s="1"/>
  <c r="K982" i="1"/>
  <c r="L982" i="1" s="1"/>
  <c r="K331" i="1"/>
  <c r="L331" i="1" s="1"/>
  <c r="K1301" i="1"/>
  <c r="L1301" i="1" s="1"/>
  <c r="K1480" i="1"/>
  <c r="L1480" i="1" s="1"/>
  <c r="K626" i="1"/>
  <c r="L626" i="1" s="1"/>
  <c r="K1962" i="1"/>
  <c r="L1962" i="1" s="1"/>
  <c r="K373" i="1"/>
  <c r="L373" i="1" s="1"/>
  <c r="K1013" i="1"/>
  <c r="L1013" i="1" s="1"/>
  <c r="K1333" i="1"/>
  <c r="L1333" i="1" s="1"/>
  <c r="K1982" i="1"/>
  <c r="L1982" i="1" s="1"/>
  <c r="K329" i="1"/>
  <c r="L329" i="1" s="1"/>
  <c r="K328" i="1"/>
  <c r="L328" i="1" s="1"/>
  <c r="K1609" i="1"/>
  <c r="L1609" i="1" s="1"/>
  <c r="K490" i="1"/>
  <c r="L490" i="1" s="1"/>
  <c r="K597" i="1"/>
  <c r="L597" i="1" s="1"/>
  <c r="K1199" i="1"/>
  <c r="L1199" i="1" s="1"/>
  <c r="K1908" i="1"/>
  <c r="L1908" i="1" s="1"/>
  <c r="K1600" i="1"/>
  <c r="L1600" i="1" s="1"/>
  <c r="K473" i="1"/>
  <c r="L473" i="1" s="1"/>
  <c r="K1274" i="1"/>
  <c r="L1274" i="1" s="1"/>
  <c r="K1904" i="1"/>
  <c r="L1904" i="1" s="1"/>
  <c r="K106" i="1"/>
  <c r="L106" i="1" s="1"/>
  <c r="K1232" i="1"/>
  <c r="L1232" i="1" s="1"/>
  <c r="K1280" i="1"/>
  <c r="L1280" i="1" s="1"/>
  <c r="K325" i="1"/>
  <c r="L325" i="1" s="1"/>
  <c r="K1339" i="1"/>
  <c r="L1339" i="1" s="1"/>
  <c r="K207" i="1"/>
  <c r="L207" i="1" s="1"/>
  <c r="K1531" i="1"/>
  <c r="L1531" i="1" s="1"/>
  <c r="K1468" i="1"/>
  <c r="L1468" i="1" s="1"/>
  <c r="K1255" i="1"/>
  <c r="L1255" i="1" s="1"/>
  <c r="K282" i="1"/>
  <c r="L282" i="1" s="1"/>
  <c r="K133" i="1"/>
  <c r="L133" i="1" s="1"/>
  <c r="K98" i="1"/>
  <c r="L98" i="1" s="1"/>
  <c r="K689" i="1"/>
  <c r="L689" i="1" s="1"/>
  <c r="K1596" i="1"/>
  <c r="L1596" i="1" s="1"/>
  <c r="K1612" i="1"/>
  <c r="L1612" i="1" s="1"/>
  <c r="K1116" i="1"/>
  <c r="L1116" i="1" s="1"/>
  <c r="K183" i="1"/>
  <c r="L183" i="1" s="1"/>
  <c r="K1489" i="1"/>
  <c r="L1489" i="1" s="1"/>
  <c r="K237" i="1"/>
  <c r="L237" i="1" s="1"/>
  <c r="K1261" i="1"/>
  <c r="L1261" i="1" s="1"/>
  <c r="K318" i="1"/>
  <c r="L318" i="1" s="1"/>
  <c r="K1195" i="1"/>
  <c r="L1195" i="1" s="1"/>
  <c r="K485" i="1"/>
  <c r="L485" i="1" s="1"/>
  <c r="K132" i="1"/>
  <c r="L132" i="1" s="1"/>
  <c r="K966" i="1"/>
  <c r="L966" i="1" s="1"/>
  <c r="K380" i="1"/>
  <c r="L380" i="1" s="1"/>
  <c r="K464" i="1"/>
  <c r="L464" i="1" s="1"/>
  <c r="K1616" i="1"/>
  <c r="L1616" i="1" s="1"/>
  <c r="K1026" i="1"/>
  <c r="L1026" i="1" s="1"/>
  <c r="K343" i="1"/>
  <c r="L343" i="1" s="1"/>
  <c r="K1589" i="1"/>
  <c r="L1589" i="1" s="1"/>
  <c r="K646" i="1"/>
  <c r="L646" i="1" s="1"/>
  <c r="K1711" i="1"/>
  <c r="L1711" i="1" s="1"/>
  <c r="K1991" i="1"/>
  <c r="L1991" i="1" s="1"/>
  <c r="K1918" i="1"/>
  <c r="L1918" i="1" s="1"/>
  <c r="K1284" i="1"/>
  <c r="L1284" i="1" s="1"/>
  <c r="K1963" i="1"/>
  <c r="L1963" i="1" s="1"/>
  <c r="K504" i="1"/>
  <c r="L504" i="1" s="1"/>
  <c r="K1664" i="1"/>
  <c r="L1664" i="1" s="1"/>
  <c r="K443" i="1"/>
  <c r="L443" i="1" s="1"/>
  <c r="K901" i="1"/>
  <c r="L901" i="1" s="1"/>
  <c r="K1210" i="1"/>
  <c r="L1210" i="1" s="1"/>
  <c r="K1115" i="1"/>
  <c r="L1115" i="1" s="1"/>
  <c r="K1282" i="1"/>
  <c r="L1282" i="1" s="1"/>
  <c r="K1707" i="1"/>
  <c r="L1707" i="1" s="1"/>
  <c r="K1428" i="1"/>
  <c r="L1428" i="1" s="1"/>
  <c r="K1118" i="1"/>
  <c r="L1118" i="1" s="1"/>
  <c r="K397" i="1"/>
  <c r="L397" i="1" s="1"/>
  <c r="K376" i="1"/>
  <c r="L376" i="1" s="1"/>
  <c r="K219" i="1"/>
  <c r="L219" i="1" s="1"/>
  <c r="K824" i="1"/>
  <c r="L824" i="1" s="1"/>
  <c r="K1088" i="1"/>
  <c r="L1088" i="1" s="1"/>
  <c r="K1094" i="1"/>
  <c r="L1094" i="1" s="1"/>
  <c r="K1082" i="1"/>
  <c r="L1082" i="1" s="1"/>
  <c r="K1795" i="1"/>
  <c r="L1795" i="1" s="1"/>
  <c r="K524" i="1"/>
  <c r="L524" i="1" s="1"/>
  <c r="K580" i="1"/>
  <c r="L580" i="1" s="1"/>
  <c r="K280" i="1"/>
  <c r="L280" i="1" s="1"/>
  <c r="K1705" i="1"/>
  <c r="L1705" i="1" s="1"/>
  <c r="K706" i="1"/>
  <c r="L706" i="1" s="1"/>
  <c r="K1032" i="1"/>
  <c r="L1032" i="1" s="1"/>
  <c r="K178" i="1"/>
  <c r="L178" i="1" s="1"/>
  <c r="K659" i="1"/>
  <c r="L659" i="1" s="1"/>
  <c r="K108" i="1"/>
  <c r="L108" i="1" s="1"/>
  <c r="K1124" i="1"/>
  <c r="L1124" i="1" s="1"/>
  <c r="K150" i="1"/>
  <c r="L150" i="1" s="1"/>
  <c r="K1311" i="1"/>
  <c r="L1311" i="1" s="1"/>
  <c r="K850" i="1"/>
  <c r="L850" i="1" s="1"/>
  <c r="K1491" i="1"/>
  <c r="L1491" i="1" s="1"/>
  <c r="K1316" i="1"/>
  <c r="L1316" i="1" s="1"/>
  <c r="K1214" i="1"/>
  <c r="L1214" i="1" s="1"/>
  <c r="K1051" i="1"/>
  <c r="L1051" i="1" s="1"/>
  <c r="K199" i="1"/>
  <c r="L199" i="1" s="1"/>
  <c r="K293" i="1"/>
  <c r="L293" i="1" s="1"/>
  <c r="K1647" i="1"/>
  <c r="L1647" i="1" s="1"/>
  <c r="K265" i="1"/>
  <c r="L265" i="1" s="1"/>
  <c r="K883" i="1"/>
  <c r="L883" i="1" s="1"/>
  <c r="K396" i="1"/>
  <c r="L396" i="1" s="1"/>
  <c r="K1602" i="1"/>
  <c r="L1602" i="1" s="1"/>
  <c r="K625" i="1"/>
  <c r="L625" i="1" s="1"/>
  <c r="K1820" i="1"/>
  <c r="L1820" i="1" s="1"/>
  <c r="K1911" i="1"/>
  <c r="L1911" i="1" s="1"/>
  <c r="K1322" i="1"/>
  <c r="L1322" i="1" s="1"/>
  <c r="K296" i="1"/>
  <c r="L296" i="1" s="1"/>
  <c r="K1010" i="1"/>
  <c r="L1010" i="1" s="1"/>
  <c r="K1171" i="1"/>
  <c r="L1171" i="1" s="1"/>
  <c r="K988" i="1"/>
  <c r="L988" i="1" s="1"/>
  <c r="K496" i="1"/>
  <c r="L496" i="1" s="1"/>
  <c r="K960" i="1"/>
  <c r="L960" i="1" s="1"/>
  <c r="K1293" i="1"/>
  <c r="L1293" i="1" s="1"/>
  <c r="K1740" i="1"/>
  <c r="L1740" i="1" s="1"/>
  <c r="K1928" i="1"/>
  <c r="L1928" i="1" s="1"/>
  <c r="K1490" i="1"/>
  <c r="L1490" i="1" s="1"/>
  <c r="K1459" i="1"/>
  <c r="L1459" i="1" s="1"/>
  <c r="K1444" i="1"/>
  <c r="L1444" i="1" s="1"/>
  <c r="K1922" i="1"/>
  <c r="L1922" i="1" s="1"/>
  <c r="K48" i="1"/>
  <c r="L48" i="1" s="1"/>
  <c r="K23" i="1"/>
  <c r="L23" i="1" s="1"/>
  <c r="K1290" i="1"/>
  <c r="L1290" i="1" s="1"/>
  <c r="K73" i="1"/>
  <c r="L73" i="1" s="1"/>
  <c r="K978" i="1"/>
  <c r="L978" i="1" s="1"/>
  <c r="K522" i="1"/>
  <c r="L522" i="1" s="1"/>
  <c r="K437" i="1"/>
  <c r="L437" i="1" s="1"/>
  <c r="K1365" i="1"/>
  <c r="L1365" i="1" s="1"/>
  <c r="K134" i="1"/>
  <c r="L134" i="1" s="1"/>
  <c r="K622" i="1"/>
  <c r="L622" i="1" s="1"/>
  <c r="K1064" i="1"/>
  <c r="L1064" i="1" s="1"/>
  <c r="K402" i="1"/>
  <c r="L402" i="1" s="1"/>
  <c r="K117" i="1"/>
  <c r="L117" i="1" s="1"/>
  <c r="K661" i="1"/>
  <c r="L661" i="1" s="1"/>
  <c r="K119" i="1"/>
  <c r="L119" i="1" s="1"/>
  <c r="K507" i="1"/>
  <c r="L507" i="1" s="1"/>
  <c r="K1667" i="1"/>
  <c r="L1667" i="1" s="1"/>
  <c r="K461" i="1"/>
  <c r="L461" i="1" s="1"/>
  <c r="K940" i="1"/>
  <c r="L940" i="1" s="1"/>
  <c r="K258" i="1"/>
  <c r="L258" i="1" s="1"/>
  <c r="K1696" i="1"/>
  <c r="L1696" i="1" s="1"/>
  <c r="K816" i="1"/>
  <c r="L816" i="1" s="1"/>
  <c r="K288" i="1"/>
  <c r="L288" i="1" s="1"/>
  <c r="K389" i="1"/>
  <c r="L389" i="1" s="1"/>
  <c r="K1507" i="1"/>
  <c r="L1507" i="1" s="1"/>
  <c r="K1912" i="1"/>
  <c r="L1912" i="1" s="1"/>
  <c r="K323" i="1"/>
  <c r="L323" i="1" s="1"/>
  <c r="K1175" i="1"/>
  <c r="L1175" i="1" s="1"/>
  <c r="K228" i="1"/>
  <c r="L228" i="1" s="1"/>
  <c r="K1236" i="1"/>
  <c r="L1236" i="1" s="1"/>
  <c r="K698" i="1"/>
  <c r="L698" i="1" s="1"/>
  <c r="K1542" i="1"/>
  <c r="L1542" i="1" s="1"/>
  <c r="K449" i="1"/>
  <c r="L449" i="1" s="1"/>
  <c r="K1558" i="1"/>
  <c r="L1558" i="1" s="1"/>
  <c r="K653" i="1"/>
  <c r="L653" i="1" s="1"/>
  <c r="K1356" i="1"/>
  <c r="L1356" i="1" s="1"/>
  <c r="K576" i="1"/>
  <c r="L576" i="1" s="1"/>
  <c r="K429" i="1"/>
  <c r="L429" i="1" s="1"/>
  <c r="K1645" i="1"/>
  <c r="L1645" i="1" s="1"/>
  <c r="K510" i="1"/>
  <c r="L510" i="1" s="1"/>
  <c r="K1956" i="1"/>
  <c r="L1956" i="1" s="1"/>
  <c r="K1777" i="1"/>
  <c r="L1777" i="1" s="1"/>
  <c r="K478" i="1"/>
  <c r="L478" i="1" s="1"/>
  <c r="K1776" i="1"/>
  <c r="L1776" i="1" s="1"/>
  <c r="K266" i="1"/>
  <c r="L266" i="1" s="1"/>
  <c r="K1345" i="1"/>
  <c r="L1345" i="1" s="1"/>
  <c r="K1891" i="1"/>
  <c r="L1891" i="1" s="1"/>
  <c r="K1791" i="1"/>
  <c r="L1791" i="1" s="1"/>
  <c r="K971" i="1"/>
  <c r="L971" i="1" s="1"/>
  <c r="K742" i="1"/>
  <c r="L742" i="1" s="1"/>
  <c r="K1879" i="1"/>
  <c r="L1879" i="1" s="1"/>
  <c r="K224" i="1"/>
  <c r="L224" i="1" s="1"/>
  <c r="K1951" i="1"/>
  <c r="L1951" i="1" s="1"/>
  <c r="K1338" i="1"/>
  <c r="L1338" i="1" s="1"/>
  <c r="K1179" i="1"/>
  <c r="L1179" i="1" s="1"/>
  <c r="K1613" i="1"/>
  <c r="L1613" i="1" s="1"/>
  <c r="K948" i="1"/>
  <c r="L948" i="1" s="1"/>
  <c r="K1157" i="1"/>
  <c r="L1157" i="1" s="1"/>
  <c r="K586" i="1"/>
  <c r="L586" i="1" s="1"/>
  <c r="K1748" i="1"/>
  <c r="L1748" i="1" s="1"/>
  <c r="K1411" i="1"/>
  <c r="L1411" i="1" s="1"/>
  <c r="K1347" i="1"/>
  <c r="L1347" i="1" s="1"/>
  <c r="K1169" i="1"/>
  <c r="L1169" i="1" s="1"/>
  <c r="K1246" i="1"/>
  <c r="L1246" i="1" s="1"/>
  <c r="K973" i="1"/>
  <c r="L973" i="1" s="1"/>
  <c r="K1980" i="1"/>
  <c r="L1980" i="1" s="1"/>
  <c r="K1167" i="1"/>
  <c r="L1167" i="1" s="1"/>
  <c r="K1898" i="1"/>
  <c r="L1898" i="1" s="1"/>
  <c r="K1248" i="1"/>
  <c r="L1248" i="1" s="1"/>
  <c r="K1638" i="1"/>
  <c r="L1638" i="1" s="1"/>
  <c r="K1477" i="1"/>
  <c r="L1477" i="1" s="1"/>
  <c r="K1872" i="1"/>
  <c r="L1872" i="1" s="1"/>
  <c r="K235" i="1"/>
  <c r="L235" i="1" s="1"/>
  <c r="K195" i="1"/>
  <c r="L195" i="1" s="1"/>
  <c r="K1276" i="1"/>
  <c r="L1276" i="1" s="1"/>
  <c r="K1818" i="1"/>
  <c r="L1818" i="1" s="1"/>
  <c r="K710" i="1"/>
  <c r="L710" i="1" s="1"/>
  <c r="K1350" i="1"/>
  <c r="L1350" i="1" s="1"/>
  <c r="K1303" i="1"/>
  <c r="L1303" i="1" s="1"/>
  <c r="K1728" i="1"/>
  <c r="L1728" i="1" s="1"/>
  <c r="K1941" i="1"/>
  <c r="L1941" i="1" s="1"/>
  <c r="K1727" i="1"/>
  <c r="L1727" i="1" s="1"/>
  <c r="K634" i="1"/>
  <c r="L634" i="1" s="1"/>
  <c r="K1516" i="1"/>
  <c r="L1516" i="1" s="1"/>
  <c r="K955" i="1"/>
  <c r="L955" i="1" s="1"/>
  <c r="K442" i="1"/>
  <c r="L442" i="1" s="1"/>
  <c r="K1965" i="1"/>
  <c r="L1965" i="1" s="1"/>
  <c r="K22" i="1"/>
  <c r="L22" i="1" s="1"/>
  <c r="K1441" i="1"/>
  <c r="L1441" i="1" s="1"/>
  <c r="K717" i="1"/>
  <c r="L717" i="1" s="1"/>
  <c r="K1452" i="1"/>
  <c r="L1452" i="1" s="1"/>
  <c r="K868" i="1"/>
  <c r="L868" i="1" s="1"/>
  <c r="K1679" i="1"/>
  <c r="L1679" i="1" s="1"/>
  <c r="K972" i="1"/>
  <c r="L972" i="1" s="1"/>
  <c r="K1283" i="1"/>
  <c r="L1283" i="1" s="1"/>
  <c r="K16" i="1"/>
  <c r="L16" i="1" s="1"/>
  <c r="K773" i="1"/>
  <c r="L773" i="1" s="1"/>
  <c r="K1381" i="1"/>
  <c r="L1381" i="1" s="1"/>
  <c r="K1367" i="1"/>
  <c r="L1367" i="1" s="1"/>
  <c r="K6" i="1"/>
  <c r="L6" i="1" s="1"/>
  <c r="K2" i="1"/>
  <c r="L2" i="1" s="1"/>
  <c r="K225" i="1"/>
  <c r="L225" i="1" s="1"/>
  <c r="K1438" i="1"/>
  <c r="L1438" i="1" s="1"/>
  <c r="K867" i="1"/>
  <c r="L867" i="1" s="1"/>
  <c r="K1529" i="1"/>
  <c r="L1529" i="1" s="1"/>
  <c r="K1692" i="1"/>
  <c r="L1692" i="1" s="1"/>
  <c r="K1306" i="1"/>
  <c r="L1306" i="1" s="1"/>
  <c r="K113" i="1"/>
  <c r="L113" i="1" s="1"/>
  <c r="K1144" i="1"/>
  <c r="L1144" i="1" s="1"/>
  <c r="K945" i="1"/>
  <c r="L945" i="1" s="1"/>
  <c r="K1913" i="1"/>
  <c r="L1913" i="1" s="1"/>
  <c r="K204" i="1"/>
  <c r="L204" i="1" s="1"/>
  <c r="K367" i="1"/>
  <c r="L367" i="1" s="1"/>
  <c r="K929" i="1"/>
  <c r="L929" i="1" s="1"/>
  <c r="K301" i="1"/>
  <c r="L301" i="1" s="1"/>
  <c r="K1966" i="1"/>
  <c r="L1966" i="1" s="1"/>
  <c r="K606" i="1"/>
  <c r="L606" i="1" s="1"/>
  <c r="K1182" i="1"/>
  <c r="L1182" i="1" s="1"/>
  <c r="K431" i="1"/>
  <c r="L431" i="1" s="1"/>
  <c r="K203" i="1"/>
  <c r="L203" i="1" s="1"/>
  <c r="K589" i="1"/>
  <c r="L589" i="1" s="1"/>
  <c r="K246" i="1"/>
  <c r="L246" i="1" s="1"/>
  <c r="K278" i="1"/>
  <c r="L278" i="1" s="1"/>
  <c r="K1252" i="1"/>
  <c r="L1252" i="1" s="1"/>
  <c r="K1771" i="1"/>
  <c r="L1771" i="1" s="1"/>
  <c r="K1846" i="1"/>
  <c r="L1846" i="1" s="1"/>
  <c r="K100" i="1"/>
  <c r="L100" i="1" s="1"/>
  <c r="K1221" i="1"/>
  <c r="L1221" i="1" s="1"/>
  <c r="K835" i="1"/>
  <c r="L835" i="1" s="1"/>
  <c r="K1319" i="1"/>
  <c r="L1319" i="1" s="1"/>
  <c r="K1434" i="1"/>
  <c r="L1434" i="1" s="1"/>
  <c r="K1238" i="1"/>
  <c r="L1238" i="1" s="1"/>
  <c r="K1723" i="1"/>
  <c r="L1723" i="1" s="1"/>
  <c r="K55" i="1"/>
  <c r="L55" i="1" s="1"/>
  <c r="K1271" i="1"/>
  <c r="L1271" i="1" s="1"/>
  <c r="K768" i="1"/>
  <c r="L768" i="1" s="1"/>
  <c r="K1184" i="1"/>
  <c r="L1184" i="1" s="1"/>
  <c r="K1888" i="1"/>
  <c r="L1888" i="1" s="1"/>
  <c r="K417" i="1"/>
  <c r="L417" i="1" s="1"/>
  <c r="K1377" i="1"/>
  <c r="L1377" i="1" s="1"/>
  <c r="K1111" i="1"/>
  <c r="L1111" i="1" s="1"/>
  <c r="K926" i="1"/>
  <c r="L926" i="1" s="1"/>
  <c r="K1822" i="1"/>
  <c r="L1822" i="1" s="1"/>
  <c r="K1502" i="1"/>
  <c r="L1502" i="1" s="1"/>
  <c r="K1393" i="1"/>
  <c r="L1393" i="1" s="1"/>
  <c r="K1627" i="1"/>
  <c r="L1627" i="1" s="1"/>
  <c r="K1566" i="1"/>
  <c r="L1566" i="1" s="1"/>
  <c r="K327" i="1"/>
  <c r="L327" i="1" s="1"/>
  <c r="K1231" i="1"/>
  <c r="L1231" i="1" s="1"/>
  <c r="K1378" i="1"/>
  <c r="L1378" i="1" s="1"/>
  <c r="K1688" i="1"/>
  <c r="L1688" i="1" s="1"/>
  <c r="K1241" i="1"/>
  <c r="L1241" i="1" s="1"/>
  <c r="K1052" i="1"/>
  <c r="L1052" i="1" s="1"/>
  <c r="K1369" i="1"/>
  <c r="L1369" i="1" s="1"/>
  <c r="K1720" i="1"/>
  <c r="L1720" i="1" s="1"/>
  <c r="K719" i="1"/>
  <c r="L719" i="1" s="1"/>
  <c r="K760" i="1"/>
  <c r="L760" i="1" s="1"/>
  <c r="K1761" i="1"/>
  <c r="L1761" i="1" s="1"/>
  <c r="K1546" i="1"/>
  <c r="L1546" i="1" s="1"/>
  <c r="K248" i="1"/>
  <c r="L248" i="1" s="1"/>
  <c r="K1497" i="1"/>
  <c r="L1497" i="1" s="1"/>
  <c r="K1849" i="1"/>
  <c r="L1849" i="1" s="1"/>
  <c r="K1227" i="1"/>
  <c r="L1227" i="1" s="1"/>
  <c r="K68" i="1"/>
  <c r="L68" i="1" s="1"/>
  <c r="K569" i="1"/>
  <c r="L569" i="1" s="1"/>
  <c r="K807" i="1"/>
  <c r="L807" i="1" s="1"/>
  <c r="K1041" i="1"/>
  <c r="L1041" i="1" s="1"/>
  <c r="K609" i="1"/>
  <c r="L609" i="1" s="1"/>
  <c r="K650" i="1"/>
  <c r="L650" i="1" s="1"/>
  <c r="K651" i="1"/>
  <c r="L651" i="1" s="1"/>
  <c r="K593" i="1"/>
  <c r="L593" i="1" s="1"/>
  <c r="K1162" i="1"/>
  <c r="L1162" i="1" s="1"/>
  <c r="K811" i="1"/>
  <c r="L811" i="1" s="1"/>
  <c r="K987" i="1"/>
  <c r="L987" i="1" s="1"/>
  <c r="K668" i="1"/>
  <c r="L668" i="1" s="1"/>
  <c r="K676" i="1"/>
  <c r="L676" i="1" s="1"/>
  <c r="K364" i="1"/>
  <c r="L364" i="1" s="1"/>
  <c r="K753" i="1"/>
  <c r="L753" i="1" s="1"/>
  <c r="K1155" i="1"/>
  <c r="L1155" i="1" s="1"/>
  <c r="K679" i="1"/>
  <c r="L679" i="1" s="1"/>
  <c r="K1084" i="1"/>
  <c r="L1084" i="1" s="1"/>
  <c r="K985" i="1"/>
  <c r="L985" i="1" s="1"/>
  <c r="K1136" i="1"/>
  <c r="L1136" i="1" s="1"/>
  <c r="K84" i="1"/>
  <c r="L84" i="1" s="1"/>
  <c r="K1955" i="1"/>
  <c r="L1955" i="1" s="1"/>
  <c r="K977" i="1"/>
  <c r="L977" i="1" s="1"/>
  <c r="K455" i="1"/>
  <c r="L455" i="1" s="1"/>
  <c r="K772" i="1"/>
  <c r="L772" i="1" s="1"/>
  <c r="K976" i="1"/>
  <c r="L976" i="1" s="1"/>
  <c r="K876" i="1"/>
  <c r="L876" i="1" s="1"/>
  <c r="K217" i="1"/>
  <c r="L217" i="1" s="1"/>
  <c r="K177" i="1"/>
  <c r="L177" i="1" s="1"/>
  <c r="K231" i="1"/>
  <c r="L231" i="1" s="1"/>
  <c r="K148" i="1"/>
  <c r="L148" i="1" s="1"/>
  <c r="K1626" i="1"/>
  <c r="L1626" i="1" s="1"/>
  <c r="K39" i="1"/>
  <c r="L39" i="1" s="1"/>
  <c r="K1814" i="1"/>
  <c r="L1814" i="1" s="1"/>
  <c r="K692" i="1"/>
  <c r="L692" i="1" s="1"/>
  <c r="K32" i="1"/>
  <c r="L32" i="1" s="1"/>
  <c r="K97" i="1"/>
  <c r="L97" i="1" s="1"/>
  <c r="K1519" i="1"/>
  <c r="L1519" i="1" s="1"/>
  <c r="K1060" i="1"/>
  <c r="L1060" i="1" s="1"/>
  <c r="K1164" i="1"/>
  <c r="L1164" i="1" s="1"/>
  <c r="K954" i="1"/>
  <c r="L954" i="1" s="1"/>
  <c r="K1312" i="1"/>
  <c r="L1312" i="1" s="1"/>
  <c r="K1401" i="1"/>
  <c r="L1401" i="1" s="1"/>
  <c r="K1492" i="1"/>
  <c r="L1492" i="1" s="1"/>
  <c r="K44" i="1"/>
  <c r="L44" i="1" s="1"/>
  <c r="K1455" i="1"/>
  <c r="L1455" i="1" s="1"/>
  <c r="K1008" i="1"/>
  <c r="L1008" i="1" s="1"/>
  <c r="K1580" i="1"/>
  <c r="L1580" i="1" s="1"/>
  <c r="K1399" i="1"/>
  <c r="L1399" i="1" s="1"/>
  <c r="K577" i="1"/>
  <c r="L577" i="1" s="1"/>
  <c r="K1867" i="1"/>
  <c r="L1867" i="1" s="1"/>
  <c r="K229" i="1"/>
  <c r="L229" i="1" s="1"/>
  <c r="K933" i="1"/>
  <c r="L933" i="1" s="1"/>
  <c r="K1573" i="1"/>
  <c r="L1573" i="1" s="1"/>
  <c r="K54" i="1"/>
  <c r="L54" i="1" s="1"/>
  <c r="K848" i="1"/>
  <c r="L848" i="1" s="1"/>
  <c r="K254" i="1"/>
  <c r="L254" i="1" s="1"/>
  <c r="K1868" i="1"/>
  <c r="L1868" i="1" s="1"/>
  <c r="K1524" i="1"/>
  <c r="L1524" i="1" s="1"/>
  <c r="K450" i="1"/>
  <c r="L450" i="1" s="1"/>
  <c r="K1313" i="1"/>
  <c r="L1313" i="1" s="1"/>
  <c r="K1590" i="1"/>
  <c r="L1590" i="1" s="1"/>
  <c r="K314" i="1"/>
  <c r="L314" i="1" s="1"/>
  <c r="K1943" i="1"/>
  <c r="L1943" i="1" s="1"/>
  <c r="K321" i="1"/>
  <c r="L321" i="1" s="1"/>
  <c r="K587" i="1"/>
  <c r="L587" i="1" s="1"/>
  <c r="K1211" i="1"/>
  <c r="L1211" i="1" s="1"/>
  <c r="K890" i="1"/>
  <c r="L890" i="1" s="1"/>
  <c r="K699" i="1"/>
  <c r="L699" i="1" s="1"/>
  <c r="K784" i="1"/>
  <c r="L784" i="1" s="1"/>
  <c r="K781" i="1"/>
  <c r="L781" i="1" s="1"/>
  <c r="K158" i="1"/>
  <c r="L158" i="1" s="1"/>
  <c r="K798" i="1"/>
  <c r="L798" i="1" s="1"/>
  <c r="K1278" i="1"/>
  <c r="L1278" i="1" s="1"/>
  <c r="K1071" i="1"/>
  <c r="L1071" i="1" s="1"/>
  <c r="K1069" i="1"/>
  <c r="L1069" i="1" s="1"/>
  <c r="K1656" i="1"/>
  <c r="L1656" i="1" s="1"/>
  <c r="K1265" i="1"/>
  <c r="L1265" i="1" s="1"/>
  <c r="K836" i="1"/>
  <c r="L836" i="1" s="1"/>
  <c r="K1886" i="1"/>
  <c r="L1886" i="1" s="1"/>
  <c r="K1354" i="1"/>
  <c r="L1354" i="1" s="1"/>
  <c r="K1244" i="1"/>
  <c r="L1244" i="1" s="1"/>
  <c r="K1466" i="1"/>
  <c r="L1466" i="1" s="1"/>
  <c r="K71" i="1"/>
  <c r="L71" i="1" s="1"/>
  <c r="K675" i="1"/>
  <c r="L675" i="1" s="1"/>
  <c r="K790" i="1"/>
  <c r="L790" i="1" s="1"/>
  <c r="K683" i="1"/>
  <c r="L683" i="1" s="1"/>
  <c r="K934" i="1"/>
  <c r="L934" i="1" s="1"/>
  <c r="K663" i="1"/>
  <c r="L663" i="1" s="1"/>
  <c r="K256" i="1"/>
  <c r="L256" i="1" s="1"/>
  <c r="K1984" i="1"/>
  <c r="L1984" i="1" s="1"/>
  <c r="K673" i="1"/>
  <c r="L673" i="1" s="1"/>
  <c r="K394" i="1"/>
  <c r="L394" i="1" s="1"/>
  <c r="K1702" i="1"/>
  <c r="L1702" i="1" s="1"/>
  <c r="K571" i="1"/>
  <c r="L571" i="1" s="1"/>
  <c r="K1836" i="1"/>
  <c r="L1836" i="1" s="1"/>
  <c r="K1220" i="1"/>
  <c r="L1220" i="1" s="1"/>
  <c r="K1562" i="1"/>
  <c r="L1562" i="1" s="1"/>
  <c r="K1145" i="1"/>
  <c r="L1145" i="1" s="1"/>
  <c r="K257" i="1"/>
  <c r="L257" i="1" s="1"/>
  <c r="K857" i="1"/>
  <c r="L857" i="1" s="1"/>
  <c r="K161" i="1"/>
  <c r="L161" i="1" s="1"/>
  <c r="K554" i="1"/>
  <c r="L554" i="1" s="1"/>
  <c r="K1762" i="1"/>
  <c r="L1762" i="1" s="1"/>
  <c r="K289" i="1"/>
  <c r="L289" i="1" s="1"/>
  <c r="K642" i="1"/>
  <c r="L642" i="1" s="1"/>
  <c r="K1388" i="1"/>
  <c r="L1388" i="1" s="1"/>
  <c r="K1860" i="1"/>
  <c r="L1860" i="1" s="1"/>
  <c r="K656" i="1"/>
  <c r="L656" i="1" s="1"/>
  <c r="K1103" i="1"/>
  <c r="L1103" i="1" s="1"/>
  <c r="K185" i="1"/>
  <c r="L185" i="1" s="1"/>
  <c r="K833" i="1"/>
  <c r="L833" i="1" s="1"/>
  <c r="K547" i="1"/>
  <c r="L547" i="1" s="1"/>
  <c r="K1186" i="1"/>
  <c r="L1186" i="1" s="1"/>
  <c r="K400" i="1"/>
  <c r="L400" i="1" s="1"/>
  <c r="K899" i="1"/>
  <c r="L899" i="1" s="1"/>
  <c r="K592" i="1"/>
  <c r="L592" i="1" s="1"/>
  <c r="K1092" i="1"/>
  <c r="L1092" i="1" s="1"/>
  <c r="K827" i="1"/>
  <c r="L827" i="1" s="1"/>
  <c r="K1188" i="1"/>
  <c r="L1188" i="1" s="1"/>
  <c r="K59" i="1"/>
  <c r="L59" i="1" s="1"/>
  <c r="K1002" i="1"/>
  <c r="L1002" i="1" s="1"/>
  <c r="K1035" i="1"/>
  <c r="L1035" i="1" s="1"/>
  <c r="K761" i="1"/>
  <c r="L761" i="1" s="1"/>
  <c r="K410" i="1"/>
  <c r="L410" i="1" s="1"/>
  <c r="K572" i="1"/>
  <c r="L572" i="1" s="1"/>
  <c r="K313" i="1"/>
  <c r="L313" i="1" s="1"/>
  <c r="K1527" i="1"/>
  <c r="L1527" i="1" s="1"/>
  <c r="K931" i="1"/>
  <c r="L931" i="1" s="1"/>
  <c r="K1131" i="1"/>
  <c r="L1131" i="1" s="1"/>
  <c r="K1699" i="1"/>
  <c r="L1699" i="1" s="1"/>
  <c r="K310" i="1"/>
  <c r="L310" i="1" s="1"/>
  <c r="K186" i="1"/>
  <c r="L186" i="1" s="1"/>
  <c r="K388" i="1"/>
  <c r="L388" i="1" s="1"/>
  <c r="K368" i="1"/>
  <c r="L368" i="1" s="1"/>
  <c r="K1905" i="1"/>
  <c r="L1905" i="1" s="1"/>
  <c r="K1180" i="1"/>
  <c r="L1180" i="1" s="1"/>
  <c r="K1291" i="1"/>
  <c r="L1291" i="1" s="1"/>
  <c r="K1305" i="1"/>
  <c r="L1305" i="1" s="1"/>
  <c r="K1976" i="1"/>
  <c r="L1976" i="1" s="1"/>
  <c r="K1884" i="1"/>
  <c r="L1884" i="1" s="1"/>
  <c r="K1004" i="1"/>
  <c r="L1004" i="1" s="1"/>
  <c r="K1506" i="1"/>
  <c r="L1506" i="1" s="1"/>
  <c r="K743" i="1"/>
  <c r="L743" i="1" s="1"/>
  <c r="K1379" i="1"/>
  <c r="L1379" i="1" s="1"/>
  <c r="K1648" i="1"/>
  <c r="L1648" i="1" s="1"/>
  <c r="K1147" i="1"/>
  <c r="L1147" i="1" s="1"/>
  <c r="K839" i="1"/>
  <c r="L839" i="1" s="1"/>
  <c r="K38" i="1"/>
  <c r="L38" i="1" s="1"/>
  <c r="K518" i="1"/>
  <c r="L518" i="1" s="1"/>
  <c r="K1631" i="1"/>
  <c r="L1631" i="1" s="1"/>
  <c r="K439" i="1"/>
  <c r="L439" i="1" s="1"/>
  <c r="K96" i="1"/>
  <c r="L96" i="1" s="1"/>
  <c r="K1461" i="1"/>
  <c r="L1461" i="1" s="1"/>
  <c r="K1703" i="1"/>
  <c r="L1703" i="1" s="1"/>
  <c r="K172" i="1"/>
  <c r="L172" i="1" s="1"/>
  <c r="K1987" i="1"/>
  <c r="L1987" i="1" s="1"/>
  <c r="K481" i="1"/>
  <c r="L481" i="1" s="1"/>
  <c r="K1782" i="1"/>
  <c r="L1782" i="1" s="1"/>
  <c r="K240" i="1"/>
  <c r="L240" i="1" s="1"/>
  <c r="K958" i="1"/>
  <c r="L958" i="1" s="1"/>
  <c r="K766" i="1"/>
  <c r="L766" i="1" s="1"/>
  <c r="K804" i="1"/>
  <c r="L804" i="1" s="1"/>
  <c r="K505" i="1"/>
  <c r="L505" i="1" s="1"/>
  <c r="K1072" i="1"/>
  <c r="L1072" i="1" s="1"/>
  <c r="K497" i="1"/>
  <c r="L497" i="1" s="1"/>
  <c r="K938" i="1"/>
  <c r="L938" i="1" s="1"/>
  <c r="K350" i="1"/>
  <c r="L350" i="1" s="1"/>
  <c r="K261" i="1"/>
  <c r="L261" i="1" s="1"/>
  <c r="K1093" i="1"/>
  <c r="L1093" i="1" s="1"/>
  <c r="K1669" i="1"/>
  <c r="L1669" i="1" s="1"/>
  <c r="K535" i="1"/>
  <c r="L535" i="1" s="1"/>
  <c r="K1532" i="1"/>
  <c r="L1532" i="1" s="1"/>
  <c r="K1509" i="1"/>
  <c r="L1509" i="1" s="1"/>
  <c r="K1773" i="1"/>
  <c r="L1773" i="1" s="1"/>
  <c r="K728" i="1"/>
  <c r="L728" i="1" s="1"/>
  <c r="K337" i="1"/>
  <c r="L337" i="1" s="1"/>
  <c r="K135" i="1"/>
  <c r="L135" i="1" s="1"/>
  <c r="K332" i="1"/>
  <c r="L332" i="1" s="1"/>
  <c r="K58" i="1"/>
  <c r="L58" i="1" s="1"/>
  <c r="K1528" i="1"/>
  <c r="L1528" i="1" s="1"/>
  <c r="K268" i="1"/>
  <c r="L268" i="1" s="1"/>
  <c r="K1899" i="1"/>
  <c r="L1899" i="1" s="1"/>
  <c r="K1281" i="1"/>
  <c r="L1281" i="1" s="1"/>
  <c r="K418" i="1"/>
  <c r="L418" i="1" s="1"/>
  <c r="K1259" i="1"/>
  <c r="L1259" i="1" s="1"/>
  <c r="K1964" i="1"/>
  <c r="L1964" i="1" s="1"/>
  <c r="K1165" i="1"/>
  <c r="L1165" i="1" s="1"/>
  <c r="K222" i="1"/>
  <c r="L222" i="1" s="1"/>
  <c r="K1342" i="1"/>
  <c r="L1342" i="1" s="1"/>
  <c r="K1447" i="1"/>
  <c r="L1447" i="1" s="1"/>
  <c r="K1375" i="1"/>
  <c r="L1375" i="1" s="1"/>
  <c r="K141" i="1"/>
  <c r="L141" i="1" s="1"/>
  <c r="K1197" i="1"/>
  <c r="L1197" i="1" s="1"/>
  <c r="K1174" i="1"/>
  <c r="L1174" i="1" s="1"/>
  <c r="K1637" i="1"/>
  <c r="L1637" i="1" s="1"/>
  <c r="K91" i="1"/>
  <c r="L91" i="1" s="1"/>
  <c r="K1754" i="1"/>
  <c r="L1754" i="1" s="1"/>
  <c r="K426" i="1"/>
  <c r="L426" i="1" s="1"/>
  <c r="K643" i="1"/>
  <c r="L643" i="1" s="1"/>
  <c r="K1759" i="1"/>
  <c r="L1759" i="1" s="1"/>
  <c r="K188" i="1"/>
  <c r="L188" i="1" s="1"/>
  <c r="K1099" i="1"/>
  <c r="L1099" i="1" s="1"/>
  <c r="K1701" i="1"/>
  <c r="L1701" i="1" s="1"/>
  <c r="K312" i="1"/>
  <c r="L312" i="1" s="1"/>
  <c r="K1062" i="1"/>
  <c r="L1062" i="1" s="1"/>
  <c r="K759" i="1"/>
  <c r="L759" i="1" s="1"/>
  <c r="K448" i="1"/>
  <c r="L448" i="1" s="1"/>
  <c r="K896" i="1"/>
  <c r="L896" i="1" s="1"/>
  <c r="K1408" i="1"/>
  <c r="L1408" i="1" s="1"/>
  <c r="K1697" i="1"/>
  <c r="L1697" i="1" s="1"/>
  <c r="K375" i="1"/>
  <c r="L375" i="1" s="1"/>
  <c r="K997" i="1"/>
  <c r="L997" i="1" s="1"/>
  <c r="K305" i="1"/>
  <c r="L305" i="1" s="1"/>
  <c r="K1571" i="1"/>
  <c r="L1571" i="1" s="1"/>
  <c r="K611" i="1"/>
  <c r="L611" i="1" s="1"/>
  <c r="K1595" i="1"/>
  <c r="L1595" i="1" s="1"/>
  <c r="K163" i="1"/>
  <c r="L163" i="1" s="1"/>
  <c r="K996" i="1"/>
  <c r="L996" i="1" s="1"/>
  <c r="K259" i="1"/>
  <c r="L259" i="1" s="1"/>
  <c r="K726" i="1"/>
  <c r="L726" i="1" s="1"/>
  <c r="K724" i="1"/>
  <c r="L724" i="1" s="1"/>
  <c r="K1323" i="1"/>
  <c r="L1323" i="1" s="1"/>
  <c r="K1009" i="1"/>
  <c r="L1009" i="1" s="1"/>
  <c r="K1993" i="1"/>
  <c r="L1993" i="1" s="1"/>
  <c r="K1744" i="1"/>
  <c r="L1744" i="1" s="1"/>
  <c r="K1815" i="1"/>
  <c r="L1815" i="1" s="1"/>
  <c r="K1159" i="1"/>
  <c r="L1159" i="1" s="1"/>
  <c r="K1594" i="1"/>
  <c r="L1594" i="1" s="1"/>
  <c r="K610" i="1"/>
  <c r="L610" i="1" s="1"/>
  <c r="K1019" i="1"/>
  <c r="L1019" i="1" s="1"/>
  <c r="K1819" i="1"/>
  <c r="L1819" i="1" s="1"/>
  <c r="K295" i="1"/>
  <c r="L295" i="1" s="1"/>
  <c r="K1260" i="1"/>
  <c r="L1260" i="1" s="1"/>
  <c r="K1642" i="1"/>
  <c r="L1642" i="1" s="1"/>
  <c r="K1944" i="1"/>
  <c r="L1944" i="1" s="1"/>
  <c r="K1371" i="1"/>
  <c r="L1371" i="1" s="1"/>
  <c r="K707" i="1"/>
  <c r="L707" i="1" s="1"/>
  <c r="K1185" i="1"/>
  <c r="L1185" i="1" s="1"/>
  <c r="K1066" i="1"/>
  <c r="L1066" i="1" s="1"/>
  <c r="K1419" i="1"/>
  <c r="L1419" i="1" s="1"/>
  <c r="K1108" i="1"/>
  <c r="L1108" i="1" s="1"/>
  <c r="K888" i="1"/>
  <c r="L888" i="1" s="1"/>
  <c r="K412" i="1"/>
  <c r="L412" i="1" s="1"/>
  <c r="K1593" i="1"/>
  <c r="L1593" i="1" s="1"/>
  <c r="K1387" i="1"/>
  <c r="L1387" i="1" s="1"/>
  <c r="K1403" i="1"/>
  <c r="L1403" i="1" s="1"/>
  <c r="K1972" i="1"/>
  <c r="L1972" i="1" s="1"/>
  <c r="K1122" i="1"/>
  <c r="L1122" i="1" s="1"/>
  <c r="K20" i="1"/>
  <c r="L20" i="1" s="1"/>
  <c r="K347" i="1"/>
  <c r="L347" i="1" s="1"/>
  <c r="K273" i="1"/>
  <c r="L273" i="1" s="1"/>
  <c r="K1499" i="1"/>
  <c r="L1499" i="1" s="1"/>
  <c r="K747" i="1"/>
  <c r="L747" i="1" s="1"/>
  <c r="K428" i="1"/>
  <c r="L428" i="1" s="1"/>
  <c r="K218" i="1"/>
  <c r="L218" i="1" s="1"/>
  <c r="K980" i="1"/>
  <c r="L980" i="1" s="1"/>
  <c r="K715" i="1"/>
  <c r="L715" i="1" s="1"/>
  <c r="K140" i="1"/>
  <c r="L140" i="1" s="1"/>
  <c r="K66" i="1"/>
  <c r="L66" i="1" s="1"/>
  <c r="K1858" i="1"/>
  <c r="L1858" i="1" s="1"/>
  <c r="K1671" i="1"/>
  <c r="L1671" i="1" s="1"/>
  <c r="K852" i="1"/>
  <c r="L852" i="1" s="1"/>
  <c r="K1366" i="1"/>
  <c r="L1366" i="1" s="1"/>
  <c r="K802" i="1"/>
  <c r="L802" i="1" s="1"/>
  <c r="K1883" i="1"/>
  <c r="L1883" i="1" s="1"/>
  <c r="K1123" i="1"/>
  <c r="L1123" i="1" s="1"/>
  <c r="K721" i="1"/>
  <c r="L721" i="1" s="1"/>
  <c r="K1425" i="1"/>
  <c r="L1425" i="1" s="1"/>
  <c r="K849" i="1"/>
  <c r="L849" i="1" s="1"/>
  <c r="K1223" i="1"/>
  <c r="L1223" i="1" s="1"/>
  <c r="K517" i="1"/>
  <c r="L517" i="1" s="1"/>
  <c r="K943" i="1"/>
  <c r="L943" i="1" s="1"/>
  <c r="K1743" i="1"/>
  <c r="L1743" i="1" s="1"/>
  <c r="K1521" i="1"/>
  <c r="L1521" i="1" s="1"/>
  <c r="K1114" i="1"/>
  <c r="L1114" i="1" s="1"/>
  <c r="K1191" i="1"/>
  <c r="L1191" i="1" s="1"/>
  <c r="K1484" i="1"/>
  <c r="L1484" i="1" s="1"/>
  <c r="K286" i="1"/>
  <c r="L286" i="1" s="1"/>
  <c r="K1022" i="1"/>
  <c r="L1022" i="1" s="1"/>
  <c r="K1406" i="1"/>
  <c r="L1406" i="1" s="1"/>
  <c r="K56" i="1"/>
  <c r="L56" i="1" s="1"/>
  <c r="K205" i="1"/>
  <c r="L205" i="1" s="1"/>
  <c r="K1325" i="1"/>
  <c r="L1325" i="1" s="1"/>
  <c r="K3" i="1"/>
  <c r="L3" i="1" s="1"/>
  <c r="K1206" i="1"/>
  <c r="L1206" i="1" s="1"/>
  <c r="K1263" i="1"/>
  <c r="L1263" i="1" s="1"/>
  <c r="K792" i="1"/>
  <c r="L792" i="1" s="1"/>
  <c r="K1865" i="1"/>
  <c r="L1865" i="1" s="1"/>
  <c r="K1044" i="1"/>
  <c r="L1044" i="1" s="1"/>
  <c r="K842" i="1"/>
  <c r="L842" i="1" s="1"/>
  <c r="K591" i="1"/>
  <c r="L591" i="1" s="1"/>
  <c r="K1315" i="1"/>
  <c r="L1315" i="1" s="1"/>
  <c r="K655" i="1"/>
  <c r="L655" i="1" s="1"/>
  <c r="K1154" i="1"/>
  <c r="L1154" i="1" s="1"/>
  <c r="K919" i="1"/>
  <c r="L919" i="1" s="1"/>
  <c r="K480" i="1"/>
  <c r="L480" i="1" s="1"/>
  <c r="K1440" i="1"/>
  <c r="L1440" i="1" s="1"/>
  <c r="K1753" i="1"/>
  <c r="L1753" i="1" s="1"/>
  <c r="K1089" i="1"/>
  <c r="L1089" i="1" s="1"/>
  <c r="K810" i="1"/>
  <c r="L810" i="1" s="1"/>
  <c r="K560" i="1"/>
  <c r="L560" i="1" s="1"/>
  <c r="K357" i="1"/>
  <c r="L357" i="1" s="1"/>
  <c r="K1472" i="1"/>
  <c r="L1472" i="1" s="1"/>
  <c r="K1989" i="1"/>
  <c r="L1989" i="1" s="1"/>
  <c r="K657" i="1"/>
  <c r="L657" i="1" s="1"/>
  <c r="K308" i="1"/>
  <c r="L308" i="1" s="1"/>
  <c r="K36" i="1"/>
  <c r="L36" i="1" s="1"/>
  <c r="K1624" i="1"/>
  <c r="L1624" i="1" s="1"/>
  <c r="K551" i="1"/>
  <c r="L551" i="1" s="1"/>
  <c r="K1794" i="1"/>
  <c r="L1794" i="1" s="1"/>
  <c r="K212" i="1"/>
  <c r="L212" i="1" s="1"/>
  <c r="K770" i="1"/>
  <c r="L770" i="1" s="1"/>
  <c r="K1355" i="1"/>
  <c r="L1355" i="1" s="1"/>
  <c r="K1105" i="1"/>
  <c r="L1105" i="1" s="1"/>
  <c r="K24" i="1"/>
  <c r="L24" i="1" s="1"/>
  <c r="K1676" i="1"/>
  <c r="L1676" i="1" s="1"/>
  <c r="K1657" i="1"/>
  <c r="L1657" i="1" s="1"/>
  <c r="K858" i="1"/>
  <c r="L858" i="1" s="1"/>
  <c r="K916" i="1"/>
  <c r="L916" i="1" s="1"/>
  <c r="K854" i="1"/>
  <c r="L854" i="1" s="1"/>
  <c r="K1538" i="1"/>
  <c r="L1538" i="1" s="1"/>
  <c r="K1392" i="1"/>
  <c r="L1392" i="1" s="1"/>
  <c r="K519" i="1"/>
  <c r="L519" i="1" s="1"/>
  <c r="K1841" i="1"/>
  <c r="L1841" i="1" s="1"/>
  <c r="K716" i="1"/>
  <c r="L716" i="1" s="1"/>
  <c r="K283" i="1"/>
  <c r="L283" i="1" s="1"/>
  <c r="K1601" i="1"/>
  <c r="L1601" i="1" s="1"/>
  <c r="K1130" i="1"/>
  <c r="L1130" i="1" s="1"/>
  <c r="K667" i="1"/>
  <c r="L667" i="1" s="1"/>
  <c r="K1104" i="1"/>
  <c r="L1104" i="1" s="1"/>
  <c r="K1233" i="1"/>
  <c r="L1233" i="1" s="1"/>
  <c r="K1687" i="1"/>
  <c r="L1687" i="1" s="1"/>
  <c r="K336" i="1"/>
  <c r="L336" i="1" s="1"/>
  <c r="K1059" i="1"/>
  <c r="L1059" i="1" s="1"/>
  <c r="K970" i="1"/>
  <c r="L970" i="1" s="1"/>
  <c r="K694" i="1"/>
  <c r="L694" i="1" s="1"/>
  <c r="K1508" i="1"/>
  <c r="L1508" i="1" s="1"/>
  <c r="K145" i="1"/>
  <c r="L145" i="1" s="1"/>
  <c r="K860" i="1"/>
  <c r="L860" i="1" s="1"/>
  <c r="K539" i="1"/>
  <c r="L539" i="1" s="1"/>
  <c r="K122" i="1"/>
  <c r="L122" i="1" s="1"/>
  <c r="K886" i="1"/>
  <c r="L886" i="1" s="1"/>
  <c r="K1475" i="1"/>
  <c r="L1475" i="1" s="1"/>
  <c r="K935" i="1"/>
  <c r="L935" i="1" s="1"/>
  <c r="K1579" i="1"/>
  <c r="L1579" i="1" s="1"/>
  <c r="K660" i="1"/>
  <c r="L660" i="1" s="1"/>
  <c r="K1718" i="1"/>
  <c r="L1718" i="1" s="1"/>
  <c r="K1622" i="1"/>
  <c r="L1622" i="1" s="1"/>
  <c r="K1201" i="1"/>
  <c r="L1201" i="1" s="1"/>
  <c r="K377" i="1"/>
  <c r="L377" i="1" s="1"/>
  <c r="K1796" i="1"/>
  <c r="L1796" i="1" s="1"/>
  <c r="K1840" i="1"/>
  <c r="L1840" i="1" s="1"/>
  <c r="K1649" i="1"/>
  <c r="L1649" i="1" s="1"/>
  <c r="K70" i="1"/>
  <c r="L70" i="1" s="1"/>
  <c r="K1296" i="1"/>
  <c r="L1296" i="1" s="1"/>
  <c r="K1172" i="1"/>
  <c r="L1172" i="1" s="1"/>
  <c r="K1110" i="1"/>
  <c r="L1110" i="1" s="1"/>
  <c r="K1630" i="1"/>
  <c r="L1630" i="1" s="1"/>
  <c r="K796" i="1"/>
  <c r="L796" i="1" s="1"/>
  <c r="K1337" i="1"/>
  <c r="L1337" i="1" s="1"/>
  <c r="K1862" i="1"/>
  <c r="L1862" i="1" s="1"/>
  <c r="K696" i="1"/>
  <c r="L696" i="1" s="1"/>
  <c r="K537" i="1"/>
  <c r="L537" i="1" s="1"/>
  <c r="K1364" i="1"/>
  <c r="L1364" i="1" s="1"/>
  <c r="K705" i="1"/>
  <c r="L705" i="1" s="1"/>
  <c r="K1855" i="1"/>
  <c r="L1855" i="1" s="1"/>
  <c r="K1617" i="1"/>
  <c r="L1617" i="1" s="1"/>
  <c r="K613" i="1"/>
  <c r="L613" i="1" s="1"/>
  <c r="K1189" i="1"/>
  <c r="L1189" i="1" s="1"/>
  <c r="K1797" i="1"/>
  <c r="L1797" i="1" s="1"/>
  <c r="K1592" i="1"/>
  <c r="L1592" i="1" s="1"/>
  <c r="K630" i="1"/>
  <c r="L630" i="1" s="1"/>
  <c r="K748" i="1"/>
  <c r="L748" i="1" s="1"/>
  <c r="K894" i="1"/>
  <c r="L894" i="1" s="1"/>
  <c r="K1658" i="1"/>
  <c r="L1658" i="1" s="1"/>
  <c r="K1572" i="1"/>
  <c r="L1572" i="1" s="1"/>
  <c r="K126" i="1"/>
  <c r="L126" i="1" s="1"/>
  <c r="K1142" i="1"/>
  <c r="L1142" i="1" s="1"/>
  <c r="K1176" i="1"/>
  <c r="L1176" i="1" s="1"/>
  <c r="K1547" i="1"/>
  <c r="L1547" i="1" s="1"/>
  <c r="K1569" i="1"/>
  <c r="L1569" i="1" s="1"/>
  <c r="K664" i="1"/>
  <c r="L664" i="1" s="1"/>
  <c r="K143" i="1"/>
  <c r="L143" i="1" s="1"/>
  <c r="K1348" i="1"/>
  <c r="L1348" i="1" s="1"/>
  <c r="K633" i="1"/>
  <c r="L633" i="1" s="1"/>
  <c r="K1421" i="1"/>
  <c r="L1421" i="1" s="1"/>
  <c r="K382" i="1"/>
  <c r="L382" i="1" s="1"/>
  <c r="K1054" i="1"/>
  <c r="L1054" i="1" s="1"/>
  <c r="K1470" i="1"/>
  <c r="L1470" i="1" s="1"/>
  <c r="K152" i="1"/>
  <c r="L152" i="1" s="1"/>
  <c r="K333" i="1"/>
  <c r="L333" i="1" s="1"/>
  <c r="K1389" i="1"/>
  <c r="L1389" i="1" s="1"/>
  <c r="K1643" i="1"/>
  <c r="L1643" i="1" s="1"/>
  <c r="K1494" i="1"/>
  <c r="L1494" i="1" s="1"/>
  <c r="K736" i="1"/>
  <c r="L736" i="1" s="1"/>
  <c r="K1809" i="1"/>
  <c r="L1809" i="1" s="1"/>
  <c r="K1610" i="1"/>
  <c r="L1610" i="1" s="1"/>
  <c r="K1273" i="1"/>
  <c r="L1273" i="1" s="1"/>
  <c r="K1420" i="1"/>
  <c r="L1420" i="1" s="1"/>
  <c r="K1413" i="1"/>
  <c r="L1413" i="1" s="1"/>
  <c r="K1833" i="1"/>
  <c r="L1833" i="1" s="1"/>
  <c r="K1219" i="1"/>
  <c r="L1219" i="1" s="1"/>
  <c r="K1915" i="1"/>
  <c r="L1915" i="1" s="1"/>
  <c r="K1670" i="1"/>
  <c r="L1670" i="1" s="1"/>
  <c r="K1015" i="1"/>
  <c r="L1015" i="1" s="1"/>
  <c r="K1056" i="1"/>
  <c r="L1056" i="1" s="1"/>
  <c r="K1953" i="1"/>
  <c r="L1953" i="1" s="1"/>
  <c r="K1121" i="1"/>
  <c r="L1121" i="1" s="1"/>
  <c r="K902" i="1"/>
  <c r="L902" i="1" s="1"/>
  <c r="K695" i="1"/>
  <c r="L695" i="1" s="1"/>
  <c r="K1737" i="1"/>
  <c r="L1737" i="1" s="1"/>
  <c r="K793" i="1"/>
  <c r="L793" i="1" s="1"/>
  <c r="K1859" i="1"/>
  <c r="L1859" i="1" s="1"/>
  <c r="K739" i="1"/>
  <c r="L739" i="1" s="1"/>
  <c r="K1910" i="1"/>
  <c r="L1910" i="1" s="1"/>
  <c r="K618" i="1"/>
  <c r="L618" i="1" s="1"/>
  <c r="K385" i="1"/>
  <c r="L385" i="1" s="1"/>
  <c r="K1665" i="1"/>
  <c r="L1665" i="1" s="1"/>
  <c r="K244" i="1"/>
  <c r="L244" i="1" s="1"/>
  <c r="K1916" i="1"/>
  <c r="L1916" i="1" s="1"/>
  <c r="K1772" i="1"/>
  <c r="L1772" i="1" s="1"/>
  <c r="K740" i="1"/>
  <c r="L740" i="1" s="1"/>
  <c r="K923" i="1"/>
  <c r="L923" i="1" s="1"/>
  <c r="K406" i="1"/>
  <c r="L406" i="1" s="1"/>
  <c r="K111" i="1"/>
  <c r="L111" i="1" s="1"/>
  <c r="K88" i="1"/>
  <c r="L88" i="1" s="1"/>
  <c r="K208" i="1"/>
  <c r="L208" i="1" s="1"/>
  <c r="K1346" i="1"/>
  <c r="L1346" i="1" s="1"/>
  <c r="K1739" i="1"/>
  <c r="L1739" i="1" s="1"/>
  <c r="K1812" i="1"/>
  <c r="L1812" i="1" s="1"/>
  <c r="K1561" i="1"/>
  <c r="L1561" i="1" s="1"/>
  <c r="K1848" i="1"/>
  <c r="L1848" i="1" s="1"/>
  <c r="K932" i="1"/>
  <c r="L932" i="1" s="1"/>
  <c r="K1272" i="1"/>
  <c r="L1272" i="1" s="1"/>
  <c r="K1764" i="1"/>
  <c r="L1764" i="1" s="1"/>
  <c r="K1163" i="1"/>
  <c r="L1163" i="1" s="1"/>
  <c r="K785" i="1"/>
  <c r="L785" i="1" s="1"/>
  <c r="K42" i="1"/>
  <c r="L42" i="1" s="1"/>
  <c r="K1386" i="1"/>
  <c r="L1386" i="1" s="1"/>
  <c r="K1654" i="1"/>
  <c r="L1654" i="1" s="1"/>
  <c r="K322" i="1"/>
  <c r="L322" i="1" s="1"/>
  <c r="K1402" i="1"/>
  <c r="L1402" i="1" s="1"/>
  <c r="K482" i="1"/>
  <c r="L482" i="1" s="1"/>
  <c r="K1040" i="1"/>
  <c r="L1040" i="1" s="1"/>
  <c r="K411" i="1"/>
  <c r="L411" i="1" s="1"/>
  <c r="K1014" i="1"/>
  <c r="L1014" i="1" s="1"/>
  <c r="K874" i="1"/>
  <c r="L874" i="1" s="1"/>
  <c r="K921" i="1"/>
  <c r="L921" i="1" s="1"/>
  <c r="K300" i="1"/>
  <c r="L300" i="1" s="1"/>
  <c r="K1361" i="1"/>
  <c r="L1361" i="1" s="1"/>
  <c r="K324" i="1"/>
  <c r="L324" i="1" s="1"/>
  <c r="K871" i="1"/>
  <c r="L871" i="1" s="1"/>
  <c r="K1003" i="1"/>
  <c r="L1003" i="1" s="1"/>
  <c r="K249" i="1"/>
  <c r="L249" i="1" s="1"/>
  <c r="K1876" i="1"/>
  <c r="L1876" i="1" s="1"/>
  <c r="K1996" i="1"/>
  <c r="L1996" i="1" s="1"/>
  <c r="K1611" i="1"/>
  <c r="L1611" i="1" s="1"/>
  <c r="K1947" i="1"/>
  <c r="L1947" i="1" s="1"/>
  <c r="K624" i="1"/>
  <c r="L624" i="1" s="1"/>
  <c r="K1178" i="1"/>
  <c r="L1178" i="1" s="1"/>
  <c r="K34" i="1"/>
  <c r="L34" i="1" s="1"/>
  <c r="K964" i="1"/>
  <c r="L964" i="1" s="1"/>
  <c r="K880" i="1"/>
  <c r="L880" i="1" s="1"/>
  <c r="K374" i="1"/>
  <c r="L374" i="1" s="1"/>
  <c r="K81" i="1"/>
  <c r="L81" i="1" s="1"/>
  <c r="K1036" i="1"/>
  <c r="L1036" i="1" s="1"/>
  <c r="K951" i="1"/>
  <c r="L951" i="1" s="1"/>
  <c r="K291" i="1"/>
  <c r="L291" i="1" s="1"/>
  <c r="K1113" i="1"/>
  <c r="L1113" i="1" s="1"/>
  <c r="K304" i="1"/>
  <c r="L304" i="1" s="1"/>
  <c r="K1537" i="1"/>
  <c r="L1537" i="1" s="1"/>
  <c r="K666" i="1"/>
  <c r="L666" i="1" s="1"/>
  <c r="K1212" i="1"/>
  <c r="L1212" i="1" s="1"/>
  <c r="K1228" i="1"/>
  <c r="L1228" i="1" s="1"/>
  <c r="K1750" i="1"/>
  <c r="L1750" i="1" s="1"/>
  <c r="K487" i="1"/>
  <c r="L487" i="1" s="1"/>
  <c r="K1844" i="1"/>
  <c r="L1844" i="1" s="1"/>
  <c r="K1802" i="1"/>
  <c r="L1802" i="1" s="1"/>
  <c r="K538" i="1"/>
  <c r="L538" i="1" s="1"/>
  <c r="K1930" i="1"/>
  <c r="L1930" i="1" s="1"/>
  <c r="K239" i="1"/>
  <c r="L239" i="1" s="1"/>
  <c r="K408" i="1"/>
  <c r="L408" i="1" s="1"/>
  <c r="K438" i="1"/>
  <c r="L438" i="1" s="1"/>
  <c r="K1404" i="1"/>
  <c r="L1404" i="1" s="1"/>
  <c r="K1020" i="1"/>
  <c r="L1020" i="1" s="1"/>
  <c r="K475" i="1"/>
  <c r="L475" i="1" s="1"/>
  <c r="K665" i="1"/>
  <c r="L665" i="1" s="1"/>
  <c r="K1932" i="1"/>
  <c r="L1932" i="1" s="1"/>
  <c r="K1329" i="1"/>
  <c r="L1329" i="1" s="1"/>
  <c r="K1784" i="1"/>
  <c r="L1784" i="1" s="1"/>
  <c r="K80" i="1"/>
  <c r="L80" i="1" s="1"/>
  <c r="K536" i="1"/>
  <c r="L536" i="1" s="1"/>
  <c r="K602" i="1"/>
  <c r="L602" i="1" s="1"/>
  <c r="K298" i="1"/>
  <c r="L298" i="1" s="1"/>
  <c r="K1738" i="1"/>
  <c r="L1738" i="1" s="1"/>
  <c r="K1073" i="1"/>
  <c r="L1073" i="1" s="1"/>
  <c r="K121" i="1"/>
  <c r="L121" i="1" s="1"/>
  <c r="K170" i="1"/>
  <c r="L170" i="1" s="1"/>
  <c r="K474" i="1"/>
  <c r="L474" i="1" s="1"/>
  <c r="K856" i="1"/>
  <c r="L856" i="1" s="1"/>
  <c r="K1187" i="1"/>
  <c r="L1187" i="1" s="1"/>
  <c r="K1834" i="1"/>
  <c r="L1834" i="1" s="1"/>
  <c r="K378" i="1"/>
  <c r="L378" i="1" s="1"/>
  <c r="K86" i="1"/>
  <c r="L86" i="1" s="1"/>
  <c r="K1012" i="1"/>
  <c r="L1012" i="1" s="1"/>
  <c r="K1979" i="1"/>
  <c r="L1979" i="1" s="1"/>
  <c r="K1027" i="1"/>
  <c r="L1027" i="1" s="1"/>
  <c r="K1673" i="1"/>
  <c r="L1673" i="1" s="1"/>
  <c r="K1690" i="1"/>
  <c r="L1690" i="1" s="1"/>
  <c r="K1785" i="1"/>
  <c r="L1785" i="1" s="1"/>
  <c r="K1433" i="1"/>
  <c r="L1433" i="1" s="1"/>
  <c r="K588" i="1"/>
  <c r="L588" i="1" s="1"/>
  <c r="K1803" i="1"/>
  <c r="L1803" i="1" s="1"/>
  <c r="K99" i="1"/>
  <c r="L99" i="1" s="1"/>
  <c r="K1018" i="1"/>
  <c r="L1018" i="1" s="1"/>
  <c r="K1620" i="1"/>
  <c r="L1620" i="1" s="1"/>
  <c r="K1275" i="1"/>
  <c r="L1275" i="1" s="1"/>
  <c r="K1083" i="1"/>
  <c r="L1083" i="1" s="1"/>
  <c r="K700" i="1"/>
  <c r="L700" i="1" s="1"/>
  <c r="K1168" i="1"/>
  <c r="L1168" i="1" s="1"/>
  <c r="K730" i="1"/>
  <c r="L730" i="1" s="1"/>
  <c r="K1146" i="1"/>
  <c r="L1146" i="1" s="1"/>
  <c r="K1439" i="1"/>
  <c r="L1439" i="1" s="1"/>
  <c r="K390" i="1"/>
  <c r="L390" i="1" s="1"/>
  <c r="K678" i="1"/>
  <c r="L678" i="1" s="1"/>
  <c r="K1254" i="1"/>
  <c r="L1254" i="1" s="1"/>
  <c r="K151" i="1"/>
  <c r="L151" i="1" s="1"/>
  <c r="K887" i="1"/>
  <c r="L887" i="1" s="1"/>
  <c r="K832" i="1"/>
  <c r="L832" i="1" s="1"/>
  <c r="K534" i="1"/>
  <c r="L534" i="1" s="1"/>
  <c r="K436" i="1"/>
  <c r="L436" i="1" s="1"/>
  <c r="K645" i="1"/>
  <c r="L645" i="1" s="1"/>
  <c r="K75" i="1"/>
  <c r="L75" i="1" s="1"/>
  <c r="K1258" i="1"/>
  <c r="L1258" i="1" s="1"/>
  <c r="K1741" i="1"/>
  <c r="L1741" i="1" s="1"/>
  <c r="K1046" i="1"/>
  <c r="L1046" i="1" s="1"/>
  <c r="K1786" i="1"/>
  <c r="L1786" i="1" s="1"/>
  <c r="K1694" i="1"/>
  <c r="L1694" i="1" s="1"/>
  <c r="K1317" i="1"/>
  <c r="L1317" i="1" s="1"/>
  <c r="K1328" i="1"/>
  <c r="L1328" i="1" s="1"/>
  <c r="K250" i="1"/>
  <c r="L250" i="1" s="1"/>
  <c r="K1946" i="1"/>
  <c r="L1946" i="1" s="1"/>
  <c r="K1559" i="1"/>
  <c r="L1559" i="1" s="1"/>
  <c r="K741" i="1"/>
  <c r="L741" i="1" s="1"/>
  <c r="K1349" i="1"/>
  <c r="L1349" i="1" s="1"/>
  <c r="K1893" i="1"/>
  <c r="L1893" i="1" s="1"/>
  <c r="K1539" i="1"/>
  <c r="L1539" i="1" s="1"/>
  <c r="K1712" i="1"/>
  <c r="L1712" i="1" s="1"/>
  <c r="K788" i="1"/>
  <c r="L788" i="1" s="1"/>
  <c r="K1721" i="1"/>
  <c r="L1721" i="1" s="1"/>
  <c r="K1863" i="1"/>
  <c r="L1863" i="1" s="1"/>
  <c r="K891" i="1"/>
  <c r="L891" i="1" s="1"/>
  <c r="K495" i="1"/>
  <c r="L495" i="1" s="1"/>
  <c r="K711" i="1"/>
  <c r="L711" i="1" s="1"/>
  <c r="K779" i="1"/>
  <c r="L779" i="1" s="1"/>
  <c r="K803" i="1"/>
  <c r="L803" i="1" s="1"/>
  <c r="K1095" i="1"/>
  <c r="L1095" i="1" s="1"/>
  <c r="K995" i="1"/>
  <c r="L995" i="1" s="1"/>
  <c r="K184" i="1"/>
  <c r="L184" i="1" s="1"/>
  <c r="K92" i="1"/>
  <c r="L92" i="1" s="1"/>
  <c r="K912" i="1"/>
  <c r="L912" i="1" s="1"/>
  <c r="K173" i="1"/>
  <c r="L173" i="1" s="1"/>
  <c r="K1837" i="1"/>
  <c r="L1837" i="1" s="1"/>
  <c r="K542" i="1"/>
  <c r="L542" i="1" s="1"/>
  <c r="K1150" i="1"/>
  <c r="L1150" i="1" s="1"/>
  <c r="K335" i="1"/>
  <c r="L335" i="1" s="1"/>
  <c r="K162" i="1"/>
  <c r="L162" i="1" s="1"/>
  <c r="K493" i="1"/>
  <c r="L493" i="1" s="1"/>
  <c r="K1503" i="1"/>
  <c r="L1503" i="1" s="1"/>
  <c r="K1007" i="1"/>
  <c r="L1007" i="1" s="1"/>
  <c r="K579" i="1"/>
  <c r="L579" i="1" s="1"/>
  <c r="K1698" i="1"/>
  <c r="L1698" i="1" s="1"/>
  <c r="K26" i="1"/>
  <c r="L26" i="1" s="1"/>
  <c r="K1218" i="1"/>
  <c r="L1218" i="1" s="1"/>
  <c r="K1304" i="1"/>
  <c r="L1304" i="1" s="1"/>
  <c r="K641" i="1"/>
  <c r="L641" i="1" s="1"/>
  <c r="K1851" i="1"/>
  <c r="L1851" i="1" s="1"/>
  <c r="K1605" i="1"/>
  <c r="L1605" i="1" s="1"/>
  <c r="K1505" i="1"/>
  <c r="L1505" i="1" s="1"/>
  <c r="K1591" i="1"/>
  <c r="L1591" i="1" s="1"/>
  <c r="K1894" i="1"/>
  <c r="L1894" i="1" s="1"/>
  <c r="K1143" i="1"/>
  <c r="L1143" i="1" s="1"/>
  <c r="K1824" i="1"/>
  <c r="L1824" i="1" s="1"/>
  <c r="K65" i="1"/>
  <c r="L65" i="1" s="1"/>
  <c r="K1249" i="1"/>
  <c r="L1249" i="1" s="1"/>
  <c r="K1286" i="1"/>
  <c r="L1286" i="1" s="1"/>
  <c r="K1047" i="1"/>
  <c r="L1047" i="1" s="1"/>
  <c r="K644" i="1"/>
  <c r="L644" i="1" s="1"/>
  <c r="K828" i="1"/>
  <c r="L828" i="1" s="1"/>
  <c r="K1689" i="1"/>
  <c r="L1689" i="1" s="1"/>
  <c r="K720" i="1"/>
  <c r="L720" i="1" s="1"/>
  <c r="K363" i="1"/>
  <c r="L363" i="1" s="1"/>
  <c r="K801" i="1"/>
  <c r="L801" i="1" s="1"/>
  <c r="K1733" i="1"/>
  <c r="L1733" i="1" s="1"/>
  <c r="K1775" i="1"/>
  <c r="L1775" i="1" s="1"/>
  <c r="K930" i="1"/>
  <c r="L930" i="1" s="1"/>
  <c r="K252" i="1"/>
  <c r="L252" i="1" s="1"/>
  <c r="K1852" i="1"/>
  <c r="L1852" i="1" s="1"/>
  <c r="K908" i="1"/>
  <c r="L908" i="1" s="1"/>
  <c r="K1380" i="1"/>
  <c r="L1380" i="1" s="1"/>
  <c r="K687" i="1"/>
  <c r="L687" i="1" s="1"/>
  <c r="K440" i="1"/>
  <c r="L440" i="1" s="1"/>
  <c r="K107" i="1"/>
  <c r="L107" i="1" s="1"/>
  <c r="K1850" i="1"/>
  <c r="L1850" i="1" s="1"/>
  <c r="K1498" i="1"/>
  <c r="L1498" i="1" s="1"/>
  <c r="K1034" i="1"/>
  <c r="L1034" i="1" s="1"/>
  <c r="K1763" i="1"/>
  <c r="L1763" i="1" s="1"/>
  <c r="K1196" i="1"/>
  <c r="L1196" i="1" s="1"/>
  <c r="K1098" i="1"/>
  <c r="L1098" i="1" s="1"/>
  <c r="K346" i="1"/>
  <c r="L346" i="1" s="1"/>
  <c r="K1563" i="1"/>
  <c r="L1563" i="1" s="1"/>
  <c r="K1968" i="1"/>
  <c r="L1968" i="1" s="1"/>
  <c r="K458" i="1"/>
  <c r="L458" i="1" s="1"/>
  <c r="K1866" i="1"/>
  <c r="L1866" i="1" s="1"/>
  <c r="K1957" i="1"/>
  <c r="L1957" i="1" s="1"/>
  <c r="K1370" i="1"/>
  <c r="L1370" i="1" s="1"/>
  <c r="K1153" i="1"/>
  <c r="L1153" i="1" s="1"/>
  <c r="K697" i="1"/>
  <c r="L697" i="1" s="1"/>
  <c r="K1156" i="1"/>
  <c r="L1156" i="1" s="1"/>
  <c r="K451" i="1"/>
  <c r="L451" i="1" s="1"/>
  <c r="K167" i="1"/>
  <c r="L167" i="1" s="1"/>
  <c r="K1686" i="1"/>
  <c r="L1686" i="1" s="1"/>
  <c r="K171" i="1"/>
  <c r="L171" i="1" s="1"/>
  <c r="K1931" i="1"/>
  <c r="L1931" i="1" s="1"/>
  <c r="K529" i="1"/>
  <c r="L529" i="1" s="1"/>
  <c r="K612" i="1"/>
  <c r="L612" i="1" s="1"/>
  <c r="K1028" i="1"/>
  <c r="L1028" i="1" s="1"/>
  <c r="K1929" i="1"/>
  <c r="L1929" i="1" s="1"/>
  <c r="K1857" i="1"/>
  <c r="L1857" i="1" s="1"/>
  <c r="K1297" i="1"/>
  <c r="L1297" i="1" s="1"/>
  <c r="K556" i="1"/>
  <c r="L556" i="1" s="1"/>
  <c r="K1451" i="1"/>
  <c r="L1451" i="1" s="1"/>
  <c r="K131" i="1"/>
  <c r="L131" i="1" s="1"/>
  <c r="K35" i="1"/>
  <c r="L35" i="1" s="1"/>
  <c r="K1049" i="1"/>
  <c r="L1049" i="1" s="1"/>
  <c r="K1340" i="1"/>
  <c r="L1340" i="1" s="1"/>
  <c r="K570" i="1"/>
  <c r="L570" i="1" s="1"/>
  <c r="K1423" i="1"/>
  <c r="L1423" i="1" s="1"/>
  <c r="K1659" i="1"/>
  <c r="L1659" i="1" s="1"/>
  <c r="K299" i="1" l="1"/>
  <c r="L299" i="1" s="1"/>
  <c r="K1057" i="1"/>
  <c r="L1057" i="1" s="1"/>
  <c r="K704" i="1"/>
  <c r="L704" i="1" s="1"/>
  <c r="K1510" i="1"/>
  <c r="L1510" i="1" s="1"/>
  <c r="K1783" i="1"/>
  <c r="L1783" i="1" s="1"/>
  <c r="K1016" i="1"/>
  <c r="L1016" i="1" s="1"/>
  <c r="K1662" i="1"/>
  <c r="L1662" i="1" s="1"/>
  <c r="K1525" i="1"/>
  <c r="L1525" i="1" s="1"/>
  <c r="K53" i="1"/>
  <c r="L53" i="1" s="1"/>
  <c r="K746" i="1"/>
  <c r="L746" i="1" s="1"/>
  <c r="K1760" i="1"/>
  <c r="L1760" i="1" s="1"/>
  <c r="K640" i="1"/>
  <c r="L640" i="1" s="1"/>
  <c r="K1414" i="1"/>
  <c r="L1414" i="1" s="1"/>
  <c r="K1877" i="1"/>
  <c r="L1877" i="1" s="1"/>
  <c r="K1431" i="1"/>
  <c r="L1431" i="1" s="1"/>
  <c r="K990" i="1"/>
  <c r="L990" i="1" s="1"/>
  <c r="K1173" i="1"/>
  <c r="L1173" i="1" s="1"/>
  <c r="K21" i="1"/>
  <c r="L21" i="1" s="1"/>
  <c r="K682" i="1"/>
  <c r="L682" i="1" s="1"/>
  <c r="K1376" i="1"/>
  <c r="L1376" i="1" s="1"/>
  <c r="K512" i="1"/>
  <c r="L512" i="1" s="1"/>
  <c r="K1190" i="1"/>
  <c r="L1190" i="1" s="1"/>
  <c r="K962" i="1"/>
  <c r="L962" i="1" s="1"/>
  <c r="K1327" i="1"/>
  <c r="L1327" i="1" s="1"/>
  <c r="K1969" i="1"/>
  <c r="L1969" i="1" s="1"/>
  <c r="K1109" i="1"/>
  <c r="L1109" i="1" s="1"/>
  <c r="K13" i="1"/>
  <c r="L13" i="1" s="1"/>
  <c r="K993" i="1"/>
  <c r="L993" i="1" s="1"/>
  <c r="K1344" i="1"/>
  <c r="L1344" i="1" s="1"/>
  <c r="K416" i="1"/>
  <c r="L416" i="1" s="1"/>
  <c r="K1158" i="1"/>
  <c r="L1158" i="1" s="1"/>
  <c r="K866" i="1"/>
  <c r="L866" i="1" s="1"/>
  <c r="K815" i="1"/>
  <c r="L815" i="1" s="1"/>
  <c r="K1845" i="1"/>
  <c r="L1845" i="1" s="1"/>
  <c r="K1077" i="1"/>
  <c r="L1077" i="1" s="1"/>
  <c r="K1726" i="1"/>
  <c r="L1726" i="1" s="1"/>
  <c r="K897" i="1"/>
  <c r="L897" i="1" s="1"/>
  <c r="K1216" i="1"/>
  <c r="L1216" i="1" s="1"/>
  <c r="K503" i="1"/>
  <c r="L503" i="1" s="1"/>
  <c r="K1126" i="1"/>
  <c r="L1126" i="1" s="1"/>
  <c r="K153" i="1"/>
  <c r="L153" i="1" s="1"/>
  <c r="K751" i="1"/>
  <c r="L751" i="1" s="1"/>
  <c r="K1813" i="1"/>
  <c r="L1813" i="1" s="1"/>
  <c r="K981" i="1"/>
  <c r="L981" i="1" s="1"/>
  <c r="K574" i="1"/>
  <c r="L574" i="1" s="1"/>
  <c r="K771" i="1"/>
  <c r="L771" i="1" s="1"/>
  <c r="K1120" i="1"/>
  <c r="L1120" i="1" s="1"/>
  <c r="K471" i="1"/>
  <c r="L471" i="1" s="1"/>
  <c r="K806" i="1"/>
  <c r="L806" i="1" s="1"/>
  <c r="K57" i="1"/>
  <c r="L57" i="1" s="1"/>
  <c r="K1961" i="1"/>
  <c r="L1961" i="1" s="1"/>
  <c r="K1749" i="1"/>
  <c r="L1749" i="1" s="1"/>
  <c r="K949" i="1"/>
  <c r="L949" i="1" s="1"/>
  <c r="K5" i="1"/>
  <c r="L5" i="1" s="1"/>
  <c r="K994" i="1"/>
  <c r="L994" i="1" s="1"/>
  <c r="K992" i="1"/>
  <c r="L992" i="1" s="1"/>
  <c r="K279" i="1"/>
  <c r="L279" i="1" s="1"/>
  <c r="K294" i="1"/>
  <c r="L294" i="1" s="1"/>
  <c r="K1496" i="1"/>
  <c r="L1496" i="1" s="1"/>
  <c r="K1535" i="1"/>
  <c r="L1535" i="1" s="1"/>
  <c r="K1685" i="1"/>
  <c r="L1685" i="1" s="1"/>
  <c r="K885" i="1"/>
  <c r="L885" i="1" s="1"/>
  <c r="K1357" i="1"/>
  <c r="L1357" i="1" s="1"/>
  <c r="K1067" i="1"/>
  <c r="L1067" i="1" s="1"/>
  <c r="K1473" i="1"/>
  <c r="L1473" i="1" s="1"/>
  <c r="K864" i="1"/>
  <c r="L864" i="1" s="1"/>
  <c r="K247" i="1"/>
  <c r="L247" i="1" s="1"/>
  <c r="K102" i="1"/>
  <c r="L102" i="1" s="1"/>
  <c r="K1432" i="1"/>
  <c r="L1432" i="1" s="1"/>
  <c r="K1854" i="1"/>
  <c r="L1854" i="1" s="1"/>
  <c r="K1621" i="1"/>
  <c r="L1621" i="1" s="1"/>
  <c r="K629" i="1"/>
  <c r="L629" i="1" s="1"/>
  <c r="K14" i="1"/>
  <c r="L14" i="1" s="1"/>
</calcChain>
</file>

<file path=xl/sharedStrings.xml><?xml version="1.0" encoding="utf-8"?>
<sst xmlns="http://schemas.openxmlformats.org/spreadsheetml/2006/main" count="4965" uniqueCount="839">
  <si>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</si>
  <si>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</si>
  <si>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</si>
  <si>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</si>
  <si>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</si>
  <si>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</si>
  <si>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</si>
  <si>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</si>
  <si>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</si>
  <si>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</si>
  <si>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</si>
  <si>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</si>
  <si>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</si>
  <si>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</si>
  <si>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</si>
  <si>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</si>
  <si>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</si>
  <si>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</si>
  <si>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</si>
  <si>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</si>
  <si>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</si>
  <si>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</si>
  <si>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</si>
  <si>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</si>
  <si>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</si>
  <si>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</si>
  <si>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</si>
  <si>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</si>
  <si>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</si>
  <si>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</si>
  <si>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</si>
  <si>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</si>
  <si>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</si>
  <si>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</si>
  <si>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</si>
  <si>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</si>
  <si>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</si>
  <si>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</si>
  <si>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</si>
  <si>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</si>
  <si>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</si>
  <si>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</si>
  <si>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</si>
  <si>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</si>
  <si>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</si>
  <si>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</si>
  <si>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</si>
  <si>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</si>
  <si>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</si>
  <si>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</si>
  <si>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</si>
  <si>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</si>
  <si>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</si>
  <si>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</si>
  <si>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</si>
  <si>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</si>
  <si>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</si>
  <si>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</si>
  <si>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</si>
  <si>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</si>
  <si>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</si>
  <si>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</si>
  <si>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</si>
  <si>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</si>
  <si>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</si>
  <si>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</si>
  <si>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</si>
  <si>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</si>
  <si>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</si>
  <si>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</si>
  <si>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</si>
  <si>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</si>
  <si>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</si>
  <si>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</si>
  <si>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</si>
  <si>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</si>
  <si>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</si>
  <si>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</si>
  <si>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</si>
  <si>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</si>
  <si>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</si>
  <si>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</si>
  <si>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</si>
  <si>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</si>
  <si>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</si>
  <si>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</si>
  <si>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</si>
  <si>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</si>
  <si>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</si>
  <si>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</si>
  <si>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</si>
  <si>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</si>
  <si>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</si>
  <si>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</si>
  <si>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</si>
  <si>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</si>
  <si>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</si>
  <si>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</si>
  <si>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</si>
  <si>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</si>
  <si>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</si>
  <si>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</si>
  <si>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SCAN</t>
  </si>
  <si>
    <t>Missing in Inventory</t>
  </si>
  <si>
    <t>Missing in Full Inventory</t>
  </si>
  <si>
    <t>Scanned</t>
  </si>
  <si>
    <t>Res</t>
  </si>
  <si>
    <t>Different names</t>
  </si>
  <si>
    <t>ERROR</t>
  </si>
  <si>
    <t>FOC2301U0BZ</t>
  </si>
  <si>
    <t>IRIS-H01</t>
  </si>
  <si>
    <t>CZJ91702JF</t>
  </si>
  <si>
    <t>7CR83941YJ</t>
  </si>
  <si>
    <t>7CR83941Y4</t>
  </si>
  <si>
    <t>MY891119TZ</t>
  </si>
  <si>
    <t>MY891119TE</t>
  </si>
  <si>
    <t>CZJ91702K8</t>
  </si>
  <si>
    <t>7CR839437B</t>
  </si>
  <si>
    <t>7CR839438K</t>
  </si>
  <si>
    <t>MY891119US</t>
  </si>
  <si>
    <t>MY891119TY</t>
  </si>
  <si>
    <t>FCW2302D17P</t>
  </si>
  <si>
    <t>AVD2305D021</t>
  </si>
  <si>
    <t>AVD2305D02W</t>
  </si>
  <si>
    <t>AVD2305D02G</t>
  </si>
  <si>
    <t>AVD2305D024</t>
  </si>
  <si>
    <t>AVD2305D02F</t>
  </si>
  <si>
    <t>ACW230416A4</t>
  </si>
  <si>
    <t>ACW23041688</t>
  </si>
  <si>
    <t>ACW230415P3</t>
  </si>
  <si>
    <t>ACW23040ZAX</t>
  </si>
  <si>
    <t>AVC230721FT</t>
  </si>
  <si>
    <t>AVC230720US</t>
  </si>
  <si>
    <t>AVC230721FF</t>
  </si>
  <si>
    <t>AVC230720UX</t>
  </si>
  <si>
    <t>FCW2308D140</t>
  </si>
  <si>
    <t>AVD2305D7F1</t>
  </si>
  <si>
    <t>AVD2305D7FN</t>
  </si>
  <si>
    <t>AVD2305D7GM</t>
  </si>
  <si>
    <t>AVD2305D7FU</t>
  </si>
  <si>
    <t>AVD2305D7FX</t>
  </si>
  <si>
    <t>ACW23040YZL</t>
  </si>
  <si>
    <t>ACW23040ZDE</t>
  </si>
  <si>
    <t>ACW23040YRQ</t>
  </si>
  <si>
    <t>ACW23040ZBS</t>
  </si>
  <si>
    <t>AVC230721FL</t>
  </si>
  <si>
    <t>AVC230721FG</t>
  </si>
  <si>
    <t>AVC230721F6</t>
  </si>
  <si>
    <t>AVC230721FH</t>
  </si>
  <si>
    <t>CZJ91702JD</t>
  </si>
  <si>
    <t>7CR83941Y7</t>
  </si>
  <si>
    <t>7CR83941YB</t>
  </si>
  <si>
    <t>MY8911124Z</t>
  </si>
  <si>
    <t>MY89111202</t>
  </si>
  <si>
    <t>CZJ91702JL</t>
  </si>
  <si>
    <t>7CR839436Y</t>
  </si>
  <si>
    <t>7CR839437E</t>
  </si>
  <si>
    <t>MY891119TP</t>
  </si>
  <si>
    <t>MY891117TJ</t>
  </si>
  <si>
    <t>5C3905J06B</t>
  </si>
  <si>
    <t>IRIS-SRV4-H01-01</t>
  </si>
  <si>
    <t>5C3904J047</t>
  </si>
  <si>
    <t>IRIS-SRV4-H01-02</t>
  </si>
  <si>
    <t>2S6910B080</t>
  </si>
  <si>
    <t>7CE903M566</t>
  </si>
  <si>
    <t>7CE901M976</t>
  </si>
  <si>
    <t>THH917Z0DR</t>
  </si>
  <si>
    <t>IRIS-MSA-H01-01</t>
  </si>
  <si>
    <t>THH917Z0DS</t>
  </si>
  <si>
    <t>IRIS-MSA-H01-02</t>
  </si>
  <si>
    <t>THH917Z0DT</t>
  </si>
  <si>
    <t>IRIS-MSA-H01-03</t>
  </si>
  <si>
    <t>THH914Z076</t>
  </si>
  <si>
    <t>IRIS-MSA-H01-04</t>
  </si>
  <si>
    <t>THH914Z07J</t>
  </si>
  <si>
    <t>IRIS-MSA-H01-05</t>
  </si>
  <si>
    <t>THH917Z0DP</t>
  </si>
  <si>
    <t>IRIS-MSA-H01-06</t>
  </si>
  <si>
    <t>THH914Z07L</t>
  </si>
  <si>
    <t>IRIS-MSA-H01-07</t>
  </si>
  <si>
    <t>THH914Z07C</t>
  </si>
  <si>
    <t>IRIS-MSA-H01-08</t>
  </si>
  <si>
    <t>THH914Z07D</t>
  </si>
  <si>
    <t>IRIS-MSA-H01-09</t>
  </si>
  <si>
    <t>THH914Z07K</t>
  </si>
  <si>
    <t>IRIS-MSA-H01-10</t>
  </si>
  <si>
    <t>THH914Z084</t>
  </si>
  <si>
    <t>IRIS-MSA-H01-11</t>
  </si>
  <si>
    <t>THH914Z085</t>
  </si>
  <si>
    <t>IRIS-MSA-H01-12</t>
  </si>
  <si>
    <t>MY8905111S</t>
  </si>
  <si>
    <t>MY890511ZR</t>
  </si>
  <si>
    <t>MY890511Q8</t>
  </si>
  <si>
    <t>MY890511QU</t>
  </si>
  <si>
    <t>MY890511WN</t>
  </si>
  <si>
    <t>MY89051120</t>
  </si>
  <si>
    <t>MY890511PP</t>
  </si>
  <si>
    <t>MY890511QP</t>
  </si>
  <si>
    <t>0814289</t>
  </si>
  <si>
    <t>ACC8371120</t>
  </si>
  <si>
    <t>2019.05.17095</t>
  </si>
  <si>
    <t>2019.05.17526</t>
  </si>
  <si>
    <t>2019.05.17525</t>
  </si>
  <si>
    <t>2019.05.17108</t>
  </si>
  <si>
    <t>2019.05.17529</t>
  </si>
  <si>
    <t>2019.05.17528</t>
  </si>
  <si>
    <t>2019.05.17109</t>
  </si>
  <si>
    <t>2019.05.17522</t>
  </si>
  <si>
    <t>2019.05.17523</t>
  </si>
  <si>
    <t>2019.05.17110</t>
  </si>
  <si>
    <t>2019.05.17524</t>
  </si>
  <si>
    <t>2019.05.17527</t>
  </si>
  <si>
    <t>2019.05.17111</t>
  </si>
  <si>
    <t>2019.05.17521</t>
  </si>
  <si>
    <t>2019.05.17520</t>
  </si>
  <si>
    <t>2019.05.17112</t>
  </si>
  <si>
    <t>2019.05.17519</t>
  </si>
  <si>
    <t>2019.05.17518</t>
  </si>
  <si>
    <t>2019.05.17113</t>
  </si>
  <si>
    <t>HP Z27n G2</t>
  </si>
  <si>
    <t>1JS10AT</t>
  </si>
  <si>
    <t>2019.05.17567</t>
  </si>
  <si>
    <t>2019.05.17566</t>
  </si>
  <si>
    <t>2019.05.17096</t>
  </si>
  <si>
    <t>2019.05.17517</t>
  </si>
  <si>
    <t>2019.05.17516</t>
  </si>
  <si>
    <t>2019.05.17565</t>
  </si>
  <si>
    <t>Check</t>
  </si>
  <si>
    <t>IRIS-A02</t>
  </si>
  <si>
    <t>CZJ91702JJ</t>
  </si>
  <si>
    <t>IRIS-SRV1-A02</t>
  </si>
  <si>
    <t>7CR839442E</t>
  </si>
  <si>
    <t>7CR83942UZ</t>
  </si>
  <si>
    <t>MY891111XW</t>
  </si>
  <si>
    <t>MY891119TC</t>
  </si>
  <si>
    <t>CZJ91702JK</t>
  </si>
  <si>
    <t>IRIS-SRV2-A02</t>
  </si>
  <si>
    <t>7CR839420L</t>
  </si>
  <si>
    <t>7CR839432U</t>
  </si>
  <si>
    <t>MY891119LU</t>
  </si>
  <si>
    <t>MY89111235</t>
  </si>
  <si>
    <t>IRIS-SW1-A02</t>
  </si>
  <si>
    <t>AVD2305D7ED</t>
  </si>
  <si>
    <t>AVD2305D9KC</t>
  </si>
  <si>
    <t>AVD2305D9KP</t>
  </si>
  <si>
    <t>ACW2304150P</t>
  </si>
  <si>
    <t>ACW23040ZA0</t>
  </si>
  <si>
    <t>ACW23040Z9D</t>
  </si>
  <si>
    <t>ACW23040Z9X</t>
  </si>
  <si>
    <t>ACW23040YQZ</t>
  </si>
  <si>
    <t>ACW23040ZB4</t>
  </si>
  <si>
    <t>AVC230721FQ</t>
  </si>
  <si>
    <t>AVC230721EY</t>
  </si>
  <si>
    <t>AVC230721F4</t>
  </si>
  <si>
    <t>FOC2309GH3M</t>
  </si>
  <si>
    <t>IRIS-SW2-A02</t>
  </si>
  <si>
    <t>AVD2305D9KY</t>
  </si>
  <si>
    <t>AVD2305D9KZ</t>
  </si>
  <si>
    <t>AVD2305D9KX</t>
  </si>
  <si>
    <t>ACW230416AK</t>
  </si>
  <si>
    <t>ACW230416L0</t>
  </si>
  <si>
    <t>ACW2304150Z</t>
  </si>
  <si>
    <t>ACW230416J1</t>
  </si>
  <si>
    <t>ACW23041507</t>
  </si>
  <si>
    <t>AVC230721EV</t>
  </si>
  <si>
    <t>AVC230721F7</t>
  </si>
  <si>
    <t>AVC230721FM</t>
  </si>
  <si>
    <t>2S6910B077</t>
  </si>
  <si>
    <t>IRIS-MSA-A02</t>
  </si>
  <si>
    <t>7CE901M535</t>
  </si>
  <si>
    <t>7CE901M781</t>
  </si>
  <si>
    <t>THH917Z088</t>
  </si>
  <si>
    <t>IRIS-MSA-A02-01</t>
  </si>
  <si>
    <t>THH917Z07I</t>
  </si>
  <si>
    <t>IRIS-MSA-A02-02</t>
  </si>
  <si>
    <t>THH917Z07W</t>
  </si>
  <si>
    <t>IRIS-MSA-A02-03</t>
  </si>
  <si>
    <t>THH917Z07Y</t>
  </si>
  <si>
    <t>IRIS-MSA-A02-04</t>
  </si>
  <si>
    <t>THH917Z087</t>
  </si>
  <si>
    <t>IRIS-MSA-A02-05</t>
  </si>
  <si>
    <t>THH917Z07Z</t>
  </si>
  <si>
    <t>IRIS-MSA-A02-06</t>
  </si>
  <si>
    <t>THH917Z06X</t>
  </si>
  <si>
    <t>IRIS-MSA-A02-07</t>
  </si>
  <si>
    <t>THH917Z080</t>
  </si>
  <si>
    <t>IRIS-MSA-A02-08</t>
  </si>
  <si>
    <t>THH917Z07D</t>
  </si>
  <si>
    <t>IRIS-MSA-A02-09</t>
  </si>
  <si>
    <t>THH917Z078</t>
  </si>
  <si>
    <t>IRIS-MSA-A02-10</t>
  </si>
  <si>
    <t>THH917Z06W</t>
  </si>
  <si>
    <t>IRIS-MSA-A02-11</t>
  </si>
  <si>
    <t>THH917Z08F</t>
  </si>
  <si>
    <t>IRIS-MSA-A02-12</t>
  </si>
  <si>
    <t>MY8905112E</t>
  </si>
  <si>
    <t>MY890511X0</t>
  </si>
  <si>
    <t>MY8905113B</t>
  </si>
  <si>
    <t>MY89051123</t>
  </si>
  <si>
    <t>MY8905105Q</t>
  </si>
  <si>
    <t>MY8905100M</t>
  </si>
  <si>
    <t>MY890510EZ</t>
  </si>
  <si>
    <t>MY8905105N</t>
  </si>
  <si>
    <t>HPE MSA 2050 LFF Disk Enclosure - EXTENSION 1</t>
  </si>
  <si>
    <t>Disk Enclosure - EXTENSION 1</t>
  </si>
  <si>
    <t>Q1J06A</t>
  </si>
  <si>
    <t>2S6912D146</t>
  </si>
  <si>
    <t>IRIS-DEN-A02-1</t>
  </si>
  <si>
    <t>HPE SPS-6GB MSA IO MODULE</t>
  </si>
  <si>
    <t>Disk Enclosure</t>
  </si>
  <si>
    <t>876146-001</t>
  </si>
  <si>
    <t>7CE909G720</t>
  </si>
  <si>
    <t>7CE909G584</t>
  </si>
  <si>
    <t>THH923Z08R</t>
  </si>
  <si>
    <t>IRIS-DEN-A02-1-01</t>
  </si>
  <si>
    <t>THH923Z08V</t>
  </si>
  <si>
    <t>IRIS-DEN-A02-1-02</t>
  </si>
  <si>
    <t>THH923Z04W</t>
  </si>
  <si>
    <t>IRIS-DEN-A02-1-03</t>
  </si>
  <si>
    <t>THH923Z09R</t>
  </si>
  <si>
    <t>IRIS-DEN-A02-1-04</t>
  </si>
  <si>
    <t>THH923Z09A</t>
  </si>
  <si>
    <t>IRIS-DEN-A02-1-05</t>
  </si>
  <si>
    <t>THH923Z04V</t>
  </si>
  <si>
    <t>IRIS-DEN-A02-1-06</t>
  </si>
  <si>
    <t>THH923Z096</t>
  </si>
  <si>
    <t>IRIS-DEN-A02-1-07</t>
  </si>
  <si>
    <t>THH923Z099</t>
  </si>
  <si>
    <t>IRIS-DEN-A02-1-08</t>
  </si>
  <si>
    <t>THH923Z04U</t>
  </si>
  <si>
    <t>IRIS-DEN-A02-1-09</t>
  </si>
  <si>
    <t>THH923Z09P</t>
  </si>
  <si>
    <t>IRIS-DEN-A02-1-10</t>
  </si>
  <si>
    <t>THH923Z098</t>
  </si>
  <si>
    <t>IRIS-DEN-A02-1-11</t>
  </si>
  <si>
    <t>THH923Z04S</t>
  </si>
  <si>
    <t>IRIS-DEN-A02-1-12</t>
  </si>
  <si>
    <t>HPE MSA 2050 LFF Disk Enclosure - EXTENSION 2</t>
  </si>
  <si>
    <t>Disk Enclosure - EXTENSION 2</t>
  </si>
  <si>
    <t>2S6912D143</t>
  </si>
  <si>
    <t>IRIS-DEN-A02-2</t>
  </si>
  <si>
    <t>7CE909G415</t>
  </si>
  <si>
    <t>7CE909G725</t>
  </si>
  <si>
    <t>THH923Z09Y</t>
  </si>
  <si>
    <t>IRIS-DEN-A02-2-01</t>
  </si>
  <si>
    <t>THH923Z04X</t>
  </si>
  <si>
    <t>IRIS-DEN-A02-2-02</t>
  </si>
  <si>
    <t>THH923Z051</t>
  </si>
  <si>
    <t>IRIS-DEN-A02-2-03</t>
  </si>
  <si>
    <t>THH923Z04H</t>
  </si>
  <si>
    <t>IRIS-DEN-A02-2-04</t>
  </si>
  <si>
    <t>THH923Z050</t>
  </si>
  <si>
    <t>IRIS-DEN-A02-2-05</t>
  </si>
  <si>
    <t>THH923Z053</t>
  </si>
  <si>
    <t>IRIS-DEN-A02-2-06</t>
  </si>
  <si>
    <t>THH923Z09Z</t>
  </si>
  <si>
    <t>IRIS-DEN-A02-2-07</t>
  </si>
  <si>
    <t>THH923Z04Y</t>
  </si>
  <si>
    <t>IRIS-DEN-A02-2-08</t>
  </si>
  <si>
    <t>THH923Z06J</t>
  </si>
  <si>
    <t>IRIS-DEN-A02-2-09</t>
  </si>
  <si>
    <t>THH923Z04D</t>
  </si>
  <si>
    <t>IRIS-DEN-A02-2-10</t>
  </si>
  <si>
    <t>THH923Z04Z</t>
  </si>
  <si>
    <t>IRIS-DEN-A02-2-11</t>
  </si>
  <si>
    <t>THH923Z06K</t>
  </si>
  <si>
    <t>IRIS-DEN-A02-2-12</t>
  </si>
  <si>
    <t>0814300</t>
  </si>
  <si>
    <t>IRIS-NTP-A02</t>
  </si>
  <si>
    <t>ACC8371121</t>
  </si>
  <si>
    <t>IRIS-UPS-A02</t>
  </si>
  <si>
    <t>IRIS-C01</t>
  </si>
  <si>
    <t>CZJ91702JX</t>
  </si>
  <si>
    <t>IRIS-SRV1-C01</t>
  </si>
  <si>
    <t>7CR842N0FW</t>
  </si>
  <si>
    <t>7CR842N0G9</t>
  </si>
  <si>
    <t>MY891115AN</t>
  </si>
  <si>
    <t>MY891119TW</t>
  </si>
  <si>
    <t>CZJ91702K6</t>
  </si>
  <si>
    <t>IRIS-SRV2-C01</t>
  </si>
  <si>
    <t>7CR842N0GC</t>
  </si>
  <si>
    <t>7CR842N0FV</t>
  </si>
  <si>
    <t>MY891119P5</t>
  </si>
  <si>
    <t>MY891119TV</t>
  </si>
  <si>
    <t>FOC2309U01P</t>
  </si>
  <si>
    <t>IRIS-SW1-C01</t>
  </si>
  <si>
    <t>OPM22411UF2</t>
  </si>
  <si>
    <t>OPM22411SM4</t>
  </si>
  <si>
    <t>OPM22411SM2</t>
  </si>
  <si>
    <t>OPM22411SM5</t>
  </si>
  <si>
    <t>OPM22411SLY</t>
  </si>
  <si>
    <t>OPM22390B9K</t>
  </si>
  <si>
    <t>OPM22390B9N</t>
  </si>
  <si>
    <t>OPM22390BGX</t>
  </si>
  <si>
    <t>OPM22390BGY</t>
  </si>
  <si>
    <t>AVC230721EM</t>
  </si>
  <si>
    <t>AVC230721EH</t>
  </si>
  <si>
    <t>AVC230721EG</t>
  </si>
  <si>
    <t>AVC230721EF</t>
  </si>
  <si>
    <t>FCW2308C19T</t>
  </si>
  <si>
    <t>IRIS-SW2-C01</t>
  </si>
  <si>
    <t>AVD2305D7GZ</t>
  </si>
  <si>
    <t>AVD2305D7GS</t>
  </si>
  <si>
    <t>AVD2305D7GJ</t>
  </si>
  <si>
    <t>AVD2305D7H0</t>
  </si>
  <si>
    <t>AVD2305D7H4</t>
  </si>
  <si>
    <t>ACW23031NFJ</t>
  </si>
  <si>
    <t>ACW23031NRL</t>
  </si>
  <si>
    <t>ACW23031N89</t>
  </si>
  <si>
    <t>AVC230721FE</t>
  </si>
  <si>
    <t>AVC230721EJ</t>
  </si>
  <si>
    <t>AVC230721EK</t>
  </si>
  <si>
    <t>AVC230721EW</t>
  </si>
  <si>
    <t>CZJ91702K4</t>
  </si>
  <si>
    <t>IRIS-SRV3-C01</t>
  </si>
  <si>
    <t>7CR841N0EJ</t>
  </si>
  <si>
    <t>7CR841N0F2</t>
  </si>
  <si>
    <t>MY891119LT</t>
  </si>
  <si>
    <t>MY891119ND</t>
  </si>
  <si>
    <t>CZJ91702K2</t>
  </si>
  <si>
    <t>IRIS-SRV4-C01</t>
  </si>
  <si>
    <t>7CR842N0G2</t>
  </si>
  <si>
    <t>7CR841N0F7</t>
  </si>
  <si>
    <t>MY891119MW</t>
  </si>
  <si>
    <t>MY891119NR</t>
  </si>
  <si>
    <t>5C3905J06Z</t>
  </si>
  <si>
    <t>IRIS-SRV4-C01-01</t>
  </si>
  <si>
    <t>5C3905J06J</t>
  </si>
  <si>
    <t>IRIS-SRV4-C01-02</t>
  </si>
  <si>
    <t>2S6910B090</t>
  </si>
  <si>
    <t>IRIS-MSA-C01</t>
  </si>
  <si>
    <t>7CE901M841</t>
  </si>
  <si>
    <t>7CE901M924</t>
  </si>
  <si>
    <t>THH917Z06U</t>
  </si>
  <si>
    <t>IRIS-MSA-C01-01</t>
  </si>
  <si>
    <t>THH917Z076</t>
  </si>
  <si>
    <t>IRIS-MSA-C01-02</t>
  </si>
  <si>
    <t>THH917Z07R</t>
  </si>
  <si>
    <t>IRIS-MSA-C01-03</t>
  </si>
  <si>
    <t>THH917Z06J</t>
  </si>
  <si>
    <t>IRIS-MSA-C01-04</t>
  </si>
  <si>
    <t>THH917Z06L</t>
  </si>
  <si>
    <t>IRIS-MSA-C01-05</t>
  </si>
  <si>
    <t>THH917Z07J</t>
  </si>
  <si>
    <t>IRIS-MSA-C01-06</t>
  </si>
  <si>
    <t>THH917Z06T</t>
  </si>
  <si>
    <t>IRIS-MSA-C01-07</t>
  </si>
  <si>
    <t>THH917Z077</t>
  </si>
  <si>
    <t>IRIS-MSA-C01-08</t>
  </si>
  <si>
    <t>THH917Z06V</t>
  </si>
  <si>
    <t>IRIS-MSA-C01-09</t>
  </si>
  <si>
    <t>THH917Z074</t>
  </si>
  <si>
    <t>IRIS-MSA-C01-10</t>
  </si>
  <si>
    <t>THH917Z06K</t>
  </si>
  <si>
    <t>IRIS-MSA-C01-11</t>
  </si>
  <si>
    <t>THH917Z072</t>
  </si>
  <si>
    <t>IRIS-MSA-C01-12</t>
  </si>
  <si>
    <t>MY8905112M</t>
  </si>
  <si>
    <t>MY8905111V</t>
  </si>
  <si>
    <t>MY890510WG</t>
  </si>
  <si>
    <t>MY8905113S</t>
  </si>
  <si>
    <t>MY89051125</t>
  </si>
  <si>
    <t>MY8905112F</t>
  </si>
  <si>
    <t>MY8905113Y</t>
  </si>
  <si>
    <t>MY8905112V</t>
  </si>
  <si>
    <t>0814301</t>
  </si>
  <si>
    <t>IRIS-NTP-C01</t>
  </si>
  <si>
    <t>ACC8390065</t>
  </si>
  <si>
    <t>IRIS-UPS-C01</t>
  </si>
  <si>
    <t>2019.05.17093</t>
  </si>
  <si>
    <t>IRIS-MMCO1-C01</t>
  </si>
  <si>
    <t>2019.05.17509</t>
  </si>
  <si>
    <t>IRIS-24-SCR01-C01</t>
  </si>
  <si>
    <t>2019.05.17508</t>
  </si>
  <si>
    <t>IRIS-24-SCR02-C01</t>
  </si>
  <si>
    <t>2019.05.17103</t>
  </si>
  <si>
    <t>IRIS-OPR01-C01</t>
  </si>
  <si>
    <t>2019.05.17507</t>
  </si>
  <si>
    <t>IRIS-24-SCR03-C01</t>
  </si>
  <si>
    <t>2019.05.17504</t>
  </si>
  <si>
    <t>IRIS-24-SCR04-C01</t>
  </si>
  <si>
    <t>2019.05.17104</t>
  </si>
  <si>
    <t>IRIS-OPR02-C01</t>
  </si>
  <si>
    <t>2019.05.17505</t>
  </si>
  <si>
    <t>IRIS-24-SCR05-C01</t>
  </si>
  <si>
    <t>2019.05.17506</t>
  </si>
  <si>
    <t>IRIS-24-SCR06-C01</t>
  </si>
  <si>
    <t>2019.05.17105</t>
  </si>
  <si>
    <t>IRIS-OPR03-C01</t>
  </si>
  <si>
    <t>2019.05.17499</t>
  </si>
  <si>
    <t>IRIS-24-SCR07-C01</t>
  </si>
  <si>
    <t>2019.05.17498</t>
  </si>
  <si>
    <t>IRIS-24-SCR08-C01</t>
  </si>
  <si>
    <t>2019.05.17106</t>
  </si>
  <si>
    <t>IRIS-OPR04-C01</t>
  </si>
  <si>
    <t>2019.05.17503</t>
  </si>
  <si>
    <t>IRIS-24-SCR09-C01</t>
  </si>
  <si>
    <t>2019.05.17502</t>
  </si>
  <si>
    <t>IRIS-24-SCR10-C01</t>
  </si>
  <si>
    <t>2019.05.17107</t>
  </si>
  <si>
    <t>IRIS-OPR05-C01</t>
  </si>
  <si>
    <t>2019.05.17501</t>
  </si>
  <si>
    <t>IRIS-24-SCR11-C01</t>
  </si>
  <si>
    <t>2019.05.17497</t>
  </si>
  <si>
    <t>IRIS-24-SCR12-C01</t>
  </si>
  <si>
    <t>SPARE / IRIS - C01</t>
  </si>
  <si>
    <t>2019.05.17094</t>
  </si>
  <si>
    <t>IRIS-MM-SPARE-C01</t>
  </si>
  <si>
    <t>2019.05.17496</t>
  </si>
  <si>
    <t>IRIS-24-SPARC01-C01</t>
  </si>
  <si>
    <t>2019.05.17492</t>
  </si>
  <si>
    <t>IRIS-24-SPARE02-C01</t>
  </si>
  <si>
    <t>IRIS-B01</t>
  </si>
  <si>
    <t>CZJ91702K5</t>
  </si>
  <si>
    <t>IRIS-SRV1-B01</t>
  </si>
  <si>
    <t>7CR841N0XV</t>
  </si>
  <si>
    <t>7CR841N0YA</t>
  </si>
  <si>
    <t>MY891115B3</t>
  </si>
  <si>
    <t>MY891115BQ</t>
  </si>
  <si>
    <t>CZJ91702K1</t>
  </si>
  <si>
    <t>IRIS-SRV2-B01</t>
  </si>
  <si>
    <t>7CR841N11D</t>
  </si>
  <si>
    <t>7CR841N0YC</t>
  </si>
  <si>
    <t>MY891115B6</t>
  </si>
  <si>
    <t>MY891115BU</t>
  </si>
  <si>
    <t>FOC2309X0B7</t>
  </si>
  <si>
    <t>IRIS-SW1-B01</t>
  </si>
  <si>
    <t>AVD2305D7EK</t>
  </si>
  <si>
    <t>AVD2305D7EW</t>
  </si>
  <si>
    <t>AVD2305D7EZ</t>
  </si>
  <si>
    <t>AVD2305D7FJ</t>
  </si>
  <si>
    <t>AVD2305D76M</t>
  </si>
  <si>
    <t>OPM22390BA6</t>
  </si>
  <si>
    <t>OPM22390BA8</t>
  </si>
  <si>
    <t>OPM22390BH1</t>
  </si>
  <si>
    <t>OPM22390BH2</t>
  </si>
  <si>
    <t>OPM22390BAA</t>
  </si>
  <si>
    <t>OPM22390BA1</t>
  </si>
  <si>
    <t>OPM22390BA7</t>
  </si>
  <si>
    <t>OPM22390BH0</t>
  </si>
  <si>
    <t>ACW23031NMS</t>
  </si>
  <si>
    <t>AVC230721F2</t>
  </si>
  <si>
    <t>AVC230721FB</t>
  </si>
  <si>
    <t>AVC230721ER</t>
  </si>
  <si>
    <t>AVC230721EN</t>
  </si>
  <si>
    <t>FCW2309C01W</t>
  </si>
  <si>
    <t>IRIS-SW2-B01</t>
  </si>
  <si>
    <t>AVD2305D7FW</t>
  </si>
  <si>
    <t>AVD2305D7G5</t>
  </si>
  <si>
    <t>AVD2305D7G6</t>
  </si>
  <si>
    <t>AVD2305D7G3</t>
  </si>
  <si>
    <t>AVD2305D7F9</t>
  </si>
  <si>
    <t>ACW230346HH</t>
  </si>
  <si>
    <t>ACW23031N4D</t>
  </si>
  <si>
    <t>ACW23031NSF</t>
  </si>
  <si>
    <t>ACW23031NMG</t>
  </si>
  <si>
    <t>ACW23031NMV</t>
  </si>
  <si>
    <t>ACW23031MJS</t>
  </si>
  <si>
    <t>ACW230341527</t>
  </si>
  <si>
    <t>ACW230341621</t>
  </si>
  <si>
    <t>AVC230721ES</t>
  </si>
  <si>
    <t>AVC230721EP</t>
  </si>
  <si>
    <t>AVC230721EQ</t>
  </si>
  <si>
    <t>AVC230721F3</t>
  </si>
  <si>
    <t>CZJ91702JR</t>
  </si>
  <si>
    <t>IRIS-SRV3-B01</t>
  </si>
  <si>
    <t>7CR841N11N</t>
  </si>
  <si>
    <t>7CR841N11H</t>
  </si>
  <si>
    <t>MY891114JB</t>
  </si>
  <si>
    <t>MY891118BY</t>
  </si>
  <si>
    <t>CZJ91702JT</t>
  </si>
  <si>
    <t>IRIS-SRV4-B01</t>
  </si>
  <si>
    <t>7CR841N11F</t>
  </si>
  <si>
    <t>7CR841N0YD</t>
  </si>
  <si>
    <t>MY891117SR</t>
  </si>
  <si>
    <t>MY891114JD</t>
  </si>
  <si>
    <t>5C3905J06L</t>
  </si>
  <si>
    <t>IRIS-SRV4-B01-01</t>
  </si>
  <si>
    <t>5C3905J06I</t>
  </si>
  <si>
    <t>IRIS-SRV4-B01-02</t>
  </si>
  <si>
    <t>2S6910B088</t>
  </si>
  <si>
    <t>IRIS-MSA-B01</t>
  </si>
  <si>
    <t>7CE901M920</t>
  </si>
  <si>
    <t>7CE901M970</t>
  </si>
  <si>
    <t>THH917Z08S</t>
  </si>
  <si>
    <t>IRIS-MSA-B01-01</t>
  </si>
  <si>
    <t>THH917Z09H</t>
  </si>
  <si>
    <t>IRIS-MSA-B01-02</t>
  </si>
  <si>
    <t>THH917Z09E</t>
  </si>
  <si>
    <t>IRIS-MSA-B01-03</t>
  </si>
  <si>
    <t>THH917Z08U</t>
  </si>
  <si>
    <t>IRIS-MSA-B01-04</t>
  </si>
  <si>
    <t>THH917Z09M</t>
  </si>
  <si>
    <t>IRIS-MSA-B01-05</t>
  </si>
  <si>
    <t>THH917Z08K</t>
  </si>
  <si>
    <t>IRIS-MSA-B01-06</t>
  </si>
  <si>
    <t>THH917Z091</t>
  </si>
  <si>
    <t>IRIS-MSA-B01-07</t>
  </si>
  <si>
    <t>THH917Z08L</t>
  </si>
  <si>
    <t>IRIS-MSA-B01-08</t>
  </si>
  <si>
    <t>THH917Z090</t>
  </si>
  <si>
    <t>IRIS-MSA-B01-09</t>
  </si>
  <si>
    <t>THH917Z097</t>
  </si>
  <si>
    <t>IRIS-MSA-B01-10</t>
  </si>
  <si>
    <t>THH917Z09N</t>
  </si>
  <si>
    <t>IRIS-MSA-B01-11</t>
  </si>
  <si>
    <t>THH917Z096</t>
  </si>
  <si>
    <t>IRIS-MSA-B01-12</t>
  </si>
  <si>
    <t>MY890510UU</t>
  </si>
  <si>
    <t>MY8905113F</t>
  </si>
  <si>
    <t>MY8905113K</t>
  </si>
  <si>
    <t>MY8905112C</t>
  </si>
  <si>
    <t>MY890511VV</t>
  </si>
  <si>
    <t>MY890511WX</t>
  </si>
  <si>
    <t>MY890511WU</t>
  </si>
  <si>
    <t>MY890511WK</t>
  </si>
  <si>
    <t>0814306</t>
  </si>
  <si>
    <t>IRIS-NTP-B01</t>
  </si>
  <si>
    <t>ACC8380249</t>
  </si>
  <si>
    <t>IRIS-UPS-B01</t>
  </si>
  <si>
    <t>2019.07.20252</t>
  </si>
  <si>
    <t>IRIS-MMCO1-B01</t>
  </si>
  <si>
    <t>2019.05.17337</t>
  </si>
  <si>
    <t>IRIS-24-SCR01-B01</t>
  </si>
  <si>
    <t>2019.05.17338</t>
  </si>
  <si>
    <t>IRIS-24-SCR02-B01</t>
  </si>
  <si>
    <t>2019.07.20272</t>
  </si>
  <si>
    <t>IRIS-OPR01-B01</t>
  </si>
  <si>
    <t>2019.05.17339</t>
  </si>
  <si>
    <t>IRIS-24-SCR03-B01</t>
  </si>
  <si>
    <t>2019.05.17340</t>
  </si>
  <si>
    <t>IRIS-24-SCR04-B01</t>
  </si>
  <si>
    <t>2019.07.20273</t>
  </si>
  <si>
    <t>IRIS-OPR02-B01</t>
  </si>
  <si>
    <t>2019.05.17341</t>
  </si>
  <si>
    <t>IRIS-24-SCR05-B01</t>
  </si>
  <si>
    <t>2019.05.17342</t>
  </si>
  <si>
    <t>IRIS-24-SCR06-B01</t>
  </si>
  <si>
    <t>2019.07.20271</t>
  </si>
  <si>
    <t>IRIS-OPR03-B01</t>
  </si>
  <si>
    <t>2019.05.17343</t>
  </si>
  <si>
    <t>IRIS-24-SCR07-B01</t>
  </si>
  <si>
    <t>2019.05.17344</t>
  </si>
  <si>
    <t>IRIS-24-SCR08-B01</t>
  </si>
  <si>
    <t>2019.07.20270</t>
  </si>
  <si>
    <t>IRIS-OPR04-B01</t>
  </si>
  <si>
    <t>2019.05.17345</t>
  </si>
  <si>
    <t>IRIS-24-SCR09-B01</t>
  </si>
  <si>
    <t>2019.05.17346</t>
  </si>
  <si>
    <t>IRIS-24-SCR10-B01</t>
  </si>
  <si>
    <t>2019.07.20269</t>
  </si>
  <si>
    <t>IRIS-OPR05-B01</t>
  </si>
  <si>
    <t>2019.05.17347</t>
  </si>
  <si>
    <t>IRIS-24-SCR11-B01</t>
  </si>
  <si>
    <t>2019.05.17348</t>
  </si>
  <si>
    <t>IRIS-24-SCR12-B01</t>
  </si>
  <si>
    <t>2019.07.20265</t>
  </si>
  <si>
    <t>IRIS-OPR06-B01</t>
  </si>
  <si>
    <t>2019.05.17349</t>
  </si>
  <si>
    <t>IRIS-24-SCR13-B01</t>
  </si>
  <si>
    <t>2019.05.17350</t>
  </si>
  <si>
    <t>IRIS-24-SCR14-B01</t>
  </si>
  <si>
    <t>2019.07.20266</t>
  </si>
  <si>
    <t>IRIS-OPR07-B01</t>
  </si>
  <si>
    <t>2019.05.17351</t>
  </si>
  <si>
    <t>IRIS-24-SCR15-B01</t>
  </si>
  <si>
    <t>2019.05.17352</t>
  </si>
  <si>
    <t>IRIS-24-SCR16-B01</t>
  </si>
  <si>
    <t>SPARE / IRIS - B01</t>
  </si>
  <si>
    <t>2019.07.20253</t>
  </si>
  <si>
    <t>IRIS-MM-SPARE-B01</t>
  </si>
  <si>
    <t>2019.05.17353</t>
  </si>
  <si>
    <t>2019.05.17354</t>
  </si>
  <si>
    <t>2019.07.20268</t>
  </si>
  <si>
    <t>IRIS-SPARE01-B01</t>
  </si>
  <si>
    <t>2019.05.17355</t>
  </si>
  <si>
    <t>2019.05.17356</t>
  </si>
  <si>
    <t>2019.05.17357</t>
  </si>
  <si>
    <t>To be scanned</t>
  </si>
  <si>
    <t>Sorcímkék</t>
  </si>
  <si>
    <t>Végösszeg</t>
  </si>
  <si>
    <t>Full Inv Packs</t>
  </si>
  <si>
    <t>YES</t>
  </si>
  <si>
    <t>Mennyiség / Serial number</t>
  </si>
  <si>
    <t xml:space="preserve">     HUN</t>
  </si>
  <si>
    <t>IRIS-H02</t>
  </si>
  <si>
    <t>CZJ8510C15</t>
  </si>
  <si>
    <t>IRIS-SRV1-H02</t>
  </si>
  <si>
    <t>7CR8394424</t>
  </si>
  <si>
    <t>7CR8394425</t>
  </si>
  <si>
    <t>MY884805PS</t>
  </si>
  <si>
    <t>MY884805P3</t>
  </si>
  <si>
    <t>CZJ8510C19</t>
  </si>
  <si>
    <t>IRIS-SRV2-H02</t>
  </si>
  <si>
    <t>7CR839442L</t>
  </si>
  <si>
    <t>7CR839441U</t>
  </si>
  <si>
    <t>MY884902Z8</t>
  </si>
  <si>
    <t>MY884902ZU</t>
  </si>
  <si>
    <t>FCW2309C022</t>
  </si>
  <si>
    <t>IRIS-SW1-H02</t>
  </si>
  <si>
    <t>OPM22411STK</t>
  </si>
  <si>
    <t>OPM22411UF7</t>
  </si>
  <si>
    <t>OPM22411SR1</t>
  </si>
  <si>
    <t>OPM22411ST7</t>
  </si>
  <si>
    <t>OPM22411SPR</t>
  </si>
  <si>
    <t>OPM22390B6X</t>
  </si>
  <si>
    <t>OPM22390BGB</t>
  </si>
  <si>
    <t>OPM22390BG3</t>
  </si>
  <si>
    <t>OPM22390B9F</t>
  </si>
  <si>
    <t>AVC230721F1</t>
  </si>
  <si>
    <t>AVC230721F0</t>
  </si>
  <si>
    <t>AVC230721FD</t>
  </si>
  <si>
    <t>AVC230721FS</t>
  </si>
  <si>
    <t>FOC2309X02L</t>
  </si>
  <si>
    <t>IRIS-SW2-H02</t>
  </si>
  <si>
    <t>OPM22411SB6</t>
  </si>
  <si>
    <t>OPM22411STJ</t>
  </si>
  <si>
    <t>OPM22411SB3</t>
  </si>
  <si>
    <t>OPM22411UFJ</t>
  </si>
  <si>
    <t>OPM22411RRM</t>
  </si>
  <si>
    <t>OPM22390B5K</t>
  </si>
  <si>
    <t>OPM22390B5M</t>
  </si>
  <si>
    <t>OPM22390B9R</t>
  </si>
  <si>
    <t>OPM22390B9P</t>
  </si>
  <si>
    <t>AVC230721FJ</t>
  </si>
  <si>
    <t>AVC230721FK</t>
  </si>
  <si>
    <t>AVC230721EZ</t>
  </si>
  <si>
    <t>AVC230721F5</t>
  </si>
  <si>
    <t>CZJ8510C0Y</t>
  </si>
  <si>
    <t>IRIS-SRV3-H02</t>
  </si>
  <si>
    <t>7CR83942US</t>
  </si>
  <si>
    <t>7CR839443T</t>
  </si>
  <si>
    <t>MY883701DU</t>
  </si>
  <si>
    <t>MY883701DS</t>
  </si>
  <si>
    <t/>
  </si>
  <si>
    <t>IRIS-SRV4-H02</t>
  </si>
  <si>
    <t>7CR839442R</t>
  </si>
  <si>
    <t>7CR839442J</t>
  </si>
  <si>
    <t>MY883701VE</t>
  </si>
  <si>
    <t>MY883701DR</t>
  </si>
  <si>
    <t>5C3905J06M</t>
  </si>
  <si>
    <t>IRIS-SRV4-H02-01</t>
  </si>
  <si>
    <t>5C3905J06N</t>
  </si>
  <si>
    <t>IRIS-SRV4-H02-02</t>
  </si>
  <si>
    <t>2S6910B079</t>
  </si>
  <si>
    <t>IRIS-MSA-H02</t>
  </si>
  <si>
    <t>7CE901M804</t>
  </si>
  <si>
    <t>7CE901M823</t>
  </si>
  <si>
    <t>THH917Z06Z</t>
  </si>
  <si>
    <t>IRIS-MSA-H02-01</t>
  </si>
  <si>
    <t>THH917Z06M</t>
  </si>
  <si>
    <t>IRIS-MSA-H02-02</t>
  </si>
  <si>
    <t>THH917Z06Y</t>
  </si>
  <si>
    <t>IRIS-MSA-H02-03</t>
  </si>
  <si>
    <t>THH917Z06A</t>
  </si>
  <si>
    <t>IRIS-MSA-H02-04</t>
  </si>
  <si>
    <t>THH917Z06B</t>
  </si>
  <si>
    <t>IRIS-MSA-H02-05</t>
  </si>
  <si>
    <t>THH917Z06P</t>
  </si>
  <si>
    <t>IRIS-MSA-H02-06</t>
  </si>
  <si>
    <t>THH917Z070</t>
  </si>
  <si>
    <t>IRIS-MSA-H02-07</t>
  </si>
  <si>
    <t>THH917Z06N</t>
  </si>
  <si>
    <t>IRIS-MSA-H02-08</t>
  </si>
  <si>
    <t>THH917Z06C</t>
  </si>
  <si>
    <t>IRIS-MSA-H02-09</t>
  </si>
  <si>
    <t>THH917Z06E</t>
  </si>
  <si>
    <t>IRIS-MSA-H02-10</t>
  </si>
  <si>
    <t>THH917Z08B</t>
  </si>
  <si>
    <t>IRIS-MSA-H02-11</t>
  </si>
  <si>
    <t>THH917Z084</t>
  </si>
  <si>
    <t>IRIS-MSA-H02-12</t>
  </si>
  <si>
    <t>MY890511KX</t>
  </si>
  <si>
    <t>MY890511KC</t>
  </si>
  <si>
    <t>MY890511K8</t>
  </si>
  <si>
    <t>MY890511KY</t>
  </si>
  <si>
    <t>MY890511UH</t>
  </si>
  <si>
    <t>MY890511UF</t>
  </si>
  <si>
    <t>MY890511JB</t>
  </si>
  <si>
    <t>MY890511K4</t>
  </si>
  <si>
    <t>0814285</t>
  </si>
  <si>
    <t>IRIS-NTP-H02</t>
  </si>
  <si>
    <t>ACC8371119</t>
  </si>
  <si>
    <t>IRIS-UPS-H02</t>
  </si>
  <si>
    <t>CASE 1 / IRIS - H02</t>
  </si>
  <si>
    <t>2019.05.17097</t>
  </si>
  <si>
    <t>IRIS-MMCO1-H02</t>
  </si>
  <si>
    <t>2019.05.17494</t>
  </si>
  <si>
    <t>IRIS-24-SCR01-H02</t>
  </si>
  <si>
    <t>2019.05.17493</t>
  </si>
  <si>
    <t>IRIS-24-SCR02-H02</t>
  </si>
  <si>
    <t>2019.05.17114</t>
  </si>
  <si>
    <t>IRIS-OPR01-H02</t>
  </si>
  <si>
    <t>2019.05.17487</t>
  </si>
  <si>
    <t>IRIS-24-SCR03-H02</t>
  </si>
  <si>
    <t>2019.05.17486</t>
  </si>
  <si>
    <t>IRIS-24-SCR04-H02</t>
  </si>
  <si>
    <t>CASE 2 / IRIS - H02</t>
  </si>
  <si>
    <t>2019.05.17115</t>
  </si>
  <si>
    <t>IRIS-OPR02-H02</t>
  </si>
  <si>
    <t>2019.05.17500</t>
  </si>
  <si>
    <t>IRIS-24-SCR05-H02</t>
  </si>
  <si>
    <t>2019.05.17495</t>
  </si>
  <si>
    <t>IRIS-24-SCR06-H02</t>
  </si>
  <si>
    <t>2019.05.17116</t>
  </si>
  <si>
    <t>IRIS-OPR03-H02</t>
  </si>
  <si>
    <t>2019.05.17490</t>
  </si>
  <si>
    <t>IRIS-24-SCR07-H02</t>
  </si>
  <si>
    <t>2019.05.17489</t>
  </si>
  <si>
    <t>IRIS-24-SCR08-H02</t>
  </si>
  <si>
    <t>CASE 3 / IRIS - H02</t>
  </si>
  <si>
    <t>2019.05.17117</t>
  </si>
  <si>
    <t>IRIS-OPR04-H02</t>
  </si>
  <si>
    <t>2019.05.17491</t>
  </si>
  <si>
    <t>IRIS-24-SCR09-H02</t>
  </si>
  <si>
    <t>2019.05.17488</t>
  </si>
  <si>
    <t>IRIS-24-SCR10-H02</t>
  </si>
  <si>
    <t>2019.05.17118</t>
  </si>
  <si>
    <t>IRIS-OPR05-H02</t>
  </si>
  <si>
    <t>2019.05.17533</t>
  </si>
  <si>
    <t>IRIS-24-SCR11-H02</t>
  </si>
  <si>
    <t>2019.05.17532</t>
  </si>
  <si>
    <t>IRIS-24-SCR12-H02</t>
  </si>
  <si>
    <t>CASE 4 / IRIS - H02</t>
  </si>
  <si>
    <t>2019.05.17119</t>
  </si>
  <si>
    <t>IRIS-OPR06-H02</t>
  </si>
  <si>
    <t>2019.05.17563</t>
  </si>
  <si>
    <t>IRIS-27-SCR01-H02</t>
  </si>
  <si>
    <t>2019.05.17562</t>
  </si>
  <si>
    <t>IRIS-27-SCR02-H02</t>
  </si>
  <si>
    <t>SPARE CASE 1 / IRIS - H02</t>
  </si>
  <si>
    <t>2019.05.17098</t>
  </si>
  <si>
    <t>IRIS-MM-SPARE-H02</t>
  </si>
  <si>
    <t>2019.05.17531</t>
  </si>
  <si>
    <t>IRIS-24-SPARE01-H02</t>
  </si>
  <si>
    <t>2019.05.17530</t>
  </si>
  <si>
    <t>IRIS-24-SPARE02-H02</t>
  </si>
  <si>
    <t>2019.05.17561</t>
  </si>
  <si>
    <t>IRIS-27-SPARE01-H02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</si>
</sst>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  <fill>
      <patternFill patternType="solid">
        <fgColor rgb="FFFF9999"/>
        <bgColor indexed="8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0" fillId="0" borderId="0" xfId="0" applyNumberFormat="1"/>
    <xf numFmtId="49" fontId="0" fillId="0" borderId="0" xfId="0" applyNumberFormat="1" applyProtection="1">
      <protection locked="0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  <xf numFmtId="0" fontId="2" fillId="2" borderId="2" xfId="1" applyFont="1" applyFill="1" applyBorder="1" applyAlignment="1">
      <alignment horizontal="center" vertical="top"/>
    </xf>
    <xf numFmtId="0" fontId="2" fillId="3" borderId="2" xfId="1" applyFont="1" applyFill="1" applyBorder="1" applyAlignment="1">
      <alignment horizontal="center" vertical="top"/>
    </xf>
    <xf numFmtId="0" fontId="4" fillId="0" borderId="0" xfId="0" applyFont="1" applyFill="1" applyAlignment="1">
      <alignment vertical="center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6" fillId="0" borderId="0" xfId="0" applyFont="1" applyFill="1" applyAlignment="1">
      <alignment vertical="center"/>
    </xf>
    <xf numFmtId="0" fontId="5" fillId="0" borderId="0" xfId="0" applyFont="1" applyFill="1" applyAlignment="1" applyProtection="1">
      <alignment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3" xfId="0" applyBorder="1"/>
    <xf numFmtId="49" fontId="3" fillId="0" borderId="0" xfId="0" applyNumberFormat="1" applyFont="1" applyAlignment="1" applyProtection="1">
      <alignment horizontal="center"/>
    </xf>
  </cellXfs>
  <cellStyles count="2">
    <cellStyle name="Normál" xfId="0" builtinId="0"/>
    <cellStyle name="Normal 4 3" xfId="1" xr:uid="{00000000-0005-0000-0000-000001000000}"/>
  </cellStyles>
  <dxfs count="7"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6350</xdr:colOff>
      <xdr:row>0</xdr:row>
      <xdr:rowOff>0</xdr:rowOff>
    </xdr:from>
    <xdr:to>
      <xdr:col>12</xdr:col>
      <xdr:colOff>285750</xdr:colOff>
      <xdr:row>1</xdr:row>
      <xdr:rowOff>0</xdr:rowOff>
    </xdr:to>
    <xdr:pic>
      <xdr:nvPicPr>
        <xdr:cNvPr id="24" name="Flag">
          <a:extLst>
            <a:ext uri="{FF2B5EF4-FFF2-40B4-BE49-F238E27FC236}">
              <a16:creationId xmlns:a16="http://schemas.microsoft.com/office/drawing/2014/main" id="{0F19DB47-E3DC-4BEF-8099-750D7B6B46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64925" y="0"/>
          <a:ext cx="279400" cy="27622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maslaszlo" refreshedDate="43804.619488425924" createdVersion="6" refreshedVersion="6" minRefreshableVersion="3" recordCount="410" xr:uid="{00000000-000A-0000-FFFF-FFFF00000000}">
  <cacheSource type="worksheet">
    <worksheetSource ref="A1:J411" sheet="Full Inventory"/>
  </cacheSource>
  <cacheFields count="10">
    <cacheField name="Package" numFmtId="0">
      <sharedItems count="4">
        <s v="IRIS-H01"/>
        <s v="IRIS-A02"/>
        <s v="IRIS-C01"/>
        <s v="IRIS-B01"/>
      </sharedItems>
    </cacheField>
    <cacheField name="Full designation" numFmtId="0">
      <sharedItems/>
    </cacheField>
    <cacheField name="Short designation" numFmtId="0">
      <sharedItems/>
    </cacheField>
    <cacheField name="Provider" numFmtId="0">
      <sharedItems count="7">
        <s v="_"/>
        <s v="HPE"/>
        <s v="CISCO"/>
        <s v="HEOL DESIGN"/>
        <s v="EUROTEMPEST"/>
        <s v="SPARE / IRIS - C01"/>
        <s v="SPARE / IRIS - B01"/>
      </sharedItems>
    </cacheField>
    <cacheField name="Reference" numFmtId="0">
      <sharedItems/>
    </cacheField>
    <cacheField name="Serial number" numFmtId="49">
      <sharedItems/>
    </cacheField>
    <cacheField name="Quantity" numFmtId="0">
      <sharedItems containsSemiMixedTypes="0" containsString="0" containsNumber="1" containsInteger="1" minValue="1" maxValue="1"/>
    </cacheField>
    <cacheField name="Location" numFmtId="0">
      <sharedItems/>
    </cacheField>
    <cacheField name="Machine name" numFmtId="0">
      <sharedItems/>
    </cacheField>
    <cacheField name="To be scanned" numFmtId="0">
      <sharedItems count="2">
        <s v="NO"/>
        <s v="Y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maslaszlo" refreshedDate="43804.619488425924" createdVersion="6" refreshedVersion="6" minRefreshableVersion="3" recordCount="410" xr:uid="{00000000-000A-0000-FFFF-FFFF01000000}">
  <cacheSource type="worksheet">
    <worksheetSource ref="A1:I411" sheet="Full Inventory"/>
  </cacheSource>
  <cacheFields count="9">
    <cacheField name="Package" numFmtId="0">
      <sharedItems count="4">
        <s v="IRIS-H01"/>
        <s v="IRIS-A02"/>
        <s v="IRIS-C01"/>
        <s v="IRIS-B01"/>
      </sharedItems>
    </cacheField>
    <cacheField name="Full designation" numFmtId="0">
      <sharedItems/>
    </cacheField>
    <cacheField name="Short designation" numFmtId="0">
      <sharedItems/>
    </cacheField>
    <cacheField name="Provider" numFmtId="0">
      <sharedItems/>
    </cacheField>
    <cacheField name="Reference" numFmtId="0">
      <sharedItems/>
    </cacheField>
    <cacheField name="Serial number" numFmtId="49">
      <sharedItems/>
    </cacheField>
    <cacheField name="Quantity" numFmtId="0">
      <sharedItems containsSemiMixedTypes="0" containsString="0" containsNumber="1" containsInteger="1" minValue="1" maxValue="1"/>
    </cacheField>
    <cacheField name="Location" numFmtId="0">
      <sharedItems/>
    </cacheField>
    <cacheField name="Machine 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0">
  <r>
    <x v="0"/>
    <s v="NETWORK TRANSPORT CASE"/>
    <s v="TRANSPORT CASE"/>
    <x v="0"/>
    <s v="_"/>
    <s v="_"/>
    <n v="1"/>
    <s v="NETWORK TRANSPORT CASE"/>
    <s v="_"/>
    <x v="0"/>
  </r>
  <r>
    <x v="0"/>
    <s v="HPE DL360 Gen10 8SFF CTO Server"/>
    <s v="Server"/>
    <x v="1"/>
    <s v="867959-B21"/>
    <s v="CZJ91702JF"/>
    <n v="1"/>
    <s v="NETWORK TRANSPORT CASE"/>
    <s v="IRIS-SRV1-H01"/>
    <x v="1"/>
  </r>
  <r>
    <x v="0"/>
    <s v="HPE BLc 10G SFP+ SR Transceiver"/>
    <s v="SFP module"/>
    <x v="1"/>
    <s v="455883-B21"/>
    <s v="7CR83941YJ"/>
    <n v="1"/>
    <s v="_"/>
    <s v="_"/>
    <x v="1"/>
  </r>
  <r>
    <x v="0"/>
    <s v="HPE BLc 10G SFP+ SR Transceiver"/>
    <s v="SFP module"/>
    <x v="1"/>
    <s v="455883-B21"/>
    <s v="7CR83941Y4"/>
    <n v="1"/>
    <s v="_"/>
    <s v="_"/>
    <x v="1"/>
  </r>
  <r>
    <x v="0"/>
    <s v="HPE 16G SFP+ SW XCVR-C"/>
    <s v="SFP module"/>
    <x v="1"/>
    <s v="E7Y10-63001"/>
    <s v="MY891119TZ"/>
    <n v="1"/>
    <s v="_"/>
    <s v="_"/>
    <x v="1"/>
  </r>
  <r>
    <x v="0"/>
    <s v="HPE 16G SFP+ SW XCVR-C"/>
    <s v="SFP module"/>
    <x v="1"/>
    <s v="E7Y10-63001"/>
    <s v="MY891119TE"/>
    <n v="1"/>
    <s v="_"/>
    <s v="_"/>
    <x v="1"/>
  </r>
  <r>
    <x v="0"/>
    <s v="HPE DL360 Gen10 8SFF CTO Server"/>
    <s v="Server"/>
    <x v="1"/>
    <s v="867959-B21"/>
    <s v="CZJ91702K8"/>
    <n v="1"/>
    <s v="NETWORK TRANSPORT CASE"/>
    <s v="IRIS-SRV2-H01"/>
    <x v="1"/>
  </r>
  <r>
    <x v="0"/>
    <s v="HPE BLc 10G SFP+ SR Transceiver"/>
    <s v="SFP module"/>
    <x v="1"/>
    <s v="455883-B21"/>
    <s v="7CR839437B"/>
    <n v="1"/>
    <s v="_"/>
    <s v="_"/>
    <x v="1"/>
  </r>
  <r>
    <x v="0"/>
    <s v="HPE BLc 10G SFP+ SR Transceiver"/>
    <s v="SFP module"/>
    <x v="1"/>
    <s v="455883-B21"/>
    <s v="7CR839438K"/>
    <n v="1"/>
    <s v="_"/>
    <s v="_"/>
    <x v="1"/>
  </r>
  <r>
    <x v="0"/>
    <s v="HPE 16G SFP+ SW XCVR-C"/>
    <s v="SFP module"/>
    <x v="1"/>
    <s v="E7Y10-63001"/>
    <s v="MY891119US"/>
    <n v="1"/>
    <s v="_"/>
    <s v="_"/>
    <x v="1"/>
  </r>
  <r>
    <x v="0"/>
    <s v="HPE 16G SFP+ SW XCVR-C"/>
    <s v="SFP module"/>
    <x v="1"/>
    <s v="E7Y10-63001"/>
    <s v="MY891119TY"/>
    <n v="1"/>
    <s v="_"/>
    <s v="_"/>
    <x v="1"/>
  </r>
  <r>
    <x v="0"/>
    <s v="CATALYST 3850 24 PORT 10G FIBER SWITCH BASE"/>
    <s v="Switch"/>
    <x v="2"/>
    <s v="WS-C3850-24XS-S"/>
    <s v="FCW2302D17P"/>
    <n v="1"/>
    <s v="NETWORK TRANSPORT CASE"/>
    <s v="IRIS-SW1-H01"/>
    <x v="1"/>
  </r>
  <r>
    <x v="0"/>
    <s v="10GBASE-SR SFP MODULE"/>
    <s v="SFP module"/>
    <x v="2"/>
    <s v="SFP-10G-SR-S"/>
    <s v="AVD2305D021"/>
    <n v="1"/>
    <s v="_"/>
    <s v="_"/>
    <x v="1"/>
  </r>
  <r>
    <x v="0"/>
    <s v="10GBASE-SR SFP MODULE"/>
    <s v="SFP module"/>
    <x v="2"/>
    <s v="SFP-10G-SR-S"/>
    <s v="AVD2305D02W"/>
    <n v="1"/>
    <s v="_"/>
    <s v="_"/>
    <x v="1"/>
  </r>
  <r>
    <x v="0"/>
    <s v="10GBASE-SR SFP MODULE"/>
    <s v="SFP module"/>
    <x v="2"/>
    <s v="SFP-10G-SR-S"/>
    <s v="AVD2305D02G"/>
    <n v="1"/>
    <s v="_"/>
    <s v="_"/>
    <x v="1"/>
  </r>
  <r>
    <x v="0"/>
    <s v="10GBASE-SR SFP MODULE"/>
    <s v="SFP module"/>
    <x v="2"/>
    <s v="SFP-10G-SR-S"/>
    <s v="AVD2305D024"/>
    <n v="1"/>
    <s v="_"/>
    <s v="_"/>
    <x v="1"/>
  </r>
  <r>
    <x v="0"/>
    <s v="10GBASE-SR SFP MODULE"/>
    <s v="SFP module"/>
    <x v="2"/>
    <s v="SFP-10G-SR-S"/>
    <s v="AVD2305D02F"/>
    <n v="1"/>
    <s v="_"/>
    <s v="_"/>
    <x v="1"/>
  </r>
  <r>
    <x v="0"/>
    <s v="1000BASE-SX SFP TRANSCEIVER MODULE"/>
    <s v="SFP module"/>
    <x v="2"/>
    <s v="GLC-SX-MMD"/>
    <s v="ACW230416A4"/>
    <n v="1"/>
    <s v="_"/>
    <s v="_"/>
    <x v="1"/>
  </r>
  <r>
    <x v="0"/>
    <s v="1000BASE-SX SFP TRANSCEIVER MODULE"/>
    <s v="SFP module"/>
    <x v="2"/>
    <s v="GLC-SX-MMD"/>
    <s v="ACW23041688"/>
    <n v="1"/>
    <s v="_"/>
    <s v="_"/>
    <x v="1"/>
  </r>
  <r>
    <x v="0"/>
    <s v="1000BASE-SX SFP TRANSCEIVER MODULE"/>
    <s v="SFP module"/>
    <x v="2"/>
    <s v="GLC-SX-MMD"/>
    <s v="ACW230415P3"/>
    <n v="1"/>
    <s v="_"/>
    <s v="_"/>
    <x v="1"/>
  </r>
  <r>
    <x v="0"/>
    <s v="1000BASE-SX SFP TRANSCEIVER MODULE"/>
    <s v="SFP module"/>
    <x v="2"/>
    <s v="GLC-SX-MMD"/>
    <s v="ACW23040ZAX"/>
    <n v="1"/>
    <s v="_"/>
    <s v="_"/>
    <x v="1"/>
  </r>
  <r>
    <x v="0"/>
    <s v="1000BASE-T SFP TRANSCEIVER MODULE FOR CATEGORY 5 COPPER WIRE"/>
    <s v="SFP module"/>
    <x v="2"/>
    <s v="GLC-TE"/>
    <s v="AVC230721FT"/>
    <n v="1"/>
    <s v="_"/>
    <s v="_"/>
    <x v="1"/>
  </r>
  <r>
    <x v="0"/>
    <s v="1000BASE-T SFP TRANSCEIVER MODULE FOR CATEGORY 5 COPPER WIRE"/>
    <s v="SFP module"/>
    <x v="2"/>
    <s v="GLC-TE"/>
    <s v="AVC230720US"/>
    <n v="1"/>
    <s v="_"/>
    <s v="_"/>
    <x v="1"/>
  </r>
  <r>
    <x v="0"/>
    <s v="1000BASE-T SFP TRANSCEIVER MODULE FOR CATEGORY 5 COPPER WIRE"/>
    <s v="SFP module"/>
    <x v="2"/>
    <s v="GLC-TE"/>
    <s v="AVC230721FF"/>
    <n v="1"/>
    <s v="_"/>
    <s v="_"/>
    <x v="1"/>
  </r>
  <r>
    <x v="0"/>
    <s v="1000BASE-T SFP TRANSCEIVER MODULE FOR CATEGORY 5 COPPER WIRE"/>
    <s v="SFP module"/>
    <x v="2"/>
    <s v="GLC-TE"/>
    <s v="AVC230720UX"/>
    <n v="1"/>
    <s v="_"/>
    <s v="_"/>
    <x v="1"/>
  </r>
  <r>
    <x v="0"/>
    <s v="CATALYST 3850 24 PORT 10G FIBER SWITCH BASE"/>
    <s v="Switch"/>
    <x v="2"/>
    <s v="WS-C3850-24XS-S"/>
    <s v="FCW2308D140"/>
    <n v="1"/>
    <s v="NETWORK TRANSPORT CASE"/>
    <s v="IRIS-SW2-H01"/>
    <x v="1"/>
  </r>
  <r>
    <x v="0"/>
    <s v="10GBASE-SR SFP MODULE"/>
    <s v="SFP module"/>
    <x v="2"/>
    <s v="SFP-10G-SR-S"/>
    <s v="AVD2305D7F1"/>
    <n v="1"/>
    <s v="_"/>
    <s v="_"/>
    <x v="1"/>
  </r>
  <r>
    <x v="0"/>
    <s v="10GBASE-SR SFP MODULE"/>
    <s v="SFP module"/>
    <x v="2"/>
    <s v="SFP-10G-SR-S"/>
    <s v="AVD2305D7FN"/>
    <n v="1"/>
    <s v="_"/>
    <s v="_"/>
    <x v="1"/>
  </r>
  <r>
    <x v="0"/>
    <s v="10GBASE-SR SFP MODULE"/>
    <s v="SFP module"/>
    <x v="2"/>
    <s v="SFP-10G-SR-S"/>
    <s v="AVD2305D7GM"/>
    <n v="1"/>
    <s v="_"/>
    <s v="_"/>
    <x v="1"/>
  </r>
  <r>
    <x v="0"/>
    <s v="10GBASE-SR SFP MODULE"/>
    <s v="SFP module"/>
    <x v="2"/>
    <s v="SFP-10G-SR-S"/>
    <s v="AVD2305D7FU"/>
    <n v="1"/>
    <s v="_"/>
    <s v="_"/>
    <x v="1"/>
  </r>
  <r>
    <x v="0"/>
    <s v="10GBASE-SR SFP MODULE"/>
    <s v="SFP module"/>
    <x v="2"/>
    <s v="SFP-10G-SR-S"/>
    <s v="AVD2305D7FX"/>
    <n v="1"/>
    <s v="_"/>
    <s v="_"/>
    <x v="1"/>
  </r>
  <r>
    <x v="0"/>
    <s v="1000BASE-SX SFP TRANSCEIVER MODULE"/>
    <s v="SFP module"/>
    <x v="2"/>
    <s v="GLC-SX-MMD"/>
    <s v="ACW23040YZL"/>
    <n v="1"/>
    <s v="_"/>
    <s v="_"/>
    <x v="1"/>
  </r>
  <r>
    <x v="0"/>
    <s v="1000BASE-SX SFP TRANSCEIVER MODULE"/>
    <s v="SFP module"/>
    <x v="2"/>
    <s v="GLC-SX-MMD"/>
    <s v="ACW23040ZDE"/>
    <n v="1"/>
    <s v="_"/>
    <s v="_"/>
    <x v="1"/>
  </r>
  <r>
    <x v="0"/>
    <s v="1000BASE-SX SFP TRANSCEIVER MODULE"/>
    <s v="SFP module"/>
    <x v="2"/>
    <s v="GLC-SX-MMD"/>
    <s v="ACW23040YRQ"/>
    <n v="1"/>
    <s v="_"/>
    <s v="_"/>
    <x v="1"/>
  </r>
  <r>
    <x v="0"/>
    <s v="1000BASE-SX SFP TRANSCEIVER MODULE"/>
    <s v="SFP module"/>
    <x v="2"/>
    <s v="GLC-SX-MMD"/>
    <s v="ACW23040ZBS"/>
    <n v="1"/>
    <s v="_"/>
    <s v="_"/>
    <x v="1"/>
  </r>
  <r>
    <x v="0"/>
    <s v="1000BASE-T SFP TRANSCEIVER MODULE FOR CATEGORY 5 COPPER WIRE"/>
    <s v="SFP module"/>
    <x v="2"/>
    <s v="GLC-TE"/>
    <s v="AVC230721FL"/>
    <n v="1"/>
    <s v="_"/>
    <s v="_"/>
    <x v="1"/>
  </r>
  <r>
    <x v="0"/>
    <s v="1000BASE-T SFP TRANSCEIVER MODULE FOR CATEGORY 5 COPPER WIRE"/>
    <s v="SFP module"/>
    <x v="2"/>
    <s v="GLC-TE"/>
    <s v="AVC230721FG"/>
    <n v="1"/>
    <s v="_"/>
    <s v="_"/>
    <x v="1"/>
  </r>
  <r>
    <x v="0"/>
    <s v="1000BASE-T SFP TRANSCEIVER MODULE FOR CATEGORY 5 COPPER WIRE"/>
    <s v="SFP module"/>
    <x v="2"/>
    <s v="GLC-TE"/>
    <s v="AVC230721F6"/>
    <n v="1"/>
    <s v="_"/>
    <s v="_"/>
    <x v="1"/>
  </r>
  <r>
    <x v="0"/>
    <s v="1000BASE-T SFP TRANSCEIVER MODULE FOR CATEGORY 5 COPPER WIRE"/>
    <s v="SFP module"/>
    <x v="2"/>
    <s v="GLC-TE"/>
    <s v="AVC230721FH"/>
    <n v="1"/>
    <s v="_"/>
    <s v="_"/>
    <x v="1"/>
  </r>
  <r>
    <x v="0"/>
    <s v="SERVER TRANSPORT CASE"/>
    <s v="TRANSPORT CASE"/>
    <x v="0"/>
    <s v="_"/>
    <s v="_"/>
    <n v="1"/>
    <s v="SERVER TRANSPORT CASE"/>
    <s v="_"/>
    <x v="0"/>
  </r>
  <r>
    <x v="0"/>
    <s v="HPE DL360 Gen10 8SFF CTO Server"/>
    <s v="Server"/>
    <x v="1"/>
    <s v="867959-B21"/>
    <s v="CZJ91702JD"/>
    <n v="1"/>
    <s v="SERVER TRANSPORT CASE"/>
    <s v="IRIS-SRV3-H01"/>
    <x v="1"/>
  </r>
  <r>
    <x v="0"/>
    <s v="HPE BLc 10G SFP+ SR Transceiver"/>
    <s v="SFP module"/>
    <x v="1"/>
    <s v="455883-B21"/>
    <s v="7CR83941Y7"/>
    <n v="1"/>
    <s v="_"/>
    <s v="_"/>
    <x v="1"/>
  </r>
  <r>
    <x v="0"/>
    <s v="HPE BLc 10G SFP+ SR Transceiver"/>
    <s v="SFP module"/>
    <x v="1"/>
    <s v="455883-B21"/>
    <s v="7CR83941YB"/>
    <n v="1"/>
    <s v="_"/>
    <s v="_"/>
    <x v="1"/>
  </r>
  <r>
    <x v="0"/>
    <s v="HPE 16G SFP+ SW XCVR-C"/>
    <s v="SFP module"/>
    <x v="1"/>
    <s v="E7Y10-63001"/>
    <s v="MY8911124Z"/>
    <n v="1"/>
    <s v="_"/>
    <s v="_"/>
    <x v="1"/>
  </r>
  <r>
    <x v="0"/>
    <s v="HPE 16G SFP+ SW XCVR-C"/>
    <s v="SFP module"/>
    <x v="1"/>
    <s v="E7Y10-63001"/>
    <s v="MY89111202"/>
    <n v="1"/>
    <s v="_"/>
    <s v="_"/>
    <x v="1"/>
  </r>
  <r>
    <x v="0"/>
    <s v="HPE DL360 Gen10 8SFF CTO Server"/>
    <s v="Server"/>
    <x v="1"/>
    <s v="867959-B21"/>
    <s v="CZJ91702JL"/>
    <n v="1"/>
    <s v="SERVER TRANSPORT CASE"/>
    <s v="IRIS-SRV4-H01"/>
    <x v="1"/>
  </r>
  <r>
    <x v="0"/>
    <s v="HPE BLc 10G SFP+ SR Transceiver"/>
    <s v="SFP module"/>
    <x v="1"/>
    <s v="455883-B21"/>
    <s v="7CR839436Y"/>
    <n v="1"/>
    <s v="_"/>
    <s v="_"/>
    <x v="1"/>
  </r>
  <r>
    <x v="0"/>
    <s v="HPE BLc 10G SFP+ SR Transceiver"/>
    <s v="SFP module"/>
    <x v="1"/>
    <s v="455883-B21"/>
    <s v="7CR839437E"/>
    <n v="1"/>
    <s v="_"/>
    <s v="_"/>
    <x v="1"/>
  </r>
  <r>
    <x v="0"/>
    <s v="HPE 16G SFP+ SW XCVR-C"/>
    <s v="SFP module"/>
    <x v="1"/>
    <s v="E7Y10-63001"/>
    <s v="MY891119TP"/>
    <n v="1"/>
    <s v="_"/>
    <s v="_"/>
    <x v="1"/>
  </r>
  <r>
    <x v="0"/>
    <s v="HPE 16G SFP+ SW XCVR-C"/>
    <s v="SFP module"/>
    <x v="1"/>
    <s v="E7Y10-63001"/>
    <s v="MY891117TJ"/>
    <n v="1"/>
    <s v="_"/>
    <s v="_"/>
    <x v="1"/>
  </r>
  <r>
    <x v="0"/>
    <s v="HPE 400GB SAS 12G MU SFF SC DS 550"/>
    <s v="Disk"/>
    <x v="1"/>
    <s v="872374-B21"/>
    <s v="5C3905J06B"/>
    <n v="1"/>
    <s v="IRIS-SRV4-H01-01"/>
    <s v="_"/>
    <x v="1"/>
  </r>
  <r>
    <x v="0"/>
    <s v="HPE 400GB SAS 12G MU SFF SC DS 550"/>
    <s v="Disk"/>
    <x v="1"/>
    <s v="872374-B21"/>
    <s v="5C3904J047"/>
    <n v="1"/>
    <s v="IRIS-SRV4-H01-02"/>
    <s v="_"/>
    <x v="1"/>
  </r>
  <r>
    <x v="0"/>
    <s v="HPE MSA 2050 SAN DC LFF Storage"/>
    <s v="MSA SAN"/>
    <x v="1"/>
    <s v="Q1J00A"/>
    <s v="2S6910B080"/>
    <n v="1"/>
    <s v="SERVER TRANSPORT CASE"/>
    <s v="IRIS-MSA-H01"/>
    <x v="1"/>
  </r>
  <r>
    <x v="0"/>
    <s v="MSA 2050 SAN dual controller"/>
    <s v="MSA SAN"/>
    <x v="1"/>
    <s v="876127-001"/>
    <s v="7CE903M566"/>
    <n v="1"/>
    <s v="_"/>
    <s v="_"/>
    <x v="1"/>
  </r>
  <r>
    <x v="0"/>
    <s v="MSA 2050 SAN dual controller"/>
    <s v="MSA SAN"/>
    <x v="1"/>
    <s v="876127-001"/>
    <s v="7CE901M976"/>
    <n v="1"/>
    <s v="_"/>
    <s v="_"/>
    <x v="1"/>
  </r>
  <r>
    <x v="0"/>
    <s v="HPE MSA 10TB 12G SAS 7.2K LFF 512e HDD"/>
    <s v="Disk"/>
    <x v="1"/>
    <s v="P9M82A"/>
    <s v="THH917Z0DR"/>
    <n v="1"/>
    <s v="IRIS-MSA-H01-01"/>
    <s v="_"/>
    <x v="1"/>
  </r>
  <r>
    <x v="0"/>
    <s v="HPE MSA 10TB 12G SAS 7.2K LFF 512e HDD"/>
    <s v="Disk"/>
    <x v="1"/>
    <s v="P9M82A"/>
    <s v="THH917Z0DS"/>
    <n v="1"/>
    <s v="IRIS-MSA-H01-02"/>
    <s v="_"/>
    <x v="1"/>
  </r>
  <r>
    <x v="0"/>
    <s v="HPE MSA 10TB 12G SAS 7.2K LFF 512e HDD"/>
    <s v="Disk"/>
    <x v="1"/>
    <s v="P9M82A"/>
    <s v="THH917Z0DT"/>
    <n v="1"/>
    <s v="IRIS-MSA-H01-03"/>
    <s v="_"/>
    <x v="1"/>
  </r>
  <r>
    <x v="0"/>
    <s v="HPE MSA 10TB 12G SAS 7.2K LFF 512e HDD"/>
    <s v="Disk"/>
    <x v="1"/>
    <s v="P9M82A"/>
    <s v="THH914Z076"/>
    <n v="1"/>
    <s v="IRIS-MSA-H01-04"/>
    <s v="_"/>
    <x v="1"/>
  </r>
  <r>
    <x v="0"/>
    <s v="HPE MSA 10TB 12G SAS 7.2K LFF 512e HDD"/>
    <s v="Disk"/>
    <x v="1"/>
    <s v="P9M82A"/>
    <s v="THH914Z07J"/>
    <n v="1"/>
    <s v="IRIS-MSA-H01-05"/>
    <s v="_"/>
    <x v="1"/>
  </r>
  <r>
    <x v="0"/>
    <s v="HPE MSA 10TB 12G SAS 7.2K LFF 512e HDD"/>
    <s v="Disk"/>
    <x v="1"/>
    <s v="P9M82A"/>
    <s v="THH917Z0DP"/>
    <n v="1"/>
    <s v="IRIS-MSA-H01-06"/>
    <s v="_"/>
    <x v="1"/>
  </r>
  <r>
    <x v="0"/>
    <s v="HPE MSA 10TB 12G SAS 7.2K LFF 512e HDD"/>
    <s v="Disk"/>
    <x v="1"/>
    <s v="P9M82A"/>
    <s v="THH914Z07L"/>
    <n v="1"/>
    <s v="IRIS-MSA-H01-07"/>
    <s v="_"/>
    <x v="1"/>
  </r>
  <r>
    <x v="0"/>
    <s v="HPE MSA 10TB 12G SAS 7.2K LFF 512e HDD"/>
    <s v="Disk"/>
    <x v="1"/>
    <s v="P9M82A"/>
    <s v="THH914Z07C"/>
    <n v="1"/>
    <s v="IRIS-MSA-H01-08"/>
    <s v="_"/>
    <x v="1"/>
  </r>
  <r>
    <x v="0"/>
    <s v="HPE MSA 10TB 12G SAS 7.2K LFF 512e HDD"/>
    <s v="Disk"/>
    <x v="1"/>
    <s v="P9M82A"/>
    <s v="THH914Z07D"/>
    <n v="1"/>
    <s v="IRIS-MSA-H01-09"/>
    <s v="_"/>
    <x v="1"/>
  </r>
  <r>
    <x v="0"/>
    <s v="HPE MSA 10TB 12G SAS 7.2K LFF 512e HDD"/>
    <s v="Disk"/>
    <x v="1"/>
    <s v="P9M82A"/>
    <s v="THH914Z07K"/>
    <n v="1"/>
    <s v="IRIS-MSA-H01-10"/>
    <s v="_"/>
    <x v="1"/>
  </r>
  <r>
    <x v="0"/>
    <s v="HPE MSA 10TB 12G SAS 7.2K LFF 512e HDD"/>
    <s v="Disk"/>
    <x v="1"/>
    <s v="P9M82A"/>
    <s v="THH914Z084"/>
    <n v="1"/>
    <s v="IRIS-MSA-H01-11"/>
    <s v="_"/>
    <x v="1"/>
  </r>
  <r>
    <x v="0"/>
    <s v="HPE MSA 10TB 12G SAS 7.2K LFF 512e HDD"/>
    <s v="Disk"/>
    <x v="1"/>
    <s v="P9M82A"/>
    <s v="THH914Z085"/>
    <n v="1"/>
    <s v="IRIS-MSA-H01-12"/>
    <s v="_"/>
    <x v="1"/>
  </r>
  <r>
    <x v="0"/>
    <s v="HPE MSA 16GB SW FC SFP"/>
    <s v="SFP module"/>
    <x v="1"/>
    <s v="720999-002"/>
    <s v="MY8905111S"/>
    <n v="1"/>
    <s v="_"/>
    <s v="_"/>
    <x v="1"/>
  </r>
  <r>
    <x v="0"/>
    <s v="HPE MSA 16GB SW FC SFP"/>
    <s v="SFP module"/>
    <x v="1"/>
    <s v="720999-002"/>
    <s v="MY890511ZR"/>
    <n v="1"/>
    <s v="_"/>
    <s v="_"/>
    <x v="1"/>
  </r>
  <r>
    <x v="0"/>
    <s v="HPE MSA 16GB SW FC SFP"/>
    <s v="SFP module"/>
    <x v="1"/>
    <s v="720999-002"/>
    <s v="MY890511Q8"/>
    <n v="1"/>
    <s v="_"/>
    <s v="_"/>
    <x v="1"/>
  </r>
  <r>
    <x v="0"/>
    <s v="HPE MSA 16GB SW FC SFP"/>
    <s v="SFP module"/>
    <x v="1"/>
    <s v="720999-002"/>
    <s v="MY890511QU"/>
    <n v="1"/>
    <s v="_"/>
    <s v="_"/>
    <x v="1"/>
  </r>
  <r>
    <x v="0"/>
    <s v="HPE MSA 16GB SW FC SFP"/>
    <s v="SFP module"/>
    <x v="1"/>
    <s v="720999-002"/>
    <s v="MY890511WN"/>
    <n v="1"/>
    <s v="_"/>
    <s v="_"/>
    <x v="1"/>
  </r>
  <r>
    <x v="0"/>
    <s v="HPE MSA 16GB SW FC SFP"/>
    <s v="SFP module"/>
    <x v="1"/>
    <s v="720999-002"/>
    <s v="MY89051120"/>
    <n v="1"/>
    <s v="_"/>
    <s v="_"/>
    <x v="1"/>
  </r>
  <r>
    <x v="0"/>
    <s v="HPE MSA 16GB SW FC SFP"/>
    <s v="SFP module"/>
    <x v="1"/>
    <s v="720999-002"/>
    <s v="MY890511PP"/>
    <n v="1"/>
    <s v="_"/>
    <s v="_"/>
    <x v="1"/>
  </r>
  <r>
    <x v="0"/>
    <s v="HPE MSA 16GB SW FC SFP"/>
    <s v="SFP module"/>
    <x v="1"/>
    <s v="720999-002"/>
    <s v="MY890511QP"/>
    <n v="1"/>
    <s v="_"/>
    <s v="_"/>
    <x v="1"/>
  </r>
  <r>
    <x v="0"/>
    <s v="POWER TRANSPORT CASE"/>
    <s v="TRANSPORT CASE"/>
    <x v="0"/>
    <s v="_"/>
    <s v="_"/>
    <n v="1"/>
    <s v="POWER TRANSPORT CASE"/>
    <s v="_"/>
    <x v="0"/>
  </r>
  <r>
    <x v="0"/>
    <s v="NTP TIME SERVER WITH OCXO"/>
    <s v="NTP Server"/>
    <x v="3"/>
    <s v="T101R-10us-AC-I/O-OCXOMR"/>
    <s v="0814289"/>
    <n v="1"/>
    <s v="POWER TRANSPORT CASE"/>
    <s v="IRIS-NTP-H01"/>
    <x v="1"/>
  </r>
  <r>
    <x v="0"/>
    <s v="HPE R5000 3U IECSO9-32A HV INTL UPS"/>
    <s v="UPS"/>
    <x v="1"/>
    <s v="AF461A"/>
    <s v="ACC8371120"/>
    <n v="1"/>
    <s v="POWER TRANSPORT CASE"/>
    <s v="IRIS-UPS-H01"/>
    <x v="1"/>
  </r>
  <r>
    <x v="0"/>
    <s v="CASE 1 / IRIS - H01"/>
    <s v="CASE 1"/>
    <x v="0"/>
    <s v="_"/>
    <s v="_"/>
    <n v="1"/>
    <s v="CASE 1 / IRIS - H01"/>
    <s v="_"/>
    <x v="0"/>
  </r>
  <r>
    <x v="0"/>
    <s v="HP ZBOOK 17 G4"/>
    <s v="Laptop"/>
    <x v="4"/>
    <s v="Y3J81AV"/>
    <s v="2019.05.17095"/>
    <n v="1"/>
    <s v="_"/>
    <s v="IRIS-MMCO1-H01"/>
    <x v="1"/>
  </r>
  <r>
    <x v="0"/>
    <s v="HP EliteDisplay E243i"/>
    <s v="Screen"/>
    <x v="4"/>
    <s v="1FH49AT"/>
    <s v="2019.05.17526"/>
    <n v="1"/>
    <s v="_"/>
    <s v="IRIS-24-SCR01-H01"/>
    <x v="1"/>
  </r>
  <r>
    <x v="0"/>
    <s v="HP EliteDisplay E243i"/>
    <s v="Screen"/>
    <x v="4"/>
    <s v="1FH49AT"/>
    <s v="2019.05.17525"/>
    <n v="1"/>
    <s v="_"/>
    <s v="IRIS-24-SCR02-H01"/>
    <x v="1"/>
  </r>
  <r>
    <x v="0"/>
    <s v="HP ZBOOK 17 G4"/>
    <s v="Laptop"/>
    <x v="4"/>
    <s v="Y3J81AV"/>
    <s v="2019.05.17108"/>
    <n v="1"/>
    <s v="_"/>
    <s v="IRIS-OPR01-H01"/>
    <x v="1"/>
  </r>
  <r>
    <x v="0"/>
    <s v="HP EliteDisplay E243i"/>
    <s v="Screen"/>
    <x v="4"/>
    <s v="1FH49AT"/>
    <s v="2019.05.17529"/>
    <n v="1"/>
    <s v="_"/>
    <s v="IRIS-24-SCR03-H01"/>
    <x v="1"/>
  </r>
  <r>
    <x v="0"/>
    <s v="HP EliteDisplay E243i"/>
    <s v="Screen"/>
    <x v="4"/>
    <s v="1FH49AT"/>
    <s v="2019.05.17528"/>
    <n v="1"/>
    <s v="_"/>
    <s v="IRIS-24-SCR04-H01"/>
    <x v="1"/>
  </r>
  <r>
    <x v="0"/>
    <s v="CASE 2 / IRIS - H01"/>
    <s v="CASE 2"/>
    <x v="0"/>
    <s v="_"/>
    <s v="_"/>
    <n v="1"/>
    <s v="CASE 2 / IRIS - H01"/>
    <s v="_"/>
    <x v="0"/>
  </r>
  <r>
    <x v="0"/>
    <s v="HP ZBOOK 17 G4"/>
    <s v="Laptop"/>
    <x v="4"/>
    <s v="Y3J81AV"/>
    <s v="2019.05.17109"/>
    <n v="1"/>
    <s v="_"/>
    <s v="IRIS-OPR02-H01"/>
    <x v="1"/>
  </r>
  <r>
    <x v="0"/>
    <s v="HP EliteDisplay E243i"/>
    <s v="Screen"/>
    <x v="4"/>
    <s v="1FH49AT"/>
    <s v="2019.05.17522"/>
    <n v="1"/>
    <s v="_"/>
    <s v="IRIS-24-SCR05-H01"/>
    <x v="1"/>
  </r>
  <r>
    <x v="0"/>
    <s v="HP EliteDisplay E243i"/>
    <s v="Screen"/>
    <x v="4"/>
    <s v="1FH49AT"/>
    <s v="2019.05.17523"/>
    <n v="1"/>
    <s v="_"/>
    <s v="IRIS-24-SCR06-H01"/>
    <x v="1"/>
  </r>
  <r>
    <x v="0"/>
    <s v="HP ZBOOK 17 G4"/>
    <s v="Laptop"/>
    <x v="4"/>
    <s v="Y3J81AV"/>
    <s v="2019.05.17110"/>
    <n v="1"/>
    <s v="_"/>
    <s v="IRIS-OPR03-H01"/>
    <x v="1"/>
  </r>
  <r>
    <x v="0"/>
    <s v="HP EliteDisplay E243i"/>
    <s v="Screen"/>
    <x v="4"/>
    <s v="1FH49AT"/>
    <s v="2019.05.17524"/>
    <n v="1"/>
    <s v="_"/>
    <s v="IRIS-24-SCR07-H01"/>
    <x v="1"/>
  </r>
  <r>
    <x v="0"/>
    <s v="HP EliteDisplay E243i"/>
    <s v="Screen"/>
    <x v="4"/>
    <s v="1FH49AT"/>
    <s v="2019.05.17527"/>
    <n v="1"/>
    <s v="_"/>
    <s v="IRIS-24-SCR08-H01"/>
    <x v="1"/>
  </r>
  <r>
    <x v="0"/>
    <s v="CASE 3 / IRIS - H01"/>
    <s v="CASE 3"/>
    <x v="0"/>
    <s v="_"/>
    <s v="_"/>
    <n v="1"/>
    <s v="CASE 3 / IRIS - H01"/>
    <s v="_"/>
    <x v="0"/>
  </r>
  <r>
    <x v="0"/>
    <s v="HP ZBOOK 17 G4"/>
    <s v="Laptop"/>
    <x v="4"/>
    <s v="Y3J81AV"/>
    <s v="2019.05.17111"/>
    <n v="1"/>
    <s v="_"/>
    <s v="IRIS-OPR04-H01"/>
    <x v="1"/>
  </r>
  <r>
    <x v="0"/>
    <s v="HP EliteDisplay E243i"/>
    <s v="Screen"/>
    <x v="4"/>
    <s v="1FH49AT"/>
    <s v="2019.05.17521"/>
    <n v="1"/>
    <s v="_"/>
    <s v="IRIS-24-SCR09-H01"/>
    <x v="1"/>
  </r>
  <r>
    <x v="0"/>
    <s v="HP EliteDisplay E243i"/>
    <s v="Screen"/>
    <x v="4"/>
    <s v="1FH49AT"/>
    <s v="2019.05.17520"/>
    <n v="1"/>
    <s v="_"/>
    <s v="IRIS-24-SCR10-H01"/>
    <x v="1"/>
  </r>
  <r>
    <x v="0"/>
    <s v="HP ZBOOK 17 G4"/>
    <s v="Laptop"/>
    <x v="4"/>
    <s v="Y3J81AV"/>
    <s v="2019.05.17112"/>
    <n v="1"/>
    <s v="_"/>
    <s v="IRIS-OPR05-H01"/>
    <x v="1"/>
  </r>
  <r>
    <x v="0"/>
    <s v="HP EliteDisplay E243i"/>
    <s v="Screen"/>
    <x v="4"/>
    <s v="1FH49AT"/>
    <s v="2019.05.17519"/>
    <n v="1"/>
    <s v="_"/>
    <s v="IRIS-24-SCR11-H01"/>
    <x v="1"/>
  </r>
  <r>
    <x v="0"/>
    <s v="HP EliteDisplay E243i"/>
    <s v="Screen"/>
    <x v="4"/>
    <s v="1FH49AT"/>
    <s v="2019.05.17518"/>
    <n v="1"/>
    <s v="_"/>
    <s v="IRIS-24-SCR12-H01"/>
    <x v="1"/>
  </r>
  <r>
    <x v="0"/>
    <s v="CASE 4 / IRIS - H01"/>
    <s v="CASE 4"/>
    <x v="0"/>
    <s v="_"/>
    <s v="_"/>
    <n v="1"/>
    <s v="CASE 4 / IRIS - H01"/>
    <s v="_"/>
    <x v="0"/>
  </r>
  <r>
    <x v="0"/>
    <s v="HP ZBOOK 17 G4"/>
    <s v="Laptop"/>
    <x v="4"/>
    <s v="Y3J81AV"/>
    <s v="2019.05.17113"/>
    <n v="1"/>
    <s v="_"/>
    <s v="IRIS-OPR06-H01"/>
    <x v="1"/>
  </r>
  <r>
    <x v="0"/>
    <s v="HP Z27n G2"/>
    <s v="Screen"/>
    <x v="4"/>
    <s v="1JS10AT"/>
    <s v="2019.05.17567"/>
    <n v="1"/>
    <s v="_"/>
    <s v="IRIS-27-SCR01-H01"/>
    <x v="1"/>
  </r>
  <r>
    <x v="0"/>
    <s v="HP Z27n G2"/>
    <s v="Screen"/>
    <x v="4"/>
    <s v="1JS10AT"/>
    <s v="2019.05.17566"/>
    <n v="1"/>
    <s v="_"/>
    <s v="IRIS-27-SCR02-H01"/>
    <x v="1"/>
  </r>
  <r>
    <x v="0"/>
    <s v="SPARE CASE 1 / IRIS - H01"/>
    <s v="SPARE CASE 1"/>
    <x v="0"/>
    <s v="_"/>
    <s v="_"/>
    <n v="1"/>
    <s v="SPARE CASE 1 / IRIS - H01"/>
    <s v="_"/>
    <x v="0"/>
  </r>
  <r>
    <x v="0"/>
    <s v="HP ZBOOK 17 G4"/>
    <s v="Laptop"/>
    <x v="4"/>
    <s v="Y3J81AV"/>
    <s v="2019.05.17096"/>
    <n v="1"/>
    <s v="_"/>
    <s v="IRIS-MM-SPARE-H01"/>
    <x v="1"/>
  </r>
  <r>
    <x v="0"/>
    <s v="HP EliteDisplay E243i"/>
    <s v="Screen"/>
    <x v="4"/>
    <s v="1FH49AT"/>
    <s v="2019.05.17517"/>
    <n v="1"/>
    <s v="_"/>
    <s v="IRIS-24-SPARE01-H01"/>
    <x v="1"/>
  </r>
  <r>
    <x v="0"/>
    <s v="HP EliteDisplay E243i"/>
    <s v="Screen"/>
    <x v="4"/>
    <s v="1FH49AT"/>
    <s v="2019.05.17516"/>
    <n v="1"/>
    <s v="_"/>
    <s v="IRIS-24-SPARE02-H01"/>
    <x v="1"/>
  </r>
  <r>
    <x v="0"/>
    <s v="HP Z27n G2"/>
    <s v="Screen"/>
    <x v="4"/>
    <s v="1JS10AT"/>
    <s v="2019.05.17565"/>
    <n v="1"/>
    <s v="_"/>
    <s v="IRIS-27-SCR02-H01"/>
    <x v="1"/>
  </r>
  <r>
    <x v="1"/>
    <s v="HPE DL360 Gen10 8SFF CTO Server"/>
    <s v="Server"/>
    <x v="1"/>
    <s v="867959-B21"/>
    <s v="CZJ91702JJ"/>
    <n v="1"/>
    <s v="_"/>
    <s v="IRIS-SRV1-A02"/>
    <x v="1"/>
  </r>
  <r>
    <x v="1"/>
    <s v="HPE BLc 10G SFP+ SR Transceiver"/>
    <s v="SFP module"/>
    <x v="1"/>
    <s v="455883-B21"/>
    <s v="7CR839442E"/>
    <n v="1"/>
    <s v="_"/>
    <s v="_"/>
    <x v="1"/>
  </r>
  <r>
    <x v="1"/>
    <s v="HPE BLc 10G SFP+ SR Transceiver"/>
    <s v="SFP module"/>
    <x v="1"/>
    <s v="455883-B21"/>
    <s v="7CR83942UZ"/>
    <n v="1"/>
    <s v="_"/>
    <s v="_"/>
    <x v="1"/>
  </r>
  <r>
    <x v="1"/>
    <s v="HPE 16G SFP+ SW XCVR-C"/>
    <s v="SFP module"/>
    <x v="1"/>
    <s v="E7Y10-63001"/>
    <s v="MY891111XW"/>
    <n v="1"/>
    <s v="_"/>
    <s v="_"/>
    <x v="1"/>
  </r>
  <r>
    <x v="1"/>
    <s v="HPE 16G SFP+ SW XCVR-C"/>
    <s v="SFP module"/>
    <x v="1"/>
    <s v="E7Y10-63001"/>
    <s v="MY891119TC"/>
    <n v="1"/>
    <s v="_"/>
    <s v="_"/>
    <x v="1"/>
  </r>
  <r>
    <x v="1"/>
    <s v="HPE DL360 Gen10 8SFF CTO Server"/>
    <s v="Server"/>
    <x v="1"/>
    <s v="867959-B21"/>
    <s v="CZJ91702JK"/>
    <n v="1"/>
    <s v="_"/>
    <s v="IRIS-SRV2-A02"/>
    <x v="1"/>
  </r>
  <r>
    <x v="1"/>
    <s v="HPE BLc 10G SFP+ SR Transceiver"/>
    <s v="SFP module"/>
    <x v="1"/>
    <s v="455883-B21"/>
    <s v="7CR839420L"/>
    <n v="1"/>
    <s v="_"/>
    <s v="_"/>
    <x v="1"/>
  </r>
  <r>
    <x v="1"/>
    <s v="HPE BLc 10G SFP+ SR Transceiver"/>
    <s v="SFP module"/>
    <x v="1"/>
    <s v="455883-B21"/>
    <s v="7CR839432U"/>
    <n v="1"/>
    <s v="_"/>
    <s v="_"/>
    <x v="1"/>
  </r>
  <r>
    <x v="1"/>
    <s v="HPE 16G SFP+ SW XCVR-C"/>
    <s v="SFP module"/>
    <x v="1"/>
    <s v="E7Y10-63001"/>
    <s v="MY891119LU"/>
    <n v="1"/>
    <s v="_"/>
    <s v="_"/>
    <x v="1"/>
  </r>
  <r>
    <x v="1"/>
    <s v="HPE 16G SFP+ SW XCVR-C"/>
    <s v="SFP module"/>
    <x v="1"/>
    <s v="E7Y10-63001"/>
    <s v="MY89111235"/>
    <n v="1"/>
    <s v="_"/>
    <s v="_"/>
    <x v="1"/>
  </r>
  <r>
    <x v="1"/>
    <s v="CATALYST 3850 24 PORT 10G FIBER SWITCH BASE"/>
    <s v="Switch"/>
    <x v="2"/>
    <s v="WS-C3850-24XS-S"/>
    <s v="FOC2301U0BZ"/>
    <n v="1"/>
    <s v="_"/>
    <s v="IRIS-SW1-A02"/>
    <x v="1"/>
  </r>
  <r>
    <x v="1"/>
    <s v="10GBASE-SR SFP MODULE"/>
    <s v="SFP module"/>
    <x v="2"/>
    <s v="SFP-10G-SR-S"/>
    <s v="AVD2305D7ED"/>
    <n v="1"/>
    <s v="_"/>
    <s v="_"/>
    <x v="1"/>
  </r>
  <r>
    <x v="1"/>
    <s v="10GBASE-SR SFP MODULE"/>
    <s v="SFP module"/>
    <x v="2"/>
    <s v="SFP-10G-SR-S"/>
    <s v="AVD2305D9KC"/>
    <n v="1"/>
    <s v="_"/>
    <s v="_"/>
    <x v="1"/>
  </r>
  <r>
    <x v="1"/>
    <s v="10GBASE-SR SFP MODULE"/>
    <s v="SFP module"/>
    <x v="2"/>
    <s v="SFP-10G-SR-S"/>
    <s v="AVD2305D9KP"/>
    <n v="1"/>
    <s v="_"/>
    <s v="_"/>
    <x v="1"/>
  </r>
  <r>
    <x v="1"/>
    <s v="1000BASE-SX SFP TRANSCEIVER MODULE"/>
    <s v="SFP module"/>
    <x v="2"/>
    <s v="GLC-SX-MMD"/>
    <s v="ACW2304150P"/>
    <n v="1"/>
    <s v="_"/>
    <s v="_"/>
    <x v="1"/>
  </r>
  <r>
    <x v="1"/>
    <s v="1000BASE-SX SFP TRANSCEIVER MODULE"/>
    <s v="SFP module"/>
    <x v="2"/>
    <s v="GLC-SX-MMD"/>
    <s v="ACW23040ZA0"/>
    <n v="1"/>
    <s v="_"/>
    <s v="_"/>
    <x v="1"/>
  </r>
  <r>
    <x v="1"/>
    <s v="1000BASE-SX SFP TRANSCEIVER MODULE"/>
    <s v="SFP module"/>
    <x v="2"/>
    <s v="GLC-SX-MMD"/>
    <s v="ACW23040Z9D"/>
    <n v="1"/>
    <s v="_"/>
    <s v="_"/>
    <x v="1"/>
  </r>
  <r>
    <x v="1"/>
    <s v="1000BASE-SX SFP TRANSCEIVER MODULE"/>
    <s v="SFP module"/>
    <x v="2"/>
    <s v="GLC-SX-MMD"/>
    <s v="ACW23040Z9X"/>
    <n v="1"/>
    <s v="_"/>
    <s v="_"/>
    <x v="1"/>
  </r>
  <r>
    <x v="1"/>
    <s v="1000BASE-SX SFP TRANSCEIVER MODULE"/>
    <s v="SFP module"/>
    <x v="2"/>
    <s v="GLC-SX-MMD"/>
    <s v="ACW23040YQZ"/>
    <n v="1"/>
    <s v="_"/>
    <s v="_"/>
    <x v="1"/>
  </r>
  <r>
    <x v="1"/>
    <s v="1000BASE-SX SFP TRANSCEIVER MODULE"/>
    <s v="SFP module"/>
    <x v="2"/>
    <s v="GLC-SX-MMD"/>
    <s v="ACW23040ZB4"/>
    <n v="1"/>
    <s v="_"/>
    <s v="_"/>
    <x v="1"/>
  </r>
  <r>
    <x v="1"/>
    <s v="1000BASE-T SFP TRANSCEIVER MODULE FOR CATEGORY 5 COPPER WIRE"/>
    <s v="SFP module"/>
    <x v="2"/>
    <s v="GLC-TE"/>
    <s v="AVC230721FQ"/>
    <n v="1"/>
    <s v="_"/>
    <s v="_"/>
    <x v="1"/>
  </r>
  <r>
    <x v="1"/>
    <s v="1000BASE-T SFP TRANSCEIVER MODULE FOR CATEGORY 5 COPPER WIRE"/>
    <s v="SFP module"/>
    <x v="2"/>
    <s v="GLC-TE"/>
    <s v="AVC230721EY"/>
    <n v="1"/>
    <s v="_"/>
    <s v="_"/>
    <x v="1"/>
  </r>
  <r>
    <x v="1"/>
    <s v="1000BASE-T SFP TRANSCEIVER MODULE FOR CATEGORY 5 COPPER WIRE"/>
    <s v="SFP module"/>
    <x v="2"/>
    <s v="GLC-TE"/>
    <s v="AVC230721F4"/>
    <n v="1"/>
    <s v="_"/>
    <s v="_"/>
    <x v="1"/>
  </r>
  <r>
    <x v="1"/>
    <s v="CATALYST 3850 24 PORT 10G FIBER SWITCH BASE"/>
    <s v="Switch"/>
    <x v="2"/>
    <s v="WS-C3850-24XS-S"/>
    <s v="FOC2309GH3M"/>
    <n v="1"/>
    <s v="_"/>
    <s v="IRIS-SW2-A02"/>
    <x v="1"/>
  </r>
  <r>
    <x v="1"/>
    <s v="10GBASE-SR SFP MODULE"/>
    <s v="SFP module"/>
    <x v="2"/>
    <s v="SFP-10G-SR-S"/>
    <s v="AVD2305D9KY"/>
    <n v="1"/>
    <s v="_"/>
    <s v="_"/>
    <x v="1"/>
  </r>
  <r>
    <x v="1"/>
    <s v="10GBASE-SR SFP MODULE"/>
    <s v="SFP module"/>
    <x v="2"/>
    <s v="SFP-10G-SR-S"/>
    <s v="AVD2305D9KZ"/>
    <n v="1"/>
    <s v="_"/>
    <s v="_"/>
    <x v="1"/>
  </r>
  <r>
    <x v="1"/>
    <s v="10GBASE-SR SFP MODULE"/>
    <s v="SFP module"/>
    <x v="2"/>
    <s v="SFP-10G-SR-S"/>
    <s v="AVD2305D9KX"/>
    <n v="1"/>
    <s v="_"/>
    <s v="_"/>
    <x v="1"/>
  </r>
  <r>
    <x v="1"/>
    <s v="1000BASE-SX SFP TRANSCEIVER MODULE"/>
    <s v="SFP module"/>
    <x v="2"/>
    <s v="GLC-SX-MMD"/>
    <s v="ACW230416AK"/>
    <n v="1"/>
    <s v="_"/>
    <s v="_"/>
    <x v="1"/>
  </r>
  <r>
    <x v="1"/>
    <s v="1000BASE-SX SFP TRANSCEIVER MODULE"/>
    <s v="SFP module"/>
    <x v="2"/>
    <s v="GLC-SX-MMD"/>
    <s v="ACW230416L0"/>
    <n v="1"/>
    <s v="_"/>
    <s v="_"/>
    <x v="1"/>
  </r>
  <r>
    <x v="1"/>
    <s v="1000BASE-SX SFP TRANSCEIVER MODULE"/>
    <s v="SFP module"/>
    <x v="2"/>
    <s v="GLC-SX-MMD"/>
    <s v="ACW2304150Z"/>
    <n v="1"/>
    <s v="_"/>
    <s v="_"/>
    <x v="1"/>
  </r>
  <r>
    <x v="1"/>
    <s v="1000BASE-SX SFP TRANSCEIVER MODULE"/>
    <s v="SFP module"/>
    <x v="2"/>
    <s v="GLC-SX-MMD"/>
    <s v="ACW230416J1"/>
    <n v="1"/>
    <s v="_"/>
    <s v="_"/>
    <x v="1"/>
  </r>
  <r>
    <x v="1"/>
    <s v="1000BASE-SX SFP TRANSCEIVER MODULE"/>
    <s v="SFP module"/>
    <x v="2"/>
    <s v="GLC-SX-MMD"/>
    <s v="ACW23041507"/>
    <n v="1"/>
    <s v="_"/>
    <s v="_"/>
    <x v="1"/>
  </r>
  <r>
    <x v="1"/>
    <s v="1000BASE-T SFP TRANSCEIVER MODULE FOR CATEGORY 5 COPPER WIRE"/>
    <s v="SFP module"/>
    <x v="2"/>
    <s v="GLC-TE"/>
    <s v="AVC230721EV"/>
    <n v="1"/>
    <s v="_"/>
    <s v="_"/>
    <x v="1"/>
  </r>
  <r>
    <x v="1"/>
    <s v="1000BASE-T SFP TRANSCEIVER MODULE FOR CATEGORY 5 COPPER WIRE"/>
    <s v="SFP module"/>
    <x v="2"/>
    <s v="GLC-TE"/>
    <s v="AVC230721F7"/>
    <n v="1"/>
    <s v="_"/>
    <s v="_"/>
    <x v="1"/>
  </r>
  <r>
    <x v="1"/>
    <s v="1000BASE-T SFP TRANSCEIVER MODULE FOR CATEGORY 5 COPPER WIRE"/>
    <s v="SFP module"/>
    <x v="2"/>
    <s v="GLC-TE"/>
    <s v="AVC230721FM"/>
    <n v="1"/>
    <s v="_"/>
    <s v="_"/>
    <x v="1"/>
  </r>
  <r>
    <x v="1"/>
    <s v="HPE MSA 2050 SAN DC LFF Storage"/>
    <s v="MSA SAN"/>
    <x v="1"/>
    <s v="Q1J00A"/>
    <s v="2S6910B077"/>
    <n v="1"/>
    <s v="_"/>
    <s v="IRIS-MSA-A02"/>
    <x v="1"/>
  </r>
  <r>
    <x v="1"/>
    <s v="MSA 2050 SAN dual controller"/>
    <s v="MSA SAN"/>
    <x v="1"/>
    <s v="876127-001"/>
    <s v="7CE901M535"/>
    <n v="1"/>
    <s v="_"/>
    <s v="_"/>
    <x v="1"/>
  </r>
  <r>
    <x v="1"/>
    <s v="MSA 2050 SAN dual controller"/>
    <s v="MSA SAN"/>
    <x v="1"/>
    <s v="876127-001"/>
    <s v="7CE901M781"/>
    <n v="1"/>
    <s v="_"/>
    <s v="_"/>
    <x v="1"/>
  </r>
  <r>
    <x v="1"/>
    <s v="HPE MSA 10TB 12G SAS 7.2K LFF 512e HDD"/>
    <s v="Disk"/>
    <x v="1"/>
    <s v="P9M82A"/>
    <s v="THH917Z088"/>
    <n v="1"/>
    <s v="IRIS-MSA-A02-01"/>
    <s v="_"/>
    <x v="1"/>
  </r>
  <r>
    <x v="1"/>
    <s v="HPE MSA 10TB 12G SAS 7.2K LFF 512e HDD"/>
    <s v="Disk"/>
    <x v="1"/>
    <s v="P9M82A"/>
    <s v="THH917Z07I"/>
    <n v="1"/>
    <s v="IRIS-MSA-A02-02"/>
    <s v="_"/>
    <x v="1"/>
  </r>
  <r>
    <x v="1"/>
    <s v="HPE MSA 10TB 12G SAS 7.2K LFF 512e HDD"/>
    <s v="Disk"/>
    <x v="1"/>
    <s v="P9M82A"/>
    <s v="THH917Z07W"/>
    <n v="1"/>
    <s v="IRIS-MSA-A02-03"/>
    <s v="_"/>
    <x v="1"/>
  </r>
  <r>
    <x v="1"/>
    <s v="HPE MSA 10TB 12G SAS 7.2K LFF 512e HDD"/>
    <s v="Disk"/>
    <x v="1"/>
    <s v="P9M82A"/>
    <s v="THH917Z07Y"/>
    <n v="1"/>
    <s v="IRIS-MSA-A02-04"/>
    <s v="_"/>
    <x v="1"/>
  </r>
  <r>
    <x v="1"/>
    <s v="HPE MSA 10TB 12G SAS 7.2K LFF 512e HDD"/>
    <s v="Disk"/>
    <x v="1"/>
    <s v="P9M82A"/>
    <s v="THH917Z087"/>
    <n v="1"/>
    <s v="IRIS-MSA-A02-05"/>
    <s v="_"/>
    <x v="1"/>
  </r>
  <r>
    <x v="1"/>
    <s v="HPE MSA 10TB 12G SAS 7.2K LFF 512e HDD"/>
    <s v="Disk"/>
    <x v="1"/>
    <s v="P9M82A"/>
    <s v="THH917Z07Z"/>
    <n v="1"/>
    <s v="IRIS-MSA-A02-06"/>
    <s v="_"/>
    <x v="1"/>
  </r>
  <r>
    <x v="1"/>
    <s v="HPE MSA 10TB 12G SAS 7.2K LFF 512e HDD"/>
    <s v="Disk"/>
    <x v="1"/>
    <s v="P9M82A"/>
    <s v="THH917Z06X"/>
    <n v="1"/>
    <s v="IRIS-MSA-A02-07"/>
    <s v="_"/>
    <x v="1"/>
  </r>
  <r>
    <x v="1"/>
    <s v="HPE MSA 10TB 12G SAS 7.2K LFF 512e HDD"/>
    <s v="Disk"/>
    <x v="1"/>
    <s v="P9M82A"/>
    <s v="THH917Z080"/>
    <n v="1"/>
    <s v="IRIS-MSA-A02-08"/>
    <s v="_"/>
    <x v="1"/>
  </r>
  <r>
    <x v="1"/>
    <s v="HPE MSA 10TB 12G SAS 7.2K LFF 512e HDD"/>
    <s v="Disk"/>
    <x v="1"/>
    <s v="P9M82A"/>
    <s v="THH917Z07D"/>
    <n v="1"/>
    <s v="IRIS-MSA-A02-09"/>
    <s v="_"/>
    <x v="1"/>
  </r>
  <r>
    <x v="1"/>
    <s v="HPE MSA 10TB 12G SAS 7.2K LFF 512e HDD"/>
    <s v="Disk"/>
    <x v="1"/>
    <s v="P9M82A"/>
    <s v="THH917Z078"/>
    <n v="1"/>
    <s v="IRIS-MSA-A02-10"/>
    <s v="_"/>
    <x v="1"/>
  </r>
  <r>
    <x v="1"/>
    <s v="HPE MSA 10TB 12G SAS 7.2K LFF 512e HDD"/>
    <s v="Disk"/>
    <x v="1"/>
    <s v="P9M82A"/>
    <s v="THH917Z06W"/>
    <n v="1"/>
    <s v="IRIS-MSA-A02-11"/>
    <s v="_"/>
    <x v="1"/>
  </r>
  <r>
    <x v="1"/>
    <s v="HPE MSA 10TB 12G SAS 7.2K LFF 512e HDD"/>
    <s v="Disk"/>
    <x v="1"/>
    <s v="P9M82A"/>
    <s v="THH917Z08F"/>
    <n v="1"/>
    <s v="IRIS-MSA-A02-12"/>
    <s v="_"/>
    <x v="1"/>
  </r>
  <r>
    <x v="1"/>
    <s v="HPE MSA 16GB SW FC SFP"/>
    <s v="SFP module"/>
    <x v="1"/>
    <s v="720999-002"/>
    <s v="MY8905112E"/>
    <n v="1"/>
    <s v="_"/>
    <s v="_"/>
    <x v="1"/>
  </r>
  <r>
    <x v="1"/>
    <s v="HPE MSA 16GB SW FC SFP"/>
    <s v="SFP module"/>
    <x v="1"/>
    <s v="720999-002"/>
    <s v="MY890511X0"/>
    <n v="1"/>
    <s v="_"/>
    <s v="_"/>
    <x v="1"/>
  </r>
  <r>
    <x v="1"/>
    <s v="HPE MSA 16GB SW FC SFP"/>
    <s v="SFP module"/>
    <x v="1"/>
    <s v="720999-002"/>
    <s v="MY8905113B"/>
    <n v="1"/>
    <s v="_"/>
    <s v="_"/>
    <x v="1"/>
  </r>
  <r>
    <x v="1"/>
    <s v="HPE MSA 16GB SW FC SFP"/>
    <s v="SFP module"/>
    <x v="1"/>
    <s v="720999-002"/>
    <s v="MY89051123"/>
    <n v="1"/>
    <s v="_"/>
    <s v="_"/>
    <x v="1"/>
  </r>
  <r>
    <x v="1"/>
    <s v="HPE MSA 16GB SW FC SFP"/>
    <s v="SFP module"/>
    <x v="1"/>
    <s v="720999-002"/>
    <s v="MY8905105Q"/>
    <n v="1"/>
    <s v="_"/>
    <s v="_"/>
    <x v="1"/>
  </r>
  <r>
    <x v="1"/>
    <s v="HPE MSA 16GB SW FC SFP"/>
    <s v="SFP module"/>
    <x v="1"/>
    <s v="720999-002"/>
    <s v="MY8905100M"/>
    <n v="1"/>
    <s v="_"/>
    <s v="_"/>
    <x v="1"/>
  </r>
  <r>
    <x v="1"/>
    <s v="HPE MSA 16GB SW FC SFP"/>
    <s v="SFP module"/>
    <x v="1"/>
    <s v="720999-002"/>
    <s v="MY890510EZ"/>
    <n v="1"/>
    <s v="_"/>
    <s v="_"/>
    <x v="1"/>
  </r>
  <r>
    <x v="1"/>
    <s v="HPE MSA 16GB SW FC SFP"/>
    <s v="SFP module"/>
    <x v="1"/>
    <s v="720999-002"/>
    <s v="MY8905105N"/>
    <n v="1"/>
    <s v="_"/>
    <s v="_"/>
    <x v="1"/>
  </r>
  <r>
    <x v="1"/>
    <s v="HPE MSA 2050 LFF Disk Enclosure - EXTENSION 1"/>
    <s v="Disk Enclosure - EXTENSION 1"/>
    <x v="1"/>
    <s v="Q1J06A"/>
    <s v="2S6912D146"/>
    <n v="1"/>
    <s v="_"/>
    <s v="IRIS-DEN-A02-1"/>
    <x v="1"/>
  </r>
  <r>
    <x v="1"/>
    <s v="HPE SPS-6GB MSA IO MODULE"/>
    <s v="Disk Enclosure"/>
    <x v="1"/>
    <s v="876146-001"/>
    <s v="7CE909G720"/>
    <n v="1"/>
    <s v="_"/>
    <s v="_"/>
    <x v="1"/>
  </r>
  <r>
    <x v="1"/>
    <s v="HPE SPS-6GB MSA IO MODULE"/>
    <s v="Disk Enclosure"/>
    <x v="1"/>
    <s v="876146-001"/>
    <s v="7CE909G584"/>
    <n v="1"/>
    <s v="_"/>
    <s v="_"/>
    <x v="1"/>
  </r>
  <r>
    <x v="1"/>
    <s v="HPE MSA 10TB 12G SAS 7.2K LFF 512e HDD"/>
    <s v="Disk"/>
    <x v="1"/>
    <s v="P9M82A"/>
    <s v="THH923Z08R"/>
    <n v="1"/>
    <s v="IRIS-DEN-A02-1-01"/>
    <s v="_"/>
    <x v="1"/>
  </r>
  <r>
    <x v="1"/>
    <s v="HPE MSA 10TB 12G SAS 7.2K LFF 512e HDD"/>
    <s v="Disk"/>
    <x v="1"/>
    <s v="P9M82A"/>
    <s v="THH923Z08V"/>
    <n v="1"/>
    <s v="IRIS-DEN-A02-1-02"/>
    <s v="_"/>
    <x v="1"/>
  </r>
  <r>
    <x v="1"/>
    <s v="HPE MSA 10TB 12G SAS 7.2K LFF 512e HDD"/>
    <s v="Disk"/>
    <x v="1"/>
    <s v="P9M82A"/>
    <s v="THH923Z04W"/>
    <n v="1"/>
    <s v="IRIS-DEN-A02-1-03"/>
    <s v="_"/>
    <x v="1"/>
  </r>
  <r>
    <x v="1"/>
    <s v="HPE MSA 10TB 12G SAS 7.2K LFF 512e HDD"/>
    <s v="Disk"/>
    <x v="1"/>
    <s v="P9M82A"/>
    <s v="THH923Z09R"/>
    <n v="1"/>
    <s v="IRIS-DEN-A02-1-04"/>
    <s v="_"/>
    <x v="1"/>
  </r>
  <r>
    <x v="1"/>
    <s v="HPE MSA 10TB 12G SAS 7.2K LFF 512e HDD"/>
    <s v="Disk"/>
    <x v="1"/>
    <s v="P9M82A"/>
    <s v="THH923Z09A"/>
    <n v="1"/>
    <s v="IRIS-DEN-A02-1-05"/>
    <s v="_"/>
    <x v="1"/>
  </r>
  <r>
    <x v="1"/>
    <s v="HPE MSA 10TB 12G SAS 7.2K LFF 512e HDD"/>
    <s v="Disk"/>
    <x v="1"/>
    <s v="P9M82A"/>
    <s v="THH923Z04V"/>
    <n v="1"/>
    <s v="IRIS-DEN-A02-1-06"/>
    <s v="_"/>
    <x v="1"/>
  </r>
  <r>
    <x v="1"/>
    <s v="HPE MSA 10TB 12G SAS 7.2K LFF 512e HDD"/>
    <s v="Disk"/>
    <x v="1"/>
    <s v="P9M82A"/>
    <s v="THH923Z096"/>
    <n v="1"/>
    <s v="IRIS-DEN-A02-1-07"/>
    <s v="_"/>
    <x v="1"/>
  </r>
  <r>
    <x v="1"/>
    <s v="HPE MSA 10TB 12G SAS 7.2K LFF 512e HDD"/>
    <s v="Disk"/>
    <x v="1"/>
    <s v="P9M82A"/>
    <s v="THH923Z099"/>
    <n v="1"/>
    <s v="IRIS-DEN-A02-1-08"/>
    <s v="_"/>
    <x v="1"/>
  </r>
  <r>
    <x v="1"/>
    <s v="HPE MSA 10TB 12G SAS 7.2K LFF 512e HDD"/>
    <s v="Disk"/>
    <x v="1"/>
    <s v="P9M82A"/>
    <s v="THH923Z04U"/>
    <n v="1"/>
    <s v="IRIS-DEN-A02-1-09"/>
    <s v="_"/>
    <x v="1"/>
  </r>
  <r>
    <x v="1"/>
    <s v="HPE MSA 10TB 12G SAS 7.2K LFF 512e HDD"/>
    <s v="Disk"/>
    <x v="1"/>
    <s v="P9M82A"/>
    <s v="THH923Z09P"/>
    <n v="1"/>
    <s v="IRIS-DEN-A02-1-10"/>
    <s v="_"/>
    <x v="1"/>
  </r>
  <r>
    <x v="1"/>
    <s v="HPE MSA 10TB 12G SAS 7.2K LFF 512e HDD"/>
    <s v="Disk"/>
    <x v="1"/>
    <s v="P9M82A"/>
    <s v="THH923Z098"/>
    <n v="1"/>
    <s v="IRIS-DEN-A02-1-11"/>
    <s v="_"/>
    <x v="1"/>
  </r>
  <r>
    <x v="1"/>
    <s v="HPE MSA 10TB 12G SAS 7.2K LFF 512e HDD"/>
    <s v="Disk"/>
    <x v="1"/>
    <s v="P9M82A"/>
    <s v="THH923Z04S"/>
    <n v="1"/>
    <s v="IRIS-DEN-A02-1-12"/>
    <s v="_"/>
    <x v="1"/>
  </r>
  <r>
    <x v="1"/>
    <s v="HPE MSA 2050 LFF Disk Enclosure - EXTENSION 2"/>
    <s v="Disk Enclosure - EXTENSION 2"/>
    <x v="1"/>
    <s v="Q1J06A"/>
    <s v="2S6912D143"/>
    <n v="1"/>
    <s v="_"/>
    <s v="IRIS-DEN-A02-2"/>
    <x v="1"/>
  </r>
  <r>
    <x v="1"/>
    <s v="HPE SPS-6GB MSA IO MODULE"/>
    <s v="Disk Enclosure"/>
    <x v="1"/>
    <s v="876146-001"/>
    <s v="7CE909G415"/>
    <n v="1"/>
    <s v="_"/>
    <s v="_"/>
    <x v="1"/>
  </r>
  <r>
    <x v="1"/>
    <s v="HPE SPS-6GB MSA IO MODULE"/>
    <s v="Disk Enclosure"/>
    <x v="1"/>
    <s v="876146-001"/>
    <s v="7CE909G725"/>
    <n v="1"/>
    <s v="_"/>
    <s v="_"/>
    <x v="1"/>
  </r>
  <r>
    <x v="1"/>
    <s v="HPE MSA 10TB 12G SAS 7.2K LFF 512e HDD"/>
    <s v="Disk"/>
    <x v="1"/>
    <s v="P9M82A"/>
    <s v="THH923Z09Y"/>
    <n v="1"/>
    <s v="IRIS-DEN-A02-2-01"/>
    <s v="_"/>
    <x v="1"/>
  </r>
  <r>
    <x v="1"/>
    <s v="HPE MSA 10TB 12G SAS 7.2K LFF 512e HDD"/>
    <s v="Disk"/>
    <x v="1"/>
    <s v="P9M82A"/>
    <s v="THH923Z04X"/>
    <n v="1"/>
    <s v="IRIS-DEN-A02-2-02"/>
    <s v="_"/>
    <x v="1"/>
  </r>
  <r>
    <x v="1"/>
    <s v="HPE MSA 10TB 12G SAS 7.2K LFF 512e HDD"/>
    <s v="Disk"/>
    <x v="1"/>
    <s v="P9M82A"/>
    <s v="THH923Z051"/>
    <n v="1"/>
    <s v="IRIS-DEN-A02-2-03"/>
    <s v="_"/>
    <x v="1"/>
  </r>
  <r>
    <x v="1"/>
    <s v="HPE MSA 10TB 12G SAS 7.2K LFF 512e HDD"/>
    <s v="Disk"/>
    <x v="1"/>
    <s v="P9M82A"/>
    <s v="THH923Z04H"/>
    <n v="1"/>
    <s v="IRIS-DEN-A02-2-04"/>
    <s v="_"/>
    <x v="1"/>
  </r>
  <r>
    <x v="1"/>
    <s v="HPE MSA 10TB 12G SAS 7.2K LFF 512e HDD"/>
    <s v="Disk"/>
    <x v="1"/>
    <s v="P9M82A"/>
    <s v="THH923Z050"/>
    <n v="1"/>
    <s v="IRIS-DEN-A02-2-05"/>
    <s v="_"/>
    <x v="1"/>
  </r>
  <r>
    <x v="1"/>
    <s v="HPE MSA 10TB 12G SAS 7.2K LFF 512e HDD"/>
    <s v="Disk"/>
    <x v="1"/>
    <s v="P9M82A"/>
    <s v="THH923Z053"/>
    <n v="1"/>
    <s v="IRIS-DEN-A02-2-06"/>
    <s v="_"/>
    <x v="1"/>
  </r>
  <r>
    <x v="1"/>
    <s v="HPE MSA 10TB 12G SAS 7.2K LFF 512e HDD"/>
    <s v="Disk"/>
    <x v="1"/>
    <s v="P9M82A"/>
    <s v="THH923Z09Z"/>
    <n v="1"/>
    <s v="IRIS-DEN-A02-2-07"/>
    <s v="_"/>
    <x v="1"/>
  </r>
  <r>
    <x v="1"/>
    <s v="HPE MSA 10TB 12G SAS 7.2K LFF 512e HDD"/>
    <s v="Disk"/>
    <x v="1"/>
    <s v="P9M82A"/>
    <s v="THH923Z04Y"/>
    <n v="1"/>
    <s v="IRIS-DEN-A02-2-08"/>
    <s v="_"/>
    <x v="1"/>
  </r>
  <r>
    <x v="1"/>
    <s v="HPE MSA 10TB 12G SAS 7.2K LFF 512e HDD"/>
    <s v="Disk"/>
    <x v="1"/>
    <s v="P9M82A"/>
    <s v="THH923Z06J"/>
    <n v="1"/>
    <s v="IRIS-DEN-A02-2-09"/>
    <s v="_"/>
    <x v="1"/>
  </r>
  <r>
    <x v="1"/>
    <s v="HPE MSA 10TB 12G SAS 7.2K LFF 512e HDD"/>
    <s v="Disk"/>
    <x v="1"/>
    <s v="P9M82A"/>
    <s v="THH923Z04D"/>
    <n v="1"/>
    <s v="IRIS-DEN-A02-2-10"/>
    <s v="_"/>
    <x v="1"/>
  </r>
  <r>
    <x v="1"/>
    <s v="HPE MSA 10TB 12G SAS 7.2K LFF 512e HDD"/>
    <s v="Disk"/>
    <x v="1"/>
    <s v="P9M82A"/>
    <s v="THH923Z04Z"/>
    <n v="1"/>
    <s v="IRIS-DEN-A02-2-11"/>
    <s v="_"/>
    <x v="1"/>
  </r>
  <r>
    <x v="1"/>
    <s v="HPE MSA 10TB 12G SAS 7.2K LFF 512e HDD"/>
    <s v="Disk"/>
    <x v="1"/>
    <s v="P9M82A"/>
    <s v="THH923Z06K"/>
    <n v="1"/>
    <s v="IRIS-DEN-A02-2-12"/>
    <s v="_"/>
    <x v="1"/>
  </r>
  <r>
    <x v="1"/>
    <s v="NTP TIME SERVER WITH OCXO"/>
    <s v="NTP Server"/>
    <x v="3"/>
    <s v="T101R-10us-AC-I/O-OCXOMR"/>
    <s v="0814300"/>
    <n v="1"/>
    <s v="POWER TRANSPORT CASE"/>
    <s v="IRIS-NTP-A02"/>
    <x v="1"/>
  </r>
  <r>
    <x v="1"/>
    <s v="HPE R5000 3U IECSO9-32A HV INTL UPS"/>
    <s v="UPS"/>
    <x v="1"/>
    <s v="AF461A"/>
    <s v="ACC8371121"/>
    <n v="1"/>
    <s v="POWER TRANSPORT CASE"/>
    <s v="IRIS-UPS-A02"/>
    <x v="1"/>
  </r>
  <r>
    <x v="2"/>
    <s v="HPE DL360 Gen10 8SFF CTO Server"/>
    <s v="Server"/>
    <x v="1"/>
    <s v="867959-B21"/>
    <s v="CZJ91702JX"/>
    <n v="1"/>
    <s v="NETWORK TRANSPORT CASE"/>
    <s v="IRIS-SRV1-C01"/>
    <x v="1"/>
  </r>
  <r>
    <x v="2"/>
    <s v="HPE BLc 10G SFP+ SR Transceiver"/>
    <s v="SFP module"/>
    <x v="1"/>
    <s v="455883-B21"/>
    <s v="7CR842N0FW"/>
    <n v="1"/>
    <s v="_"/>
    <s v="_"/>
    <x v="1"/>
  </r>
  <r>
    <x v="2"/>
    <s v="HPE BLc 10G SFP+ SR Transceiver"/>
    <s v="SFP module"/>
    <x v="1"/>
    <s v="455883-B21"/>
    <s v="7CR842N0G9"/>
    <n v="1"/>
    <s v="_"/>
    <s v="_"/>
    <x v="1"/>
  </r>
  <r>
    <x v="2"/>
    <s v="HPE 16G SFP+ SW XCVR-C"/>
    <s v="SFP module"/>
    <x v="1"/>
    <s v="E7Y10-63001"/>
    <s v="MY891115AN"/>
    <n v="1"/>
    <s v="_"/>
    <s v="_"/>
    <x v="1"/>
  </r>
  <r>
    <x v="2"/>
    <s v="HPE 16G SFP+ SW XCVR-C"/>
    <s v="SFP module"/>
    <x v="1"/>
    <s v="E7Y10-63001"/>
    <s v="MY891119TW"/>
    <n v="1"/>
    <s v="_"/>
    <s v="_"/>
    <x v="1"/>
  </r>
  <r>
    <x v="2"/>
    <s v="HPE DL360 Gen10 8SFF CTO Server"/>
    <s v="Server"/>
    <x v="1"/>
    <s v="867959-B21"/>
    <s v="CZJ91702K6"/>
    <n v="1"/>
    <s v="NETWORK TRANSPORT CASE"/>
    <s v="IRIS-SRV2-C01"/>
    <x v="1"/>
  </r>
  <r>
    <x v="2"/>
    <s v="HPE BLc 10G SFP+ SR Transceiver"/>
    <s v="SFP module"/>
    <x v="1"/>
    <s v="455883-B21"/>
    <s v="7CR842N0GC"/>
    <n v="1"/>
    <s v="_"/>
    <s v="_"/>
    <x v="1"/>
  </r>
  <r>
    <x v="2"/>
    <s v="HPE BLc 10G SFP+ SR Transceiver"/>
    <s v="SFP module"/>
    <x v="1"/>
    <s v="455883-B21"/>
    <s v="7CR842N0FV"/>
    <n v="1"/>
    <s v="_"/>
    <s v="_"/>
    <x v="1"/>
  </r>
  <r>
    <x v="2"/>
    <s v="HPE 16G SFP+ SW XCVR-C"/>
    <s v="SFP module"/>
    <x v="1"/>
    <s v="E7Y10-63001"/>
    <s v="MY891119P5"/>
    <n v="1"/>
    <s v="_"/>
    <s v="_"/>
    <x v="1"/>
  </r>
  <r>
    <x v="2"/>
    <s v="HPE 16G SFP+ SW XCVR-C"/>
    <s v="SFP module"/>
    <x v="1"/>
    <s v="E7Y10-63001"/>
    <s v="MY891119TV"/>
    <n v="1"/>
    <s v="_"/>
    <s v="_"/>
    <x v="1"/>
  </r>
  <r>
    <x v="2"/>
    <s v="CATALYST 3850 24 PORT 10G FIBER SWITCH BASE"/>
    <s v="Switch"/>
    <x v="2"/>
    <s v="WS-C3850-24XS-S"/>
    <s v="FOC2309U01P"/>
    <n v="1"/>
    <s v="NETWORK TRANSPORT CASE"/>
    <s v="IRIS-SW1-C01"/>
    <x v="1"/>
  </r>
  <r>
    <x v="2"/>
    <s v="10GBASE-SR SFP MODULE"/>
    <s v="SFP module"/>
    <x v="2"/>
    <s v="SFP-10G-SR-S"/>
    <s v="OPM22411UF2"/>
    <n v="1"/>
    <s v="_"/>
    <s v="_"/>
    <x v="1"/>
  </r>
  <r>
    <x v="2"/>
    <s v="10GBASE-SR SFP MODULE"/>
    <s v="SFP module"/>
    <x v="2"/>
    <s v="SFP-10G-SR-S"/>
    <s v="OPM22411SM4"/>
    <n v="1"/>
    <s v="_"/>
    <s v="_"/>
    <x v="1"/>
  </r>
  <r>
    <x v="2"/>
    <s v="10GBASE-SR SFP MODULE"/>
    <s v="SFP module"/>
    <x v="2"/>
    <s v="SFP-10G-SR-S"/>
    <s v="OPM22411SM2"/>
    <n v="1"/>
    <s v="_"/>
    <s v="_"/>
    <x v="1"/>
  </r>
  <r>
    <x v="2"/>
    <s v="10GBASE-SR SFP MODULE"/>
    <s v="SFP module"/>
    <x v="2"/>
    <s v="SFP-10G-SR-S"/>
    <s v="OPM22411SM5"/>
    <n v="1"/>
    <s v="_"/>
    <s v="_"/>
    <x v="1"/>
  </r>
  <r>
    <x v="2"/>
    <s v="10GBASE-SR SFP MODULE"/>
    <s v="SFP module"/>
    <x v="2"/>
    <s v="SFP-10G-SR-S"/>
    <s v="OPM22411SLY"/>
    <n v="1"/>
    <s v="_"/>
    <s v="_"/>
    <x v="1"/>
  </r>
  <r>
    <x v="2"/>
    <s v="1000BASE-SX SFP TRANSCEIVER MODULE"/>
    <s v="SFP module"/>
    <x v="2"/>
    <s v="GLC-SX-MMD"/>
    <s v="OPM22390B9K"/>
    <n v="1"/>
    <s v="_"/>
    <s v="_"/>
    <x v="1"/>
  </r>
  <r>
    <x v="2"/>
    <s v="1000BASE-SX SFP TRANSCEIVER MODULE"/>
    <s v="SFP module"/>
    <x v="2"/>
    <s v="GLC-SX-MMD"/>
    <s v="OPM22390B9N"/>
    <n v="1"/>
    <s v="_"/>
    <s v="_"/>
    <x v="1"/>
  </r>
  <r>
    <x v="2"/>
    <s v="1000BASE-SX SFP TRANSCEIVER MODULE"/>
    <s v="SFP module"/>
    <x v="2"/>
    <s v="GLC-SX-MMD"/>
    <s v="OPM22390BGX"/>
    <n v="1"/>
    <s v="_"/>
    <s v="_"/>
    <x v="1"/>
  </r>
  <r>
    <x v="2"/>
    <s v="1000BASE-SX SFP TRANSCEIVER MODULE"/>
    <s v="SFP module"/>
    <x v="2"/>
    <s v="GLC-SX-MMD"/>
    <s v="OPM22390BGY"/>
    <n v="1"/>
    <s v="_"/>
    <s v="_"/>
    <x v="1"/>
  </r>
  <r>
    <x v="2"/>
    <s v="1000BASE-T SFP TRANSCEIVER MODULE FOR CATEGORY 5 COPPER WIRE"/>
    <s v="SFP module"/>
    <x v="2"/>
    <s v="GLC-TE"/>
    <s v="AVC230721EM"/>
    <n v="1"/>
    <s v="_"/>
    <s v="_"/>
    <x v="1"/>
  </r>
  <r>
    <x v="2"/>
    <s v="1000BASE-T SFP TRANSCEIVER MODULE FOR CATEGORY 5 COPPER WIRE"/>
    <s v="SFP module"/>
    <x v="2"/>
    <s v="GLC-TE"/>
    <s v="AVC230721EH"/>
    <n v="1"/>
    <s v="_"/>
    <s v="_"/>
    <x v="1"/>
  </r>
  <r>
    <x v="2"/>
    <s v="1000BASE-T SFP TRANSCEIVER MODULE FOR CATEGORY 5 COPPER WIRE"/>
    <s v="SFP module"/>
    <x v="2"/>
    <s v="GLC-TE"/>
    <s v="AVC230721EG"/>
    <n v="1"/>
    <s v="_"/>
    <s v="_"/>
    <x v="1"/>
  </r>
  <r>
    <x v="2"/>
    <s v="1000BASE-T SFP TRANSCEIVER MODULE FOR CATEGORY 5 COPPER WIRE"/>
    <s v="SFP module"/>
    <x v="2"/>
    <s v="GLC-TE"/>
    <s v="AVC230721EF"/>
    <n v="1"/>
    <s v="_"/>
    <s v="_"/>
    <x v="1"/>
  </r>
  <r>
    <x v="2"/>
    <s v="CATALYST 3850 24 PORT 10G FIBER SWITCH BASE"/>
    <s v="Switch"/>
    <x v="2"/>
    <s v="WS-C3850-24XS-S"/>
    <s v="FCW2308C19T"/>
    <n v="1"/>
    <s v="NETWORK TRANSPORT CASE"/>
    <s v="IRIS-SW2-C01"/>
    <x v="1"/>
  </r>
  <r>
    <x v="2"/>
    <s v="10GBASE-SR SFP MODULE"/>
    <s v="SFP module"/>
    <x v="2"/>
    <s v="SFP-10G-SR-S"/>
    <s v="AVD2305D7GZ"/>
    <n v="1"/>
    <s v="_"/>
    <s v="_"/>
    <x v="1"/>
  </r>
  <r>
    <x v="2"/>
    <s v="10GBASE-SR SFP MODULE"/>
    <s v="SFP module"/>
    <x v="2"/>
    <s v="SFP-10G-SR-S"/>
    <s v="AVD2305D7GS"/>
    <n v="1"/>
    <s v="_"/>
    <s v="_"/>
    <x v="1"/>
  </r>
  <r>
    <x v="2"/>
    <s v="10GBASE-SR SFP MODULE"/>
    <s v="SFP module"/>
    <x v="2"/>
    <s v="SFP-10G-SR-S"/>
    <s v="AVD2305D7GJ"/>
    <n v="1"/>
    <s v="_"/>
    <s v="_"/>
    <x v="1"/>
  </r>
  <r>
    <x v="2"/>
    <s v="10GBASE-SR SFP MODULE"/>
    <s v="SFP module"/>
    <x v="2"/>
    <s v="SFP-10G-SR-S"/>
    <s v="AVD2305D7H0"/>
    <n v="1"/>
    <s v="_"/>
    <s v="_"/>
    <x v="1"/>
  </r>
  <r>
    <x v="2"/>
    <s v="10GBASE-SR SFP MODULE"/>
    <s v="SFP module"/>
    <x v="2"/>
    <s v="SFP-10G-SR-S"/>
    <s v="AVD2305D7H4"/>
    <n v="1"/>
    <s v="_"/>
    <s v="_"/>
    <x v="1"/>
  </r>
  <r>
    <x v="2"/>
    <s v="1000BASE-SX SFP TRANSCEIVER MODULE"/>
    <s v="SFP module"/>
    <x v="2"/>
    <s v="GLC-SX-MMD"/>
    <s v="ACW23031NFJ"/>
    <n v="1"/>
    <s v="_"/>
    <s v="_"/>
    <x v="1"/>
  </r>
  <r>
    <x v="2"/>
    <s v="1000BASE-SX SFP TRANSCEIVER MODULE"/>
    <s v="SFP module"/>
    <x v="2"/>
    <s v="GLC-SX-MMD"/>
    <s v="ACW23031NRL"/>
    <n v="1"/>
    <s v="_"/>
    <s v="_"/>
    <x v="1"/>
  </r>
  <r>
    <x v="2"/>
    <s v="1000BASE-SX SFP TRANSCEIVER MODULE"/>
    <s v="SFP module"/>
    <x v="2"/>
    <s v="GLC-SX-MMD"/>
    <s v="ACW23031N89"/>
    <n v="1"/>
    <s v="_"/>
    <s v="_"/>
    <x v="1"/>
  </r>
  <r>
    <x v="2"/>
    <s v="1000BASE-T SFP TRANSCEIVER MODULE FOR CATEGORY 5 COPPER WIRE"/>
    <s v="SFP module"/>
    <x v="2"/>
    <s v="GLC-TE"/>
    <s v="AVC230721FE"/>
    <n v="1"/>
    <s v="_"/>
    <s v="_"/>
    <x v="1"/>
  </r>
  <r>
    <x v="2"/>
    <s v="1000BASE-T SFP TRANSCEIVER MODULE FOR CATEGORY 5 COPPER WIRE"/>
    <s v="SFP module"/>
    <x v="2"/>
    <s v="GLC-TE"/>
    <s v="AVC230721EJ"/>
    <n v="1"/>
    <s v="_"/>
    <s v="_"/>
    <x v="1"/>
  </r>
  <r>
    <x v="2"/>
    <s v="1000BASE-T SFP TRANSCEIVER MODULE FOR CATEGORY 5 COPPER WIRE"/>
    <s v="SFP module"/>
    <x v="2"/>
    <s v="GLC-TE"/>
    <s v="AVC230721EK"/>
    <n v="1"/>
    <s v="_"/>
    <s v="_"/>
    <x v="1"/>
  </r>
  <r>
    <x v="2"/>
    <s v="1000BASE-T SFP TRANSCEIVER MODULE FOR CATEGORY 5 COPPER WIRE"/>
    <s v="SFP module"/>
    <x v="2"/>
    <s v="GLC-TE"/>
    <s v="AVC230721EW"/>
    <n v="1"/>
    <s v="_"/>
    <s v="_"/>
    <x v="1"/>
  </r>
  <r>
    <x v="2"/>
    <s v="HPE DL360 Gen10 8SFF CTO Server"/>
    <s v="Server"/>
    <x v="1"/>
    <s v="867959-B21"/>
    <s v="CZJ91702K4"/>
    <n v="1"/>
    <s v="SERVER TRANSPORT CASE"/>
    <s v="IRIS-SRV3-C01"/>
    <x v="1"/>
  </r>
  <r>
    <x v="2"/>
    <s v="HPE BLc 10G SFP+ SR Transceiver"/>
    <s v="SFP module"/>
    <x v="1"/>
    <s v="455883-B21"/>
    <s v="7CR841N0EJ"/>
    <n v="1"/>
    <s v="_"/>
    <s v="_"/>
    <x v="1"/>
  </r>
  <r>
    <x v="2"/>
    <s v="HPE BLc 10G SFP+ SR Transceiver"/>
    <s v="SFP module"/>
    <x v="1"/>
    <s v="455883-B21"/>
    <s v="7CR841N0F2"/>
    <n v="1"/>
    <s v="_"/>
    <s v="_"/>
    <x v="1"/>
  </r>
  <r>
    <x v="2"/>
    <s v="HPE 16G SFP+ SW XCVR-C"/>
    <s v="SFP module"/>
    <x v="1"/>
    <s v="E7Y10-63001"/>
    <s v="MY891119LT"/>
    <n v="1"/>
    <s v="_"/>
    <s v="_"/>
    <x v="1"/>
  </r>
  <r>
    <x v="2"/>
    <s v="HPE 16G SFP+ SW XCVR-C"/>
    <s v="SFP module"/>
    <x v="1"/>
    <s v="E7Y10-63001"/>
    <s v="MY891119ND"/>
    <n v="1"/>
    <s v="_"/>
    <s v="_"/>
    <x v="1"/>
  </r>
  <r>
    <x v="2"/>
    <s v="HPE DL360 Gen10 8SFF CTO Server"/>
    <s v="Server"/>
    <x v="1"/>
    <s v="867959-B21"/>
    <s v="CZJ91702K2"/>
    <n v="1"/>
    <s v="SERVER TRANSPORT CASE"/>
    <s v="IRIS-SRV4-C01"/>
    <x v="1"/>
  </r>
  <r>
    <x v="2"/>
    <s v="HPE BLc 10G SFP+ SR Transceiver"/>
    <s v="SFP module"/>
    <x v="1"/>
    <s v="455883-B21"/>
    <s v="7CR842N0G2"/>
    <n v="1"/>
    <s v="_"/>
    <s v="_"/>
    <x v="1"/>
  </r>
  <r>
    <x v="2"/>
    <s v="HPE BLc 10G SFP+ SR Transceiver"/>
    <s v="SFP module"/>
    <x v="1"/>
    <s v="455883-B21"/>
    <s v="7CR841N0F7"/>
    <n v="1"/>
    <s v="_"/>
    <s v="_"/>
    <x v="1"/>
  </r>
  <r>
    <x v="2"/>
    <s v="HPE 16G SFP+ SW XCVR-C"/>
    <s v="SFP module"/>
    <x v="1"/>
    <s v="E7Y10-63001"/>
    <s v="MY891119MW"/>
    <n v="1"/>
    <s v="_"/>
    <s v="_"/>
    <x v="1"/>
  </r>
  <r>
    <x v="2"/>
    <s v="HPE 16G SFP+ SW XCVR-C"/>
    <s v="SFP module"/>
    <x v="1"/>
    <s v="E7Y10-63001"/>
    <s v="MY891119NR"/>
    <n v="1"/>
    <s v="_"/>
    <s v="_"/>
    <x v="1"/>
  </r>
  <r>
    <x v="2"/>
    <s v="HPE 400GB SAS 12G MU SFF SC DS 550"/>
    <s v="Disk"/>
    <x v="1"/>
    <s v="872374-B21"/>
    <s v="5C3905J06Z"/>
    <n v="1"/>
    <s v="IRIS-SRV4-C01-01"/>
    <s v="_"/>
    <x v="1"/>
  </r>
  <r>
    <x v="2"/>
    <s v="HPE 400GB SAS 12G MU SFF SC DS 550"/>
    <s v="Disk"/>
    <x v="1"/>
    <s v="872374-B21"/>
    <s v="5C3905J06J"/>
    <n v="1"/>
    <s v="IRIS-SRV4-C01-02"/>
    <s v="_"/>
    <x v="1"/>
  </r>
  <r>
    <x v="2"/>
    <s v="HPE MSA 2050 SAN DC LFF Storage"/>
    <s v="MSA SAN"/>
    <x v="1"/>
    <s v="Q1J00A"/>
    <s v="2S6910B090"/>
    <n v="1"/>
    <s v="SERVER TRANSPORT CASE"/>
    <s v="IRIS-MSA-C01"/>
    <x v="1"/>
  </r>
  <r>
    <x v="2"/>
    <s v="MSA 2050 SAN dual controller"/>
    <s v="MSA SAN"/>
    <x v="1"/>
    <s v="876127-001"/>
    <s v="7CE901M841"/>
    <n v="1"/>
    <s v="_"/>
    <s v="_"/>
    <x v="1"/>
  </r>
  <r>
    <x v="2"/>
    <s v="MSA 2050 SAN dual controller"/>
    <s v="MSA SAN"/>
    <x v="1"/>
    <s v="876127-001"/>
    <s v="7CE901M924"/>
    <n v="1"/>
    <s v="_"/>
    <s v="_"/>
    <x v="1"/>
  </r>
  <r>
    <x v="2"/>
    <s v="HPE MSA 10TB 12G SAS 7.2K LFF 512e HDD"/>
    <s v="Disk"/>
    <x v="1"/>
    <s v="P9M82A"/>
    <s v="THH917Z06U"/>
    <n v="1"/>
    <s v="IRIS-MSA-C01-01"/>
    <s v="_"/>
    <x v="1"/>
  </r>
  <r>
    <x v="2"/>
    <s v="HPE MSA 10TB 12G SAS 7.2K LFF 512e HDD"/>
    <s v="Disk"/>
    <x v="1"/>
    <s v="P9M82A"/>
    <s v="THH917Z076"/>
    <n v="1"/>
    <s v="IRIS-MSA-C01-02"/>
    <s v="_"/>
    <x v="1"/>
  </r>
  <r>
    <x v="2"/>
    <s v="HPE MSA 10TB 12G SAS 7.2K LFF 512e HDD"/>
    <s v="Disk"/>
    <x v="1"/>
    <s v="P9M82A"/>
    <s v="THH917Z07R"/>
    <n v="1"/>
    <s v="IRIS-MSA-C01-03"/>
    <s v="_"/>
    <x v="1"/>
  </r>
  <r>
    <x v="2"/>
    <s v="HPE MSA 10TB 12G SAS 7.2K LFF 512e HDD"/>
    <s v="Disk"/>
    <x v="1"/>
    <s v="P9M82A"/>
    <s v="THH917Z06J"/>
    <n v="1"/>
    <s v="IRIS-MSA-C01-04"/>
    <s v="_"/>
    <x v="1"/>
  </r>
  <r>
    <x v="2"/>
    <s v="HPE MSA 10TB 12G SAS 7.2K LFF 512e HDD"/>
    <s v="Disk"/>
    <x v="1"/>
    <s v="P9M82A"/>
    <s v="THH917Z06L"/>
    <n v="1"/>
    <s v="IRIS-MSA-C01-05"/>
    <s v="_"/>
    <x v="1"/>
  </r>
  <r>
    <x v="2"/>
    <s v="HPE MSA 10TB 12G SAS 7.2K LFF 512e HDD"/>
    <s v="Disk"/>
    <x v="1"/>
    <s v="P9M82A"/>
    <s v="THH917Z07J"/>
    <n v="1"/>
    <s v="IRIS-MSA-C01-06"/>
    <s v="_"/>
    <x v="1"/>
  </r>
  <r>
    <x v="2"/>
    <s v="HPE MSA 10TB 12G SAS 7.2K LFF 512e HDD"/>
    <s v="Disk"/>
    <x v="1"/>
    <s v="P9M82A"/>
    <s v="THH917Z06T"/>
    <n v="1"/>
    <s v="IRIS-MSA-C01-07"/>
    <s v="_"/>
    <x v="1"/>
  </r>
  <r>
    <x v="2"/>
    <s v="HPE MSA 10TB 12G SAS 7.2K LFF 512e HDD"/>
    <s v="Disk"/>
    <x v="1"/>
    <s v="P9M82A"/>
    <s v="THH917Z077"/>
    <n v="1"/>
    <s v="IRIS-MSA-C01-08"/>
    <s v="_"/>
    <x v="1"/>
  </r>
  <r>
    <x v="2"/>
    <s v="HPE MSA 10TB 12G SAS 7.2K LFF 512e HDD"/>
    <s v="Disk"/>
    <x v="1"/>
    <s v="P9M82A"/>
    <s v="THH917Z06V"/>
    <n v="1"/>
    <s v="IRIS-MSA-C01-09"/>
    <s v="_"/>
    <x v="1"/>
  </r>
  <r>
    <x v="2"/>
    <s v="HPE MSA 10TB 12G SAS 7.2K LFF 512e HDD"/>
    <s v="Disk"/>
    <x v="1"/>
    <s v="P9M82A"/>
    <s v="THH917Z074"/>
    <n v="1"/>
    <s v="IRIS-MSA-C01-10"/>
    <s v="_"/>
    <x v="1"/>
  </r>
  <r>
    <x v="2"/>
    <s v="HPE MSA 10TB 12G SAS 7.2K LFF 512e HDD"/>
    <s v="Disk"/>
    <x v="1"/>
    <s v="P9M82A"/>
    <s v="THH917Z06K"/>
    <n v="1"/>
    <s v="IRIS-MSA-C01-11"/>
    <s v="_"/>
    <x v="1"/>
  </r>
  <r>
    <x v="2"/>
    <s v="HPE MSA 10TB 12G SAS 7.2K LFF 512e HDD"/>
    <s v="Disk"/>
    <x v="1"/>
    <s v="P9M82A"/>
    <s v="THH917Z072"/>
    <n v="1"/>
    <s v="IRIS-MSA-C01-12"/>
    <s v="_"/>
    <x v="1"/>
  </r>
  <r>
    <x v="2"/>
    <s v="HPE MSA 16GB SW FC SFP"/>
    <s v="SFP module"/>
    <x v="1"/>
    <s v="720999-002"/>
    <s v="MY8905112M"/>
    <n v="1"/>
    <s v="_"/>
    <s v="_"/>
    <x v="1"/>
  </r>
  <r>
    <x v="2"/>
    <s v="HPE MSA 16GB SW FC SFP"/>
    <s v="SFP module"/>
    <x v="1"/>
    <s v="720999-002"/>
    <s v="MY8905111V"/>
    <n v="1"/>
    <s v="_"/>
    <s v="_"/>
    <x v="1"/>
  </r>
  <r>
    <x v="2"/>
    <s v="HPE MSA 16GB SW FC SFP"/>
    <s v="SFP module"/>
    <x v="1"/>
    <s v="720999-002"/>
    <s v="MY890510WG"/>
    <n v="1"/>
    <s v="_"/>
    <s v="_"/>
    <x v="1"/>
  </r>
  <r>
    <x v="2"/>
    <s v="HPE MSA 16GB SW FC SFP"/>
    <s v="SFP module"/>
    <x v="1"/>
    <s v="720999-002"/>
    <s v="MY8905113S"/>
    <n v="1"/>
    <s v="_"/>
    <s v="_"/>
    <x v="1"/>
  </r>
  <r>
    <x v="2"/>
    <s v="HPE MSA 16GB SW FC SFP"/>
    <s v="SFP module"/>
    <x v="1"/>
    <s v="720999-002"/>
    <s v="MY89051125"/>
    <n v="1"/>
    <s v="_"/>
    <s v="_"/>
    <x v="1"/>
  </r>
  <r>
    <x v="2"/>
    <s v="HPE MSA 16GB SW FC SFP"/>
    <s v="SFP module"/>
    <x v="1"/>
    <s v="720999-002"/>
    <s v="MY8905112F"/>
    <n v="1"/>
    <s v="_"/>
    <s v="_"/>
    <x v="1"/>
  </r>
  <r>
    <x v="2"/>
    <s v="HPE MSA 16GB SW FC SFP"/>
    <s v="SFP module"/>
    <x v="1"/>
    <s v="720999-002"/>
    <s v="MY8905113Y"/>
    <n v="1"/>
    <s v="_"/>
    <s v="_"/>
    <x v="1"/>
  </r>
  <r>
    <x v="2"/>
    <s v="HPE MSA 16GB SW FC SFP"/>
    <s v="SFP module"/>
    <x v="1"/>
    <s v="720999-002"/>
    <s v="MY8905112V"/>
    <n v="1"/>
    <s v="_"/>
    <s v="_"/>
    <x v="1"/>
  </r>
  <r>
    <x v="2"/>
    <s v="NTP TIME SERVER WITH OCXO"/>
    <s v="NTP Server"/>
    <x v="3"/>
    <s v="T101R-10us-AC-I/O-OCXOMR"/>
    <s v="0814301"/>
    <n v="1"/>
    <s v="POWER TRANSPORT CASE"/>
    <s v="IRIS-NTP-C01"/>
    <x v="1"/>
  </r>
  <r>
    <x v="2"/>
    <s v="HPE R5000 3U IECSO9-32A HV INTL UPS"/>
    <s v="UPS"/>
    <x v="1"/>
    <s v="AF461A"/>
    <s v="ACC8390065"/>
    <n v="1"/>
    <s v="POWER TRANSPORT CASE"/>
    <s v="IRIS-UPS-C01"/>
    <x v="1"/>
  </r>
  <r>
    <x v="2"/>
    <s v="HP ZBOOK 17 G4"/>
    <s v="Laptop"/>
    <x v="4"/>
    <s v="Y3J81AV"/>
    <s v="2019.05.17093"/>
    <n v="1"/>
    <s v="_"/>
    <s v="IRIS-MMCO1-C01"/>
    <x v="1"/>
  </r>
  <r>
    <x v="2"/>
    <s v="HP EliteDisplay E243i"/>
    <s v="Screen"/>
    <x v="4"/>
    <s v="1FH49AT"/>
    <s v="2019.05.17509"/>
    <n v="1"/>
    <s v="_"/>
    <s v="IRIS-24-SCR01-C01"/>
    <x v="1"/>
  </r>
  <r>
    <x v="2"/>
    <s v="HP EliteDisplay E243i"/>
    <s v="Screen"/>
    <x v="4"/>
    <s v="1FH49AT"/>
    <s v="2019.05.17508"/>
    <n v="1"/>
    <s v="_"/>
    <s v="IRIS-24-SCR02-C01"/>
    <x v="1"/>
  </r>
  <r>
    <x v="2"/>
    <s v="HP ZBOOK 17 G4"/>
    <s v="Laptop"/>
    <x v="4"/>
    <s v="Y3J81AV"/>
    <s v="2019.05.17103"/>
    <n v="1"/>
    <s v="_"/>
    <s v="IRIS-OPR01-C01"/>
    <x v="1"/>
  </r>
  <r>
    <x v="2"/>
    <s v="HP EliteDisplay E243i"/>
    <s v="Screen"/>
    <x v="4"/>
    <s v="1FH49AT"/>
    <s v="2019.05.17507"/>
    <n v="1"/>
    <s v="_"/>
    <s v="IRIS-24-SCR03-C01"/>
    <x v="1"/>
  </r>
  <r>
    <x v="2"/>
    <s v="HP EliteDisplay E243i"/>
    <s v="Screen"/>
    <x v="4"/>
    <s v="1FH49AT"/>
    <s v="2019.05.17504"/>
    <n v="1"/>
    <s v="_"/>
    <s v="IRIS-24-SCR04-C01"/>
    <x v="1"/>
  </r>
  <r>
    <x v="2"/>
    <s v="HP ZBOOK 17 G4"/>
    <s v="Laptop"/>
    <x v="4"/>
    <s v="Y3J81AV"/>
    <s v="2019.05.17104"/>
    <n v="1"/>
    <s v="_"/>
    <s v="IRIS-OPR02-C01"/>
    <x v="1"/>
  </r>
  <r>
    <x v="2"/>
    <s v="HP EliteDisplay E243i"/>
    <s v="Screen"/>
    <x v="4"/>
    <s v="1FH49AT"/>
    <s v="2019.05.17505"/>
    <n v="1"/>
    <s v="_"/>
    <s v="IRIS-24-SCR05-C01"/>
    <x v="1"/>
  </r>
  <r>
    <x v="2"/>
    <s v="HP EliteDisplay E243i"/>
    <s v="Screen"/>
    <x v="4"/>
    <s v="1FH49AT"/>
    <s v="2019.05.17506"/>
    <n v="1"/>
    <s v="_"/>
    <s v="IRIS-24-SCR06-C01"/>
    <x v="1"/>
  </r>
  <r>
    <x v="2"/>
    <s v="HP ZBOOK 17 G4"/>
    <s v="Laptop"/>
    <x v="4"/>
    <s v="Y3J81AV"/>
    <s v="2019.05.17105"/>
    <n v="1"/>
    <s v="_"/>
    <s v="IRIS-OPR03-C01"/>
    <x v="1"/>
  </r>
  <r>
    <x v="2"/>
    <s v="HP EliteDisplay E243i"/>
    <s v="Screen"/>
    <x v="4"/>
    <s v="1FH49AT"/>
    <s v="2019.05.17499"/>
    <n v="1"/>
    <s v="_"/>
    <s v="IRIS-24-SCR07-C01"/>
    <x v="1"/>
  </r>
  <r>
    <x v="2"/>
    <s v="HP EliteDisplay E243i"/>
    <s v="Screen"/>
    <x v="4"/>
    <s v="1FH49AT"/>
    <s v="2019.05.17498"/>
    <n v="1"/>
    <s v="_"/>
    <s v="IRIS-24-SCR08-C01"/>
    <x v="1"/>
  </r>
  <r>
    <x v="2"/>
    <s v="HP ZBOOK 17 G4"/>
    <s v="Laptop"/>
    <x v="4"/>
    <s v="Y3J81AV"/>
    <s v="2019.05.17106"/>
    <n v="1"/>
    <s v="_"/>
    <s v="IRIS-OPR04-C01"/>
    <x v="1"/>
  </r>
  <r>
    <x v="2"/>
    <s v="HP EliteDisplay E243i"/>
    <s v="Screen"/>
    <x v="4"/>
    <s v="1FH49AT"/>
    <s v="2019.05.17503"/>
    <n v="1"/>
    <s v="_"/>
    <s v="IRIS-24-SCR09-C01"/>
    <x v="1"/>
  </r>
  <r>
    <x v="2"/>
    <s v="HP EliteDisplay E243i"/>
    <s v="Screen"/>
    <x v="4"/>
    <s v="1FH49AT"/>
    <s v="2019.05.17502"/>
    <n v="1"/>
    <s v="_"/>
    <s v="IRIS-24-SCR10-C01"/>
    <x v="1"/>
  </r>
  <r>
    <x v="2"/>
    <s v="HP ZBOOK 17 G4"/>
    <s v="Laptop"/>
    <x v="4"/>
    <s v="Y3J81AV"/>
    <s v="2019.05.17107"/>
    <n v="1"/>
    <s v="_"/>
    <s v="IRIS-OPR05-C01"/>
    <x v="1"/>
  </r>
  <r>
    <x v="2"/>
    <s v="HP EliteDisplay E243i"/>
    <s v="Screen"/>
    <x v="4"/>
    <s v="1FH49AT"/>
    <s v="2019.05.17501"/>
    <n v="1"/>
    <s v="_"/>
    <s v="IRIS-24-SCR11-C01"/>
    <x v="1"/>
  </r>
  <r>
    <x v="2"/>
    <s v="HP EliteDisplay E243i"/>
    <s v="Screen"/>
    <x v="4"/>
    <s v="1FH49AT"/>
    <s v="2019.05.17497"/>
    <n v="1"/>
    <s v="_"/>
    <s v="IRIS-24-SCR12-C01"/>
    <x v="1"/>
  </r>
  <r>
    <x v="2"/>
    <s v="SPARE / IRIS - C01"/>
    <s v="SPARE / IRIS - C01"/>
    <x v="5"/>
    <s v="SPARE / IRIS - C01"/>
    <s v="SPARE / IRIS - C01"/>
    <n v="1"/>
    <s v="SPARE / IRIS - C01"/>
    <s v="SPARE / IRIS - C01"/>
    <x v="0"/>
  </r>
  <r>
    <x v="2"/>
    <s v="HP ZBOOK 17 G4"/>
    <s v="Laptop"/>
    <x v="4"/>
    <s v="Y3J81AV"/>
    <s v="2019.05.17094"/>
    <n v="1"/>
    <s v="_"/>
    <s v="IRIS-MM-SPARE-C01"/>
    <x v="1"/>
  </r>
  <r>
    <x v="2"/>
    <s v="HP EliteDisplay E243i"/>
    <s v="Screen"/>
    <x v="4"/>
    <s v="1FH49AT"/>
    <s v="2019.05.17496"/>
    <n v="1"/>
    <s v="_"/>
    <s v="IRIS-24-SPARC01-C01"/>
    <x v="1"/>
  </r>
  <r>
    <x v="2"/>
    <s v="HP EliteDisplay E243i"/>
    <s v="Screen"/>
    <x v="4"/>
    <s v="1FH49AT"/>
    <s v="2019.05.17492"/>
    <n v="1"/>
    <s v="_"/>
    <s v="IRIS-24-SPARE02-C01"/>
    <x v="1"/>
  </r>
  <r>
    <x v="3"/>
    <s v="HPE DL360 Gen10 8SFF CTO Server"/>
    <s v="Server"/>
    <x v="1"/>
    <s v="867959-B21"/>
    <s v="CZJ91702K5"/>
    <n v="1"/>
    <s v="NETWORK TRANSPORT CASE"/>
    <s v="IRIS-SRV1-B01"/>
    <x v="1"/>
  </r>
  <r>
    <x v="3"/>
    <s v="HPE BLc 10G SFP+ SR Transceiver"/>
    <s v="SFP module"/>
    <x v="1"/>
    <s v="455883-B21"/>
    <s v="7CR841N0XV"/>
    <n v="1"/>
    <s v="_"/>
    <s v="_"/>
    <x v="1"/>
  </r>
  <r>
    <x v="3"/>
    <s v="HPE BLc 10G SFP+ SR Transceiver"/>
    <s v="SFP module"/>
    <x v="1"/>
    <s v="455883-B21"/>
    <s v="7CR841N0YA"/>
    <n v="1"/>
    <s v="_"/>
    <s v="_"/>
    <x v="1"/>
  </r>
  <r>
    <x v="3"/>
    <s v="HPE 16G SFP+ SW XCVR-C"/>
    <s v="SFP module"/>
    <x v="1"/>
    <s v="E7Y10-63001"/>
    <s v="MY891115B3"/>
    <n v="1"/>
    <s v="_"/>
    <s v="_"/>
    <x v="1"/>
  </r>
  <r>
    <x v="3"/>
    <s v="HPE 16G SFP+ SW XCVR-C"/>
    <s v="SFP module"/>
    <x v="1"/>
    <s v="E7Y10-63001"/>
    <s v="MY891115BQ"/>
    <n v="1"/>
    <s v="_"/>
    <s v="_"/>
    <x v="1"/>
  </r>
  <r>
    <x v="3"/>
    <s v="HPE DL360 Gen10 8SFF CTO Server"/>
    <s v="Server"/>
    <x v="1"/>
    <s v="867959-B21"/>
    <s v="CZJ91702K1"/>
    <n v="1"/>
    <s v="NETWORK TRANSPORT CASE"/>
    <s v="IRIS-SRV2-B01"/>
    <x v="1"/>
  </r>
  <r>
    <x v="3"/>
    <s v="HPE BLc 10G SFP+ SR Transceiver"/>
    <s v="SFP module"/>
    <x v="1"/>
    <s v="455883-B21"/>
    <s v="7CR841N11D"/>
    <n v="1"/>
    <s v="_"/>
    <s v="_"/>
    <x v="1"/>
  </r>
  <r>
    <x v="3"/>
    <s v="HPE BLc 10G SFP+ SR Transceiver"/>
    <s v="SFP module"/>
    <x v="1"/>
    <s v="455883-B21"/>
    <s v="7CR841N0YC"/>
    <n v="1"/>
    <s v="_"/>
    <s v="_"/>
    <x v="1"/>
  </r>
  <r>
    <x v="3"/>
    <s v="HPE 16G SFP+ SW XCVR-C"/>
    <s v="SFP module"/>
    <x v="1"/>
    <s v="E7Y10-63001"/>
    <s v="MY891115B6"/>
    <n v="1"/>
    <s v="_"/>
    <s v="_"/>
    <x v="1"/>
  </r>
  <r>
    <x v="3"/>
    <s v="HPE 16G SFP+ SW XCVR-C"/>
    <s v="SFP module"/>
    <x v="1"/>
    <s v="E7Y10-63001"/>
    <s v="MY891115BU"/>
    <n v="1"/>
    <s v="_"/>
    <s v="_"/>
    <x v="1"/>
  </r>
  <r>
    <x v="3"/>
    <s v="CATALYST 3850 24 PORT 10G FIBER SWITCH BASE"/>
    <s v="Switch"/>
    <x v="2"/>
    <s v="WS-C3850-24XS-S"/>
    <s v="FOC2309X0B7"/>
    <n v="1"/>
    <s v="NETWORK TRANSPORT CASE"/>
    <s v="IRIS-SW1-B01"/>
    <x v="1"/>
  </r>
  <r>
    <x v="3"/>
    <s v="10GBASE-SR SFP MODULE"/>
    <s v="SFP module"/>
    <x v="2"/>
    <s v="SFP-10G-SR-S"/>
    <s v="AVD2305D7EK"/>
    <n v="1"/>
    <s v="_"/>
    <s v="_"/>
    <x v="1"/>
  </r>
  <r>
    <x v="3"/>
    <s v="10GBASE-SR SFP MODULE"/>
    <s v="SFP module"/>
    <x v="2"/>
    <s v="SFP-10G-SR-S"/>
    <s v="AVD2305D7EW"/>
    <n v="1"/>
    <s v="_"/>
    <s v="_"/>
    <x v="1"/>
  </r>
  <r>
    <x v="3"/>
    <s v="10GBASE-SR SFP MODULE"/>
    <s v="SFP module"/>
    <x v="2"/>
    <s v="SFP-10G-SR-S"/>
    <s v="AVD2305D7EZ"/>
    <n v="1"/>
    <s v="_"/>
    <s v="_"/>
    <x v="1"/>
  </r>
  <r>
    <x v="3"/>
    <s v="10GBASE-SR SFP MODULE"/>
    <s v="SFP module"/>
    <x v="2"/>
    <s v="SFP-10G-SR-S"/>
    <s v="AVD2305D7FJ"/>
    <n v="1"/>
    <s v="_"/>
    <s v="_"/>
    <x v="1"/>
  </r>
  <r>
    <x v="3"/>
    <s v="10GBASE-SR SFP MODULE"/>
    <s v="SFP module"/>
    <x v="2"/>
    <s v="SFP-10G-SR-S"/>
    <s v="AVD2305D76M"/>
    <n v="1"/>
    <s v="_"/>
    <s v="_"/>
    <x v="1"/>
  </r>
  <r>
    <x v="3"/>
    <s v="1000BASE-SX SFP TRANSCEIVER MODULE"/>
    <s v="SFP module"/>
    <x v="2"/>
    <s v="GLC-SX-MMD"/>
    <s v="OPM22390BA6"/>
    <n v="1"/>
    <s v="_"/>
    <s v="_"/>
    <x v="1"/>
  </r>
  <r>
    <x v="3"/>
    <s v="1000BASE-SX SFP TRANSCEIVER MODULE"/>
    <s v="SFP module"/>
    <x v="2"/>
    <s v="GLC-SX-MMD"/>
    <s v="OPM22390BA8"/>
    <n v="1"/>
    <s v="_"/>
    <s v="_"/>
    <x v="1"/>
  </r>
  <r>
    <x v="3"/>
    <s v="1000BASE-SX SFP TRANSCEIVER MODULE"/>
    <s v="SFP module"/>
    <x v="2"/>
    <s v="GLC-SX-MMD"/>
    <s v="OPM22390BH1"/>
    <n v="1"/>
    <s v="_"/>
    <s v="_"/>
    <x v="1"/>
  </r>
  <r>
    <x v="3"/>
    <s v="1000BASE-SX SFP TRANSCEIVER MODULE"/>
    <s v="SFP module"/>
    <x v="2"/>
    <s v="GLC-SX-MMD"/>
    <s v="OPM22390BH2"/>
    <n v="1"/>
    <s v="_"/>
    <s v="_"/>
    <x v="1"/>
  </r>
  <r>
    <x v="3"/>
    <s v="1000BASE-SX SFP TRANSCEIVER MODULE"/>
    <s v="SFP module"/>
    <x v="2"/>
    <s v="GLC-SX-MMD"/>
    <s v="OPM22390BAA"/>
    <n v="1"/>
    <s v="_"/>
    <s v="_"/>
    <x v="1"/>
  </r>
  <r>
    <x v="3"/>
    <s v="1000BASE-SX SFP TRANSCEIVER MODULE"/>
    <s v="SFP module"/>
    <x v="2"/>
    <s v="GLC-SX-MMD"/>
    <s v="OPM22390BA1"/>
    <n v="1"/>
    <s v="_"/>
    <s v="_"/>
    <x v="1"/>
  </r>
  <r>
    <x v="3"/>
    <s v="1000BASE-SX SFP TRANSCEIVER MODULE"/>
    <s v="SFP module"/>
    <x v="2"/>
    <s v="GLC-SX-MMD"/>
    <s v="OPM22390BA7"/>
    <n v="1"/>
    <s v="_"/>
    <s v="_"/>
    <x v="1"/>
  </r>
  <r>
    <x v="3"/>
    <s v="1000BASE-SX SFP TRANSCEIVER MODULE"/>
    <s v="SFP module"/>
    <x v="2"/>
    <s v="GLC-SX-MMD"/>
    <s v="OPM22390BH0"/>
    <n v="1"/>
    <s v="_"/>
    <s v="_"/>
    <x v="1"/>
  </r>
  <r>
    <x v="3"/>
    <s v="1000BASE-SX SFP TRANSCEIVER MODULE"/>
    <s v="SFP module"/>
    <x v="2"/>
    <s v="GLC-SX-MMD"/>
    <s v="ACW23031NMS"/>
    <n v="1"/>
    <s v="_"/>
    <s v="_"/>
    <x v="1"/>
  </r>
  <r>
    <x v="3"/>
    <s v="1000BASE-T SFP TRANSCEIVER MODULE FOR CATEGORY 5 COPPER WIRE"/>
    <s v="SFP module"/>
    <x v="2"/>
    <s v="GLC-TE"/>
    <s v="AVC230721F2"/>
    <n v="1"/>
    <s v="_"/>
    <s v="_"/>
    <x v="1"/>
  </r>
  <r>
    <x v="3"/>
    <s v="1000BASE-T SFP TRANSCEIVER MODULE FOR CATEGORY 5 COPPER WIRE"/>
    <s v="SFP module"/>
    <x v="2"/>
    <s v="GLC-TE"/>
    <s v="AVC230721FB"/>
    <n v="1"/>
    <s v="_"/>
    <s v="_"/>
    <x v="1"/>
  </r>
  <r>
    <x v="3"/>
    <s v="1000BASE-T SFP TRANSCEIVER MODULE FOR CATEGORY 5 COPPER WIRE"/>
    <s v="SFP module"/>
    <x v="2"/>
    <s v="GLC-TE"/>
    <s v="AVC230721ER"/>
    <n v="1"/>
    <s v="_"/>
    <s v="_"/>
    <x v="1"/>
  </r>
  <r>
    <x v="3"/>
    <s v="1000BASE-T SFP TRANSCEIVER MODULE FOR CATEGORY 5 COPPER WIRE"/>
    <s v="SFP module"/>
    <x v="2"/>
    <s v="GLC-TE"/>
    <s v="AVC230721EN"/>
    <n v="1"/>
    <s v="_"/>
    <s v="_"/>
    <x v="1"/>
  </r>
  <r>
    <x v="3"/>
    <s v="CATALYST 3850 24 PORT 10G FIBER SWITCH BASE"/>
    <s v="Switch"/>
    <x v="2"/>
    <s v="WS-C3850-24XS-S"/>
    <s v="FCW2309C01W"/>
    <n v="1"/>
    <s v="NETWORK TRANSPORT CASE"/>
    <s v="IRIS-SW2-B01"/>
    <x v="1"/>
  </r>
  <r>
    <x v="3"/>
    <s v="10GBASE-SR SFP MODULE"/>
    <s v="SFP module"/>
    <x v="2"/>
    <s v="SFP-10G-SR-S"/>
    <s v="AVD2305D7FW"/>
    <n v="1"/>
    <s v="_"/>
    <s v="_"/>
    <x v="1"/>
  </r>
  <r>
    <x v="3"/>
    <s v="10GBASE-SR SFP MODULE"/>
    <s v="SFP module"/>
    <x v="2"/>
    <s v="SFP-10G-SR-S"/>
    <s v="AVD2305D7G5"/>
    <n v="1"/>
    <s v="_"/>
    <s v="_"/>
    <x v="1"/>
  </r>
  <r>
    <x v="3"/>
    <s v="10GBASE-SR SFP MODULE"/>
    <s v="SFP module"/>
    <x v="2"/>
    <s v="SFP-10G-SR-S"/>
    <s v="AVD2305D7G6"/>
    <n v="1"/>
    <s v="_"/>
    <s v="_"/>
    <x v="1"/>
  </r>
  <r>
    <x v="3"/>
    <s v="10GBASE-SR SFP MODULE"/>
    <s v="SFP module"/>
    <x v="2"/>
    <s v="SFP-10G-SR-S"/>
    <s v="AVD2305D7G3"/>
    <n v="1"/>
    <s v="_"/>
    <s v="_"/>
    <x v="1"/>
  </r>
  <r>
    <x v="3"/>
    <s v="10GBASE-SR SFP MODULE"/>
    <s v="SFP module"/>
    <x v="2"/>
    <s v="SFP-10G-SR-S"/>
    <s v="AVD2305D7F9"/>
    <n v="1"/>
    <s v="_"/>
    <s v="_"/>
    <x v="1"/>
  </r>
  <r>
    <x v="3"/>
    <s v="1000BASE-SX SFP TRANSCEIVER MODULE"/>
    <s v="SFP module"/>
    <x v="2"/>
    <s v="GLC-SX-MMD"/>
    <s v="ACW230346HH"/>
    <n v="1"/>
    <s v="_"/>
    <s v="_"/>
    <x v="1"/>
  </r>
  <r>
    <x v="3"/>
    <s v="1000BASE-SX SFP TRANSCEIVER MODULE"/>
    <s v="SFP module"/>
    <x v="2"/>
    <s v="GLC-SX-MMD"/>
    <s v="ACW23031N4D"/>
    <n v="1"/>
    <s v="_"/>
    <s v="_"/>
    <x v="1"/>
  </r>
  <r>
    <x v="3"/>
    <s v="1000BASE-SX SFP TRANSCEIVER MODULE"/>
    <s v="SFP module"/>
    <x v="2"/>
    <s v="GLC-SX-MMD"/>
    <s v="ACW23031NSF"/>
    <n v="1"/>
    <s v="_"/>
    <s v="_"/>
    <x v="1"/>
  </r>
  <r>
    <x v="3"/>
    <s v="1000BASE-SX SFP TRANSCEIVER MODULE"/>
    <s v="SFP module"/>
    <x v="2"/>
    <s v="GLC-SX-MMD"/>
    <s v="ACW23031NMG"/>
    <n v="1"/>
    <s v="_"/>
    <s v="_"/>
    <x v="1"/>
  </r>
  <r>
    <x v="3"/>
    <s v="1000BASE-SX SFP TRANSCEIVER MODULE"/>
    <s v="SFP module"/>
    <x v="2"/>
    <s v="GLC-SX-MMD"/>
    <s v="ACW23031NMV"/>
    <n v="1"/>
    <s v="_"/>
    <s v="_"/>
    <x v="1"/>
  </r>
  <r>
    <x v="3"/>
    <s v="1000BASE-SX SFP TRANSCEIVER MODULE"/>
    <s v="SFP module"/>
    <x v="2"/>
    <s v="GLC-SX-MMD"/>
    <s v="ACW23031MJS"/>
    <n v="1"/>
    <s v="_"/>
    <s v="_"/>
    <x v="1"/>
  </r>
  <r>
    <x v="3"/>
    <s v="1000BASE-SX SFP TRANSCEIVER MODULE"/>
    <s v="SFP module"/>
    <x v="2"/>
    <s v="GLC-SX-MMD"/>
    <s v="ACW230341527"/>
    <n v="1"/>
    <s v="_"/>
    <s v="_"/>
    <x v="1"/>
  </r>
  <r>
    <x v="3"/>
    <s v="1000BASE-SX SFP TRANSCEIVER MODULE"/>
    <s v="SFP module"/>
    <x v="2"/>
    <s v="GLC-SX-MMD"/>
    <s v="ACW230341621"/>
    <n v="1"/>
    <s v="_"/>
    <s v="_"/>
    <x v="1"/>
  </r>
  <r>
    <x v="3"/>
    <s v="1000BASE-T SFP TRANSCEIVER MODULE FOR CATEGORY 5 COPPER WIRE"/>
    <s v="SFP module"/>
    <x v="2"/>
    <s v="GLC-TE"/>
    <s v="AVC230721ES"/>
    <n v="1"/>
    <s v="_"/>
    <s v="_"/>
    <x v="1"/>
  </r>
  <r>
    <x v="3"/>
    <s v="1000BASE-T SFP TRANSCEIVER MODULE FOR CATEGORY 5 COPPER WIRE"/>
    <s v="SFP module"/>
    <x v="2"/>
    <s v="GLC-TE"/>
    <s v="AVC230721EP"/>
    <n v="1"/>
    <s v="_"/>
    <s v="_"/>
    <x v="1"/>
  </r>
  <r>
    <x v="3"/>
    <s v="1000BASE-T SFP TRANSCEIVER MODULE FOR CATEGORY 5 COPPER WIRE"/>
    <s v="SFP module"/>
    <x v="2"/>
    <s v="GLC-TE"/>
    <s v="AVC230721EQ"/>
    <n v="1"/>
    <s v="_"/>
    <s v="_"/>
    <x v="1"/>
  </r>
  <r>
    <x v="3"/>
    <s v="1000BASE-T SFP TRANSCEIVER MODULE FOR CATEGORY 5 COPPER WIRE"/>
    <s v="SFP module"/>
    <x v="2"/>
    <s v="GLC-TE"/>
    <s v="AVC230721F3"/>
    <n v="1"/>
    <s v="_"/>
    <s v="_"/>
    <x v="1"/>
  </r>
  <r>
    <x v="3"/>
    <s v="HPE DL360 Gen10 8SFF CTO Server"/>
    <s v="Server"/>
    <x v="1"/>
    <s v="867959-B21"/>
    <s v="CZJ91702JR"/>
    <n v="1"/>
    <s v="SERVER TRANSPORT CASE"/>
    <s v="IRIS-SRV3-B01"/>
    <x v="1"/>
  </r>
  <r>
    <x v="3"/>
    <s v="HPE BLc 10G SFP+ SR Transceiver"/>
    <s v="SFP module"/>
    <x v="1"/>
    <s v="455883-B21"/>
    <s v="7CR841N11N"/>
    <n v="1"/>
    <s v="_"/>
    <s v="_"/>
    <x v="1"/>
  </r>
  <r>
    <x v="3"/>
    <s v="HPE BLc 10G SFP+ SR Transceiver"/>
    <s v="SFP module"/>
    <x v="1"/>
    <s v="455883-B21"/>
    <s v="7CR841N11H"/>
    <n v="1"/>
    <s v="_"/>
    <s v="_"/>
    <x v="1"/>
  </r>
  <r>
    <x v="3"/>
    <s v="HPE 16G SFP+ SW XCVR-C"/>
    <s v="SFP module"/>
    <x v="1"/>
    <s v="E7Y10-63001"/>
    <s v="MY891114JB"/>
    <n v="1"/>
    <s v="_"/>
    <s v="_"/>
    <x v="1"/>
  </r>
  <r>
    <x v="3"/>
    <s v="HPE 16G SFP+ SW XCVR-C"/>
    <s v="SFP module"/>
    <x v="1"/>
    <s v="E7Y10-63001"/>
    <s v="MY891118BY"/>
    <n v="1"/>
    <s v="_"/>
    <s v="_"/>
    <x v="1"/>
  </r>
  <r>
    <x v="3"/>
    <s v="HPE DL360 Gen10 8SFF CTO Server"/>
    <s v="Server"/>
    <x v="1"/>
    <s v="867959-B21"/>
    <s v="CZJ91702JT"/>
    <n v="1"/>
    <s v="SERVER TRANSPORT CASE"/>
    <s v="IRIS-SRV4-B01"/>
    <x v="1"/>
  </r>
  <r>
    <x v="3"/>
    <s v="HPE BLc 10G SFP+ SR Transceiver"/>
    <s v="SFP module"/>
    <x v="1"/>
    <s v="455883-B21"/>
    <s v="7CR841N11F"/>
    <n v="1"/>
    <s v="_"/>
    <s v="_"/>
    <x v="1"/>
  </r>
  <r>
    <x v="3"/>
    <s v="HPE BLc 10G SFP+ SR Transceiver"/>
    <s v="SFP module"/>
    <x v="1"/>
    <s v="455883-B21"/>
    <s v="7CR841N0YD"/>
    <n v="1"/>
    <s v="_"/>
    <s v="_"/>
    <x v="1"/>
  </r>
  <r>
    <x v="3"/>
    <s v="HPE 16G SFP+ SW XCVR-C"/>
    <s v="SFP module"/>
    <x v="1"/>
    <s v="E7Y10-63001"/>
    <s v="MY891117SR"/>
    <n v="1"/>
    <s v="_"/>
    <s v="_"/>
    <x v="1"/>
  </r>
  <r>
    <x v="3"/>
    <s v="HPE 16G SFP+ SW XCVR-C"/>
    <s v="SFP module"/>
    <x v="1"/>
    <s v="E7Y10-63001"/>
    <s v="MY891114JD"/>
    <n v="1"/>
    <s v="_"/>
    <s v="_"/>
    <x v="1"/>
  </r>
  <r>
    <x v="3"/>
    <s v="HPE 400GB SAS 12G MU SFF SC DS 550"/>
    <s v="Disk"/>
    <x v="1"/>
    <s v="872374-B21"/>
    <s v="5C3905J06L"/>
    <n v="1"/>
    <s v="IRIS-SRV4-B01-01"/>
    <s v="_"/>
    <x v="1"/>
  </r>
  <r>
    <x v="3"/>
    <s v="HPE 400GB SAS 12G MU SFF SC DS 550"/>
    <s v="Disk"/>
    <x v="1"/>
    <s v="872374-B21"/>
    <s v="5C3905J06I"/>
    <n v="1"/>
    <s v="IRIS-SRV4-B01-02"/>
    <s v="_"/>
    <x v="1"/>
  </r>
  <r>
    <x v="3"/>
    <s v="HPE MSA 2050 SAN DC LFF Storage"/>
    <s v="MSA SAN"/>
    <x v="1"/>
    <s v="Q1J00A"/>
    <s v="2S6910B088"/>
    <n v="1"/>
    <s v="SERVER TRANSPORT CASE"/>
    <s v="IRIS-MSA-B01"/>
    <x v="1"/>
  </r>
  <r>
    <x v="3"/>
    <s v="MSA 2050 SAN dual controller"/>
    <s v="MSA SAN"/>
    <x v="1"/>
    <s v="876127-001"/>
    <s v="7CE901M920"/>
    <n v="1"/>
    <s v="_"/>
    <s v="_"/>
    <x v="1"/>
  </r>
  <r>
    <x v="3"/>
    <s v="MSA 2050 SAN dual controller"/>
    <s v="MSA SAN"/>
    <x v="1"/>
    <s v="876127-001"/>
    <s v="7CE901M970"/>
    <n v="1"/>
    <s v="_"/>
    <s v="_"/>
    <x v="1"/>
  </r>
  <r>
    <x v="3"/>
    <s v="HPE MSA 10TB 12G SAS 7.2K LFF 512e HDD"/>
    <s v="Disk"/>
    <x v="1"/>
    <s v="P9M82A"/>
    <s v="THH917Z08S"/>
    <n v="1"/>
    <s v="IRIS-MSA-B01-01"/>
    <s v="_"/>
    <x v="1"/>
  </r>
  <r>
    <x v="3"/>
    <s v="HPE MSA 10TB 12G SAS 7.2K LFF 512e HDD"/>
    <s v="Disk"/>
    <x v="1"/>
    <s v="P9M82A"/>
    <s v="THH917Z09H"/>
    <n v="1"/>
    <s v="IRIS-MSA-B01-02"/>
    <s v="_"/>
    <x v="1"/>
  </r>
  <r>
    <x v="3"/>
    <s v="HPE MSA 10TB 12G SAS 7.2K LFF 512e HDD"/>
    <s v="Disk"/>
    <x v="1"/>
    <s v="P9M82A"/>
    <s v="THH917Z09E"/>
    <n v="1"/>
    <s v="IRIS-MSA-B01-03"/>
    <s v="_"/>
    <x v="1"/>
  </r>
  <r>
    <x v="3"/>
    <s v="HPE MSA 10TB 12G SAS 7.2K LFF 512e HDD"/>
    <s v="Disk"/>
    <x v="1"/>
    <s v="P9M82A"/>
    <s v="THH917Z08U"/>
    <n v="1"/>
    <s v="IRIS-MSA-B01-04"/>
    <s v="_"/>
    <x v="1"/>
  </r>
  <r>
    <x v="3"/>
    <s v="HPE MSA 10TB 12G SAS 7.2K LFF 512e HDD"/>
    <s v="Disk"/>
    <x v="1"/>
    <s v="P9M82A"/>
    <s v="THH917Z09M"/>
    <n v="1"/>
    <s v="IRIS-MSA-B01-05"/>
    <s v="_"/>
    <x v="1"/>
  </r>
  <r>
    <x v="3"/>
    <s v="HPE MSA 10TB 12G SAS 7.2K LFF 512e HDD"/>
    <s v="Disk"/>
    <x v="1"/>
    <s v="P9M82A"/>
    <s v="THH917Z08K"/>
    <n v="1"/>
    <s v="IRIS-MSA-B01-06"/>
    <s v="_"/>
    <x v="1"/>
  </r>
  <r>
    <x v="3"/>
    <s v="HPE MSA 10TB 12G SAS 7.2K LFF 512e HDD"/>
    <s v="Disk"/>
    <x v="1"/>
    <s v="P9M82A"/>
    <s v="THH917Z091"/>
    <n v="1"/>
    <s v="IRIS-MSA-B01-07"/>
    <s v="_"/>
    <x v="1"/>
  </r>
  <r>
    <x v="3"/>
    <s v="HPE MSA 10TB 12G SAS 7.2K LFF 512e HDD"/>
    <s v="Disk"/>
    <x v="1"/>
    <s v="P9M82A"/>
    <s v="THH917Z08L"/>
    <n v="1"/>
    <s v="IRIS-MSA-B01-08"/>
    <s v="_"/>
    <x v="1"/>
  </r>
  <r>
    <x v="3"/>
    <s v="HPE MSA 10TB 12G SAS 7.2K LFF 512e HDD"/>
    <s v="Disk"/>
    <x v="1"/>
    <s v="P9M82A"/>
    <s v="THH917Z090"/>
    <n v="1"/>
    <s v="IRIS-MSA-B01-09"/>
    <s v="_"/>
    <x v="1"/>
  </r>
  <r>
    <x v="3"/>
    <s v="HPE MSA 10TB 12G SAS 7.2K LFF 512e HDD"/>
    <s v="Disk"/>
    <x v="1"/>
    <s v="P9M82A"/>
    <s v="THH917Z097"/>
    <n v="1"/>
    <s v="IRIS-MSA-B01-10"/>
    <s v="_"/>
    <x v="1"/>
  </r>
  <r>
    <x v="3"/>
    <s v="HPE MSA 10TB 12G SAS 7.2K LFF 512e HDD"/>
    <s v="Disk"/>
    <x v="1"/>
    <s v="P9M82A"/>
    <s v="THH917Z09N"/>
    <n v="1"/>
    <s v="IRIS-MSA-B01-11"/>
    <s v="_"/>
    <x v="1"/>
  </r>
  <r>
    <x v="3"/>
    <s v="HPE MSA 10TB 12G SAS 7.2K LFF 512e HDD"/>
    <s v="Disk"/>
    <x v="1"/>
    <s v="P9M82A"/>
    <s v="THH917Z096"/>
    <n v="1"/>
    <s v="IRIS-MSA-B01-12"/>
    <s v="_"/>
    <x v="1"/>
  </r>
  <r>
    <x v="3"/>
    <s v="HPE MSA 16GB SW FC SFP"/>
    <s v="SFP module"/>
    <x v="1"/>
    <s v="720999-002"/>
    <s v="MY890510UU"/>
    <n v="1"/>
    <s v="_"/>
    <s v="_"/>
    <x v="1"/>
  </r>
  <r>
    <x v="3"/>
    <s v="HPE MSA 16GB SW FC SFP"/>
    <s v="SFP module"/>
    <x v="1"/>
    <s v="720999-002"/>
    <s v="MY8905113F"/>
    <n v="1"/>
    <s v="_"/>
    <s v="_"/>
    <x v="1"/>
  </r>
  <r>
    <x v="3"/>
    <s v="HPE MSA 16GB SW FC SFP"/>
    <s v="SFP module"/>
    <x v="1"/>
    <s v="720999-002"/>
    <s v="MY8905113K"/>
    <n v="1"/>
    <s v="_"/>
    <s v="_"/>
    <x v="1"/>
  </r>
  <r>
    <x v="3"/>
    <s v="HPE MSA 16GB SW FC SFP"/>
    <s v="SFP module"/>
    <x v="1"/>
    <s v="720999-002"/>
    <s v="MY8905112C"/>
    <n v="1"/>
    <s v="_"/>
    <s v="_"/>
    <x v="1"/>
  </r>
  <r>
    <x v="3"/>
    <s v="HPE MSA 16GB SW FC SFP"/>
    <s v="SFP module"/>
    <x v="1"/>
    <s v="720999-002"/>
    <s v="MY890511VV"/>
    <n v="1"/>
    <s v="_"/>
    <s v="_"/>
    <x v="1"/>
  </r>
  <r>
    <x v="3"/>
    <s v="HPE MSA 16GB SW FC SFP"/>
    <s v="SFP module"/>
    <x v="1"/>
    <s v="720999-002"/>
    <s v="MY890511WX"/>
    <n v="1"/>
    <s v="_"/>
    <s v="_"/>
    <x v="1"/>
  </r>
  <r>
    <x v="3"/>
    <s v="HPE MSA 16GB SW FC SFP"/>
    <s v="SFP module"/>
    <x v="1"/>
    <s v="720999-002"/>
    <s v="MY890511WU"/>
    <n v="1"/>
    <s v="_"/>
    <s v="_"/>
    <x v="1"/>
  </r>
  <r>
    <x v="3"/>
    <s v="HPE MSA 16GB SW FC SFP"/>
    <s v="SFP module"/>
    <x v="1"/>
    <s v="720999-002"/>
    <s v="MY890511WK"/>
    <n v="1"/>
    <s v="_"/>
    <s v="_"/>
    <x v="1"/>
  </r>
  <r>
    <x v="3"/>
    <s v="NTP TIME SERVER WITH OCXO"/>
    <s v="NTP Server"/>
    <x v="3"/>
    <s v="T101R-10us-AC-I/O-OCXOMR"/>
    <s v="0814306"/>
    <n v="1"/>
    <s v="POWER TRANSPORT CASE"/>
    <s v="IRIS-NTP-B01"/>
    <x v="1"/>
  </r>
  <r>
    <x v="3"/>
    <s v="HPE R5000 3U IECSO9-32A HV INTL UPS"/>
    <s v="UPS"/>
    <x v="1"/>
    <s v="AF461A"/>
    <s v="ACC8380249"/>
    <n v="1"/>
    <s v="POWER TRANSPORT CASE"/>
    <s v="IRIS-UPS-B01"/>
    <x v="1"/>
  </r>
  <r>
    <x v="3"/>
    <s v="HP ZBOOK 17 G4"/>
    <s v="Laptop"/>
    <x v="4"/>
    <s v="Y3J81AV"/>
    <s v="2019.07.20252"/>
    <n v="1"/>
    <s v="_"/>
    <s v="IRIS-MMCO1-B01"/>
    <x v="1"/>
  </r>
  <r>
    <x v="3"/>
    <s v="HP EliteDisplay E243i"/>
    <s v="Screen"/>
    <x v="4"/>
    <s v="1FH49AT"/>
    <s v="2019.05.17337"/>
    <n v="1"/>
    <s v="_"/>
    <s v="IRIS-24-SCR01-B01"/>
    <x v="1"/>
  </r>
  <r>
    <x v="3"/>
    <s v="HP EliteDisplay E243i"/>
    <s v="Screen"/>
    <x v="4"/>
    <s v="1FH49AT"/>
    <s v="2019.05.17338"/>
    <n v="1"/>
    <s v="_"/>
    <s v="IRIS-24-SCR02-B01"/>
    <x v="1"/>
  </r>
  <r>
    <x v="3"/>
    <s v="HP ZBOOK 17 G4"/>
    <s v="Laptop"/>
    <x v="4"/>
    <s v="Y3J81AV"/>
    <s v="2019.07.20272"/>
    <n v="1"/>
    <s v="_"/>
    <s v="IRIS-OPR01-B01"/>
    <x v="1"/>
  </r>
  <r>
    <x v="3"/>
    <s v="HP EliteDisplay E243i"/>
    <s v="Screen"/>
    <x v="4"/>
    <s v="1FH49AT"/>
    <s v="2019.05.17339"/>
    <n v="1"/>
    <s v="_"/>
    <s v="IRIS-24-SCR03-B01"/>
    <x v="1"/>
  </r>
  <r>
    <x v="3"/>
    <s v="HP EliteDisplay E243i"/>
    <s v="Screen"/>
    <x v="4"/>
    <s v="1FH49AT"/>
    <s v="2019.05.17340"/>
    <n v="1"/>
    <s v="_"/>
    <s v="IRIS-24-SCR04-B01"/>
    <x v="1"/>
  </r>
  <r>
    <x v="3"/>
    <s v="HP ZBOOK 17 G4"/>
    <s v="Laptop"/>
    <x v="4"/>
    <s v="Y3J81AV"/>
    <s v="2019.07.20273"/>
    <n v="1"/>
    <s v="_"/>
    <s v="IRIS-OPR02-B01"/>
    <x v="1"/>
  </r>
  <r>
    <x v="3"/>
    <s v="HP EliteDisplay E243i"/>
    <s v="Screen"/>
    <x v="4"/>
    <s v="1FH49AT"/>
    <s v="2019.05.17341"/>
    <n v="1"/>
    <s v="_"/>
    <s v="IRIS-24-SCR05-B01"/>
    <x v="1"/>
  </r>
  <r>
    <x v="3"/>
    <s v="HP EliteDisplay E243i"/>
    <s v="Screen"/>
    <x v="4"/>
    <s v="1FH49AT"/>
    <s v="2019.05.17342"/>
    <n v="1"/>
    <s v="_"/>
    <s v="IRIS-24-SCR06-B01"/>
    <x v="1"/>
  </r>
  <r>
    <x v="3"/>
    <s v="HP ZBOOK 17 G4"/>
    <s v="Laptop"/>
    <x v="4"/>
    <s v="Y3J81AV"/>
    <s v="2019.07.20271"/>
    <n v="1"/>
    <s v="_"/>
    <s v="IRIS-OPR03-B01"/>
    <x v="1"/>
  </r>
  <r>
    <x v="3"/>
    <s v="HP EliteDisplay E243i"/>
    <s v="Screen"/>
    <x v="4"/>
    <s v="1FH49AT"/>
    <s v="2019.05.17343"/>
    <n v="1"/>
    <s v="_"/>
    <s v="IRIS-24-SCR07-B01"/>
    <x v="1"/>
  </r>
  <r>
    <x v="3"/>
    <s v="HP EliteDisplay E243i"/>
    <s v="Screen"/>
    <x v="4"/>
    <s v="1FH49AT"/>
    <s v="2019.05.17344"/>
    <n v="1"/>
    <s v="_"/>
    <s v="IRIS-24-SCR08-B01"/>
    <x v="1"/>
  </r>
  <r>
    <x v="3"/>
    <s v="HP ZBOOK 17 G4"/>
    <s v="Laptop"/>
    <x v="4"/>
    <s v="Y3J81AV"/>
    <s v="2019.07.20270"/>
    <n v="1"/>
    <s v="_"/>
    <s v="IRIS-OPR04-B01"/>
    <x v="1"/>
  </r>
  <r>
    <x v="3"/>
    <s v="HP EliteDisplay E243i"/>
    <s v="Screen"/>
    <x v="4"/>
    <s v="1FH49AT"/>
    <s v="2019.05.17345"/>
    <n v="1"/>
    <s v="_"/>
    <s v="IRIS-24-SCR09-B01"/>
    <x v="1"/>
  </r>
  <r>
    <x v="3"/>
    <s v="HP EliteDisplay E243i"/>
    <s v="Screen"/>
    <x v="4"/>
    <s v="1FH49AT"/>
    <s v="2019.05.17346"/>
    <n v="1"/>
    <s v="_"/>
    <s v="IRIS-24-SCR10-B01"/>
    <x v="1"/>
  </r>
  <r>
    <x v="3"/>
    <s v="HP ZBOOK 17 G4"/>
    <s v="Laptop"/>
    <x v="4"/>
    <s v="Y3J81AV"/>
    <s v="2019.07.20269"/>
    <n v="1"/>
    <s v="_"/>
    <s v="IRIS-OPR05-B01"/>
    <x v="1"/>
  </r>
  <r>
    <x v="3"/>
    <s v="HP EliteDisplay E243i"/>
    <s v="Screen"/>
    <x v="4"/>
    <s v="1FH49AT"/>
    <s v="2019.05.17347"/>
    <n v="1"/>
    <s v="_"/>
    <s v="IRIS-24-SCR11-B01"/>
    <x v="1"/>
  </r>
  <r>
    <x v="3"/>
    <s v="HP EliteDisplay E243i"/>
    <s v="Screen"/>
    <x v="4"/>
    <s v="1FH49AT"/>
    <s v="2019.05.17348"/>
    <n v="1"/>
    <s v="_"/>
    <s v="IRIS-24-SCR12-B01"/>
    <x v="1"/>
  </r>
  <r>
    <x v="3"/>
    <s v="HP ZBOOK 17 G4"/>
    <s v="Laptop"/>
    <x v="4"/>
    <s v="Y3J81AV"/>
    <s v="2019.07.20265"/>
    <n v="1"/>
    <s v="_"/>
    <s v="IRIS-OPR06-B01"/>
    <x v="1"/>
  </r>
  <r>
    <x v="3"/>
    <s v="HP EliteDisplay E243i"/>
    <s v="Screen"/>
    <x v="4"/>
    <s v="1FH49AT"/>
    <s v="2019.05.17349"/>
    <n v="1"/>
    <s v="_"/>
    <s v="IRIS-24-SCR13-B01"/>
    <x v="1"/>
  </r>
  <r>
    <x v="3"/>
    <s v="HP EliteDisplay E243i"/>
    <s v="Screen"/>
    <x v="4"/>
    <s v="1FH49AT"/>
    <s v="2019.05.17350"/>
    <n v="1"/>
    <s v="_"/>
    <s v="IRIS-24-SCR14-B01"/>
    <x v="1"/>
  </r>
  <r>
    <x v="3"/>
    <s v="HP ZBOOK 17 G4"/>
    <s v="Laptop"/>
    <x v="4"/>
    <s v="Y3J81AV"/>
    <s v="2019.07.20266"/>
    <n v="1"/>
    <s v="_"/>
    <s v="IRIS-OPR07-B01"/>
    <x v="1"/>
  </r>
  <r>
    <x v="3"/>
    <s v="HP EliteDisplay E243i"/>
    <s v="Screen"/>
    <x v="4"/>
    <s v="1FH49AT"/>
    <s v="2019.05.17351"/>
    <n v="1"/>
    <s v="_"/>
    <s v="IRIS-24-SCR15-B01"/>
    <x v="1"/>
  </r>
  <r>
    <x v="3"/>
    <s v="HP EliteDisplay E243i"/>
    <s v="Screen"/>
    <x v="4"/>
    <s v="1FH49AT"/>
    <s v="2019.05.17352"/>
    <n v="1"/>
    <s v="_"/>
    <s v="IRIS-24-SCR16-B01"/>
    <x v="1"/>
  </r>
  <r>
    <x v="3"/>
    <s v="SPARE / IRIS - B01"/>
    <s v="SPARE / IRIS - B01"/>
    <x v="6"/>
    <s v="SPARE / IRIS - B01"/>
    <s v="SPARE / IRIS - B01"/>
    <n v="1"/>
    <s v="SPARE / IRIS - B01"/>
    <s v="SPARE / IRIS - B01"/>
    <x v="0"/>
  </r>
  <r>
    <x v="3"/>
    <s v="HP ZBOOK 17 G4"/>
    <s v="Laptop"/>
    <x v="4"/>
    <s v="Y3J81AV"/>
    <s v="2019.07.20253"/>
    <n v="1"/>
    <s v="_"/>
    <s v="IRIS-MM-SPARE-B01"/>
    <x v="1"/>
  </r>
  <r>
    <x v="3"/>
    <s v="HP EliteDisplay E243i"/>
    <s v="Screen"/>
    <x v="4"/>
    <s v="1FH49AT"/>
    <s v="2019.05.17353"/>
    <n v="1"/>
    <s v="_"/>
    <s v="IRIS-24-SCR01-B01"/>
    <x v="1"/>
  </r>
  <r>
    <x v="3"/>
    <s v="HP EliteDisplay E243i"/>
    <s v="Screen"/>
    <x v="4"/>
    <s v="1FH49AT"/>
    <s v="2019.05.17354"/>
    <n v="1"/>
    <s v="_"/>
    <s v="IRIS-24-SCR02-B01"/>
    <x v="1"/>
  </r>
  <r>
    <x v="3"/>
    <s v="HP ZBOOK 17 G4"/>
    <s v="Laptop"/>
    <x v="4"/>
    <s v="Y3J81AV"/>
    <s v="2019.07.20268"/>
    <n v="1"/>
    <s v="_"/>
    <s v="IRIS-SPARE01-B01"/>
    <x v="1"/>
  </r>
  <r>
    <x v="3"/>
    <s v="HP EliteDisplay E243i"/>
    <s v="Screen"/>
    <x v="4"/>
    <s v="1FH49AT"/>
    <s v="2019.05.17355"/>
    <n v="1"/>
    <s v="_"/>
    <s v="IRIS-24-SCR03-B01"/>
    <x v="1"/>
  </r>
  <r>
    <x v="3"/>
    <s v="HP EliteDisplay E243i"/>
    <s v="Screen"/>
    <x v="4"/>
    <s v="1FH49AT"/>
    <s v="2019.05.17356"/>
    <n v="1"/>
    <s v="_"/>
    <s v="IRIS-24-SCR04-B01"/>
    <x v="1"/>
  </r>
  <r>
    <x v="3"/>
    <s v="HP EliteDisplay E243i"/>
    <s v="Screen"/>
    <x v="4"/>
    <s v="1FH49AT"/>
    <s v="2019.05.17357"/>
    <n v="1"/>
    <s v="_"/>
    <s v="IRIS-24-SCR05-B0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0">
  <r>
    <x v="0"/>
    <s v="NETWORK TRANSPORT CASE"/>
    <s v="TRANSPORT CASE"/>
    <s v="_"/>
    <s v="_"/>
    <s v="_"/>
    <n v="1"/>
    <s v="NETWORK TRANSPORT CASE"/>
    <s v="_"/>
  </r>
  <r>
    <x v="0"/>
    <s v="HPE DL360 Gen10 8SFF CTO Server"/>
    <s v="Server"/>
    <s v="HPE"/>
    <s v="867959-B21"/>
    <s v="CZJ91702JF"/>
    <n v="1"/>
    <s v="NETWORK TRANSPORT CASE"/>
    <s v="IRIS-SRV1-H01"/>
  </r>
  <r>
    <x v="0"/>
    <s v="HPE BLc 10G SFP+ SR Transceiver"/>
    <s v="SFP module"/>
    <s v="HPE"/>
    <s v="455883-B21"/>
    <s v="7CR83941YJ"/>
    <n v="1"/>
    <s v="_"/>
    <s v="_"/>
  </r>
  <r>
    <x v="0"/>
    <s v="HPE BLc 10G SFP+ SR Transceiver"/>
    <s v="SFP module"/>
    <s v="HPE"/>
    <s v="455883-B21"/>
    <s v="7CR83941Y4"/>
    <n v="1"/>
    <s v="_"/>
    <s v="_"/>
  </r>
  <r>
    <x v="0"/>
    <s v="HPE 16G SFP+ SW XCVR-C"/>
    <s v="SFP module"/>
    <s v="HPE"/>
    <s v="E7Y10-63001"/>
    <s v="MY891119TZ"/>
    <n v="1"/>
    <s v="_"/>
    <s v="_"/>
  </r>
  <r>
    <x v="0"/>
    <s v="HPE 16G SFP+ SW XCVR-C"/>
    <s v="SFP module"/>
    <s v="HPE"/>
    <s v="E7Y10-63001"/>
    <s v="MY891119TE"/>
    <n v="1"/>
    <s v="_"/>
    <s v="_"/>
  </r>
  <r>
    <x v="0"/>
    <s v="HPE DL360 Gen10 8SFF CTO Server"/>
    <s v="Server"/>
    <s v="HPE"/>
    <s v="867959-B21"/>
    <s v="CZJ91702K8"/>
    <n v="1"/>
    <s v="NETWORK TRANSPORT CASE"/>
    <s v="IRIS-SRV2-H01"/>
  </r>
  <r>
    <x v="0"/>
    <s v="HPE BLc 10G SFP+ SR Transceiver"/>
    <s v="SFP module"/>
    <s v="HPE"/>
    <s v="455883-B21"/>
    <s v="7CR839437B"/>
    <n v="1"/>
    <s v="_"/>
    <s v="_"/>
  </r>
  <r>
    <x v="0"/>
    <s v="HPE BLc 10G SFP+ SR Transceiver"/>
    <s v="SFP module"/>
    <s v="HPE"/>
    <s v="455883-B21"/>
    <s v="7CR839438K"/>
    <n v="1"/>
    <s v="_"/>
    <s v="_"/>
  </r>
  <r>
    <x v="0"/>
    <s v="HPE 16G SFP+ SW XCVR-C"/>
    <s v="SFP module"/>
    <s v="HPE"/>
    <s v="E7Y10-63001"/>
    <s v="MY891119US"/>
    <n v="1"/>
    <s v="_"/>
    <s v="_"/>
  </r>
  <r>
    <x v="0"/>
    <s v="HPE 16G SFP+ SW XCVR-C"/>
    <s v="SFP module"/>
    <s v="HPE"/>
    <s v="E7Y10-63001"/>
    <s v="MY891119TY"/>
    <n v="1"/>
    <s v="_"/>
    <s v="_"/>
  </r>
  <r>
    <x v="0"/>
    <s v="CATALYST 3850 24 PORT 10G FIBER SWITCH BASE"/>
    <s v="Switch"/>
    <s v="CISCO"/>
    <s v="WS-C3850-24XS-S"/>
    <s v="FCW2302D17P"/>
    <n v="1"/>
    <s v="NETWORK TRANSPORT CASE"/>
    <s v="IRIS-SW1-H01"/>
  </r>
  <r>
    <x v="0"/>
    <s v="10GBASE-SR SFP MODULE"/>
    <s v="SFP module"/>
    <s v="CISCO"/>
    <s v="SFP-10G-SR-S"/>
    <s v="AVD2305D021"/>
    <n v="1"/>
    <s v="_"/>
    <s v="_"/>
  </r>
  <r>
    <x v="0"/>
    <s v="10GBASE-SR SFP MODULE"/>
    <s v="SFP module"/>
    <s v="CISCO"/>
    <s v="SFP-10G-SR-S"/>
    <s v="AVD2305D02W"/>
    <n v="1"/>
    <s v="_"/>
    <s v="_"/>
  </r>
  <r>
    <x v="0"/>
    <s v="10GBASE-SR SFP MODULE"/>
    <s v="SFP module"/>
    <s v="CISCO"/>
    <s v="SFP-10G-SR-S"/>
    <s v="AVD2305D02G"/>
    <n v="1"/>
    <s v="_"/>
    <s v="_"/>
  </r>
  <r>
    <x v="0"/>
    <s v="10GBASE-SR SFP MODULE"/>
    <s v="SFP module"/>
    <s v="CISCO"/>
    <s v="SFP-10G-SR-S"/>
    <s v="AVD2305D024"/>
    <n v="1"/>
    <s v="_"/>
    <s v="_"/>
  </r>
  <r>
    <x v="0"/>
    <s v="10GBASE-SR SFP MODULE"/>
    <s v="SFP module"/>
    <s v="CISCO"/>
    <s v="SFP-10G-SR-S"/>
    <s v="AVD2305D02F"/>
    <n v="1"/>
    <s v="_"/>
    <s v="_"/>
  </r>
  <r>
    <x v="0"/>
    <s v="1000BASE-SX SFP TRANSCEIVER MODULE"/>
    <s v="SFP module"/>
    <s v="CISCO"/>
    <s v="GLC-SX-MMD"/>
    <s v="ACW230416A4"/>
    <n v="1"/>
    <s v="_"/>
    <s v="_"/>
  </r>
  <r>
    <x v="0"/>
    <s v="1000BASE-SX SFP TRANSCEIVER MODULE"/>
    <s v="SFP module"/>
    <s v="CISCO"/>
    <s v="GLC-SX-MMD"/>
    <s v="ACW23041688"/>
    <n v="1"/>
    <s v="_"/>
    <s v="_"/>
  </r>
  <r>
    <x v="0"/>
    <s v="1000BASE-SX SFP TRANSCEIVER MODULE"/>
    <s v="SFP module"/>
    <s v="CISCO"/>
    <s v="GLC-SX-MMD"/>
    <s v="ACW230415P3"/>
    <n v="1"/>
    <s v="_"/>
    <s v="_"/>
  </r>
  <r>
    <x v="0"/>
    <s v="1000BASE-SX SFP TRANSCEIVER MODULE"/>
    <s v="SFP module"/>
    <s v="CISCO"/>
    <s v="GLC-SX-MMD"/>
    <s v="ACW23040ZAX"/>
    <n v="1"/>
    <s v="_"/>
    <s v="_"/>
  </r>
  <r>
    <x v="0"/>
    <s v="1000BASE-T SFP TRANSCEIVER MODULE FOR CATEGORY 5 COPPER WIRE"/>
    <s v="SFP module"/>
    <s v="CISCO"/>
    <s v="GLC-TE"/>
    <s v="AVC230721FT"/>
    <n v="1"/>
    <s v="_"/>
    <s v="_"/>
  </r>
  <r>
    <x v="0"/>
    <s v="1000BASE-T SFP TRANSCEIVER MODULE FOR CATEGORY 5 COPPER WIRE"/>
    <s v="SFP module"/>
    <s v="CISCO"/>
    <s v="GLC-TE"/>
    <s v="AVC230720US"/>
    <n v="1"/>
    <s v="_"/>
    <s v="_"/>
  </r>
  <r>
    <x v="0"/>
    <s v="1000BASE-T SFP TRANSCEIVER MODULE FOR CATEGORY 5 COPPER WIRE"/>
    <s v="SFP module"/>
    <s v="CISCO"/>
    <s v="GLC-TE"/>
    <s v="AVC230721FF"/>
    <n v="1"/>
    <s v="_"/>
    <s v="_"/>
  </r>
  <r>
    <x v="0"/>
    <s v="1000BASE-T SFP TRANSCEIVER MODULE FOR CATEGORY 5 COPPER WIRE"/>
    <s v="SFP module"/>
    <s v="CISCO"/>
    <s v="GLC-TE"/>
    <s v="AVC230720UX"/>
    <n v="1"/>
    <s v="_"/>
    <s v="_"/>
  </r>
  <r>
    <x v="0"/>
    <s v="CATALYST 3850 24 PORT 10G FIBER SWITCH BASE"/>
    <s v="Switch"/>
    <s v="CISCO"/>
    <s v="WS-C3850-24XS-S"/>
    <s v="FCW2308D140"/>
    <n v="1"/>
    <s v="NETWORK TRANSPORT CASE"/>
    <s v="IRIS-SW2-H01"/>
  </r>
  <r>
    <x v="0"/>
    <s v="10GBASE-SR SFP MODULE"/>
    <s v="SFP module"/>
    <s v="CISCO"/>
    <s v="SFP-10G-SR-S"/>
    <s v="AVD2305D7F1"/>
    <n v="1"/>
    <s v="_"/>
    <s v="_"/>
  </r>
  <r>
    <x v="0"/>
    <s v="10GBASE-SR SFP MODULE"/>
    <s v="SFP module"/>
    <s v="CISCO"/>
    <s v="SFP-10G-SR-S"/>
    <s v="AVD2305D7FN"/>
    <n v="1"/>
    <s v="_"/>
    <s v="_"/>
  </r>
  <r>
    <x v="0"/>
    <s v="10GBASE-SR SFP MODULE"/>
    <s v="SFP module"/>
    <s v="CISCO"/>
    <s v="SFP-10G-SR-S"/>
    <s v="AVD2305D7GM"/>
    <n v="1"/>
    <s v="_"/>
    <s v="_"/>
  </r>
  <r>
    <x v="0"/>
    <s v="10GBASE-SR SFP MODULE"/>
    <s v="SFP module"/>
    <s v="CISCO"/>
    <s v="SFP-10G-SR-S"/>
    <s v="AVD2305D7FU"/>
    <n v="1"/>
    <s v="_"/>
    <s v="_"/>
  </r>
  <r>
    <x v="0"/>
    <s v="10GBASE-SR SFP MODULE"/>
    <s v="SFP module"/>
    <s v="CISCO"/>
    <s v="SFP-10G-SR-S"/>
    <s v="AVD2305D7FX"/>
    <n v="1"/>
    <s v="_"/>
    <s v="_"/>
  </r>
  <r>
    <x v="0"/>
    <s v="1000BASE-SX SFP TRANSCEIVER MODULE"/>
    <s v="SFP module"/>
    <s v="CISCO"/>
    <s v="GLC-SX-MMD"/>
    <s v="ACW23040YZL"/>
    <n v="1"/>
    <s v="_"/>
    <s v="_"/>
  </r>
  <r>
    <x v="0"/>
    <s v="1000BASE-SX SFP TRANSCEIVER MODULE"/>
    <s v="SFP module"/>
    <s v="CISCO"/>
    <s v="GLC-SX-MMD"/>
    <s v="ACW23040ZDE"/>
    <n v="1"/>
    <s v="_"/>
    <s v="_"/>
  </r>
  <r>
    <x v="0"/>
    <s v="1000BASE-SX SFP TRANSCEIVER MODULE"/>
    <s v="SFP module"/>
    <s v="CISCO"/>
    <s v="GLC-SX-MMD"/>
    <s v="ACW23040YRQ"/>
    <n v="1"/>
    <s v="_"/>
    <s v="_"/>
  </r>
  <r>
    <x v="0"/>
    <s v="1000BASE-SX SFP TRANSCEIVER MODULE"/>
    <s v="SFP module"/>
    <s v="CISCO"/>
    <s v="GLC-SX-MMD"/>
    <s v="ACW23040ZBS"/>
    <n v="1"/>
    <s v="_"/>
    <s v="_"/>
  </r>
  <r>
    <x v="0"/>
    <s v="1000BASE-T SFP TRANSCEIVER MODULE FOR CATEGORY 5 COPPER WIRE"/>
    <s v="SFP module"/>
    <s v="CISCO"/>
    <s v="GLC-TE"/>
    <s v="AVC230721FL"/>
    <n v="1"/>
    <s v="_"/>
    <s v="_"/>
  </r>
  <r>
    <x v="0"/>
    <s v="1000BASE-T SFP TRANSCEIVER MODULE FOR CATEGORY 5 COPPER WIRE"/>
    <s v="SFP module"/>
    <s v="CISCO"/>
    <s v="GLC-TE"/>
    <s v="AVC230721FG"/>
    <n v="1"/>
    <s v="_"/>
    <s v="_"/>
  </r>
  <r>
    <x v="0"/>
    <s v="1000BASE-T SFP TRANSCEIVER MODULE FOR CATEGORY 5 COPPER WIRE"/>
    <s v="SFP module"/>
    <s v="CISCO"/>
    <s v="GLC-TE"/>
    <s v="AVC230721F6"/>
    <n v="1"/>
    <s v="_"/>
    <s v="_"/>
  </r>
  <r>
    <x v="0"/>
    <s v="1000BASE-T SFP TRANSCEIVER MODULE FOR CATEGORY 5 COPPER WIRE"/>
    <s v="SFP module"/>
    <s v="CISCO"/>
    <s v="GLC-TE"/>
    <s v="AVC230721FH"/>
    <n v="1"/>
    <s v="_"/>
    <s v="_"/>
  </r>
  <r>
    <x v="0"/>
    <s v="SERVER TRANSPORT CASE"/>
    <s v="TRANSPORT CASE"/>
    <s v="_"/>
    <s v="_"/>
    <s v="_"/>
    <n v="1"/>
    <s v="SERVER TRANSPORT CASE"/>
    <s v="_"/>
  </r>
  <r>
    <x v="0"/>
    <s v="HPE DL360 Gen10 8SFF CTO Server"/>
    <s v="Server"/>
    <s v="HPE"/>
    <s v="867959-B21"/>
    <s v="CZJ91702JD"/>
    <n v="1"/>
    <s v="SERVER TRANSPORT CASE"/>
    <s v="IRIS-SRV3-H01"/>
  </r>
  <r>
    <x v="0"/>
    <s v="HPE BLc 10G SFP+ SR Transceiver"/>
    <s v="SFP module"/>
    <s v="HPE"/>
    <s v="455883-B21"/>
    <s v="7CR83941Y7"/>
    <n v="1"/>
    <s v="_"/>
    <s v="_"/>
  </r>
  <r>
    <x v="0"/>
    <s v="HPE BLc 10G SFP+ SR Transceiver"/>
    <s v="SFP module"/>
    <s v="HPE"/>
    <s v="455883-B21"/>
    <s v="7CR83941YB"/>
    <n v="1"/>
    <s v="_"/>
    <s v="_"/>
  </r>
  <r>
    <x v="0"/>
    <s v="HPE 16G SFP+ SW XCVR-C"/>
    <s v="SFP module"/>
    <s v="HPE"/>
    <s v="E7Y10-63001"/>
    <s v="MY8911124Z"/>
    <n v="1"/>
    <s v="_"/>
    <s v="_"/>
  </r>
  <r>
    <x v="0"/>
    <s v="HPE 16G SFP+ SW XCVR-C"/>
    <s v="SFP module"/>
    <s v="HPE"/>
    <s v="E7Y10-63001"/>
    <s v="MY89111202"/>
    <n v="1"/>
    <s v="_"/>
    <s v="_"/>
  </r>
  <r>
    <x v="0"/>
    <s v="HPE DL360 Gen10 8SFF CTO Server"/>
    <s v="Server"/>
    <s v="HPE"/>
    <s v="867959-B21"/>
    <s v="CZJ91702JL"/>
    <n v="1"/>
    <s v="SERVER TRANSPORT CASE"/>
    <s v="IRIS-SRV4-H01"/>
  </r>
  <r>
    <x v="0"/>
    <s v="HPE BLc 10G SFP+ SR Transceiver"/>
    <s v="SFP module"/>
    <s v="HPE"/>
    <s v="455883-B21"/>
    <s v="7CR839436Y"/>
    <n v="1"/>
    <s v="_"/>
    <s v="_"/>
  </r>
  <r>
    <x v="0"/>
    <s v="HPE BLc 10G SFP+ SR Transceiver"/>
    <s v="SFP module"/>
    <s v="HPE"/>
    <s v="455883-B21"/>
    <s v="7CR839437E"/>
    <n v="1"/>
    <s v="_"/>
    <s v="_"/>
  </r>
  <r>
    <x v="0"/>
    <s v="HPE 16G SFP+ SW XCVR-C"/>
    <s v="SFP module"/>
    <s v="HPE"/>
    <s v="E7Y10-63001"/>
    <s v="MY891119TP"/>
    <n v="1"/>
    <s v="_"/>
    <s v="_"/>
  </r>
  <r>
    <x v="0"/>
    <s v="HPE 16G SFP+ SW XCVR-C"/>
    <s v="SFP module"/>
    <s v="HPE"/>
    <s v="E7Y10-63001"/>
    <s v="MY891117TJ"/>
    <n v="1"/>
    <s v="_"/>
    <s v="_"/>
  </r>
  <r>
    <x v="0"/>
    <s v="HPE 400GB SAS 12G MU SFF SC DS 550"/>
    <s v="Disk"/>
    <s v="HPE"/>
    <s v="872374-B21"/>
    <s v="5C3905J06B"/>
    <n v="1"/>
    <s v="IRIS-SRV4-H01-01"/>
    <s v="_"/>
  </r>
  <r>
    <x v="0"/>
    <s v="HPE 400GB SAS 12G MU SFF SC DS 550"/>
    <s v="Disk"/>
    <s v="HPE"/>
    <s v="872374-B21"/>
    <s v="5C3904J047"/>
    <n v="1"/>
    <s v="IRIS-SRV4-H01-02"/>
    <s v="_"/>
  </r>
  <r>
    <x v="0"/>
    <s v="HPE MSA 2050 SAN DC LFF Storage"/>
    <s v="MSA SAN"/>
    <s v="HPE"/>
    <s v="Q1J00A"/>
    <s v="2S6910B080"/>
    <n v="1"/>
    <s v="SERVER TRANSPORT CASE"/>
    <s v="IRIS-MSA-H01"/>
  </r>
  <r>
    <x v="0"/>
    <s v="MSA 2050 SAN dual controller"/>
    <s v="MSA SAN"/>
    <s v="HPE"/>
    <s v="876127-001"/>
    <s v="7CE903M566"/>
    <n v="1"/>
    <s v="_"/>
    <s v="_"/>
  </r>
  <r>
    <x v="0"/>
    <s v="MSA 2050 SAN dual controller"/>
    <s v="MSA SAN"/>
    <s v="HPE"/>
    <s v="876127-001"/>
    <s v="7CE901M976"/>
    <n v="1"/>
    <s v="_"/>
    <s v="_"/>
  </r>
  <r>
    <x v="0"/>
    <s v="HPE MSA 10TB 12G SAS 7.2K LFF 512e HDD"/>
    <s v="Disk"/>
    <s v="HPE"/>
    <s v="P9M82A"/>
    <s v="THH917Z0DR"/>
    <n v="1"/>
    <s v="IRIS-MSA-H01-01"/>
    <s v="_"/>
  </r>
  <r>
    <x v="0"/>
    <s v="HPE MSA 10TB 12G SAS 7.2K LFF 512e HDD"/>
    <s v="Disk"/>
    <s v="HPE"/>
    <s v="P9M82A"/>
    <s v="THH917Z0DS"/>
    <n v="1"/>
    <s v="IRIS-MSA-H01-02"/>
    <s v="_"/>
  </r>
  <r>
    <x v="0"/>
    <s v="HPE MSA 10TB 12G SAS 7.2K LFF 512e HDD"/>
    <s v="Disk"/>
    <s v="HPE"/>
    <s v="P9M82A"/>
    <s v="THH917Z0DT"/>
    <n v="1"/>
    <s v="IRIS-MSA-H01-03"/>
    <s v="_"/>
  </r>
  <r>
    <x v="0"/>
    <s v="HPE MSA 10TB 12G SAS 7.2K LFF 512e HDD"/>
    <s v="Disk"/>
    <s v="HPE"/>
    <s v="P9M82A"/>
    <s v="THH914Z076"/>
    <n v="1"/>
    <s v="IRIS-MSA-H01-04"/>
    <s v="_"/>
  </r>
  <r>
    <x v="0"/>
    <s v="HPE MSA 10TB 12G SAS 7.2K LFF 512e HDD"/>
    <s v="Disk"/>
    <s v="HPE"/>
    <s v="P9M82A"/>
    <s v="THH914Z07J"/>
    <n v="1"/>
    <s v="IRIS-MSA-H01-05"/>
    <s v="_"/>
  </r>
  <r>
    <x v="0"/>
    <s v="HPE MSA 10TB 12G SAS 7.2K LFF 512e HDD"/>
    <s v="Disk"/>
    <s v="HPE"/>
    <s v="P9M82A"/>
    <s v="THH917Z0DP"/>
    <n v="1"/>
    <s v="IRIS-MSA-H01-06"/>
    <s v="_"/>
  </r>
  <r>
    <x v="0"/>
    <s v="HPE MSA 10TB 12G SAS 7.2K LFF 512e HDD"/>
    <s v="Disk"/>
    <s v="HPE"/>
    <s v="P9M82A"/>
    <s v="THH914Z07L"/>
    <n v="1"/>
    <s v="IRIS-MSA-H01-07"/>
    <s v="_"/>
  </r>
  <r>
    <x v="0"/>
    <s v="HPE MSA 10TB 12G SAS 7.2K LFF 512e HDD"/>
    <s v="Disk"/>
    <s v="HPE"/>
    <s v="P9M82A"/>
    <s v="THH914Z07C"/>
    <n v="1"/>
    <s v="IRIS-MSA-H01-08"/>
    <s v="_"/>
  </r>
  <r>
    <x v="0"/>
    <s v="HPE MSA 10TB 12G SAS 7.2K LFF 512e HDD"/>
    <s v="Disk"/>
    <s v="HPE"/>
    <s v="P9M82A"/>
    <s v="THH914Z07D"/>
    <n v="1"/>
    <s v="IRIS-MSA-H01-09"/>
    <s v="_"/>
  </r>
  <r>
    <x v="0"/>
    <s v="HPE MSA 10TB 12G SAS 7.2K LFF 512e HDD"/>
    <s v="Disk"/>
    <s v="HPE"/>
    <s v="P9M82A"/>
    <s v="THH914Z07K"/>
    <n v="1"/>
    <s v="IRIS-MSA-H01-10"/>
    <s v="_"/>
  </r>
  <r>
    <x v="0"/>
    <s v="HPE MSA 10TB 12G SAS 7.2K LFF 512e HDD"/>
    <s v="Disk"/>
    <s v="HPE"/>
    <s v="P9M82A"/>
    <s v="THH914Z084"/>
    <n v="1"/>
    <s v="IRIS-MSA-H01-11"/>
    <s v="_"/>
  </r>
  <r>
    <x v="0"/>
    <s v="HPE MSA 10TB 12G SAS 7.2K LFF 512e HDD"/>
    <s v="Disk"/>
    <s v="HPE"/>
    <s v="P9M82A"/>
    <s v="THH914Z085"/>
    <n v="1"/>
    <s v="IRIS-MSA-H01-12"/>
    <s v="_"/>
  </r>
  <r>
    <x v="0"/>
    <s v="HPE MSA 16GB SW FC SFP"/>
    <s v="SFP module"/>
    <s v="HPE"/>
    <s v="720999-002"/>
    <s v="MY8905111S"/>
    <n v="1"/>
    <s v="_"/>
    <s v="_"/>
  </r>
  <r>
    <x v="0"/>
    <s v="HPE MSA 16GB SW FC SFP"/>
    <s v="SFP module"/>
    <s v="HPE"/>
    <s v="720999-002"/>
    <s v="MY890511ZR"/>
    <n v="1"/>
    <s v="_"/>
    <s v="_"/>
  </r>
  <r>
    <x v="0"/>
    <s v="HPE MSA 16GB SW FC SFP"/>
    <s v="SFP module"/>
    <s v="HPE"/>
    <s v="720999-002"/>
    <s v="MY890511Q8"/>
    <n v="1"/>
    <s v="_"/>
    <s v="_"/>
  </r>
  <r>
    <x v="0"/>
    <s v="HPE MSA 16GB SW FC SFP"/>
    <s v="SFP module"/>
    <s v="HPE"/>
    <s v="720999-002"/>
    <s v="MY890511QU"/>
    <n v="1"/>
    <s v="_"/>
    <s v="_"/>
  </r>
  <r>
    <x v="0"/>
    <s v="HPE MSA 16GB SW FC SFP"/>
    <s v="SFP module"/>
    <s v="HPE"/>
    <s v="720999-002"/>
    <s v="MY890511WN"/>
    <n v="1"/>
    <s v="_"/>
    <s v="_"/>
  </r>
  <r>
    <x v="0"/>
    <s v="HPE MSA 16GB SW FC SFP"/>
    <s v="SFP module"/>
    <s v="HPE"/>
    <s v="720999-002"/>
    <s v="MY89051120"/>
    <n v="1"/>
    <s v="_"/>
    <s v="_"/>
  </r>
  <r>
    <x v="0"/>
    <s v="HPE MSA 16GB SW FC SFP"/>
    <s v="SFP module"/>
    <s v="HPE"/>
    <s v="720999-002"/>
    <s v="MY890511PP"/>
    <n v="1"/>
    <s v="_"/>
    <s v="_"/>
  </r>
  <r>
    <x v="0"/>
    <s v="HPE MSA 16GB SW FC SFP"/>
    <s v="SFP module"/>
    <s v="HPE"/>
    <s v="720999-002"/>
    <s v="MY890511QP"/>
    <n v="1"/>
    <s v="_"/>
    <s v="_"/>
  </r>
  <r>
    <x v="0"/>
    <s v="POWER TRANSPORT CASE"/>
    <s v="TRANSPORT CASE"/>
    <s v="_"/>
    <s v="_"/>
    <s v="_"/>
    <n v="1"/>
    <s v="POWER TRANSPORT CASE"/>
    <s v="_"/>
  </r>
  <r>
    <x v="0"/>
    <s v="NTP TIME SERVER WITH OCXO"/>
    <s v="NTP Server"/>
    <s v="HEOL DESIGN"/>
    <s v="T101R-10us-AC-I/O-OCXOMR"/>
    <s v="0814289"/>
    <n v="1"/>
    <s v="POWER TRANSPORT CASE"/>
    <s v="IRIS-NTP-H01"/>
  </r>
  <r>
    <x v="0"/>
    <s v="HPE R5000 3U IECSO9-32A HV INTL UPS"/>
    <s v="UPS"/>
    <s v="HPE"/>
    <s v="AF461A"/>
    <s v="ACC8371120"/>
    <n v="1"/>
    <s v="POWER TRANSPORT CASE"/>
    <s v="IRIS-UPS-H01"/>
  </r>
  <r>
    <x v="0"/>
    <s v="CASE 1 / IRIS - H01"/>
    <s v="CASE 1"/>
    <s v="_"/>
    <s v="_"/>
    <s v="_"/>
    <n v="1"/>
    <s v="CASE 1 / IRIS - H01"/>
    <s v="_"/>
  </r>
  <r>
    <x v="0"/>
    <s v="HP ZBOOK 17 G4"/>
    <s v="Laptop"/>
    <s v="EUROTEMPEST"/>
    <s v="Y3J81AV"/>
    <s v="2019.05.17095"/>
    <n v="1"/>
    <s v="_"/>
    <s v="IRIS-MMCO1-H01"/>
  </r>
  <r>
    <x v="0"/>
    <s v="HP EliteDisplay E243i"/>
    <s v="Screen"/>
    <s v="EUROTEMPEST"/>
    <s v="1FH49AT"/>
    <s v="2019.05.17526"/>
    <n v="1"/>
    <s v="_"/>
    <s v="IRIS-24-SCR01-H01"/>
  </r>
  <r>
    <x v="0"/>
    <s v="HP EliteDisplay E243i"/>
    <s v="Screen"/>
    <s v="EUROTEMPEST"/>
    <s v="1FH49AT"/>
    <s v="2019.05.17525"/>
    <n v="1"/>
    <s v="_"/>
    <s v="IRIS-24-SCR02-H01"/>
  </r>
  <r>
    <x v="0"/>
    <s v="HP ZBOOK 17 G4"/>
    <s v="Laptop"/>
    <s v="EUROTEMPEST"/>
    <s v="Y3J81AV"/>
    <s v="2019.05.17108"/>
    <n v="1"/>
    <s v="_"/>
    <s v="IRIS-OPR01-H01"/>
  </r>
  <r>
    <x v="0"/>
    <s v="HP EliteDisplay E243i"/>
    <s v="Screen"/>
    <s v="EUROTEMPEST"/>
    <s v="1FH49AT"/>
    <s v="2019.05.17529"/>
    <n v="1"/>
    <s v="_"/>
    <s v="IRIS-24-SCR03-H01"/>
  </r>
  <r>
    <x v="0"/>
    <s v="HP EliteDisplay E243i"/>
    <s v="Screen"/>
    <s v="EUROTEMPEST"/>
    <s v="1FH49AT"/>
    <s v="2019.05.17528"/>
    <n v="1"/>
    <s v="_"/>
    <s v="IRIS-24-SCR04-H01"/>
  </r>
  <r>
    <x v="0"/>
    <s v="CASE 2 / IRIS - H01"/>
    <s v="CASE 2"/>
    <s v="_"/>
    <s v="_"/>
    <s v="_"/>
    <n v="1"/>
    <s v="CASE 2 / IRIS - H01"/>
    <s v="_"/>
  </r>
  <r>
    <x v="0"/>
    <s v="HP ZBOOK 17 G4"/>
    <s v="Laptop"/>
    <s v="EUROTEMPEST"/>
    <s v="Y3J81AV"/>
    <s v="2019.05.17109"/>
    <n v="1"/>
    <s v="_"/>
    <s v="IRIS-OPR02-H01"/>
  </r>
  <r>
    <x v="0"/>
    <s v="HP EliteDisplay E243i"/>
    <s v="Screen"/>
    <s v="EUROTEMPEST"/>
    <s v="1FH49AT"/>
    <s v="2019.05.17522"/>
    <n v="1"/>
    <s v="_"/>
    <s v="IRIS-24-SCR05-H01"/>
  </r>
  <r>
    <x v="0"/>
    <s v="HP EliteDisplay E243i"/>
    <s v="Screen"/>
    <s v="EUROTEMPEST"/>
    <s v="1FH49AT"/>
    <s v="2019.05.17523"/>
    <n v="1"/>
    <s v="_"/>
    <s v="IRIS-24-SCR06-H01"/>
  </r>
  <r>
    <x v="0"/>
    <s v="HP ZBOOK 17 G4"/>
    <s v="Laptop"/>
    <s v="EUROTEMPEST"/>
    <s v="Y3J81AV"/>
    <s v="2019.05.17110"/>
    <n v="1"/>
    <s v="_"/>
    <s v="IRIS-OPR03-H01"/>
  </r>
  <r>
    <x v="0"/>
    <s v="HP EliteDisplay E243i"/>
    <s v="Screen"/>
    <s v="EUROTEMPEST"/>
    <s v="1FH49AT"/>
    <s v="2019.05.17524"/>
    <n v="1"/>
    <s v="_"/>
    <s v="IRIS-24-SCR07-H01"/>
  </r>
  <r>
    <x v="0"/>
    <s v="HP EliteDisplay E243i"/>
    <s v="Screen"/>
    <s v="EUROTEMPEST"/>
    <s v="1FH49AT"/>
    <s v="2019.05.17527"/>
    <n v="1"/>
    <s v="_"/>
    <s v="IRIS-24-SCR08-H01"/>
  </r>
  <r>
    <x v="0"/>
    <s v="CASE 3 / IRIS - H01"/>
    <s v="CASE 3"/>
    <s v="_"/>
    <s v="_"/>
    <s v="_"/>
    <n v="1"/>
    <s v="CASE 3 / IRIS - H01"/>
    <s v="_"/>
  </r>
  <r>
    <x v="0"/>
    <s v="HP ZBOOK 17 G4"/>
    <s v="Laptop"/>
    <s v="EUROTEMPEST"/>
    <s v="Y3J81AV"/>
    <s v="2019.05.17111"/>
    <n v="1"/>
    <s v="_"/>
    <s v="IRIS-OPR04-H01"/>
  </r>
  <r>
    <x v="0"/>
    <s v="HP EliteDisplay E243i"/>
    <s v="Screen"/>
    <s v="EUROTEMPEST"/>
    <s v="1FH49AT"/>
    <s v="2019.05.17521"/>
    <n v="1"/>
    <s v="_"/>
    <s v="IRIS-24-SCR09-H01"/>
  </r>
  <r>
    <x v="0"/>
    <s v="HP EliteDisplay E243i"/>
    <s v="Screen"/>
    <s v="EUROTEMPEST"/>
    <s v="1FH49AT"/>
    <s v="2019.05.17520"/>
    <n v="1"/>
    <s v="_"/>
    <s v="IRIS-24-SCR10-H01"/>
  </r>
  <r>
    <x v="0"/>
    <s v="HP ZBOOK 17 G4"/>
    <s v="Laptop"/>
    <s v="EUROTEMPEST"/>
    <s v="Y3J81AV"/>
    <s v="2019.05.17112"/>
    <n v="1"/>
    <s v="_"/>
    <s v="IRIS-OPR05-H01"/>
  </r>
  <r>
    <x v="0"/>
    <s v="HP EliteDisplay E243i"/>
    <s v="Screen"/>
    <s v="EUROTEMPEST"/>
    <s v="1FH49AT"/>
    <s v="2019.05.17519"/>
    <n v="1"/>
    <s v="_"/>
    <s v="IRIS-24-SCR11-H01"/>
  </r>
  <r>
    <x v="0"/>
    <s v="HP EliteDisplay E243i"/>
    <s v="Screen"/>
    <s v="EUROTEMPEST"/>
    <s v="1FH49AT"/>
    <s v="2019.05.17518"/>
    <n v="1"/>
    <s v="_"/>
    <s v="IRIS-24-SCR12-H01"/>
  </r>
  <r>
    <x v="0"/>
    <s v="CASE 4 / IRIS - H01"/>
    <s v="CASE 4"/>
    <s v="_"/>
    <s v="_"/>
    <s v="_"/>
    <n v="1"/>
    <s v="CASE 4 / IRIS - H01"/>
    <s v="_"/>
  </r>
  <r>
    <x v="0"/>
    <s v="HP ZBOOK 17 G4"/>
    <s v="Laptop"/>
    <s v="EUROTEMPEST"/>
    <s v="Y3J81AV"/>
    <s v="2019.05.17113"/>
    <n v="1"/>
    <s v="_"/>
    <s v="IRIS-OPR06-H01"/>
  </r>
  <r>
    <x v="0"/>
    <s v="HP Z27n G2"/>
    <s v="Screen"/>
    <s v="EUROTEMPEST"/>
    <s v="1JS10AT"/>
    <s v="2019.05.17567"/>
    <n v="1"/>
    <s v="_"/>
    <s v="IRIS-27-SCR01-H01"/>
  </r>
  <r>
    <x v="0"/>
    <s v="HP Z27n G2"/>
    <s v="Screen"/>
    <s v="EUROTEMPEST"/>
    <s v="1JS10AT"/>
    <s v="2019.05.17566"/>
    <n v="1"/>
    <s v="_"/>
    <s v="IRIS-27-SCR02-H01"/>
  </r>
  <r>
    <x v="0"/>
    <s v="SPARE CASE 1 / IRIS - H01"/>
    <s v="SPARE CASE 1"/>
    <s v="_"/>
    <s v="_"/>
    <s v="_"/>
    <n v="1"/>
    <s v="SPARE CASE 1 / IRIS - H01"/>
    <s v="_"/>
  </r>
  <r>
    <x v="0"/>
    <s v="HP ZBOOK 17 G4"/>
    <s v="Laptop"/>
    <s v="EUROTEMPEST"/>
    <s v="Y3J81AV"/>
    <s v="2019.05.17096"/>
    <n v="1"/>
    <s v="_"/>
    <s v="IRIS-MM-SPARE-H01"/>
  </r>
  <r>
    <x v="0"/>
    <s v="HP EliteDisplay E243i"/>
    <s v="Screen"/>
    <s v="EUROTEMPEST"/>
    <s v="1FH49AT"/>
    <s v="2019.05.17517"/>
    <n v="1"/>
    <s v="_"/>
    <s v="IRIS-24-SPARE01-H01"/>
  </r>
  <r>
    <x v="0"/>
    <s v="HP EliteDisplay E243i"/>
    <s v="Screen"/>
    <s v="EUROTEMPEST"/>
    <s v="1FH49AT"/>
    <s v="2019.05.17516"/>
    <n v="1"/>
    <s v="_"/>
    <s v="IRIS-24-SPARE02-H01"/>
  </r>
  <r>
    <x v="0"/>
    <s v="HP Z27n G2"/>
    <s v="Screen"/>
    <s v="EUROTEMPEST"/>
    <s v="1JS10AT"/>
    <s v="2019.05.17565"/>
    <n v="1"/>
    <s v="_"/>
    <s v="IRIS-27-SCR02-H01"/>
  </r>
  <r>
    <x v="1"/>
    <s v="HPE DL360 Gen10 8SFF CTO Server"/>
    <s v="Server"/>
    <s v="HPE"/>
    <s v="867959-B21"/>
    <s v="CZJ91702JJ"/>
    <n v="1"/>
    <s v="_"/>
    <s v="IRIS-SRV1-A02"/>
  </r>
  <r>
    <x v="1"/>
    <s v="HPE BLc 10G SFP+ SR Transceiver"/>
    <s v="SFP module"/>
    <s v="HPE"/>
    <s v="455883-B21"/>
    <s v="7CR839442E"/>
    <n v="1"/>
    <s v="_"/>
    <s v="_"/>
  </r>
  <r>
    <x v="1"/>
    <s v="HPE BLc 10G SFP+ SR Transceiver"/>
    <s v="SFP module"/>
    <s v="HPE"/>
    <s v="455883-B21"/>
    <s v="7CR83942UZ"/>
    <n v="1"/>
    <s v="_"/>
    <s v="_"/>
  </r>
  <r>
    <x v="1"/>
    <s v="HPE 16G SFP+ SW XCVR-C"/>
    <s v="SFP module"/>
    <s v="HPE"/>
    <s v="E7Y10-63001"/>
    <s v="MY891111XW"/>
    <n v="1"/>
    <s v="_"/>
    <s v="_"/>
  </r>
  <r>
    <x v="1"/>
    <s v="HPE 16G SFP+ SW XCVR-C"/>
    <s v="SFP module"/>
    <s v="HPE"/>
    <s v="E7Y10-63001"/>
    <s v="MY891119TC"/>
    <n v="1"/>
    <s v="_"/>
    <s v="_"/>
  </r>
  <r>
    <x v="1"/>
    <s v="HPE DL360 Gen10 8SFF CTO Server"/>
    <s v="Server"/>
    <s v="HPE"/>
    <s v="867959-B21"/>
    <s v="CZJ91702JK"/>
    <n v="1"/>
    <s v="_"/>
    <s v="IRIS-SRV2-A02"/>
  </r>
  <r>
    <x v="1"/>
    <s v="HPE BLc 10G SFP+ SR Transceiver"/>
    <s v="SFP module"/>
    <s v="HPE"/>
    <s v="455883-B21"/>
    <s v="7CR839420L"/>
    <n v="1"/>
    <s v="_"/>
    <s v="_"/>
  </r>
  <r>
    <x v="1"/>
    <s v="HPE BLc 10G SFP+ SR Transceiver"/>
    <s v="SFP module"/>
    <s v="HPE"/>
    <s v="455883-B21"/>
    <s v="7CR839432U"/>
    <n v="1"/>
    <s v="_"/>
    <s v="_"/>
  </r>
  <r>
    <x v="1"/>
    <s v="HPE 16G SFP+ SW XCVR-C"/>
    <s v="SFP module"/>
    <s v="HPE"/>
    <s v="E7Y10-63001"/>
    <s v="MY891119LU"/>
    <n v="1"/>
    <s v="_"/>
    <s v="_"/>
  </r>
  <r>
    <x v="1"/>
    <s v="HPE 16G SFP+ SW XCVR-C"/>
    <s v="SFP module"/>
    <s v="HPE"/>
    <s v="E7Y10-63001"/>
    <s v="MY89111235"/>
    <n v="1"/>
    <s v="_"/>
    <s v="_"/>
  </r>
  <r>
    <x v="1"/>
    <s v="CATALYST 3850 24 PORT 10G FIBER SWITCH BASE"/>
    <s v="Switch"/>
    <s v="CISCO"/>
    <s v="WS-C3850-24XS-S"/>
    <s v="FOC2301U0BZ"/>
    <n v="1"/>
    <s v="_"/>
    <s v="IRIS-SW1-A02"/>
  </r>
  <r>
    <x v="1"/>
    <s v="10GBASE-SR SFP MODULE"/>
    <s v="SFP module"/>
    <s v="CISCO"/>
    <s v="SFP-10G-SR-S"/>
    <s v="AVD2305D7ED"/>
    <n v="1"/>
    <s v="_"/>
    <s v="_"/>
  </r>
  <r>
    <x v="1"/>
    <s v="10GBASE-SR SFP MODULE"/>
    <s v="SFP module"/>
    <s v="CISCO"/>
    <s v="SFP-10G-SR-S"/>
    <s v="AVD2305D9KC"/>
    <n v="1"/>
    <s v="_"/>
    <s v="_"/>
  </r>
  <r>
    <x v="1"/>
    <s v="10GBASE-SR SFP MODULE"/>
    <s v="SFP module"/>
    <s v="CISCO"/>
    <s v="SFP-10G-SR-S"/>
    <s v="AVD2305D9KP"/>
    <n v="1"/>
    <s v="_"/>
    <s v="_"/>
  </r>
  <r>
    <x v="1"/>
    <s v="1000BASE-SX SFP TRANSCEIVER MODULE"/>
    <s v="SFP module"/>
    <s v="CISCO"/>
    <s v="GLC-SX-MMD"/>
    <s v="ACW2304150P"/>
    <n v="1"/>
    <s v="_"/>
    <s v="_"/>
  </r>
  <r>
    <x v="1"/>
    <s v="1000BASE-SX SFP TRANSCEIVER MODULE"/>
    <s v="SFP module"/>
    <s v="CISCO"/>
    <s v="GLC-SX-MMD"/>
    <s v="ACW23040ZA0"/>
    <n v="1"/>
    <s v="_"/>
    <s v="_"/>
  </r>
  <r>
    <x v="1"/>
    <s v="1000BASE-SX SFP TRANSCEIVER MODULE"/>
    <s v="SFP module"/>
    <s v="CISCO"/>
    <s v="GLC-SX-MMD"/>
    <s v="ACW23040Z9D"/>
    <n v="1"/>
    <s v="_"/>
    <s v="_"/>
  </r>
  <r>
    <x v="1"/>
    <s v="1000BASE-SX SFP TRANSCEIVER MODULE"/>
    <s v="SFP module"/>
    <s v="CISCO"/>
    <s v="GLC-SX-MMD"/>
    <s v="ACW23040Z9X"/>
    <n v="1"/>
    <s v="_"/>
    <s v="_"/>
  </r>
  <r>
    <x v="1"/>
    <s v="1000BASE-SX SFP TRANSCEIVER MODULE"/>
    <s v="SFP module"/>
    <s v="CISCO"/>
    <s v="GLC-SX-MMD"/>
    <s v="ACW23040YQZ"/>
    <n v="1"/>
    <s v="_"/>
    <s v="_"/>
  </r>
  <r>
    <x v="1"/>
    <s v="1000BASE-SX SFP TRANSCEIVER MODULE"/>
    <s v="SFP module"/>
    <s v="CISCO"/>
    <s v="GLC-SX-MMD"/>
    <s v="ACW23040ZB4"/>
    <n v="1"/>
    <s v="_"/>
    <s v="_"/>
  </r>
  <r>
    <x v="1"/>
    <s v="1000BASE-T SFP TRANSCEIVER MODULE FOR CATEGORY 5 COPPER WIRE"/>
    <s v="SFP module"/>
    <s v="CISCO"/>
    <s v="GLC-TE"/>
    <s v="AVC230721FQ"/>
    <n v="1"/>
    <s v="_"/>
    <s v="_"/>
  </r>
  <r>
    <x v="1"/>
    <s v="1000BASE-T SFP TRANSCEIVER MODULE FOR CATEGORY 5 COPPER WIRE"/>
    <s v="SFP module"/>
    <s v="CISCO"/>
    <s v="GLC-TE"/>
    <s v="AVC230721EY"/>
    <n v="1"/>
    <s v="_"/>
    <s v="_"/>
  </r>
  <r>
    <x v="1"/>
    <s v="1000BASE-T SFP TRANSCEIVER MODULE FOR CATEGORY 5 COPPER WIRE"/>
    <s v="SFP module"/>
    <s v="CISCO"/>
    <s v="GLC-TE"/>
    <s v="AVC230721F4"/>
    <n v="1"/>
    <s v="_"/>
    <s v="_"/>
  </r>
  <r>
    <x v="1"/>
    <s v="CATALYST 3850 24 PORT 10G FIBER SWITCH BASE"/>
    <s v="Switch"/>
    <s v="CISCO"/>
    <s v="WS-C3850-24XS-S"/>
    <s v="FOC2309GH3M"/>
    <n v="1"/>
    <s v="_"/>
    <s v="IRIS-SW2-A02"/>
  </r>
  <r>
    <x v="1"/>
    <s v="10GBASE-SR SFP MODULE"/>
    <s v="SFP module"/>
    <s v="CISCO"/>
    <s v="SFP-10G-SR-S"/>
    <s v="AVD2305D9KY"/>
    <n v="1"/>
    <s v="_"/>
    <s v="_"/>
  </r>
  <r>
    <x v="1"/>
    <s v="10GBASE-SR SFP MODULE"/>
    <s v="SFP module"/>
    <s v="CISCO"/>
    <s v="SFP-10G-SR-S"/>
    <s v="AVD2305D9KZ"/>
    <n v="1"/>
    <s v="_"/>
    <s v="_"/>
  </r>
  <r>
    <x v="1"/>
    <s v="10GBASE-SR SFP MODULE"/>
    <s v="SFP module"/>
    <s v="CISCO"/>
    <s v="SFP-10G-SR-S"/>
    <s v="AVD2305D9KX"/>
    <n v="1"/>
    <s v="_"/>
    <s v="_"/>
  </r>
  <r>
    <x v="1"/>
    <s v="1000BASE-SX SFP TRANSCEIVER MODULE"/>
    <s v="SFP module"/>
    <s v="CISCO"/>
    <s v="GLC-SX-MMD"/>
    <s v="ACW230416AK"/>
    <n v="1"/>
    <s v="_"/>
    <s v="_"/>
  </r>
  <r>
    <x v="1"/>
    <s v="1000BASE-SX SFP TRANSCEIVER MODULE"/>
    <s v="SFP module"/>
    <s v="CISCO"/>
    <s v="GLC-SX-MMD"/>
    <s v="ACW230416L0"/>
    <n v="1"/>
    <s v="_"/>
    <s v="_"/>
  </r>
  <r>
    <x v="1"/>
    <s v="1000BASE-SX SFP TRANSCEIVER MODULE"/>
    <s v="SFP module"/>
    <s v="CISCO"/>
    <s v="GLC-SX-MMD"/>
    <s v="ACW2304150Z"/>
    <n v="1"/>
    <s v="_"/>
    <s v="_"/>
  </r>
  <r>
    <x v="1"/>
    <s v="1000BASE-SX SFP TRANSCEIVER MODULE"/>
    <s v="SFP module"/>
    <s v="CISCO"/>
    <s v="GLC-SX-MMD"/>
    <s v="ACW230416J1"/>
    <n v="1"/>
    <s v="_"/>
    <s v="_"/>
  </r>
  <r>
    <x v="1"/>
    <s v="1000BASE-SX SFP TRANSCEIVER MODULE"/>
    <s v="SFP module"/>
    <s v="CISCO"/>
    <s v="GLC-SX-MMD"/>
    <s v="ACW23041507"/>
    <n v="1"/>
    <s v="_"/>
    <s v="_"/>
  </r>
  <r>
    <x v="1"/>
    <s v="1000BASE-T SFP TRANSCEIVER MODULE FOR CATEGORY 5 COPPER WIRE"/>
    <s v="SFP module"/>
    <s v="CISCO"/>
    <s v="GLC-TE"/>
    <s v="AVC230721EV"/>
    <n v="1"/>
    <s v="_"/>
    <s v="_"/>
  </r>
  <r>
    <x v="1"/>
    <s v="1000BASE-T SFP TRANSCEIVER MODULE FOR CATEGORY 5 COPPER WIRE"/>
    <s v="SFP module"/>
    <s v="CISCO"/>
    <s v="GLC-TE"/>
    <s v="AVC230721F7"/>
    <n v="1"/>
    <s v="_"/>
    <s v="_"/>
  </r>
  <r>
    <x v="1"/>
    <s v="1000BASE-T SFP TRANSCEIVER MODULE FOR CATEGORY 5 COPPER WIRE"/>
    <s v="SFP module"/>
    <s v="CISCO"/>
    <s v="GLC-TE"/>
    <s v="AVC230721FM"/>
    <n v="1"/>
    <s v="_"/>
    <s v="_"/>
  </r>
  <r>
    <x v="1"/>
    <s v="HPE MSA 2050 SAN DC LFF Storage"/>
    <s v="MSA SAN"/>
    <s v="HPE"/>
    <s v="Q1J00A"/>
    <s v="2S6910B077"/>
    <n v="1"/>
    <s v="_"/>
    <s v="IRIS-MSA-A02"/>
  </r>
  <r>
    <x v="1"/>
    <s v="MSA 2050 SAN dual controller"/>
    <s v="MSA SAN"/>
    <s v="HPE"/>
    <s v="876127-001"/>
    <s v="7CE901M535"/>
    <n v="1"/>
    <s v="_"/>
    <s v="_"/>
  </r>
  <r>
    <x v="1"/>
    <s v="MSA 2050 SAN dual controller"/>
    <s v="MSA SAN"/>
    <s v="HPE"/>
    <s v="876127-001"/>
    <s v="7CE901M781"/>
    <n v="1"/>
    <s v="_"/>
    <s v="_"/>
  </r>
  <r>
    <x v="1"/>
    <s v="HPE MSA 10TB 12G SAS 7.2K LFF 512e HDD"/>
    <s v="Disk"/>
    <s v="HPE"/>
    <s v="P9M82A"/>
    <s v="THH917Z088"/>
    <n v="1"/>
    <s v="IRIS-MSA-A02-01"/>
    <s v="_"/>
  </r>
  <r>
    <x v="1"/>
    <s v="HPE MSA 10TB 12G SAS 7.2K LFF 512e HDD"/>
    <s v="Disk"/>
    <s v="HPE"/>
    <s v="P9M82A"/>
    <s v="THH917Z07I"/>
    <n v="1"/>
    <s v="IRIS-MSA-A02-02"/>
    <s v="_"/>
  </r>
  <r>
    <x v="1"/>
    <s v="HPE MSA 10TB 12G SAS 7.2K LFF 512e HDD"/>
    <s v="Disk"/>
    <s v="HPE"/>
    <s v="P9M82A"/>
    <s v="THH917Z07W"/>
    <n v="1"/>
    <s v="IRIS-MSA-A02-03"/>
    <s v="_"/>
  </r>
  <r>
    <x v="1"/>
    <s v="HPE MSA 10TB 12G SAS 7.2K LFF 512e HDD"/>
    <s v="Disk"/>
    <s v="HPE"/>
    <s v="P9M82A"/>
    <s v="THH917Z07Y"/>
    <n v="1"/>
    <s v="IRIS-MSA-A02-04"/>
    <s v="_"/>
  </r>
  <r>
    <x v="1"/>
    <s v="HPE MSA 10TB 12G SAS 7.2K LFF 512e HDD"/>
    <s v="Disk"/>
    <s v="HPE"/>
    <s v="P9M82A"/>
    <s v="THH917Z087"/>
    <n v="1"/>
    <s v="IRIS-MSA-A02-05"/>
    <s v="_"/>
  </r>
  <r>
    <x v="1"/>
    <s v="HPE MSA 10TB 12G SAS 7.2K LFF 512e HDD"/>
    <s v="Disk"/>
    <s v="HPE"/>
    <s v="P9M82A"/>
    <s v="THH917Z07Z"/>
    <n v="1"/>
    <s v="IRIS-MSA-A02-06"/>
    <s v="_"/>
  </r>
  <r>
    <x v="1"/>
    <s v="HPE MSA 10TB 12G SAS 7.2K LFF 512e HDD"/>
    <s v="Disk"/>
    <s v="HPE"/>
    <s v="P9M82A"/>
    <s v="THH917Z06X"/>
    <n v="1"/>
    <s v="IRIS-MSA-A02-07"/>
    <s v="_"/>
  </r>
  <r>
    <x v="1"/>
    <s v="HPE MSA 10TB 12G SAS 7.2K LFF 512e HDD"/>
    <s v="Disk"/>
    <s v="HPE"/>
    <s v="P9M82A"/>
    <s v="THH917Z080"/>
    <n v="1"/>
    <s v="IRIS-MSA-A02-08"/>
    <s v="_"/>
  </r>
  <r>
    <x v="1"/>
    <s v="HPE MSA 10TB 12G SAS 7.2K LFF 512e HDD"/>
    <s v="Disk"/>
    <s v="HPE"/>
    <s v="P9M82A"/>
    <s v="THH917Z07D"/>
    <n v="1"/>
    <s v="IRIS-MSA-A02-09"/>
    <s v="_"/>
  </r>
  <r>
    <x v="1"/>
    <s v="HPE MSA 10TB 12G SAS 7.2K LFF 512e HDD"/>
    <s v="Disk"/>
    <s v="HPE"/>
    <s v="P9M82A"/>
    <s v="THH917Z078"/>
    <n v="1"/>
    <s v="IRIS-MSA-A02-10"/>
    <s v="_"/>
  </r>
  <r>
    <x v="1"/>
    <s v="HPE MSA 10TB 12G SAS 7.2K LFF 512e HDD"/>
    <s v="Disk"/>
    <s v="HPE"/>
    <s v="P9M82A"/>
    <s v="THH917Z06W"/>
    <n v="1"/>
    <s v="IRIS-MSA-A02-11"/>
    <s v="_"/>
  </r>
  <r>
    <x v="1"/>
    <s v="HPE MSA 10TB 12G SAS 7.2K LFF 512e HDD"/>
    <s v="Disk"/>
    <s v="HPE"/>
    <s v="P9M82A"/>
    <s v="THH917Z08F"/>
    <n v="1"/>
    <s v="IRIS-MSA-A02-12"/>
    <s v="_"/>
  </r>
  <r>
    <x v="1"/>
    <s v="HPE MSA 16GB SW FC SFP"/>
    <s v="SFP module"/>
    <s v="HPE"/>
    <s v="720999-002"/>
    <s v="MY8905112E"/>
    <n v="1"/>
    <s v="_"/>
    <s v="_"/>
  </r>
  <r>
    <x v="1"/>
    <s v="HPE MSA 16GB SW FC SFP"/>
    <s v="SFP module"/>
    <s v="HPE"/>
    <s v="720999-002"/>
    <s v="MY890511X0"/>
    <n v="1"/>
    <s v="_"/>
    <s v="_"/>
  </r>
  <r>
    <x v="1"/>
    <s v="HPE MSA 16GB SW FC SFP"/>
    <s v="SFP module"/>
    <s v="HPE"/>
    <s v="720999-002"/>
    <s v="MY8905113B"/>
    <n v="1"/>
    <s v="_"/>
    <s v="_"/>
  </r>
  <r>
    <x v="1"/>
    <s v="HPE MSA 16GB SW FC SFP"/>
    <s v="SFP module"/>
    <s v="HPE"/>
    <s v="720999-002"/>
    <s v="MY89051123"/>
    <n v="1"/>
    <s v="_"/>
    <s v="_"/>
  </r>
  <r>
    <x v="1"/>
    <s v="HPE MSA 16GB SW FC SFP"/>
    <s v="SFP module"/>
    <s v="HPE"/>
    <s v="720999-002"/>
    <s v="MY8905105Q"/>
    <n v="1"/>
    <s v="_"/>
    <s v="_"/>
  </r>
  <r>
    <x v="1"/>
    <s v="HPE MSA 16GB SW FC SFP"/>
    <s v="SFP module"/>
    <s v="HPE"/>
    <s v="720999-002"/>
    <s v="MY8905100M"/>
    <n v="1"/>
    <s v="_"/>
    <s v="_"/>
  </r>
  <r>
    <x v="1"/>
    <s v="HPE MSA 16GB SW FC SFP"/>
    <s v="SFP module"/>
    <s v="HPE"/>
    <s v="720999-002"/>
    <s v="MY890510EZ"/>
    <n v="1"/>
    <s v="_"/>
    <s v="_"/>
  </r>
  <r>
    <x v="1"/>
    <s v="HPE MSA 16GB SW FC SFP"/>
    <s v="SFP module"/>
    <s v="HPE"/>
    <s v="720999-002"/>
    <s v="MY8905105N"/>
    <n v="1"/>
    <s v="_"/>
    <s v="_"/>
  </r>
  <r>
    <x v="1"/>
    <s v="HPE MSA 2050 LFF Disk Enclosure - EXTENSION 1"/>
    <s v="Disk Enclosure - EXTENSION 1"/>
    <s v="HPE"/>
    <s v="Q1J06A"/>
    <s v="2S6912D146"/>
    <n v="1"/>
    <s v="_"/>
    <s v="IRIS-DEN-A02-1"/>
  </r>
  <r>
    <x v="1"/>
    <s v="HPE SPS-6GB MSA IO MODULE"/>
    <s v="Disk Enclosure"/>
    <s v="HPE"/>
    <s v="876146-001"/>
    <s v="7CE909G720"/>
    <n v="1"/>
    <s v="_"/>
    <s v="_"/>
  </r>
  <r>
    <x v="1"/>
    <s v="HPE SPS-6GB MSA IO MODULE"/>
    <s v="Disk Enclosure"/>
    <s v="HPE"/>
    <s v="876146-001"/>
    <s v="7CE909G584"/>
    <n v="1"/>
    <s v="_"/>
    <s v="_"/>
  </r>
  <r>
    <x v="1"/>
    <s v="HPE MSA 10TB 12G SAS 7.2K LFF 512e HDD"/>
    <s v="Disk"/>
    <s v="HPE"/>
    <s v="P9M82A"/>
    <s v="THH923Z08R"/>
    <n v="1"/>
    <s v="IRIS-DEN-A02-1-01"/>
    <s v="_"/>
  </r>
  <r>
    <x v="1"/>
    <s v="HPE MSA 10TB 12G SAS 7.2K LFF 512e HDD"/>
    <s v="Disk"/>
    <s v="HPE"/>
    <s v="P9M82A"/>
    <s v="THH923Z08V"/>
    <n v="1"/>
    <s v="IRIS-DEN-A02-1-02"/>
    <s v="_"/>
  </r>
  <r>
    <x v="1"/>
    <s v="HPE MSA 10TB 12G SAS 7.2K LFF 512e HDD"/>
    <s v="Disk"/>
    <s v="HPE"/>
    <s v="P9M82A"/>
    <s v="THH923Z04W"/>
    <n v="1"/>
    <s v="IRIS-DEN-A02-1-03"/>
    <s v="_"/>
  </r>
  <r>
    <x v="1"/>
    <s v="HPE MSA 10TB 12G SAS 7.2K LFF 512e HDD"/>
    <s v="Disk"/>
    <s v="HPE"/>
    <s v="P9M82A"/>
    <s v="THH923Z09R"/>
    <n v="1"/>
    <s v="IRIS-DEN-A02-1-04"/>
    <s v="_"/>
  </r>
  <r>
    <x v="1"/>
    <s v="HPE MSA 10TB 12G SAS 7.2K LFF 512e HDD"/>
    <s v="Disk"/>
    <s v="HPE"/>
    <s v="P9M82A"/>
    <s v="THH923Z09A"/>
    <n v="1"/>
    <s v="IRIS-DEN-A02-1-05"/>
    <s v="_"/>
  </r>
  <r>
    <x v="1"/>
    <s v="HPE MSA 10TB 12G SAS 7.2K LFF 512e HDD"/>
    <s v="Disk"/>
    <s v="HPE"/>
    <s v="P9M82A"/>
    <s v="THH923Z04V"/>
    <n v="1"/>
    <s v="IRIS-DEN-A02-1-06"/>
    <s v="_"/>
  </r>
  <r>
    <x v="1"/>
    <s v="HPE MSA 10TB 12G SAS 7.2K LFF 512e HDD"/>
    <s v="Disk"/>
    <s v="HPE"/>
    <s v="P9M82A"/>
    <s v="THH923Z096"/>
    <n v="1"/>
    <s v="IRIS-DEN-A02-1-07"/>
    <s v="_"/>
  </r>
  <r>
    <x v="1"/>
    <s v="HPE MSA 10TB 12G SAS 7.2K LFF 512e HDD"/>
    <s v="Disk"/>
    <s v="HPE"/>
    <s v="P9M82A"/>
    <s v="THH923Z099"/>
    <n v="1"/>
    <s v="IRIS-DEN-A02-1-08"/>
    <s v="_"/>
  </r>
  <r>
    <x v="1"/>
    <s v="HPE MSA 10TB 12G SAS 7.2K LFF 512e HDD"/>
    <s v="Disk"/>
    <s v="HPE"/>
    <s v="P9M82A"/>
    <s v="THH923Z04U"/>
    <n v="1"/>
    <s v="IRIS-DEN-A02-1-09"/>
    <s v="_"/>
  </r>
  <r>
    <x v="1"/>
    <s v="HPE MSA 10TB 12G SAS 7.2K LFF 512e HDD"/>
    <s v="Disk"/>
    <s v="HPE"/>
    <s v="P9M82A"/>
    <s v="THH923Z09P"/>
    <n v="1"/>
    <s v="IRIS-DEN-A02-1-10"/>
    <s v="_"/>
  </r>
  <r>
    <x v="1"/>
    <s v="HPE MSA 10TB 12G SAS 7.2K LFF 512e HDD"/>
    <s v="Disk"/>
    <s v="HPE"/>
    <s v="P9M82A"/>
    <s v="THH923Z098"/>
    <n v="1"/>
    <s v="IRIS-DEN-A02-1-11"/>
    <s v="_"/>
  </r>
  <r>
    <x v="1"/>
    <s v="HPE MSA 10TB 12G SAS 7.2K LFF 512e HDD"/>
    <s v="Disk"/>
    <s v="HPE"/>
    <s v="P9M82A"/>
    <s v="THH923Z04S"/>
    <n v="1"/>
    <s v="IRIS-DEN-A02-1-12"/>
    <s v="_"/>
  </r>
  <r>
    <x v="1"/>
    <s v="HPE MSA 2050 LFF Disk Enclosure - EXTENSION 2"/>
    <s v="Disk Enclosure - EXTENSION 2"/>
    <s v="HPE"/>
    <s v="Q1J06A"/>
    <s v="2S6912D143"/>
    <n v="1"/>
    <s v="_"/>
    <s v="IRIS-DEN-A02-2"/>
  </r>
  <r>
    <x v="1"/>
    <s v="HPE SPS-6GB MSA IO MODULE"/>
    <s v="Disk Enclosure"/>
    <s v="HPE"/>
    <s v="876146-001"/>
    <s v="7CE909G415"/>
    <n v="1"/>
    <s v="_"/>
    <s v="_"/>
  </r>
  <r>
    <x v="1"/>
    <s v="HPE SPS-6GB MSA IO MODULE"/>
    <s v="Disk Enclosure"/>
    <s v="HPE"/>
    <s v="876146-001"/>
    <s v="7CE909G725"/>
    <n v="1"/>
    <s v="_"/>
    <s v="_"/>
  </r>
  <r>
    <x v="1"/>
    <s v="HPE MSA 10TB 12G SAS 7.2K LFF 512e HDD"/>
    <s v="Disk"/>
    <s v="HPE"/>
    <s v="P9M82A"/>
    <s v="THH923Z09Y"/>
    <n v="1"/>
    <s v="IRIS-DEN-A02-2-01"/>
    <s v="_"/>
  </r>
  <r>
    <x v="1"/>
    <s v="HPE MSA 10TB 12G SAS 7.2K LFF 512e HDD"/>
    <s v="Disk"/>
    <s v="HPE"/>
    <s v="P9M82A"/>
    <s v="THH923Z04X"/>
    <n v="1"/>
    <s v="IRIS-DEN-A02-2-02"/>
    <s v="_"/>
  </r>
  <r>
    <x v="1"/>
    <s v="HPE MSA 10TB 12G SAS 7.2K LFF 512e HDD"/>
    <s v="Disk"/>
    <s v="HPE"/>
    <s v="P9M82A"/>
    <s v="THH923Z051"/>
    <n v="1"/>
    <s v="IRIS-DEN-A02-2-03"/>
    <s v="_"/>
  </r>
  <r>
    <x v="1"/>
    <s v="HPE MSA 10TB 12G SAS 7.2K LFF 512e HDD"/>
    <s v="Disk"/>
    <s v="HPE"/>
    <s v="P9M82A"/>
    <s v="THH923Z04H"/>
    <n v="1"/>
    <s v="IRIS-DEN-A02-2-04"/>
    <s v="_"/>
  </r>
  <r>
    <x v="1"/>
    <s v="HPE MSA 10TB 12G SAS 7.2K LFF 512e HDD"/>
    <s v="Disk"/>
    <s v="HPE"/>
    <s v="P9M82A"/>
    <s v="THH923Z050"/>
    <n v="1"/>
    <s v="IRIS-DEN-A02-2-05"/>
    <s v="_"/>
  </r>
  <r>
    <x v="1"/>
    <s v="HPE MSA 10TB 12G SAS 7.2K LFF 512e HDD"/>
    <s v="Disk"/>
    <s v="HPE"/>
    <s v="P9M82A"/>
    <s v="THH923Z053"/>
    <n v="1"/>
    <s v="IRIS-DEN-A02-2-06"/>
    <s v="_"/>
  </r>
  <r>
    <x v="1"/>
    <s v="HPE MSA 10TB 12G SAS 7.2K LFF 512e HDD"/>
    <s v="Disk"/>
    <s v="HPE"/>
    <s v="P9M82A"/>
    <s v="THH923Z09Z"/>
    <n v="1"/>
    <s v="IRIS-DEN-A02-2-07"/>
    <s v="_"/>
  </r>
  <r>
    <x v="1"/>
    <s v="HPE MSA 10TB 12G SAS 7.2K LFF 512e HDD"/>
    <s v="Disk"/>
    <s v="HPE"/>
    <s v="P9M82A"/>
    <s v="THH923Z04Y"/>
    <n v="1"/>
    <s v="IRIS-DEN-A02-2-08"/>
    <s v="_"/>
  </r>
  <r>
    <x v="1"/>
    <s v="HPE MSA 10TB 12G SAS 7.2K LFF 512e HDD"/>
    <s v="Disk"/>
    <s v="HPE"/>
    <s v="P9M82A"/>
    <s v="THH923Z06J"/>
    <n v="1"/>
    <s v="IRIS-DEN-A02-2-09"/>
    <s v="_"/>
  </r>
  <r>
    <x v="1"/>
    <s v="HPE MSA 10TB 12G SAS 7.2K LFF 512e HDD"/>
    <s v="Disk"/>
    <s v="HPE"/>
    <s v="P9M82A"/>
    <s v="THH923Z04D"/>
    <n v="1"/>
    <s v="IRIS-DEN-A02-2-10"/>
    <s v="_"/>
  </r>
  <r>
    <x v="1"/>
    <s v="HPE MSA 10TB 12G SAS 7.2K LFF 512e HDD"/>
    <s v="Disk"/>
    <s v="HPE"/>
    <s v="P9M82A"/>
    <s v="THH923Z04Z"/>
    <n v="1"/>
    <s v="IRIS-DEN-A02-2-11"/>
    <s v="_"/>
  </r>
  <r>
    <x v="1"/>
    <s v="HPE MSA 10TB 12G SAS 7.2K LFF 512e HDD"/>
    <s v="Disk"/>
    <s v="HPE"/>
    <s v="P9M82A"/>
    <s v="THH923Z06K"/>
    <n v="1"/>
    <s v="IRIS-DEN-A02-2-12"/>
    <s v="_"/>
  </r>
  <r>
    <x v="1"/>
    <s v="NTP TIME SERVER WITH OCXO"/>
    <s v="NTP Server"/>
    <s v="HEOL DESIGN"/>
    <s v="T101R-10us-AC-I/O-OCXOMR"/>
    <s v="0814300"/>
    <n v="1"/>
    <s v="POWER TRANSPORT CASE"/>
    <s v="IRIS-NTP-A02"/>
  </r>
  <r>
    <x v="1"/>
    <s v="HPE R5000 3U IECSO9-32A HV INTL UPS"/>
    <s v="UPS"/>
    <s v="HPE"/>
    <s v="AF461A"/>
    <s v="ACC8371121"/>
    <n v="1"/>
    <s v="POWER TRANSPORT CASE"/>
    <s v="IRIS-UPS-A02"/>
  </r>
  <r>
    <x v="2"/>
    <s v="HPE DL360 Gen10 8SFF CTO Server"/>
    <s v="Server"/>
    <s v="HPE"/>
    <s v="867959-B21"/>
    <s v="CZJ91702JX"/>
    <n v="1"/>
    <s v="NETWORK TRANSPORT CASE"/>
    <s v="IRIS-SRV1-C01"/>
  </r>
  <r>
    <x v="2"/>
    <s v="HPE BLc 10G SFP+ SR Transceiver"/>
    <s v="SFP module"/>
    <s v="HPE"/>
    <s v="455883-B21"/>
    <s v="7CR842N0FW"/>
    <n v="1"/>
    <s v="_"/>
    <s v="_"/>
  </r>
  <r>
    <x v="2"/>
    <s v="HPE BLc 10G SFP+ SR Transceiver"/>
    <s v="SFP module"/>
    <s v="HPE"/>
    <s v="455883-B21"/>
    <s v="7CR842N0G9"/>
    <n v="1"/>
    <s v="_"/>
    <s v="_"/>
  </r>
  <r>
    <x v="2"/>
    <s v="HPE 16G SFP+ SW XCVR-C"/>
    <s v="SFP module"/>
    <s v="HPE"/>
    <s v="E7Y10-63001"/>
    <s v="MY891115AN"/>
    <n v="1"/>
    <s v="_"/>
    <s v="_"/>
  </r>
  <r>
    <x v="2"/>
    <s v="HPE 16G SFP+ SW XCVR-C"/>
    <s v="SFP module"/>
    <s v="HPE"/>
    <s v="E7Y10-63001"/>
    <s v="MY891119TW"/>
    <n v="1"/>
    <s v="_"/>
    <s v="_"/>
  </r>
  <r>
    <x v="2"/>
    <s v="HPE DL360 Gen10 8SFF CTO Server"/>
    <s v="Server"/>
    <s v="HPE"/>
    <s v="867959-B21"/>
    <s v="CZJ91702K6"/>
    <n v="1"/>
    <s v="NETWORK TRANSPORT CASE"/>
    <s v="IRIS-SRV2-C01"/>
  </r>
  <r>
    <x v="2"/>
    <s v="HPE BLc 10G SFP+ SR Transceiver"/>
    <s v="SFP module"/>
    <s v="HPE"/>
    <s v="455883-B21"/>
    <s v="7CR842N0GC"/>
    <n v="1"/>
    <s v="_"/>
    <s v="_"/>
  </r>
  <r>
    <x v="2"/>
    <s v="HPE BLc 10G SFP+ SR Transceiver"/>
    <s v="SFP module"/>
    <s v="HPE"/>
    <s v="455883-B21"/>
    <s v="7CR842N0FV"/>
    <n v="1"/>
    <s v="_"/>
    <s v="_"/>
  </r>
  <r>
    <x v="2"/>
    <s v="HPE 16G SFP+ SW XCVR-C"/>
    <s v="SFP module"/>
    <s v="HPE"/>
    <s v="E7Y10-63001"/>
    <s v="MY891119P5"/>
    <n v="1"/>
    <s v="_"/>
    <s v="_"/>
  </r>
  <r>
    <x v="2"/>
    <s v="HPE 16G SFP+ SW XCVR-C"/>
    <s v="SFP module"/>
    <s v="HPE"/>
    <s v="E7Y10-63001"/>
    <s v="MY891119TV"/>
    <n v="1"/>
    <s v="_"/>
    <s v="_"/>
  </r>
  <r>
    <x v="2"/>
    <s v="CATALYST 3850 24 PORT 10G FIBER SWITCH BASE"/>
    <s v="Switch"/>
    <s v="CISCO"/>
    <s v="WS-C3850-24XS-S"/>
    <s v="FOC2309U01P"/>
    <n v="1"/>
    <s v="NETWORK TRANSPORT CASE"/>
    <s v="IRIS-SW1-C01"/>
  </r>
  <r>
    <x v="2"/>
    <s v="10GBASE-SR SFP MODULE"/>
    <s v="SFP module"/>
    <s v="CISCO"/>
    <s v="SFP-10G-SR-S"/>
    <s v="OPM22411UF2"/>
    <n v="1"/>
    <s v="_"/>
    <s v="_"/>
  </r>
  <r>
    <x v="2"/>
    <s v="10GBASE-SR SFP MODULE"/>
    <s v="SFP module"/>
    <s v="CISCO"/>
    <s v="SFP-10G-SR-S"/>
    <s v="OPM22411SM4"/>
    <n v="1"/>
    <s v="_"/>
    <s v="_"/>
  </r>
  <r>
    <x v="2"/>
    <s v="10GBASE-SR SFP MODULE"/>
    <s v="SFP module"/>
    <s v="CISCO"/>
    <s v="SFP-10G-SR-S"/>
    <s v="OPM22411SM2"/>
    <n v="1"/>
    <s v="_"/>
    <s v="_"/>
  </r>
  <r>
    <x v="2"/>
    <s v="10GBASE-SR SFP MODULE"/>
    <s v="SFP module"/>
    <s v="CISCO"/>
    <s v="SFP-10G-SR-S"/>
    <s v="OPM22411SM5"/>
    <n v="1"/>
    <s v="_"/>
    <s v="_"/>
  </r>
  <r>
    <x v="2"/>
    <s v="10GBASE-SR SFP MODULE"/>
    <s v="SFP module"/>
    <s v="CISCO"/>
    <s v="SFP-10G-SR-S"/>
    <s v="OPM22411SLY"/>
    <n v="1"/>
    <s v="_"/>
    <s v="_"/>
  </r>
  <r>
    <x v="2"/>
    <s v="1000BASE-SX SFP TRANSCEIVER MODULE"/>
    <s v="SFP module"/>
    <s v="CISCO"/>
    <s v="GLC-SX-MMD"/>
    <s v="OPM22390B9K"/>
    <n v="1"/>
    <s v="_"/>
    <s v="_"/>
  </r>
  <r>
    <x v="2"/>
    <s v="1000BASE-SX SFP TRANSCEIVER MODULE"/>
    <s v="SFP module"/>
    <s v="CISCO"/>
    <s v="GLC-SX-MMD"/>
    <s v="OPM22390B9N"/>
    <n v="1"/>
    <s v="_"/>
    <s v="_"/>
  </r>
  <r>
    <x v="2"/>
    <s v="1000BASE-SX SFP TRANSCEIVER MODULE"/>
    <s v="SFP module"/>
    <s v="CISCO"/>
    <s v="GLC-SX-MMD"/>
    <s v="OPM22390BGX"/>
    <n v="1"/>
    <s v="_"/>
    <s v="_"/>
  </r>
  <r>
    <x v="2"/>
    <s v="1000BASE-SX SFP TRANSCEIVER MODULE"/>
    <s v="SFP module"/>
    <s v="CISCO"/>
    <s v="GLC-SX-MMD"/>
    <s v="OPM22390BGY"/>
    <n v="1"/>
    <s v="_"/>
    <s v="_"/>
  </r>
  <r>
    <x v="2"/>
    <s v="1000BASE-T SFP TRANSCEIVER MODULE FOR CATEGORY 5 COPPER WIRE"/>
    <s v="SFP module"/>
    <s v="CISCO"/>
    <s v="GLC-TE"/>
    <s v="AVC230721EM"/>
    <n v="1"/>
    <s v="_"/>
    <s v="_"/>
  </r>
  <r>
    <x v="2"/>
    <s v="1000BASE-T SFP TRANSCEIVER MODULE FOR CATEGORY 5 COPPER WIRE"/>
    <s v="SFP module"/>
    <s v="CISCO"/>
    <s v="GLC-TE"/>
    <s v="AVC230721EH"/>
    <n v="1"/>
    <s v="_"/>
    <s v="_"/>
  </r>
  <r>
    <x v="2"/>
    <s v="1000BASE-T SFP TRANSCEIVER MODULE FOR CATEGORY 5 COPPER WIRE"/>
    <s v="SFP module"/>
    <s v="CISCO"/>
    <s v="GLC-TE"/>
    <s v="AVC230721EG"/>
    <n v="1"/>
    <s v="_"/>
    <s v="_"/>
  </r>
  <r>
    <x v="2"/>
    <s v="1000BASE-T SFP TRANSCEIVER MODULE FOR CATEGORY 5 COPPER WIRE"/>
    <s v="SFP module"/>
    <s v="CISCO"/>
    <s v="GLC-TE"/>
    <s v="AVC230721EF"/>
    <n v="1"/>
    <s v="_"/>
    <s v="_"/>
  </r>
  <r>
    <x v="2"/>
    <s v="CATALYST 3850 24 PORT 10G FIBER SWITCH BASE"/>
    <s v="Switch"/>
    <s v="CISCO"/>
    <s v="WS-C3850-24XS-S"/>
    <s v="FCW2308C19T"/>
    <n v="1"/>
    <s v="NETWORK TRANSPORT CASE"/>
    <s v="IRIS-SW2-C01"/>
  </r>
  <r>
    <x v="2"/>
    <s v="10GBASE-SR SFP MODULE"/>
    <s v="SFP module"/>
    <s v="CISCO"/>
    <s v="SFP-10G-SR-S"/>
    <s v="AVD2305D7GZ"/>
    <n v="1"/>
    <s v="_"/>
    <s v="_"/>
  </r>
  <r>
    <x v="2"/>
    <s v="10GBASE-SR SFP MODULE"/>
    <s v="SFP module"/>
    <s v="CISCO"/>
    <s v="SFP-10G-SR-S"/>
    <s v="AVD2305D7GS"/>
    <n v="1"/>
    <s v="_"/>
    <s v="_"/>
  </r>
  <r>
    <x v="2"/>
    <s v="10GBASE-SR SFP MODULE"/>
    <s v="SFP module"/>
    <s v="CISCO"/>
    <s v="SFP-10G-SR-S"/>
    <s v="AVD2305D7GJ"/>
    <n v="1"/>
    <s v="_"/>
    <s v="_"/>
  </r>
  <r>
    <x v="2"/>
    <s v="10GBASE-SR SFP MODULE"/>
    <s v="SFP module"/>
    <s v="CISCO"/>
    <s v="SFP-10G-SR-S"/>
    <s v="AVD2305D7H0"/>
    <n v="1"/>
    <s v="_"/>
    <s v="_"/>
  </r>
  <r>
    <x v="2"/>
    <s v="10GBASE-SR SFP MODULE"/>
    <s v="SFP module"/>
    <s v="CISCO"/>
    <s v="SFP-10G-SR-S"/>
    <s v="AVD2305D7H4"/>
    <n v="1"/>
    <s v="_"/>
    <s v="_"/>
  </r>
  <r>
    <x v="2"/>
    <s v="1000BASE-SX SFP TRANSCEIVER MODULE"/>
    <s v="SFP module"/>
    <s v="CISCO"/>
    <s v="GLC-SX-MMD"/>
    <s v="ACW23031NFJ"/>
    <n v="1"/>
    <s v="_"/>
    <s v="_"/>
  </r>
  <r>
    <x v="2"/>
    <s v="1000BASE-SX SFP TRANSCEIVER MODULE"/>
    <s v="SFP module"/>
    <s v="CISCO"/>
    <s v="GLC-SX-MMD"/>
    <s v="ACW23031NRL"/>
    <n v="1"/>
    <s v="_"/>
    <s v="_"/>
  </r>
  <r>
    <x v="2"/>
    <s v="1000BASE-SX SFP TRANSCEIVER MODULE"/>
    <s v="SFP module"/>
    <s v="CISCO"/>
    <s v="GLC-SX-MMD"/>
    <s v="ACW23031N89"/>
    <n v="1"/>
    <s v="_"/>
    <s v="_"/>
  </r>
  <r>
    <x v="2"/>
    <s v="1000BASE-T SFP TRANSCEIVER MODULE FOR CATEGORY 5 COPPER WIRE"/>
    <s v="SFP module"/>
    <s v="CISCO"/>
    <s v="GLC-TE"/>
    <s v="AVC230721FE"/>
    <n v="1"/>
    <s v="_"/>
    <s v="_"/>
  </r>
  <r>
    <x v="2"/>
    <s v="1000BASE-T SFP TRANSCEIVER MODULE FOR CATEGORY 5 COPPER WIRE"/>
    <s v="SFP module"/>
    <s v="CISCO"/>
    <s v="GLC-TE"/>
    <s v="AVC230721EJ"/>
    <n v="1"/>
    <s v="_"/>
    <s v="_"/>
  </r>
  <r>
    <x v="2"/>
    <s v="1000BASE-T SFP TRANSCEIVER MODULE FOR CATEGORY 5 COPPER WIRE"/>
    <s v="SFP module"/>
    <s v="CISCO"/>
    <s v="GLC-TE"/>
    <s v="AVC230721EK"/>
    <n v="1"/>
    <s v="_"/>
    <s v="_"/>
  </r>
  <r>
    <x v="2"/>
    <s v="1000BASE-T SFP TRANSCEIVER MODULE FOR CATEGORY 5 COPPER WIRE"/>
    <s v="SFP module"/>
    <s v="CISCO"/>
    <s v="GLC-TE"/>
    <s v="AVC230721EW"/>
    <n v="1"/>
    <s v="_"/>
    <s v="_"/>
  </r>
  <r>
    <x v="2"/>
    <s v="HPE DL360 Gen10 8SFF CTO Server"/>
    <s v="Server"/>
    <s v="HPE"/>
    <s v="867959-B21"/>
    <s v="CZJ91702K4"/>
    <n v="1"/>
    <s v="SERVER TRANSPORT CASE"/>
    <s v="IRIS-SRV3-C01"/>
  </r>
  <r>
    <x v="2"/>
    <s v="HPE BLc 10G SFP+ SR Transceiver"/>
    <s v="SFP module"/>
    <s v="HPE"/>
    <s v="455883-B21"/>
    <s v="7CR841N0EJ"/>
    <n v="1"/>
    <s v="_"/>
    <s v="_"/>
  </r>
  <r>
    <x v="2"/>
    <s v="HPE BLc 10G SFP+ SR Transceiver"/>
    <s v="SFP module"/>
    <s v="HPE"/>
    <s v="455883-B21"/>
    <s v="7CR841N0F2"/>
    <n v="1"/>
    <s v="_"/>
    <s v="_"/>
  </r>
  <r>
    <x v="2"/>
    <s v="HPE 16G SFP+ SW XCVR-C"/>
    <s v="SFP module"/>
    <s v="HPE"/>
    <s v="E7Y10-63001"/>
    <s v="MY891119LT"/>
    <n v="1"/>
    <s v="_"/>
    <s v="_"/>
  </r>
  <r>
    <x v="2"/>
    <s v="HPE 16G SFP+ SW XCVR-C"/>
    <s v="SFP module"/>
    <s v="HPE"/>
    <s v="E7Y10-63001"/>
    <s v="MY891119ND"/>
    <n v="1"/>
    <s v="_"/>
    <s v="_"/>
  </r>
  <r>
    <x v="2"/>
    <s v="HPE DL360 Gen10 8SFF CTO Server"/>
    <s v="Server"/>
    <s v="HPE"/>
    <s v="867959-B21"/>
    <s v="CZJ91702K2"/>
    <n v="1"/>
    <s v="SERVER TRANSPORT CASE"/>
    <s v="IRIS-SRV4-C01"/>
  </r>
  <r>
    <x v="2"/>
    <s v="HPE BLc 10G SFP+ SR Transceiver"/>
    <s v="SFP module"/>
    <s v="HPE"/>
    <s v="455883-B21"/>
    <s v="7CR842N0G2"/>
    <n v="1"/>
    <s v="_"/>
    <s v="_"/>
  </r>
  <r>
    <x v="2"/>
    <s v="HPE BLc 10G SFP+ SR Transceiver"/>
    <s v="SFP module"/>
    <s v="HPE"/>
    <s v="455883-B21"/>
    <s v="7CR841N0F7"/>
    <n v="1"/>
    <s v="_"/>
    <s v="_"/>
  </r>
  <r>
    <x v="2"/>
    <s v="HPE 16G SFP+ SW XCVR-C"/>
    <s v="SFP module"/>
    <s v="HPE"/>
    <s v="E7Y10-63001"/>
    <s v="MY891119MW"/>
    <n v="1"/>
    <s v="_"/>
    <s v="_"/>
  </r>
  <r>
    <x v="2"/>
    <s v="HPE 16G SFP+ SW XCVR-C"/>
    <s v="SFP module"/>
    <s v="HPE"/>
    <s v="E7Y10-63001"/>
    <s v="MY891119NR"/>
    <n v="1"/>
    <s v="_"/>
    <s v="_"/>
  </r>
  <r>
    <x v="2"/>
    <s v="HPE 400GB SAS 12G MU SFF SC DS 550"/>
    <s v="Disk"/>
    <s v="HPE"/>
    <s v="872374-B21"/>
    <s v="5C3905J06Z"/>
    <n v="1"/>
    <s v="IRIS-SRV4-C01-01"/>
    <s v="_"/>
  </r>
  <r>
    <x v="2"/>
    <s v="HPE 400GB SAS 12G MU SFF SC DS 550"/>
    <s v="Disk"/>
    <s v="HPE"/>
    <s v="872374-B21"/>
    <s v="5C3905J06J"/>
    <n v="1"/>
    <s v="IRIS-SRV4-C01-02"/>
    <s v="_"/>
  </r>
  <r>
    <x v="2"/>
    <s v="HPE MSA 2050 SAN DC LFF Storage"/>
    <s v="MSA SAN"/>
    <s v="HPE"/>
    <s v="Q1J00A"/>
    <s v="2S6910B090"/>
    <n v="1"/>
    <s v="SERVER TRANSPORT CASE"/>
    <s v="IRIS-MSA-C01"/>
  </r>
  <r>
    <x v="2"/>
    <s v="MSA 2050 SAN dual controller"/>
    <s v="MSA SAN"/>
    <s v="HPE"/>
    <s v="876127-001"/>
    <s v="7CE901M841"/>
    <n v="1"/>
    <s v="_"/>
    <s v="_"/>
  </r>
  <r>
    <x v="2"/>
    <s v="MSA 2050 SAN dual controller"/>
    <s v="MSA SAN"/>
    <s v="HPE"/>
    <s v="876127-001"/>
    <s v="7CE901M924"/>
    <n v="1"/>
    <s v="_"/>
    <s v="_"/>
  </r>
  <r>
    <x v="2"/>
    <s v="HPE MSA 10TB 12G SAS 7.2K LFF 512e HDD"/>
    <s v="Disk"/>
    <s v="HPE"/>
    <s v="P9M82A"/>
    <s v="THH917Z06U"/>
    <n v="1"/>
    <s v="IRIS-MSA-C01-01"/>
    <s v="_"/>
  </r>
  <r>
    <x v="2"/>
    <s v="HPE MSA 10TB 12G SAS 7.2K LFF 512e HDD"/>
    <s v="Disk"/>
    <s v="HPE"/>
    <s v="P9M82A"/>
    <s v="THH917Z076"/>
    <n v="1"/>
    <s v="IRIS-MSA-C01-02"/>
    <s v="_"/>
  </r>
  <r>
    <x v="2"/>
    <s v="HPE MSA 10TB 12G SAS 7.2K LFF 512e HDD"/>
    <s v="Disk"/>
    <s v="HPE"/>
    <s v="P9M82A"/>
    <s v="THH917Z07R"/>
    <n v="1"/>
    <s v="IRIS-MSA-C01-03"/>
    <s v="_"/>
  </r>
  <r>
    <x v="2"/>
    <s v="HPE MSA 10TB 12G SAS 7.2K LFF 512e HDD"/>
    <s v="Disk"/>
    <s v="HPE"/>
    <s v="P9M82A"/>
    <s v="THH917Z06J"/>
    <n v="1"/>
    <s v="IRIS-MSA-C01-04"/>
    <s v="_"/>
  </r>
  <r>
    <x v="2"/>
    <s v="HPE MSA 10TB 12G SAS 7.2K LFF 512e HDD"/>
    <s v="Disk"/>
    <s v="HPE"/>
    <s v="P9M82A"/>
    <s v="THH917Z06L"/>
    <n v="1"/>
    <s v="IRIS-MSA-C01-05"/>
    <s v="_"/>
  </r>
  <r>
    <x v="2"/>
    <s v="HPE MSA 10TB 12G SAS 7.2K LFF 512e HDD"/>
    <s v="Disk"/>
    <s v="HPE"/>
    <s v="P9M82A"/>
    <s v="THH917Z07J"/>
    <n v="1"/>
    <s v="IRIS-MSA-C01-06"/>
    <s v="_"/>
  </r>
  <r>
    <x v="2"/>
    <s v="HPE MSA 10TB 12G SAS 7.2K LFF 512e HDD"/>
    <s v="Disk"/>
    <s v="HPE"/>
    <s v="P9M82A"/>
    <s v="THH917Z06T"/>
    <n v="1"/>
    <s v="IRIS-MSA-C01-07"/>
    <s v="_"/>
  </r>
  <r>
    <x v="2"/>
    <s v="HPE MSA 10TB 12G SAS 7.2K LFF 512e HDD"/>
    <s v="Disk"/>
    <s v="HPE"/>
    <s v="P9M82A"/>
    <s v="THH917Z077"/>
    <n v="1"/>
    <s v="IRIS-MSA-C01-08"/>
    <s v="_"/>
  </r>
  <r>
    <x v="2"/>
    <s v="HPE MSA 10TB 12G SAS 7.2K LFF 512e HDD"/>
    <s v="Disk"/>
    <s v="HPE"/>
    <s v="P9M82A"/>
    <s v="THH917Z06V"/>
    <n v="1"/>
    <s v="IRIS-MSA-C01-09"/>
    <s v="_"/>
  </r>
  <r>
    <x v="2"/>
    <s v="HPE MSA 10TB 12G SAS 7.2K LFF 512e HDD"/>
    <s v="Disk"/>
    <s v="HPE"/>
    <s v="P9M82A"/>
    <s v="THH917Z074"/>
    <n v="1"/>
    <s v="IRIS-MSA-C01-10"/>
    <s v="_"/>
  </r>
  <r>
    <x v="2"/>
    <s v="HPE MSA 10TB 12G SAS 7.2K LFF 512e HDD"/>
    <s v="Disk"/>
    <s v="HPE"/>
    <s v="P9M82A"/>
    <s v="THH917Z06K"/>
    <n v="1"/>
    <s v="IRIS-MSA-C01-11"/>
    <s v="_"/>
  </r>
  <r>
    <x v="2"/>
    <s v="HPE MSA 10TB 12G SAS 7.2K LFF 512e HDD"/>
    <s v="Disk"/>
    <s v="HPE"/>
    <s v="P9M82A"/>
    <s v="THH917Z072"/>
    <n v="1"/>
    <s v="IRIS-MSA-C01-12"/>
    <s v="_"/>
  </r>
  <r>
    <x v="2"/>
    <s v="HPE MSA 16GB SW FC SFP"/>
    <s v="SFP module"/>
    <s v="HPE"/>
    <s v="720999-002"/>
    <s v="MY8905112M"/>
    <n v="1"/>
    <s v="_"/>
    <s v="_"/>
  </r>
  <r>
    <x v="2"/>
    <s v="HPE MSA 16GB SW FC SFP"/>
    <s v="SFP module"/>
    <s v="HPE"/>
    <s v="720999-002"/>
    <s v="MY8905111V"/>
    <n v="1"/>
    <s v="_"/>
    <s v="_"/>
  </r>
  <r>
    <x v="2"/>
    <s v="HPE MSA 16GB SW FC SFP"/>
    <s v="SFP module"/>
    <s v="HPE"/>
    <s v="720999-002"/>
    <s v="MY890510WG"/>
    <n v="1"/>
    <s v="_"/>
    <s v="_"/>
  </r>
  <r>
    <x v="2"/>
    <s v="HPE MSA 16GB SW FC SFP"/>
    <s v="SFP module"/>
    <s v="HPE"/>
    <s v="720999-002"/>
    <s v="MY8905113S"/>
    <n v="1"/>
    <s v="_"/>
    <s v="_"/>
  </r>
  <r>
    <x v="2"/>
    <s v="HPE MSA 16GB SW FC SFP"/>
    <s v="SFP module"/>
    <s v="HPE"/>
    <s v="720999-002"/>
    <s v="MY89051125"/>
    <n v="1"/>
    <s v="_"/>
    <s v="_"/>
  </r>
  <r>
    <x v="2"/>
    <s v="HPE MSA 16GB SW FC SFP"/>
    <s v="SFP module"/>
    <s v="HPE"/>
    <s v="720999-002"/>
    <s v="MY8905112F"/>
    <n v="1"/>
    <s v="_"/>
    <s v="_"/>
  </r>
  <r>
    <x v="2"/>
    <s v="HPE MSA 16GB SW FC SFP"/>
    <s v="SFP module"/>
    <s v="HPE"/>
    <s v="720999-002"/>
    <s v="MY8905113Y"/>
    <n v="1"/>
    <s v="_"/>
    <s v="_"/>
  </r>
  <r>
    <x v="2"/>
    <s v="HPE MSA 16GB SW FC SFP"/>
    <s v="SFP module"/>
    <s v="HPE"/>
    <s v="720999-002"/>
    <s v="MY8905112V"/>
    <n v="1"/>
    <s v="_"/>
    <s v="_"/>
  </r>
  <r>
    <x v="2"/>
    <s v="NTP TIME SERVER WITH OCXO"/>
    <s v="NTP Server"/>
    <s v="HEOL DESIGN"/>
    <s v="T101R-10us-AC-I/O-OCXOMR"/>
    <s v="0814301"/>
    <n v="1"/>
    <s v="POWER TRANSPORT CASE"/>
    <s v="IRIS-NTP-C01"/>
  </r>
  <r>
    <x v="2"/>
    <s v="HPE R5000 3U IECSO9-32A HV INTL UPS"/>
    <s v="UPS"/>
    <s v="HPE"/>
    <s v="AF461A"/>
    <s v="ACC8390065"/>
    <n v="1"/>
    <s v="POWER TRANSPORT CASE"/>
    <s v="IRIS-UPS-C01"/>
  </r>
  <r>
    <x v="2"/>
    <s v="HP ZBOOK 17 G4"/>
    <s v="Laptop"/>
    <s v="EUROTEMPEST"/>
    <s v="Y3J81AV"/>
    <s v="2019.05.17093"/>
    <n v="1"/>
    <s v="_"/>
    <s v="IRIS-MMCO1-C01"/>
  </r>
  <r>
    <x v="2"/>
    <s v="HP EliteDisplay E243i"/>
    <s v="Screen"/>
    <s v="EUROTEMPEST"/>
    <s v="1FH49AT"/>
    <s v="2019.05.17509"/>
    <n v="1"/>
    <s v="_"/>
    <s v="IRIS-24-SCR01-C01"/>
  </r>
  <r>
    <x v="2"/>
    <s v="HP EliteDisplay E243i"/>
    <s v="Screen"/>
    <s v="EUROTEMPEST"/>
    <s v="1FH49AT"/>
    <s v="2019.05.17508"/>
    <n v="1"/>
    <s v="_"/>
    <s v="IRIS-24-SCR02-C01"/>
  </r>
  <r>
    <x v="2"/>
    <s v="HP ZBOOK 17 G4"/>
    <s v="Laptop"/>
    <s v="EUROTEMPEST"/>
    <s v="Y3J81AV"/>
    <s v="2019.05.17103"/>
    <n v="1"/>
    <s v="_"/>
    <s v="IRIS-OPR01-C01"/>
  </r>
  <r>
    <x v="2"/>
    <s v="HP EliteDisplay E243i"/>
    <s v="Screen"/>
    <s v="EUROTEMPEST"/>
    <s v="1FH49AT"/>
    <s v="2019.05.17507"/>
    <n v="1"/>
    <s v="_"/>
    <s v="IRIS-24-SCR03-C01"/>
  </r>
  <r>
    <x v="2"/>
    <s v="HP EliteDisplay E243i"/>
    <s v="Screen"/>
    <s v="EUROTEMPEST"/>
    <s v="1FH49AT"/>
    <s v="2019.05.17504"/>
    <n v="1"/>
    <s v="_"/>
    <s v="IRIS-24-SCR04-C01"/>
  </r>
  <r>
    <x v="2"/>
    <s v="HP ZBOOK 17 G4"/>
    <s v="Laptop"/>
    <s v="EUROTEMPEST"/>
    <s v="Y3J81AV"/>
    <s v="2019.05.17104"/>
    <n v="1"/>
    <s v="_"/>
    <s v="IRIS-OPR02-C01"/>
  </r>
  <r>
    <x v="2"/>
    <s v="HP EliteDisplay E243i"/>
    <s v="Screen"/>
    <s v="EUROTEMPEST"/>
    <s v="1FH49AT"/>
    <s v="2019.05.17505"/>
    <n v="1"/>
    <s v="_"/>
    <s v="IRIS-24-SCR05-C01"/>
  </r>
  <r>
    <x v="2"/>
    <s v="HP EliteDisplay E243i"/>
    <s v="Screen"/>
    <s v="EUROTEMPEST"/>
    <s v="1FH49AT"/>
    <s v="2019.05.17506"/>
    <n v="1"/>
    <s v="_"/>
    <s v="IRIS-24-SCR06-C01"/>
  </r>
  <r>
    <x v="2"/>
    <s v="HP ZBOOK 17 G4"/>
    <s v="Laptop"/>
    <s v="EUROTEMPEST"/>
    <s v="Y3J81AV"/>
    <s v="2019.05.17105"/>
    <n v="1"/>
    <s v="_"/>
    <s v="IRIS-OPR03-C01"/>
  </r>
  <r>
    <x v="2"/>
    <s v="HP EliteDisplay E243i"/>
    <s v="Screen"/>
    <s v="EUROTEMPEST"/>
    <s v="1FH49AT"/>
    <s v="2019.05.17499"/>
    <n v="1"/>
    <s v="_"/>
    <s v="IRIS-24-SCR07-C01"/>
  </r>
  <r>
    <x v="2"/>
    <s v="HP EliteDisplay E243i"/>
    <s v="Screen"/>
    <s v="EUROTEMPEST"/>
    <s v="1FH49AT"/>
    <s v="2019.05.17498"/>
    <n v="1"/>
    <s v="_"/>
    <s v="IRIS-24-SCR08-C01"/>
  </r>
  <r>
    <x v="2"/>
    <s v="HP ZBOOK 17 G4"/>
    <s v="Laptop"/>
    <s v="EUROTEMPEST"/>
    <s v="Y3J81AV"/>
    <s v="2019.05.17106"/>
    <n v="1"/>
    <s v="_"/>
    <s v="IRIS-OPR04-C01"/>
  </r>
  <r>
    <x v="2"/>
    <s v="HP EliteDisplay E243i"/>
    <s v="Screen"/>
    <s v="EUROTEMPEST"/>
    <s v="1FH49AT"/>
    <s v="2019.05.17503"/>
    <n v="1"/>
    <s v="_"/>
    <s v="IRIS-24-SCR09-C01"/>
  </r>
  <r>
    <x v="2"/>
    <s v="HP EliteDisplay E243i"/>
    <s v="Screen"/>
    <s v="EUROTEMPEST"/>
    <s v="1FH49AT"/>
    <s v="2019.05.17502"/>
    <n v="1"/>
    <s v="_"/>
    <s v="IRIS-24-SCR10-C01"/>
  </r>
  <r>
    <x v="2"/>
    <s v="HP ZBOOK 17 G4"/>
    <s v="Laptop"/>
    <s v="EUROTEMPEST"/>
    <s v="Y3J81AV"/>
    <s v="2019.05.17107"/>
    <n v="1"/>
    <s v="_"/>
    <s v="IRIS-OPR05-C01"/>
  </r>
  <r>
    <x v="2"/>
    <s v="HP EliteDisplay E243i"/>
    <s v="Screen"/>
    <s v="EUROTEMPEST"/>
    <s v="1FH49AT"/>
    <s v="2019.05.17501"/>
    <n v="1"/>
    <s v="_"/>
    <s v="IRIS-24-SCR11-C01"/>
  </r>
  <r>
    <x v="2"/>
    <s v="HP EliteDisplay E243i"/>
    <s v="Screen"/>
    <s v="EUROTEMPEST"/>
    <s v="1FH49AT"/>
    <s v="2019.05.17497"/>
    <n v="1"/>
    <s v="_"/>
    <s v="IRIS-24-SCR12-C01"/>
  </r>
  <r>
    <x v="2"/>
    <s v="SPARE / IRIS - C01"/>
    <s v="SPARE / IRIS - C01"/>
    <s v="SPARE / IRIS - C01"/>
    <s v="SPARE / IRIS - C01"/>
    <s v="SPARE / IRIS - C01"/>
    <n v="1"/>
    <s v="SPARE / IRIS - C01"/>
    <s v="SPARE / IRIS - C01"/>
  </r>
  <r>
    <x v="2"/>
    <s v="HP ZBOOK 17 G4"/>
    <s v="Laptop"/>
    <s v="EUROTEMPEST"/>
    <s v="Y3J81AV"/>
    <s v="2019.05.17094"/>
    <n v="1"/>
    <s v="_"/>
    <s v="IRIS-MM-SPARE-C01"/>
  </r>
  <r>
    <x v="2"/>
    <s v="HP EliteDisplay E243i"/>
    <s v="Screen"/>
    <s v="EUROTEMPEST"/>
    <s v="1FH49AT"/>
    <s v="2019.05.17496"/>
    <n v="1"/>
    <s v="_"/>
    <s v="IRIS-24-SPARC01-C01"/>
  </r>
  <r>
    <x v="2"/>
    <s v="HP EliteDisplay E243i"/>
    <s v="Screen"/>
    <s v="EUROTEMPEST"/>
    <s v="1FH49AT"/>
    <s v="2019.05.17492"/>
    <n v="1"/>
    <s v="_"/>
    <s v="IRIS-24-SPARE02-C01"/>
  </r>
  <r>
    <x v="3"/>
    <s v="HPE DL360 Gen10 8SFF CTO Server"/>
    <s v="Server"/>
    <s v="HPE"/>
    <s v="867959-B21"/>
    <s v="CZJ91702K5"/>
    <n v="1"/>
    <s v="NETWORK TRANSPORT CASE"/>
    <s v="IRIS-SRV1-B01"/>
  </r>
  <r>
    <x v="3"/>
    <s v="HPE BLc 10G SFP+ SR Transceiver"/>
    <s v="SFP module"/>
    <s v="HPE"/>
    <s v="455883-B21"/>
    <s v="7CR841N0XV"/>
    <n v="1"/>
    <s v="_"/>
    <s v="_"/>
  </r>
  <r>
    <x v="3"/>
    <s v="HPE BLc 10G SFP+ SR Transceiver"/>
    <s v="SFP module"/>
    <s v="HPE"/>
    <s v="455883-B21"/>
    <s v="7CR841N0YA"/>
    <n v="1"/>
    <s v="_"/>
    <s v="_"/>
  </r>
  <r>
    <x v="3"/>
    <s v="HPE 16G SFP+ SW XCVR-C"/>
    <s v="SFP module"/>
    <s v="HPE"/>
    <s v="E7Y10-63001"/>
    <s v="MY891115B3"/>
    <n v="1"/>
    <s v="_"/>
    <s v="_"/>
  </r>
  <r>
    <x v="3"/>
    <s v="HPE 16G SFP+ SW XCVR-C"/>
    <s v="SFP module"/>
    <s v="HPE"/>
    <s v="E7Y10-63001"/>
    <s v="MY891115BQ"/>
    <n v="1"/>
    <s v="_"/>
    <s v="_"/>
  </r>
  <r>
    <x v="3"/>
    <s v="HPE DL360 Gen10 8SFF CTO Server"/>
    <s v="Server"/>
    <s v="HPE"/>
    <s v="867959-B21"/>
    <s v="CZJ91702K1"/>
    <n v="1"/>
    <s v="NETWORK TRANSPORT CASE"/>
    <s v="IRIS-SRV2-B01"/>
  </r>
  <r>
    <x v="3"/>
    <s v="HPE BLc 10G SFP+ SR Transceiver"/>
    <s v="SFP module"/>
    <s v="HPE"/>
    <s v="455883-B21"/>
    <s v="7CR841N11D"/>
    <n v="1"/>
    <s v="_"/>
    <s v="_"/>
  </r>
  <r>
    <x v="3"/>
    <s v="HPE BLc 10G SFP+ SR Transceiver"/>
    <s v="SFP module"/>
    <s v="HPE"/>
    <s v="455883-B21"/>
    <s v="7CR841N0YC"/>
    <n v="1"/>
    <s v="_"/>
    <s v="_"/>
  </r>
  <r>
    <x v="3"/>
    <s v="HPE 16G SFP+ SW XCVR-C"/>
    <s v="SFP module"/>
    <s v="HPE"/>
    <s v="E7Y10-63001"/>
    <s v="MY891115B6"/>
    <n v="1"/>
    <s v="_"/>
    <s v="_"/>
  </r>
  <r>
    <x v="3"/>
    <s v="HPE 16G SFP+ SW XCVR-C"/>
    <s v="SFP module"/>
    <s v="HPE"/>
    <s v="E7Y10-63001"/>
    <s v="MY891115BU"/>
    <n v="1"/>
    <s v="_"/>
    <s v="_"/>
  </r>
  <r>
    <x v="3"/>
    <s v="CATALYST 3850 24 PORT 10G FIBER SWITCH BASE"/>
    <s v="Switch"/>
    <s v="CISCO"/>
    <s v="WS-C3850-24XS-S"/>
    <s v="FOC2309X0B7"/>
    <n v="1"/>
    <s v="NETWORK TRANSPORT CASE"/>
    <s v="IRIS-SW1-B01"/>
  </r>
  <r>
    <x v="3"/>
    <s v="10GBASE-SR SFP MODULE"/>
    <s v="SFP module"/>
    <s v="CISCO"/>
    <s v="SFP-10G-SR-S"/>
    <s v="AVD2305D7EK"/>
    <n v="1"/>
    <s v="_"/>
    <s v="_"/>
  </r>
  <r>
    <x v="3"/>
    <s v="10GBASE-SR SFP MODULE"/>
    <s v="SFP module"/>
    <s v="CISCO"/>
    <s v="SFP-10G-SR-S"/>
    <s v="AVD2305D7EW"/>
    <n v="1"/>
    <s v="_"/>
    <s v="_"/>
  </r>
  <r>
    <x v="3"/>
    <s v="10GBASE-SR SFP MODULE"/>
    <s v="SFP module"/>
    <s v="CISCO"/>
    <s v="SFP-10G-SR-S"/>
    <s v="AVD2305D7EZ"/>
    <n v="1"/>
    <s v="_"/>
    <s v="_"/>
  </r>
  <r>
    <x v="3"/>
    <s v="10GBASE-SR SFP MODULE"/>
    <s v="SFP module"/>
    <s v="CISCO"/>
    <s v="SFP-10G-SR-S"/>
    <s v="AVD2305D7FJ"/>
    <n v="1"/>
    <s v="_"/>
    <s v="_"/>
  </r>
  <r>
    <x v="3"/>
    <s v="10GBASE-SR SFP MODULE"/>
    <s v="SFP module"/>
    <s v="CISCO"/>
    <s v="SFP-10G-SR-S"/>
    <s v="AVD2305D76M"/>
    <n v="1"/>
    <s v="_"/>
    <s v="_"/>
  </r>
  <r>
    <x v="3"/>
    <s v="1000BASE-SX SFP TRANSCEIVER MODULE"/>
    <s v="SFP module"/>
    <s v="CISCO"/>
    <s v="GLC-SX-MMD"/>
    <s v="OPM22390BA6"/>
    <n v="1"/>
    <s v="_"/>
    <s v="_"/>
  </r>
  <r>
    <x v="3"/>
    <s v="1000BASE-SX SFP TRANSCEIVER MODULE"/>
    <s v="SFP module"/>
    <s v="CISCO"/>
    <s v="GLC-SX-MMD"/>
    <s v="OPM22390BA8"/>
    <n v="1"/>
    <s v="_"/>
    <s v="_"/>
  </r>
  <r>
    <x v="3"/>
    <s v="1000BASE-SX SFP TRANSCEIVER MODULE"/>
    <s v="SFP module"/>
    <s v="CISCO"/>
    <s v="GLC-SX-MMD"/>
    <s v="OPM22390BH1"/>
    <n v="1"/>
    <s v="_"/>
    <s v="_"/>
  </r>
  <r>
    <x v="3"/>
    <s v="1000BASE-SX SFP TRANSCEIVER MODULE"/>
    <s v="SFP module"/>
    <s v="CISCO"/>
    <s v="GLC-SX-MMD"/>
    <s v="OPM22390BH2"/>
    <n v="1"/>
    <s v="_"/>
    <s v="_"/>
  </r>
  <r>
    <x v="3"/>
    <s v="1000BASE-SX SFP TRANSCEIVER MODULE"/>
    <s v="SFP module"/>
    <s v="CISCO"/>
    <s v="GLC-SX-MMD"/>
    <s v="OPM22390BAA"/>
    <n v="1"/>
    <s v="_"/>
    <s v="_"/>
  </r>
  <r>
    <x v="3"/>
    <s v="1000BASE-SX SFP TRANSCEIVER MODULE"/>
    <s v="SFP module"/>
    <s v="CISCO"/>
    <s v="GLC-SX-MMD"/>
    <s v="OPM22390BA1"/>
    <n v="1"/>
    <s v="_"/>
    <s v="_"/>
  </r>
  <r>
    <x v="3"/>
    <s v="1000BASE-SX SFP TRANSCEIVER MODULE"/>
    <s v="SFP module"/>
    <s v="CISCO"/>
    <s v="GLC-SX-MMD"/>
    <s v="OPM22390BA7"/>
    <n v="1"/>
    <s v="_"/>
    <s v="_"/>
  </r>
  <r>
    <x v="3"/>
    <s v="1000BASE-SX SFP TRANSCEIVER MODULE"/>
    <s v="SFP module"/>
    <s v="CISCO"/>
    <s v="GLC-SX-MMD"/>
    <s v="OPM22390BH0"/>
    <n v="1"/>
    <s v="_"/>
    <s v="_"/>
  </r>
  <r>
    <x v="3"/>
    <s v="1000BASE-SX SFP TRANSCEIVER MODULE"/>
    <s v="SFP module"/>
    <s v="CISCO"/>
    <s v="GLC-SX-MMD"/>
    <s v="ACW23031NMS"/>
    <n v="1"/>
    <s v="_"/>
    <s v="_"/>
  </r>
  <r>
    <x v="3"/>
    <s v="1000BASE-T SFP TRANSCEIVER MODULE FOR CATEGORY 5 COPPER WIRE"/>
    <s v="SFP module"/>
    <s v="CISCO"/>
    <s v="GLC-TE"/>
    <s v="AVC230721F2"/>
    <n v="1"/>
    <s v="_"/>
    <s v="_"/>
  </r>
  <r>
    <x v="3"/>
    <s v="1000BASE-T SFP TRANSCEIVER MODULE FOR CATEGORY 5 COPPER WIRE"/>
    <s v="SFP module"/>
    <s v="CISCO"/>
    <s v="GLC-TE"/>
    <s v="AVC230721FB"/>
    <n v="1"/>
    <s v="_"/>
    <s v="_"/>
  </r>
  <r>
    <x v="3"/>
    <s v="1000BASE-T SFP TRANSCEIVER MODULE FOR CATEGORY 5 COPPER WIRE"/>
    <s v="SFP module"/>
    <s v="CISCO"/>
    <s v="GLC-TE"/>
    <s v="AVC230721ER"/>
    <n v="1"/>
    <s v="_"/>
    <s v="_"/>
  </r>
  <r>
    <x v="3"/>
    <s v="1000BASE-T SFP TRANSCEIVER MODULE FOR CATEGORY 5 COPPER WIRE"/>
    <s v="SFP module"/>
    <s v="CISCO"/>
    <s v="GLC-TE"/>
    <s v="AVC230721EN"/>
    <n v="1"/>
    <s v="_"/>
    <s v="_"/>
  </r>
  <r>
    <x v="3"/>
    <s v="CATALYST 3850 24 PORT 10G FIBER SWITCH BASE"/>
    <s v="Switch"/>
    <s v="CISCO"/>
    <s v="WS-C3850-24XS-S"/>
    <s v="FCW2309C01W"/>
    <n v="1"/>
    <s v="NETWORK TRANSPORT CASE"/>
    <s v="IRIS-SW2-B01"/>
  </r>
  <r>
    <x v="3"/>
    <s v="10GBASE-SR SFP MODULE"/>
    <s v="SFP module"/>
    <s v="CISCO"/>
    <s v="SFP-10G-SR-S"/>
    <s v="AVD2305D7FW"/>
    <n v="1"/>
    <s v="_"/>
    <s v="_"/>
  </r>
  <r>
    <x v="3"/>
    <s v="10GBASE-SR SFP MODULE"/>
    <s v="SFP module"/>
    <s v="CISCO"/>
    <s v="SFP-10G-SR-S"/>
    <s v="AVD2305D7G5"/>
    <n v="1"/>
    <s v="_"/>
    <s v="_"/>
  </r>
  <r>
    <x v="3"/>
    <s v="10GBASE-SR SFP MODULE"/>
    <s v="SFP module"/>
    <s v="CISCO"/>
    <s v="SFP-10G-SR-S"/>
    <s v="AVD2305D7G6"/>
    <n v="1"/>
    <s v="_"/>
    <s v="_"/>
  </r>
  <r>
    <x v="3"/>
    <s v="10GBASE-SR SFP MODULE"/>
    <s v="SFP module"/>
    <s v="CISCO"/>
    <s v="SFP-10G-SR-S"/>
    <s v="AVD2305D7G3"/>
    <n v="1"/>
    <s v="_"/>
    <s v="_"/>
  </r>
  <r>
    <x v="3"/>
    <s v="10GBASE-SR SFP MODULE"/>
    <s v="SFP module"/>
    <s v="CISCO"/>
    <s v="SFP-10G-SR-S"/>
    <s v="AVD2305D7F9"/>
    <n v="1"/>
    <s v="_"/>
    <s v="_"/>
  </r>
  <r>
    <x v="3"/>
    <s v="1000BASE-SX SFP TRANSCEIVER MODULE"/>
    <s v="SFP module"/>
    <s v="CISCO"/>
    <s v="GLC-SX-MMD"/>
    <s v="ACW230346HH"/>
    <n v="1"/>
    <s v="_"/>
    <s v="_"/>
  </r>
  <r>
    <x v="3"/>
    <s v="1000BASE-SX SFP TRANSCEIVER MODULE"/>
    <s v="SFP module"/>
    <s v="CISCO"/>
    <s v="GLC-SX-MMD"/>
    <s v="ACW23031N4D"/>
    <n v="1"/>
    <s v="_"/>
    <s v="_"/>
  </r>
  <r>
    <x v="3"/>
    <s v="1000BASE-SX SFP TRANSCEIVER MODULE"/>
    <s v="SFP module"/>
    <s v="CISCO"/>
    <s v="GLC-SX-MMD"/>
    <s v="ACW23031NSF"/>
    <n v="1"/>
    <s v="_"/>
    <s v="_"/>
  </r>
  <r>
    <x v="3"/>
    <s v="1000BASE-SX SFP TRANSCEIVER MODULE"/>
    <s v="SFP module"/>
    <s v="CISCO"/>
    <s v="GLC-SX-MMD"/>
    <s v="ACW23031NMG"/>
    <n v="1"/>
    <s v="_"/>
    <s v="_"/>
  </r>
  <r>
    <x v="3"/>
    <s v="1000BASE-SX SFP TRANSCEIVER MODULE"/>
    <s v="SFP module"/>
    <s v="CISCO"/>
    <s v="GLC-SX-MMD"/>
    <s v="ACW23031NMV"/>
    <n v="1"/>
    <s v="_"/>
    <s v="_"/>
  </r>
  <r>
    <x v="3"/>
    <s v="1000BASE-SX SFP TRANSCEIVER MODULE"/>
    <s v="SFP module"/>
    <s v="CISCO"/>
    <s v="GLC-SX-MMD"/>
    <s v="ACW23031MJS"/>
    <n v="1"/>
    <s v="_"/>
    <s v="_"/>
  </r>
  <r>
    <x v="3"/>
    <s v="1000BASE-SX SFP TRANSCEIVER MODULE"/>
    <s v="SFP module"/>
    <s v="CISCO"/>
    <s v="GLC-SX-MMD"/>
    <s v="ACW230341527"/>
    <n v="1"/>
    <s v="_"/>
    <s v="_"/>
  </r>
  <r>
    <x v="3"/>
    <s v="1000BASE-SX SFP TRANSCEIVER MODULE"/>
    <s v="SFP module"/>
    <s v="CISCO"/>
    <s v="GLC-SX-MMD"/>
    <s v="ACW230341621"/>
    <n v="1"/>
    <s v="_"/>
    <s v="_"/>
  </r>
  <r>
    <x v="3"/>
    <s v="1000BASE-T SFP TRANSCEIVER MODULE FOR CATEGORY 5 COPPER WIRE"/>
    <s v="SFP module"/>
    <s v="CISCO"/>
    <s v="GLC-TE"/>
    <s v="AVC230721ES"/>
    <n v="1"/>
    <s v="_"/>
    <s v="_"/>
  </r>
  <r>
    <x v="3"/>
    <s v="1000BASE-T SFP TRANSCEIVER MODULE FOR CATEGORY 5 COPPER WIRE"/>
    <s v="SFP module"/>
    <s v="CISCO"/>
    <s v="GLC-TE"/>
    <s v="AVC230721EP"/>
    <n v="1"/>
    <s v="_"/>
    <s v="_"/>
  </r>
  <r>
    <x v="3"/>
    <s v="1000BASE-T SFP TRANSCEIVER MODULE FOR CATEGORY 5 COPPER WIRE"/>
    <s v="SFP module"/>
    <s v="CISCO"/>
    <s v="GLC-TE"/>
    <s v="AVC230721EQ"/>
    <n v="1"/>
    <s v="_"/>
    <s v="_"/>
  </r>
  <r>
    <x v="3"/>
    <s v="1000BASE-T SFP TRANSCEIVER MODULE FOR CATEGORY 5 COPPER WIRE"/>
    <s v="SFP module"/>
    <s v="CISCO"/>
    <s v="GLC-TE"/>
    <s v="AVC230721F3"/>
    <n v="1"/>
    <s v="_"/>
    <s v="_"/>
  </r>
  <r>
    <x v="3"/>
    <s v="HPE DL360 Gen10 8SFF CTO Server"/>
    <s v="Server"/>
    <s v="HPE"/>
    <s v="867959-B21"/>
    <s v="CZJ91702JR"/>
    <n v="1"/>
    <s v="SERVER TRANSPORT CASE"/>
    <s v="IRIS-SRV3-B01"/>
  </r>
  <r>
    <x v="3"/>
    <s v="HPE BLc 10G SFP+ SR Transceiver"/>
    <s v="SFP module"/>
    <s v="HPE"/>
    <s v="455883-B21"/>
    <s v="7CR841N11N"/>
    <n v="1"/>
    <s v="_"/>
    <s v="_"/>
  </r>
  <r>
    <x v="3"/>
    <s v="HPE BLc 10G SFP+ SR Transceiver"/>
    <s v="SFP module"/>
    <s v="HPE"/>
    <s v="455883-B21"/>
    <s v="7CR841N11H"/>
    <n v="1"/>
    <s v="_"/>
    <s v="_"/>
  </r>
  <r>
    <x v="3"/>
    <s v="HPE 16G SFP+ SW XCVR-C"/>
    <s v="SFP module"/>
    <s v="HPE"/>
    <s v="E7Y10-63001"/>
    <s v="MY891114JB"/>
    <n v="1"/>
    <s v="_"/>
    <s v="_"/>
  </r>
  <r>
    <x v="3"/>
    <s v="HPE 16G SFP+ SW XCVR-C"/>
    <s v="SFP module"/>
    <s v="HPE"/>
    <s v="E7Y10-63001"/>
    <s v="MY891118BY"/>
    <n v="1"/>
    <s v="_"/>
    <s v="_"/>
  </r>
  <r>
    <x v="3"/>
    <s v="HPE DL360 Gen10 8SFF CTO Server"/>
    <s v="Server"/>
    <s v="HPE"/>
    <s v="867959-B21"/>
    <s v="CZJ91702JT"/>
    <n v="1"/>
    <s v="SERVER TRANSPORT CASE"/>
    <s v="IRIS-SRV4-B01"/>
  </r>
  <r>
    <x v="3"/>
    <s v="HPE BLc 10G SFP+ SR Transceiver"/>
    <s v="SFP module"/>
    <s v="HPE"/>
    <s v="455883-B21"/>
    <s v="7CR841N11F"/>
    <n v="1"/>
    <s v="_"/>
    <s v="_"/>
  </r>
  <r>
    <x v="3"/>
    <s v="HPE BLc 10G SFP+ SR Transceiver"/>
    <s v="SFP module"/>
    <s v="HPE"/>
    <s v="455883-B21"/>
    <s v="7CR841N0YD"/>
    <n v="1"/>
    <s v="_"/>
    <s v="_"/>
  </r>
  <r>
    <x v="3"/>
    <s v="HPE 16G SFP+ SW XCVR-C"/>
    <s v="SFP module"/>
    <s v="HPE"/>
    <s v="E7Y10-63001"/>
    <s v="MY891117SR"/>
    <n v="1"/>
    <s v="_"/>
    <s v="_"/>
  </r>
  <r>
    <x v="3"/>
    <s v="HPE 16G SFP+ SW XCVR-C"/>
    <s v="SFP module"/>
    <s v="HPE"/>
    <s v="E7Y10-63001"/>
    <s v="MY891114JD"/>
    <n v="1"/>
    <s v="_"/>
    <s v="_"/>
  </r>
  <r>
    <x v="3"/>
    <s v="HPE 400GB SAS 12G MU SFF SC DS 550"/>
    <s v="Disk"/>
    <s v="HPE"/>
    <s v="872374-B21"/>
    <s v="5C3905J06L"/>
    <n v="1"/>
    <s v="IRIS-SRV4-B01-01"/>
    <s v="_"/>
  </r>
  <r>
    <x v="3"/>
    <s v="HPE 400GB SAS 12G MU SFF SC DS 550"/>
    <s v="Disk"/>
    <s v="HPE"/>
    <s v="872374-B21"/>
    <s v="5C3905J06I"/>
    <n v="1"/>
    <s v="IRIS-SRV4-B01-02"/>
    <s v="_"/>
  </r>
  <r>
    <x v="3"/>
    <s v="HPE MSA 2050 SAN DC LFF Storage"/>
    <s v="MSA SAN"/>
    <s v="HPE"/>
    <s v="Q1J00A"/>
    <s v="2S6910B088"/>
    <n v="1"/>
    <s v="SERVER TRANSPORT CASE"/>
    <s v="IRIS-MSA-B01"/>
  </r>
  <r>
    <x v="3"/>
    <s v="MSA 2050 SAN dual controller"/>
    <s v="MSA SAN"/>
    <s v="HPE"/>
    <s v="876127-001"/>
    <s v="7CE901M920"/>
    <n v="1"/>
    <s v="_"/>
    <s v="_"/>
  </r>
  <r>
    <x v="3"/>
    <s v="MSA 2050 SAN dual controller"/>
    <s v="MSA SAN"/>
    <s v="HPE"/>
    <s v="876127-001"/>
    <s v="7CE901M970"/>
    <n v="1"/>
    <s v="_"/>
    <s v="_"/>
  </r>
  <r>
    <x v="3"/>
    <s v="HPE MSA 10TB 12G SAS 7.2K LFF 512e HDD"/>
    <s v="Disk"/>
    <s v="HPE"/>
    <s v="P9M82A"/>
    <s v="THH917Z08S"/>
    <n v="1"/>
    <s v="IRIS-MSA-B01-01"/>
    <s v="_"/>
  </r>
  <r>
    <x v="3"/>
    <s v="HPE MSA 10TB 12G SAS 7.2K LFF 512e HDD"/>
    <s v="Disk"/>
    <s v="HPE"/>
    <s v="P9M82A"/>
    <s v="THH917Z09H"/>
    <n v="1"/>
    <s v="IRIS-MSA-B01-02"/>
    <s v="_"/>
  </r>
  <r>
    <x v="3"/>
    <s v="HPE MSA 10TB 12G SAS 7.2K LFF 512e HDD"/>
    <s v="Disk"/>
    <s v="HPE"/>
    <s v="P9M82A"/>
    <s v="THH917Z09E"/>
    <n v="1"/>
    <s v="IRIS-MSA-B01-03"/>
    <s v="_"/>
  </r>
  <r>
    <x v="3"/>
    <s v="HPE MSA 10TB 12G SAS 7.2K LFF 512e HDD"/>
    <s v="Disk"/>
    <s v="HPE"/>
    <s v="P9M82A"/>
    <s v="THH917Z08U"/>
    <n v="1"/>
    <s v="IRIS-MSA-B01-04"/>
    <s v="_"/>
  </r>
  <r>
    <x v="3"/>
    <s v="HPE MSA 10TB 12G SAS 7.2K LFF 512e HDD"/>
    <s v="Disk"/>
    <s v="HPE"/>
    <s v="P9M82A"/>
    <s v="THH917Z09M"/>
    <n v="1"/>
    <s v="IRIS-MSA-B01-05"/>
    <s v="_"/>
  </r>
  <r>
    <x v="3"/>
    <s v="HPE MSA 10TB 12G SAS 7.2K LFF 512e HDD"/>
    <s v="Disk"/>
    <s v="HPE"/>
    <s v="P9M82A"/>
    <s v="THH917Z08K"/>
    <n v="1"/>
    <s v="IRIS-MSA-B01-06"/>
    <s v="_"/>
  </r>
  <r>
    <x v="3"/>
    <s v="HPE MSA 10TB 12G SAS 7.2K LFF 512e HDD"/>
    <s v="Disk"/>
    <s v="HPE"/>
    <s v="P9M82A"/>
    <s v="THH917Z091"/>
    <n v="1"/>
    <s v="IRIS-MSA-B01-07"/>
    <s v="_"/>
  </r>
  <r>
    <x v="3"/>
    <s v="HPE MSA 10TB 12G SAS 7.2K LFF 512e HDD"/>
    <s v="Disk"/>
    <s v="HPE"/>
    <s v="P9M82A"/>
    <s v="THH917Z08L"/>
    <n v="1"/>
    <s v="IRIS-MSA-B01-08"/>
    <s v="_"/>
  </r>
  <r>
    <x v="3"/>
    <s v="HPE MSA 10TB 12G SAS 7.2K LFF 512e HDD"/>
    <s v="Disk"/>
    <s v="HPE"/>
    <s v="P9M82A"/>
    <s v="THH917Z090"/>
    <n v="1"/>
    <s v="IRIS-MSA-B01-09"/>
    <s v="_"/>
  </r>
  <r>
    <x v="3"/>
    <s v="HPE MSA 10TB 12G SAS 7.2K LFF 512e HDD"/>
    <s v="Disk"/>
    <s v="HPE"/>
    <s v="P9M82A"/>
    <s v="THH917Z097"/>
    <n v="1"/>
    <s v="IRIS-MSA-B01-10"/>
    <s v="_"/>
  </r>
  <r>
    <x v="3"/>
    <s v="HPE MSA 10TB 12G SAS 7.2K LFF 512e HDD"/>
    <s v="Disk"/>
    <s v="HPE"/>
    <s v="P9M82A"/>
    <s v="THH917Z09N"/>
    <n v="1"/>
    <s v="IRIS-MSA-B01-11"/>
    <s v="_"/>
  </r>
  <r>
    <x v="3"/>
    <s v="HPE MSA 10TB 12G SAS 7.2K LFF 512e HDD"/>
    <s v="Disk"/>
    <s v="HPE"/>
    <s v="P9M82A"/>
    <s v="THH917Z096"/>
    <n v="1"/>
    <s v="IRIS-MSA-B01-12"/>
    <s v="_"/>
  </r>
  <r>
    <x v="3"/>
    <s v="HPE MSA 16GB SW FC SFP"/>
    <s v="SFP module"/>
    <s v="HPE"/>
    <s v="720999-002"/>
    <s v="MY890510UU"/>
    <n v="1"/>
    <s v="_"/>
    <s v="_"/>
  </r>
  <r>
    <x v="3"/>
    <s v="HPE MSA 16GB SW FC SFP"/>
    <s v="SFP module"/>
    <s v="HPE"/>
    <s v="720999-002"/>
    <s v="MY8905113F"/>
    <n v="1"/>
    <s v="_"/>
    <s v="_"/>
  </r>
  <r>
    <x v="3"/>
    <s v="HPE MSA 16GB SW FC SFP"/>
    <s v="SFP module"/>
    <s v="HPE"/>
    <s v="720999-002"/>
    <s v="MY8905113K"/>
    <n v="1"/>
    <s v="_"/>
    <s v="_"/>
  </r>
  <r>
    <x v="3"/>
    <s v="HPE MSA 16GB SW FC SFP"/>
    <s v="SFP module"/>
    <s v="HPE"/>
    <s v="720999-002"/>
    <s v="MY8905112C"/>
    <n v="1"/>
    <s v="_"/>
    <s v="_"/>
  </r>
  <r>
    <x v="3"/>
    <s v="HPE MSA 16GB SW FC SFP"/>
    <s v="SFP module"/>
    <s v="HPE"/>
    <s v="720999-002"/>
    <s v="MY890511VV"/>
    <n v="1"/>
    <s v="_"/>
    <s v="_"/>
  </r>
  <r>
    <x v="3"/>
    <s v="HPE MSA 16GB SW FC SFP"/>
    <s v="SFP module"/>
    <s v="HPE"/>
    <s v="720999-002"/>
    <s v="MY890511WX"/>
    <n v="1"/>
    <s v="_"/>
    <s v="_"/>
  </r>
  <r>
    <x v="3"/>
    <s v="HPE MSA 16GB SW FC SFP"/>
    <s v="SFP module"/>
    <s v="HPE"/>
    <s v="720999-002"/>
    <s v="MY890511WU"/>
    <n v="1"/>
    <s v="_"/>
    <s v="_"/>
  </r>
  <r>
    <x v="3"/>
    <s v="HPE MSA 16GB SW FC SFP"/>
    <s v="SFP module"/>
    <s v="HPE"/>
    <s v="720999-002"/>
    <s v="MY890511WK"/>
    <n v="1"/>
    <s v="_"/>
    <s v="_"/>
  </r>
  <r>
    <x v="3"/>
    <s v="NTP TIME SERVER WITH OCXO"/>
    <s v="NTP Server"/>
    <s v="HEOL DESIGN"/>
    <s v="T101R-10us-AC-I/O-OCXOMR"/>
    <s v="0814306"/>
    <n v="1"/>
    <s v="POWER TRANSPORT CASE"/>
    <s v="IRIS-NTP-B01"/>
  </r>
  <r>
    <x v="3"/>
    <s v="HPE R5000 3U IECSO9-32A HV INTL UPS"/>
    <s v="UPS"/>
    <s v="HPE"/>
    <s v="AF461A"/>
    <s v="ACC8380249"/>
    <n v="1"/>
    <s v="POWER TRANSPORT CASE"/>
    <s v="IRIS-UPS-B01"/>
  </r>
  <r>
    <x v="3"/>
    <s v="HP ZBOOK 17 G4"/>
    <s v="Laptop"/>
    <s v="EUROTEMPEST"/>
    <s v="Y3J81AV"/>
    <s v="2019.07.20252"/>
    <n v="1"/>
    <s v="_"/>
    <s v="IRIS-MMCO1-B01"/>
  </r>
  <r>
    <x v="3"/>
    <s v="HP EliteDisplay E243i"/>
    <s v="Screen"/>
    <s v="EUROTEMPEST"/>
    <s v="1FH49AT"/>
    <s v="2019.05.17337"/>
    <n v="1"/>
    <s v="_"/>
    <s v="IRIS-24-SCR01-B01"/>
  </r>
  <r>
    <x v="3"/>
    <s v="HP EliteDisplay E243i"/>
    <s v="Screen"/>
    <s v="EUROTEMPEST"/>
    <s v="1FH49AT"/>
    <s v="2019.05.17338"/>
    <n v="1"/>
    <s v="_"/>
    <s v="IRIS-24-SCR02-B01"/>
  </r>
  <r>
    <x v="3"/>
    <s v="HP ZBOOK 17 G4"/>
    <s v="Laptop"/>
    <s v="EUROTEMPEST"/>
    <s v="Y3J81AV"/>
    <s v="2019.07.20272"/>
    <n v="1"/>
    <s v="_"/>
    <s v="IRIS-OPR01-B01"/>
  </r>
  <r>
    <x v="3"/>
    <s v="HP EliteDisplay E243i"/>
    <s v="Screen"/>
    <s v="EUROTEMPEST"/>
    <s v="1FH49AT"/>
    <s v="2019.05.17339"/>
    <n v="1"/>
    <s v="_"/>
    <s v="IRIS-24-SCR03-B01"/>
  </r>
  <r>
    <x v="3"/>
    <s v="HP EliteDisplay E243i"/>
    <s v="Screen"/>
    <s v="EUROTEMPEST"/>
    <s v="1FH49AT"/>
    <s v="2019.05.17340"/>
    <n v="1"/>
    <s v="_"/>
    <s v="IRIS-24-SCR04-B01"/>
  </r>
  <r>
    <x v="3"/>
    <s v="HP ZBOOK 17 G4"/>
    <s v="Laptop"/>
    <s v="EUROTEMPEST"/>
    <s v="Y3J81AV"/>
    <s v="2019.07.20273"/>
    <n v="1"/>
    <s v="_"/>
    <s v="IRIS-OPR02-B01"/>
  </r>
  <r>
    <x v="3"/>
    <s v="HP EliteDisplay E243i"/>
    <s v="Screen"/>
    <s v="EUROTEMPEST"/>
    <s v="1FH49AT"/>
    <s v="2019.05.17341"/>
    <n v="1"/>
    <s v="_"/>
    <s v="IRIS-24-SCR05-B01"/>
  </r>
  <r>
    <x v="3"/>
    <s v="HP EliteDisplay E243i"/>
    <s v="Screen"/>
    <s v="EUROTEMPEST"/>
    <s v="1FH49AT"/>
    <s v="2019.05.17342"/>
    <n v="1"/>
    <s v="_"/>
    <s v="IRIS-24-SCR06-B01"/>
  </r>
  <r>
    <x v="3"/>
    <s v="HP ZBOOK 17 G4"/>
    <s v="Laptop"/>
    <s v="EUROTEMPEST"/>
    <s v="Y3J81AV"/>
    <s v="2019.07.20271"/>
    <n v="1"/>
    <s v="_"/>
    <s v="IRIS-OPR03-B01"/>
  </r>
  <r>
    <x v="3"/>
    <s v="HP EliteDisplay E243i"/>
    <s v="Screen"/>
    <s v="EUROTEMPEST"/>
    <s v="1FH49AT"/>
    <s v="2019.05.17343"/>
    <n v="1"/>
    <s v="_"/>
    <s v="IRIS-24-SCR07-B01"/>
  </r>
  <r>
    <x v="3"/>
    <s v="HP EliteDisplay E243i"/>
    <s v="Screen"/>
    <s v="EUROTEMPEST"/>
    <s v="1FH49AT"/>
    <s v="2019.05.17344"/>
    <n v="1"/>
    <s v="_"/>
    <s v="IRIS-24-SCR08-B01"/>
  </r>
  <r>
    <x v="3"/>
    <s v="HP ZBOOK 17 G4"/>
    <s v="Laptop"/>
    <s v="EUROTEMPEST"/>
    <s v="Y3J81AV"/>
    <s v="2019.07.20270"/>
    <n v="1"/>
    <s v="_"/>
    <s v="IRIS-OPR04-B01"/>
  </r>
  <r>
    <x v="3"/>
    <s v="HP EliteDisplay E243i"/>
    <s v="Screen"/>
    <s v="EUROTEMPEST"/>
    <s v="1FH49AT"/>
    <s v="2019.05.17345"/>
    <n v="1"/>
    <s v="_"/>
    <s v="IRIS-24-SCR09-B01"/>
  </r>
  <r>
    <x v="3"/>
    <s v="HP EliteDisplay E243i"/>
    <s v="Screen"/>
    <s v="EUROTEMPEST"/>
    <s v="1FH49AT"/>
    <s v="2019.05.17346"/>
    <n v="1"/>
    <s v="_"/>
    <s v="IRIS-24-SCR10-B01"/>
  </r>
  <r>
    <x v="3"/>
    <s v="HP ZBOOK 17 G4"/>
    <s v="Laptop"/>
    <s v="EUROTEMPEST"/>
    <s v="Y3J81AV"/>
    <s v="2019.07.20269"/>
    <n v="1"/>
    <s v="_"/>
    <s v="IRIS-OPR05-B01"/>
  </r>
  <r>
    <x v="3"/>
    <s v="HP EliteDisplay E243i"/>
    <s v="Screen"/>
    <s v="EUROTEMPEST"/>
    <s v="1FH49AT"/>
    <s v="2019.05.17347"/>
    <n v="1"/>
    <s v="_"/>
    <s v="IRIS-24-SCR11-B01"/>
  </r>
  <r>
    <x v="3"/>
    <s v="HP EliteDisplay E243i"/>
    <s v="Screen"/>
    <s v="EUROTEMPEST"/>
    <s v="1FH49AT"/>
    <s v="2019.05.17348"/>
    <n v="1"/>
    <s v="_"/>
    <s v="IRIS-24-SCR12-B01"/>
  </r>
  <r>
    <x v="3"/>
    <s v="HP ZBOOK 17 G4"/>
    <s v="Laptop"/>
    <s v="EUROTEMPEST"/>
    <s v="Y3J81AV"/>
    <s v="2019.07.20265"/>
    <n v="1"/>
    <s v="_"/>
    <s v="IRIS-OPR06-B01"/>
  </r>
  <r>
    <x v="3"/>
    <s v="HP EliteDisplay E243i"/>
    <s v="Screen"/>
    <s v="EUROTEMPEST"/>
    <s v="1FH49AT"/>
    <s v="2019.05.17349"/>
    <n v="1"/>
    <s v="_"/>
    <s v="IRIS-24-SCR13-B01"/>
  </r>
  <r>
    <x v="3"/>
    <s v="HP EliteDisplay E243i"/>
    <s v="Screen"/>
    <s v="EUROTEMPEST"/>
    <s v="1FH49AT"/>
    <s v="2019.05.17350"/>
    <n v="1"/>
    <s v="_"/>
    <s v="IRIS-24-SCR14-B01"/>
  </r>
  <r>
    <x v="3"/>
    <s v="HP ZBOOK 17 G4"/>
    <s v="Laptop"/>
    <s v="EUROTEMPEST"/>
    <s v="Y3J81AV"/>
    <s v="2019.07.20266"/>
    <n v="1"/>
    <s v="_"/>
    <s v="IRIS-OPR07-B01"/>
  </r>
  <r>
    <x v="3"/>
    <s v="HP EliteDisplay E243i"/>
    <s v="Screen"/>
    <s v="EUROTEMPEST"/>
    <s v="1FH49AT"/>
    <s v="2019.05.17351"/>
    <n v="1"/>
    <s v="_"/>
    <s v="IRIS-24-SCR15-B01"/>
  </r>
  <r>
    <x v="3"/>
    <s v="HP EliteDisplay E243i"/>
    <s v="Screen"/>
    <s v="EUROTEMPEST"/>
    <s v="1FH49AT"/>
    <s v="2019.05.17352"/>
    <n v="1"/>
    <s v="_"/>
    <s v="IRIS-24-SCR16-B01"/>
  </r>
  <r>
    <x v="3"/>
    <s v="SPARE / IRIS - B01"/>
    <s v="SPARE / IRIS - B01"/>
    <s v="SPARE / IRIS - B01"/>
    <s v="SPARE / IRIS - B01"/>
    <s v="SPARE / IRIS - B01"/>
    <n v="1"/>
    <s v="SPARE / IRIS - B01"/>
    <s v="SPARE / IRIS - B01"/>
  </r>
  <r>
    <x v="3"/>
    <s v="HP ZBOOK 17 G4"/>
    <s v="Laptop"/>
    <s v="EUROTEMPEST"/>
    <s v="Y3J81AV"/>
    <s v="2019.07.20253"/>
    <n v="1"/>
    <s v="_"/>
    <s v="IRIS-MM-SPARE-B01"/>
  </r>
  <r>
    <x v="3"/>
    <s v="HP EliteDisplay E243i"/>
    <s v="Screen"/>
    <s v="EUROTEMPEST"/>
    <s v="1FH49AT"/>
    <s v="2019.05.17353"/>
    <n v="1"/>
    <s v="_"/>
    <s v="IRIS-24-SCR01-B01"/>
  </r>
  <r>
    <x v="3"/>
    <s v="HP EliteDisplay E243i"/>
    <s v="Screen"/>
    <s v="EUROTEMPEST"/>
    <s v="1FH49AT"/>
    <s v="2019.05.17354"/>
    <n v="1"/>
    <s v="_"/>
    <s v="IRIS-24-SCR02-B01"/>
  </r>
  <r>
    <x v="3"/>
    <s v="HP ZBOOK 17 G4"/>
    <s v="Laptop"/>
    <s v="EUROTEMPEST"/>
    <s v="Y3J81AV"/>
    <s v="2019.07.20268"/>
    <n v="1"/>
    <s v="_"/>
    <s v="IRIS-SPARE01-B01"/>
  </r>
  <r>
    <x v="3"/>
    <s v="HP EliteDisplay E243i"/>
    <s v="Screen"/>
    <s v="EUROTEMPEST"/>
    <s v="1FH49AT"/>
    <s v="2019.05.17355"/>
    <n v="1"/>
    <s v="_"/>
    <s v="IRIS-24-SCR03-B01"/>
  </r>
  <r>
    <x v="3"/>
    <s v="HP EliteDisplay E243i"/>
    <s v="Screen"/>
    <s v="EUROTEMPEST"/>
    <s v="1FH49AT"/>
    <s v="2019.05.17356"/>
    <n v="1"/>
    <s v="_"/>
    <s v="IRIS-24-SCR04-B01"/>
  </r>
  <r>
    <x v="3"/>
    <s v="HP EliteDisplay E243i"/>
    <s v="Screen"/>
    <s v="EUROTEMPEST"/>
    <s v="1FH49AT"/>
    <s v="2019.05.17357"/>
    <n v="1"/>
    <s v="_"/>
    <s v="IRIS-24-SCR05-B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Kimutatás2" cacheId="0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C3:D8" firstHeaderRow="1" firstDataRow="1" firstDataCol="1" rowPageCount="1" colPageCount="1"/>
  <pivotFields count="10"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9" item="1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Kimutatás1" cacheId="1" applyNumberFormats="0" applyBorderFormats="0" applyFontFormats="0" applyPatternFormats="0" applyAlignmentFormats="0" applyWidthHeightFormats="1" dataCaption="Értékek" updatedVersion="6" minRefreshableVersion="3" useAutoFormatting="1" rowGrandTotals="0" colGrandTotals="0" itemPrintTitles="1" createdVersion="6" indent="0" outline="1" outlineData="1">
  <location ref="A3:A7" firstHeaderRow="1" firstDataRow="1" firstDataCol="1"/>
  <pivotFields count="9"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Kimutatás3" cacheId="0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F3:G7" firstHeaderRow="1" firstDataRow="1" firstDataCol="1" rowPageCount="1" colPageCount="1"/>
  <pivotFields count="10"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axis="axisPage" multipleItemSelectionAllowed="1" showAll="0">
      <items count="8">
        <item h="1" x="0"/>
        <item h="1" x="2"/>
        <item x="4"/>
        <item h="1" x="3"/>
        <item h="1" x="1"/>
        <item h="1" x="6"/>
        <item h="1" x="5"/>
        <item t="default"/>
      </items>
    </pivotField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4">
    <i>
      <x v="1"/>
    </i>
    <i>
      <x v="2"/>
    </i>
    <i>
      <x v="3"/>
    </i>
    <i t="grand">
      <x/>
    </i>
  </rowItems>
  <colItems count="1">
    <i/>
  </colItems>
  <pageFields count="1">
    <pageField fld="3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P2000"/>
  <sheetViews>
    <sheetView zoomScaleNormal="100" workbookViewId="0">
      <pane ySplit="1" topLeftCell="A2" activePane="bottomLeft" state="frozen"/>
      <selection pane="bottomLeft" activeCell="B1" sqref="B1:K1048576"/>
    </sheetView>
  </sheetViews>
  <sheetFormatPr defaultColWidth="8.85546875" defaultRowHeight="15" x14ac:dyDescent="0.25"/>
  <cols>
    <col min="1" max="1" width="21.140625" style="4" bestFit="1" customWidth="1"/>
    <col min="2" max="2" width="12.42578125" hidden="1" customWidth="1"/>
    <col min="3" max="3" width="15.28515625" hidden="1" customWidth="1"/>
    <col min="4" max="11" width="8.85546875" hidden="1" customWidth="1"/>
    <col min="12" max="12" width="52.140625" customWidth="1"/>
    <col min="13" max="13" width="25.28515625" customWidth="1"/>
    <col min="14" max="14" width="10.5703125" customWidth="1"/>
  </cols>
  <sheetData>
    <row r="1" spans="1:16" ht="21.95" customHeight="1" x14ac:dyDescent="0.25">
      <c r="A1" s="18" t="s">
        <v>102</v>
      </c>
      <c r="B1" s="10" t="s">
        <v>103</v>
      </c>
      <c r="C1" s="10" t="s">
        <v>104</v>
      </c>
      <c r="D1" s="11" t="s">
        <v>105</v>
      </c>
      <c r="E1" s="10" t="s">
        <v>107</v>
      </c>
      <c r="F1" s="10"/>
      <c r="G1" s="10"/>
      <c r="H1" s="10"/>
      <c r="I1" s="10"/>
      <c r="J1" s="11"/>
      <c r="K1" s="11" t="s">
        <v>106</v>
      </c>
      <c r="L1" s="11" t="s">
        <v>108</v>
      </c>
      <c r="M1" s="13" t="s">
        <v>684</v>
      </c>
      <c r="N1" s="12" t="str">
        <f>Inventory!K1</f>
        <v>Not scanned: 85</v>
      </c>
      <c r="P1" s="9"/>
    </row>
    <row r="2" spans="1:16" x14ac:dyDescent="0.25">
      <c r="A2" s="4" t="s">
        <v>698</v>
      </c>
      <c r="B2" t="str">
        <f>IF(IFERROR(VLOOKUP(TRIM(A2),Inventory!E:E,1,0),0)=0,"X","_")</f>
        <v>_</v>
      </c>
      <c r="C2" t="str">
        <f>IF(IFERROR(VLOOKUP(TRIM(A2),'Full Inventory'!F:F,1,0),0)=0,"X","_")</f>
        <v>_</v>
      </c>
      <c r="D2" t="str">
        <f t="shared" ref="D2:D65" si="0">IF(TRIM(A2)&lt;&gt;"","_","X")</f>
        <v>_</v>
      </c>
      <c r="E2" t="str">
        <f ca="1">IFERROR(IF(AND(B2&amp;C2&amp;D2="___",INDIRECT("Inventory!A"&amp;MATCH(VLOOKUP(A2,Inventory!E:E,1,0),Inventory!E:E,0))&lt;&gt;INDIRECT("'Full Inventory'!B"&amp;MATCH(VLOOKUP(A2,'Full Inventory'!F:F,1,0),'Full Inventory'!F:F,0))),"X","_"),"_")</f>
        <v>_</v>
      </c>
      <c r="K2" t="str">
        <f ca="1">B2&amp;C2&amp;D2&amp;E2</f>
        <v>____</v>
      </c>
      <c r="L2" t="str">
        <f ca="1">IF(K2="____","OK",IF(K2="_X__","NOT IN FULL INVENTORY",IF(K2="XX__","NOT IN FULL INVENTORY AND INVENTORY",IF(K2="X___","NOT IN INVENTORY",IF(K2="___X","DIFFERENT NAMES IN FULL INVENTORY AND INVENTORY","")))))</f>
        <v>OK</v>
      </c>
      <c r="M2" t="str">
        <f>IFERROR(INDEX(Inventory!A:A,MATCH(Scan!A2,Inventory!E:E,0)),"")</f>
        <v>CATALYST 3850 24 PORT 10G FIBER SWITCH BASE</v>
      </c>
    </row>
    <row r="3" spans="1:16" x14ac:dyDescent="0.25">
      <c r="A3" s="4" t="s">
        <v>700</v>
      </c>
      <c r="B3" t="str">
        <f>IF(IFERROR(VLOOKUP(TRIM(A3),Inventory!E:E,1,0),0)=0,"X","_")</f>
        <v>_</v>
      </c>
      <c r="C3" t="str">
        <f>IF(IFERROR(VLOOKUP(TRIM(A3),'Full Inventory'!F:F,1,0),0)=0,"X","_")</f>
        <v>_</v>
      </c>
      <c r="D3" t="str">
        <f t="shared" si="0"/>
        <v>_</v>
      </c>
      <c r="E3" t="str">
        <f ca="1">IFERROR(IF(AND(B3&amp;C3&amp;D3="___",INDIRECT("Inventory!A"&amp;MATCH(VLOOKUP(A3,Inventory!E:E,1,0),Inventory!E:E,0))&lt;&gt;INDIRECT("'Full Inventory'!B"&amp;MATCH(VLOOKUP(A3,'Full Inventory'!F:F,1,0),'Full Inventory'!F:F,0))),"X","_"),"_")</f>
        <v>_</v>
      </c>
      <c r="K3" t="str">
        <f t="shared" ref="K3:K66" ca="1" si="1">B3&amp;C3&amp;D3&amp;E3</f>
        <v>____</v>
      </c>
      <c r="L3" t="str">
        <f t="shared" ref="L3:L66" ca="1" si="2">IF(K3="____","OK",IF(K3="_X__","NOT IN FULL INVENTORY",IF(K3="XX__","NOT IN FULL INVENTORY AND INVENTORY",IF(K3="X___","NOT IN INVENTORY",IF(K3="___X","DIFFERENT NAMES IN FULL INVENTORY AND INVENTORY","")))))</f>
        <v>OK</v>
      </c>
      <c r="M3" t="str">
        <f>IFERROR(INDEX(Inventory!A:A,MATCH(Scan!A3,Inventory!E:E,0)),"")</f>
        <v>10GBASE-SR SFP MODULE</v>
      </c>
    </row>
    <row r="4" spans="1:16" x14ac:dyDescent="0.25">
      <c r="A4" s="4" t="s">
        <v>701</v>
      </c>
      <c r="B4" t="str">
        <f>IF(IFERROR(VLOOKUP(TRIM(A4),Inventory!E:E,1,0),0)=0,"X","_")</f>
        <v>_</v>
      </c>
      <c r="C4" t="str">
        <f>IF(IFERROR(VLOOKUP(TRIM(A4),'Full Inventory'!F:F,1,0),0)=0,"X","_")</f>
        <v>_</v>
      </c>
      <c r="D4" t="str">
        <f t="shared" si="0"/>
        <v>_</v>
      </c>
      <c r="E4" t="str">
        <f ca="1">IFERROR(IF(AND(B4&amp;C4&amp;D4="___",INDIRECT("Inventory!A"&amp;MATCH(VLOOKUP(A4,Inventory!E:E,1,0),Inventory!E:E,0))&lt;&gt;INDIRECT("'Full Inventory'!B"&amp;MATCH(VLOOKUP(A4,'Full Inventory'!F:F,1,0),'Full Inventory'!F:F,0))),"X","_"),"_")</f>
        <v>_</v>
      </c>
      <c r="K4" t="str">
        <f t="shared" ca="1" si="1"/>
        <v>____</v>
      </c>
      <c r="L4" t="str">
        <f t="shared" ca="1" si="2"/>
        <v>OK</v>
      </c>
      <c r="M4" t="str">
        <f>IFERROR(INDEX(Inventory!A:A,MATCH(Scan!A4,Inventory!E:E,0)),"")</f>
        <v>10GBASE-SR SFP MODULE</v>
      </c>
    </row>
    <row r="5" spans="1:16" x14ac:dyDescent="0.25">
      <c r="A5" s="4" t="s">
        <v>702</v>
      </c>
      <c r="B5" t="str">
        <f>IF(IFERROR(VLOOKUP(TRIM(A5),Inventory!E:E,1,0),0)=0,"X","_")</f>
        <v>_</v>
      </c>
      <c r="C5" t="str">
        <f>IF(IFERROR(VLOOKUP(TRIM(A5),'Full Inventory'!F:F,1,0),0)=0,"X","_")</f>
        <v>_</v>
      </c>
      <c r="D5" t="str">
        <f t="shared" si="0"/>
        <v>_</v>
      </c>
      <c r="E5" t="str">
        <f ca="1">IFERROR(IF(AND(B5&amp;C5&amp;D5="___",INDIRECT("Inventory!A"&amp;MATCH(VLOOKUP(A5,Inventory!E:E,1,0),Inventory!E:E,0))&lt;&gt;INDIRECT("'Full Inventory'!B"&amp;MATCH(VLOOKUP(A5,'Full Inventory'!F:F,1,0),'Full Inventory'!F:F,0))),"X","_"),"_")</f>
        <v>_</v>
      </c>
      <c r="K5" t="str">
        <f t="shared" ca="1" si="1"/>
        <v>____</v>
      </c>
      <c r="L5" t="str">
        <f t="shared" ca="1" si="2"/>
        <v>OK</v>
      </c>
      <c r="M5" t="str">
        <f>IFERROR(INDEX(Inventory!A:A,MATCH(Scan!A5,Inventory!E:E,0)),"")</f>
        <v>10GBASE-SR SFP MODULE</v>
      </c>
    </row>
    <row r="6" spans="1:16" x14ac:dyDescent="0.25">
      <c r="A6" s="4" t="s">
        <v>703</v>
      </c>
      <c r="B6" t="str">
        <f>IF(IFERROR(VLOOKUP(TRIM(A6),Inventory!E:E,1,0),0)=0,"X","_")</f>
        <v>_</v>
      </c>
      <c r="C6" t="str">
        <f>IF(IFERROR(VLOOKUP(TRIM(A6),'Full Inventory'!F:F,1,0),0)=0,"X","_")</f>
        <v>_</v>
      </c>
      <c r="D6" t="str">
        <f t="shared" si="0"/>
        <v>_</v>
      </c>
      <c r="E6" t="str">
        <f ca="1">IFERROR(IF(AND(B6&amp;C6&amp;D6="___",INDIRECT("Inventory!A"&amp;MATCH(VLOOKUP(A6,Inventory!E:E,1,0),Inventory!E:E,0))&lt;&gt;INDIRECT("'Full Inventory'!B"&amp;MATCH(VLOOKUP(A6,'Full Inventory'!F:F,1,0),'Full Inventory'!F:F,0))),"X","_"),"_")</f>
        <v>_</v>
      </c>
      <c r="K6" t="str">
        <f t="shared" ca="1" si="1"/>
        <v>____</v>
      </c>
      <c r="L6" t="str">
        <f t="shared" ca="1" si="2"/>
        <v>OK</v>
      </c>
      <c r="M6" t="str">
        <f>IFERROR(INDEX(Inventory!A:A,MATCH(Scan!A6,Inventory!E:E,0)),"")</f>
        <v>10GBASE-SR SFP MODULE</v>
      </c>
    </row>
    <row r="7" spans="1:16" x14ac:dyDescent="0.25">
      <c r="A7" s="4" t="s">
        <v>704</v>
      </c>
      <c r="B7" t="str">
        <f>IF(IFERROR(VLOOKUP(TRIM(A7),Inventory!E:E,1,0),0)=0,"X","_")</f>
        <v>_</v>
      </c>
      <c r="C7" t="str">
        <f>IF(IFERROR(VLOOKUP(TRIM(A7),'Full Inventory'!F:F,1,0),0)=0,"X","_")</f>
        <v>_</v>
      </c>
      <c r="D7" t="str">
        <f t="shared" si="0"/>
        <v>_</v>
      </c>
      <c r="E7" t="str">
        <f ca="1">IFERROR(IF(AND(B7&amp;C7&amp;D7="___",INDIRECT("Inventory!A"&amp;MATCH(VLOOKUP(A7,Inventory!E:E,1,0),Inventory!E:E,0))&lt;&gt;INDIRECT("'Full Inventory'!B"&amp;MATCH(VLOOKUP(A7,'Full Inventory'!F:F,1,0),'Full Inventory'!F:F,0))),"X","_"),"_")</f>
        <v>_</v>
      </c>
      <c r="K7" t="str">
        <f t="shared" ca="1" si="1"/>
        <v>____</v>
      </c>
      <c r="L7" t="str">
        <f t="shared" ca="1" si="2"/>
        <v>OK</v>
      </c>
      <c r="M7" t="str">
        <f>IFERROR(INDEX(Inventory!A:A,MATCH(Scan!A7,Inventory!E:E,0)),"")</f>
        <v>10GBASE-SR SFP MODULE</v>
      </c>
    </row>
    <row r="8" spans="1:16" x14ac:dyDescent="0.25">
      <c r="A8" s="4" t="s">
        <v>705</v>
      </c>
      <c r="B8" t="str">
        <f>IF(IFERROR(VLOOKUP(TRIM(A8),Inventory!E:E,1,0),0)=0,"X","_")</f>
        <v>_</v>
      </c>
      <c r="C8" t="str">
        <f>IF(IFERROR(VLOOKUP(TRIM(A8),'Full Inventory'!F:F,1,0),0)=0,"X","_")</f>
        <v>_</v>
      </c>
      <c r="D8" t="str">
        <f t="shared" si="0"/>
        <v>_</v>
      </c>
      <c r="E8" t="str">
        <f ca="1">IFERROR(IF(AND(B8&amp;C8&amp;D8="___",INDIRECT("Inventory!A"&amp;MATCH(VLOOKUP(A8,Inventory!E:E,1,0),Inventory!E:E,0))&lt;&gt;INDIRECT("'Full Inventory'!B"&amp;MATCH(VLOOKUP(A8,'Full Inventory'!F:F,1,0),'Full Inventory'!F:F,0))),"X","_"),"_")</f>
        <v>_</v>
      </c>
      <c r="K8" t="str">
        <f t="shared" ca="1" si="1"/>
        <v>____</v>
      </c>
      <c r="L8" t="str">
        <f t="shared" ca="1" si="2"/>
        <v>OK</v>
      </c>
      <c r="M8" t="str">
        <f>IFERROR(INDEX(Inventory!A:A,MATCH(Scan!A8,Inventory!E:E,0)),"")</f>
        <v>1000BASE-SX SFP TRANSCEIVER MODULE</v>
      </c>
    </row>
    <row r="9" spans="1:16" x14ac:dyDescent="0.25">
      <c r="A9" s="4" t="s">
        <v>706</v>
      </c>
      <c r="B9" t="str">
        <f>IF(IFERROR(VLOOKUP(TRIM(A9),Inventory!E:E,1,0),0)=0,"X","_")</f>
        <v>_</v>
      </c>
      <c r="C9" t="str">
        <f>IF(IFERROR(VLOOKUP(TRIM(A9),'Full Inventory'!F:F,1,0),0)=0,"X","_")</f>
        <v>_</v>
      </c>
      <c r="D9" t="str">
        <f t="shared" si="0"/>
        <v>_</v>
      </c>
      <c r="E9" t="str">
        <f ca="1">IFERROR(IF(AND(B9&amp;C9&amp;D9="___",INDIRECT("Inventory!A"&amp;MATCH(VLOOKUP(A9,Inventory!E:E,1,0),Inventory!E:E,0))&lt;&gt;INDIRECT("'Full Inventory'!B"&amp;MATCH(VLOOKUP(A9,'Full Inventory'!F:F,1,0),'Full Inventory'!F:F,0))),"X","_"),"_")</f>
        <v>_</v>
      </c>
      <c r="K9" t="str">
        <f t="shared" ca="1" si="1"/>
        <v>____</v>
      </c>
      <c r="L9" t="str">
        <f t="shared" ca="1" si="2"/>
        <v>OK</v>
      </c>
      <c r="M9" t="str">
        <f>IFERROR(INDEX(Inventory!A:A,MATCH(Scan!A9,Inventory!E:E,0)),"")</f>
        <v>1000BASE-SX SFP TRANSCEIVER MODULE</v>
      </c>
    </row>
    <row r="10" spans="1:16" x14ac:dyDescent="0.25">
      <c r="A10" s="4" t="s">
        <v>707</v>
      </c>
      <c r="B10" t="str">
        <f>IF(IFERROR(VLOOKUP(TRIM(A10),Inventory!E:E,1,0),0)=0,"X","_")</f>
        <v>_</v>
      </c>
      <c r="C10" t="str">
        <f>IF(IFERROR(VLOOKUP(TRIM(A10),'Full Inventory'!F:F,1,0),0)=0,"X","_")</f>
        <v>_</v>
      </c>
      <c r="D10" t="str">
        <f t="shared" si="0"/>
        <v>_</v>
      </c>
      <c r="E10" t="str">
        <f ca="1">IFERROR(IF(AND(B10&amp;C10&amp;D10="___",INDIRECT("Inventory!A"&amp;MATCH(VLOOKUP(A10,Inventory!E:E,1,0),Inventory!E:E,0))&lt;&gt;INDIRECT("'Full Inventory'!B"&amp;MATCH(VLOOKUP(A10,'Full Inventory'!F:F,1,0),'Full Inventory'!F:F,0))),"X","_"),"_")</f>
        <v>_</v>
      </c>
      <c r="K10" t="str">
        <f t="shared" ca="1" si="1"/>
        <v>____</v>
      </c>
      <c r="L10" t="str">
        <f t="shared" ca="1" si="2"/>
        <v>OK</v>
      </c>
      <c r="M10" t="str">
        <f>IFERROR(INDEX(Inventory!A:A,MATCH(Scan!A10,Inventory!E:E,0)),"")</f>
        <v>1000BASE-SX SFP TRANSCEIVER MODULE</v>
      </c>
    </row>
    <row r="11" spans="1:16" x14ac:dyDescent="0.25">
      <c r="A11" s="4" t="s">
        <v>708</v>
      </c>
      <c r="B11" t="str">
        <f>IF(IFERROR(VLOOKUP(TRIM(A11),Inventory!E:E,1,0),0)=0,"X","_")</f>
        <v>_</v>
      </c>
      <c r="C11" t="str">
        <f>IF(IFERROR(VLOOKUP(TRIM(A11),'Full Inventory'!F:F,1,0),0)=0,"X","_")</f>
        <v>_</v>
      </c>
      <c r="D11" t="str">
        <f t="shared" si="0"/>
        <v>_</v>
      </c>
      <c r="E11" t="str">
        <f ca="1">IFERROR(IF(AND(B11&amp;C11&amp;D11="___",INDIRECT("Inventory!A"&amp;MATCH(VLOOKUP(A11,Inventory!E:E,1,0),Inventory!E:E,0))&lt;&gt;INDIRECT("'Full Inventory'!B"&amp;MATCH(VLOOKUP(A11,'Full Inventory'!F:F,1,0),'Full Inventory'!F:F,0))),"X","_"),"_")</f>
        <v>_</v>
      </c>
      <c r="K11" t="str">
        <f t="shared" ca="1" si="1"/>
        <v>____</v>
      </c>
      <c r="L11" t="str">
        <f t="shared" ca="1" si="2"/>
        <v>OK</v>
      </c>
      <c r="M11" t="str">
        <f>IFERROR(INDEX(Inventory!A:A,MATCH(Scan!A11,Inventory!E:E,0)),"")</f>
        <v>1000BASE-SX SFP TRANSCEIVER MODULE</v>
      </c>
    </row>
    <row r="12" spans="1:16" x14ac:dyDescent="0.25">
      <c r="A12" s="4" t="s">
        <v>709</v>
      </c>
      <c r="B12" t="str">
        <f>IF(IFERROR(VLOOKUP(TRIM(A12),Inventory!E:E,1,0),0)=0,"X","_")</f>
        <v>_</v>
      </c>
      <c r="C12" t="str">
        <f>IF(IFERROR(VLOOKUP(TRIM(A12),'Full Inventory'!F:F,1,0),0)=0,"X","_")</f>
        <v>_</v>
      </c>
      <c r="D12" t="str">
        <f t="shared" si="0"/>
        <v>_</v>
      </c>
      <c r="E12" t="str">
        <f ca="1">IFERROR(IF(AND(B12&amp;C12&amp;D12="___",INDIRECT("Inventory!A"&amp;MATCH(VLOOKUP(A12,Inventory!E:E,1,0),Inventory!E:E,0))&lt;&gt;INDIRECT("'Full Inventory'!B"&amp;MATCH(VLOOKUP(A12,'Full Inventory'!F:F,1,0),'Full Inventory'!F:F,0))),"X","_"),"_")</f>
        <v>_</v>
      </c>
      <c r="K12" t="str">
        <f t="shared" ca="1" si="1"/>
        <v>____</v>
      </c>
      <c r="L12" t="str">
        <f t="shared" ca="1" si="2"/>
        <v>OK</v>
      </c>
      <c r="M12" t="str">
        <f>IFERROR(INDEX(Inventory!A:A,MATCH(Scan!A12,Inventory!E:E,0)),"")</f>
        <v>1000BASE-T SFP TRANSCEIVER MODULE FOR CATEGORY 5 COPPER WIRE</v>
      </c>
    </row>
    <row r="13" spans="1:16" x14ac:dyDescent="0.25">
      <c r="A13" s="4" t="s">
        <v>710</v>
      </c>
      <c r="B13" t="str">
        <f>IF(IFERROR(VLOOKUP(TRIM(A13),Inventory!E:E,1,0),0)=0,"X","_")</f>
        <v>_</v>
      </c>
      <c r="C13" t="str">
        <f>IF(IFERROR(VLOOKUP(TRIM(A13),'Full Inventory'!F:F,1,0),0)=0,"X","_")</f>
        <v>_</v>
      </c>
      <c r="D13" t="str">
        <f t="shared" si="0"/>
        <v>_</v>
      </c>
      <c r="E13" t="str">
        <f ca="1">IFERROR(IF(AND(B13&amp;C13&amp;D13="___",INDIRECT("Inventory!A"&amp;MATCH(VLOOKUP(A13,Inventory!E:E,1,0),Inventory!E:E,0))&lt;&gt;INDIRECT("'Full Inventory'!B"&amp;MATCH(VLOOKUP(A13,'Full Inventory'!F:F,1,0),'Full Inventory'!F:F,0))),"X","_"),"_")</f>
        <v>_</v>
      </c>
      <c r="K13" t="str">
        <f t="shared" ca="1" si="1"/>
        <v>____</v>
      </c>
      <c r="L13" t="str">
        <f t="shared" ca="1" si="2"/>
        <v>OK</v>
      </c>
      <c r="M13" t="str">
        <f>IFERROR(INDEX(Inventory!A:A,MATCH(Scan!A13,Inventory!E:E,0)),"")</f>
        <v>1000BASE-T SFP TRANSCEIVER MODULE FOR CATEGORY 5 COPPER WIRE</v>
      </c>
    </row>
    <row r="14" spans="1:16" x14ac:dyDescent="0.25">
      <c r="A14" s="4" t="s">
        <v>711</v>
      </c>
      <c r="B14" t="str">
        <f>IF(IFERROR(VLOOKUP(TRIM(A14),Inventory!E:E,1,0),0)=0,"X","_")</f>
        <v>_</v>
      </c>
      <c r="C14" t="str">
        <f>IF(IFERROR(VLOOKUP(TRIM(A14),'Full Inventory'!F:F,1,0),0)=0,"X","_")</f>
        <v>_</v>
      </c>
      <c r="D14" t="str">
        <f t="shared" si="0"/>
        <v>_</v>
      </c>
      <c r="E14" t="str">
        <f ca="1">IFERROR(IF(AND(B14&amp;C14&amp;D14="___",INDIRECT("Inventory!A"&amp;MATCH(VLOOKUP(A14,Inventory!E:E,1,0),Inventory!E:E,0))&lt;&gt;INDIRECT("'Full Inventory'!B"&amp;MATCH(VLOOKUP(A14,'Full Inventory'!F:F,1,0),'Full Inventory'!F:F,0))),"X","_"),"_")</f>
        <v>_</v>
      </c>
      <c r="K14" t="str">
        <f t="shared" ca="1" si="1"/>
        <v>____</v>
      </c>
      <c r="L14" t="str">
        <f t="shared" ca="1" si="2"/>
        <v>OK</v>
      </c>
      <c r="M14" t="str">
        <f>IFERROR(INDEX(Inventory!A:A,MATCH(Scan!A14,Inventory!E:E,0)),"")</f>
        <v>1000BASE-T SFP TRANSCEIVER MODULE FOR CATEGORY 5 COPPER WIRE</v>
      </c>
    </row>
    <row r="15" spans="1:16" x14ac:dyDescent="0.25">
      <c r="A15" s="4" t="s">
        <v>712</v>
      </c>
      <c r="B15" t="str">
        <f>IF(IFERROR(VLOOKUP(TRIM(A15),Inventory!E:E,1,0),0)=0,"X","_")</f>
        <v>_</v>
      </c>
      <c r="C15" t="str">
        <f>IF(IFERROR(VLOOKUP(TRIM(A15),'Full Inventory'!F:F,1,0),0)=0,"X","_")</f>
        <v>_</v>
      </c>
      <c r="D15" t="str">
        <f t="shared" si="0"/>
        <v>_</v>
      </c>
      <c r="E15" t="str">
        <f ca="1">IFERROR(IF(AND(B15&amp;C15&amp;D15="___",INDIRECT("Inventory!A"&amp;MATCH(VLOOKUP(A15,Inventory!E:E,1,0),Inventory!E:E,0))&lt;&gt;INDIRECT("'Full Inventory'!B"&amp;MATCH(VLOOKUP(A15,'Full Inventory'!F:F,1,0),'Full Inventory'!F:F,0))),"X","_"),"_")</f>
        <v>_</v>
      </c>
      <c r="K15" t="str">
        <f t="shared" ca="1" si="1"/>
        <v>____</v>
      </c>
      <c r="L15" t="str">
        <f t="shared" ca="1" si="2"/>
        <v>OK</v>
      </c>
      <c r="M15" t="str">
        <f>IFERROR(INDEX(Inventory!A:A,MATCH(Scan!A15,Inventory!E:E,0)),"")</f>
        <v>1000BASE-T SFP TRANSCEIVER MODULE FOR CATEGORY 5 COPPER WIRE</v>
      </c>
    </row>
    <row r="16" spans="1:16" x14ac:dyDescent="0.25">
      <c r="B16" t="str">
        <f>IF(IFERROR(VLOOKUP(TRIM(A16),Inventory!E:E,1,0),0)=0,"X","_")</f>
        <v>_</v>
      </c>
      <c r="C16" t="str">
        <f>IF(IFERROR(VLOOKUP(TRIM(A16),'Full Inventory'!F:F,1,0),0)=0,"X","_")</f>
        <v>_</v>
      </c>
      <c r="D16" t="str">
        <f t="shared" si="0"/>
        <v>X</v>
      </c>
      <c r="E16" t="str">
        <f ca="1">IFERROR(IF(AND(B16&amp;C16&amp;D16="___",INDIRECT("Inventory!A"&amp;MATCH(VLOOKUP(A16,Inventory!E:E,1,0),Inventory!E:E,0))&lt;&gt;INDIRECT("'Full Inventory'!B"&amp;MATCH(VLOOKUP(A16,'Full Inventory'!F:F,1,0),'Full Inventory'!F:F,0))),"X","_"),"_")</f>
        <v>_</v>
      </c>
      <c r="K16" t="str">
        <f t="shared" ca="1" si="1"/>
        <v>__X_</v>
      </c>
      <c r="L16" t="str">
        <f t="shared" ca="1" si="2"/>
        <v/>
      </c>
      <c r="M16" t="str">
        <f>IFERROR(INDEX(Inventory!A:A,MATCH(Scan!A16,Inventory!E:E,0)),"")</f>
        <v/>
      </c>
    </row>
    <row r="17" spans="2:13" x14ac:dyDescent="0.25">
      <c r="B17" t="str">
        <f>IF(IFERROR(VLOOKUP(TRIM(A17),Inventory!E:E,1,0),0)=0,"X","_")</f>
        <v>_</v>
      </c>
      <c r="C17" t="str">
        <f>IF(IFERROR(VLOOKUP(TRIM(A17),'Full Inventory'!F:F,1,0),0)=0,"X","_")</f>
        <v>_</v>
      </c>
      <c r="D17" t="str">
        <f t="shared" si="0"/>
        <v>X</v>
      </c>
      <c r="E17" t="str">
        <f ca="1">IFERROR(IF(AND(B17&amp;C17&amp;D17="___",INDIRECT("Inventory!A"&amp;MATCH(VLOOKUP(A17,Inventory!E:E,1,0),Inventory!E:E,0))&lt;&gt;INDIRECT("'Full Inventory'!B"&amp;MATCH(VLOOKUP(A17,'Full Inventory'!F:F,1,0),'Full Inventory'!F:F,0))),"X","_"),"_")</f>
        <v>_</v>
      </c>
      <c r="K17" t="str">
        <f t="shared" ca="1" si="1"/>
        <v>__X_</v>
      </c>
      <c r="L17" t="str">
        <f t="shared" ca="1" si="2"/>
        <v/>
      </c>
      <c r="M17" t="str">
        <f>IFERROR(INDEX(Inventory!A:A,MATCH(Scan!A17,Inventory!E:E,0)),"")</f>
        <v/>
      </c>
    </row>
    <row r="18" spans="2:13" x14ac:dyDescent="0.25">
      <c r="B18" t="str">
        <f>IF(IFERROR(VLOOKUP(TRIM(A18),Inventory!E:E,1,0),0)=0,"X","_")</f>
        <v>_</v>
      </c>
      <c r="C18" t="str">
        <f>IF(IFERROR(VLOOKUP(TRIM(A18),'Full Inventory'!F:F,1,0),0)=0,"X","_")</f>
        <v>_</v>
      </c>
      <c r="D18" t="str">
        <f t="shared" si="0"/>
        <v>X</v>
      </c>
      <c r="E18" t="str">
        <f ca="1">IFERROR(IF(AND(B18&amp;C18&amp;D18="___",INDIRECT("Inventory!A"&amp;MATCH(VLOOKUP(A18,Inventory!E:E,1,0),Inventory!E:E,0))&lt;&gt;INDIRECT("'Full Inventory'!B"&amp;MATCH(VLOOKUP(A18,'Full Inventory'!F:F,1,0),'Full Inventory'!F:F,0))),"X","_"),"_")</f>
        <v>_</v>
      </c>
      <c r="K18" t="str">
        <f t="shared" ca="1" si="1"/>
        <v>__X_</v>
      </c>
      <c r="L18" t="str">
        <f t="shared" ca="1" si="2"/>
        <v/>
      </c>
      <c r="M18" t="str">
        <f>IFERROR(INDEX(Inventory!A:A,MATCH(Scan!A18,Inventory!E:E,0)),"")</f>
        <v/>
      </c>
    </row>
    <row r="19" spans="2:13" x14ac:dyDescent="0.25">
      <c r="B19" t="str">
        <f>IF(IFERROR(VLOOKUP(TRIM(A19),Inventory!E:E,1,0),0)=0,"X","_")</f>
        <v>_</v>
      </c>
      <c r="C19" t="str">
        <f>IF(IFERROR(VLOOKUP(TRIM(A19),'Full Inventory'!F:F,1,0),0)=0,"X","_")</f>
        <v>_</v>
      </c>
      <c r="D19" t="str">
        <f t="shared" si="0"/>
        <v>X</v>
      </c>
      <c r="E19" t="str">
        <f ca="1">IFERROR(IF(AND(B19&amp;C19&amp;D19="___",INDIRECT("Inventory!A"&amp;MATCH(VLOOKUP(A19,Inventory!E:E,1,0),Inventory!E:E,0))&lt;&gt;INDIRECT("'Full Inventory'!B"&amp;MATCH(VLOOKUP(A19,'Full Inventory'!F:F,1,0),'Full Inventory'!F:F,0))),"X","_"),"_")</f>
        <v>_</v>
      </c>
      <c r="K19" t="str">
        <f t="shared" ca="1" si="1"/>
        <v>__X_</v>
      </c>
      <c r="L19" t="str">
        <f t="shared" ca="1" si="2"/>
        <v/>
      </c>
      <c r="M19" t="str">
        <f>IFERROR(INDEX(Inventory!A:A,MATCH(Scan!A19,Inventory!E:E,0)),"")</f>
        <v/>
      </c>
    </row>
    <row r="20" spans="2:13" x14ac:dyDescent="0.25">
      <c r="B20" t="str">
        <f>IF(IFERROR(VLOOKUP(TRIM(A20),Inventory!E:E,1,0),0)=0,"X","_")</f>
        <v>_</v>
      </c>
      <c r="C20" t="str">
        <f>IF(IFERROR(VLOOKUP(TRIM(A20),'Full Inventory'!F:F,1,0),0)=0,"X","_")</f>
        <v>_</v>
      </c>
      <c r="D20" t="str">
        <f t="shared" si="0"/>
        <v>X</v>
      </c>
      <c r="E20" t="str">
        <f ca="1">IFERROR(IF(AND(B20&amp;C20&amp;D20="___",INDIRECT("Inventory!A"&amp;MATCH(VLOOKUP(A20,Inventory!E:E,1,0),Inventory!E:E,0))&lt;&gt;INDIRECT("'Full Inventory'!B"&amp;MATCH(VLOOKUP(A20,'Full Inventory'!F:F,1,0),'Full Inventory'!F:F,0))),"X","_"),"_")</f>
        <v>_</v>
      </c>
      <c r="K20" t="str">
        <f t="shared" ca="1" si="1"/>
        <v>__X_</v>
      </c>
      <c r="L20" t="str">
        <f t="shared" ca="1" si="2"/>
        <v/>
      </c>
      <c r="M20" t="str">
        <f>IFERROR(INDEX(Inventory!A:A,MATCH(Scan!A20,Inventory!E:E,0)),"")</f>
        <v/>
      </c>
    </row>
    <row r="21" spans="2:13" x14ac:dyDescent="0.25">
      <c r="B21" t="str">
        <f>IF(IFERROR(VLOOKUP(TRIM(A21),Inventory!E:E,1,0),0)=0,"X","_")</f>
        <v>_</v>
      </c>
      <c r="C21" t="str">
        <f>IF(IFERROR(VLOOKUP(TRIM(A21),'Full Inventory'!F:F,1,0),0)=0,"X","_")</f>
        <v>_</v>
      </c>
      <c r="D21" t="str">
        <f t="shared" si="0"/>
        <v>X</v>
      </c>
      <c r="E21" t="str">
        <f ca="1">IFERROR(IF(AND(B21&amp;C21&amp;D21="___",INDIRECT("Inventory!A"&amp;MATCH(VLOOKUP(A21,Inventory!E:E,1,0),Inventory!E:E,0))&lt;&gt;INDIRECT("'Full Inventory'!B"&amp;MATCH(VLOOKUP(A21,'Full Inventory'!F:F,1,0),'Full Inventory'!F:F,0))),"X","_"),"_")</f>
        <v>_</v>
      </c>
      <c r="K21" t="str">
        <f t="shared" ca="1" si="1"/>
        <v>__X_</v>
      </c>
      <c r="L21" t="str">
        <f t="shared" ca="1" si="2"/>
        <v/>
      </c>
      <c r="M21" t="str">
        <f>IFERROR(INDEX(Inventory!A:A,MATCH(Scan!A21,Inventory!E:E,0)),"")</f>
        <v/>
      </c>
    </row>
    <row r="22" spans="2:13" x14ac:dyDescent="0.25">
      <c r="B22" t="str">
        <f>IF(IFERROR(VLOOKUP(TRIM(A22),Inventory!E:E,1,0),0)=0,"X","_")</f>
        <v>_</v>
      </c>
      <c r="C22" t="str">
        <f>IF(IFERROR(VLOOKUP(TRIM(A22),'Full Inventory'!F:F,1,0),0)=0,"X","_")</f>
        <v>_</v>
      </c>
      <c r="D22" t="str">
        <f t="shared" si="0"/>
        <v>X</v>
      </c>
      <c r="E22" t="str">
        <f ca="1">IFERROR(IF(AND(B22&amp;C22&amp;D22="___",INDIRECT("Inventory!A"&amp;MATCH(VLOOKUP(A22,Inventory!E:E,1,0),Inventory!E:E,0))&lt;&gt;INDIRECT("'Full Inventory'!B"&amp;MATCH(VLOOKUP(A22,'Full Inventory'!F:F,1,0),'Full Inventory'!F:F,0))),"X","_"),"_")</f>
        <v>_</v>
      </c>
      <c r="K22" t="str">
        <f t="shared" ca="1" si="1"/>
        <v>__X_</v>
      </c>
      <c r="L22" t="str">
        <f t="shared" ca="1" si="2"/>
        <v/>
      </c>
      <c r="M22" t="str">
        <f>IFERROR(INDEX(Inventory!A:A,MATCH(Scan!A22,Inventory!E:E,0)),"")</f>
        <v/>
      </c>
    </row>
    <row r="23" spans="2:13" x14ac:dyDescent="0.25">
      <c r="B23" t="str">
        <f>IF(IFERROR(VLOOKUP(TRIM(A23),Inventory!E:E,1,0),0)=0,"X","_")</f>
        <v>_</v>
      </c>
      <c r="C23" t="str">
        <f>IF(IFERROR(VLOOKUP(TRIM(A23),'Full Inventory'!F:F,1,0),0)=0,"X","_")</f>
        <v>_</v>
      </c>
      <c r="D23" t="str">
        <f t="shared" si="0"/>
        <v>X</v>
      </c>
      <c r="E23" t="str">
        <f ca="1">IFERROR(IF(AND(B23&amp;C23&amp;D23="___",INDIRECT("Inventory!A"&amp;MATCH(VLOOKUP(A23,Inventory!E:E,1,0),Inventory!E:E,0))&lt;&gt;INDIRECT("'Full Inventory'!B"&amp;MATCH(VLOOKUP(A23,'Full Inventory'!F:F,1,0),'Full Inventory'!F:F,0))),"X","_"),"_")</f>
        <v>_</v>
      </c>
      <c r="K23" t="str">
        <f t="shared" ca="1" si="1"/>
        <v>__X_</v>
      </c>
      <c r="L23" t="str">
        <f t="shared" ca="1" si="2"/>
        <v/>
      </c>
      <c r="M23" t="str">
        <f>IFERROR(INDEX(Inventory!A:A,MATCH(Scan!A23,Inventory!E:E,0)),"")</f>
        <v/>
      </c>
    </row>
    <row r="24" spans="2:13" x14ac:dyDescent="0.25">
      <c r="B24" t="str">
        <f>IF(IFERROR(VLOOKUP(TRIM(A24),Inventory!E:E,1,0),0)=0,"X","_")</f>
        <v>_</v>
      </c>
      <c r="C24" t="str">
        <f>IF(IFERROR(VLOOKUP(TRIM(A24),'Full Inventory'!F:F,1,0),0)=0,"X","_")</f>
        <v>_</v>
      </c>
      <c r="D24" t="str">
        <f t="shared" si="0"/>
        <v>X</v>
      </c>
      <c r="E24" t="str">
        <f ca="1">IFERROR(IF(AND(B24&amp;C24&amp;D24="___",INDIRECT("Inventory!A"&amp;MATCH(VLOOKUP(A24,Inventory!E:E,1,0),Inventory!E:E,0))&lt;&gt;INDIRECT("'Full Inventory'!B"&amp;MATCH(VLOOKUP(A24,'Full Inventory'!F:F,1,0),'Full Inventory'!F:F,0))),"X","_"),"_")</f>
        <v>_</v>
      </c>
      <c r="K24" t="str">
        <f t="shared" ca="1" si="1"/>
        <v>__X_</v>
      </c>
      <c r="L24" t="str">
        <f t="shared" ca="1" si="2"/>
        <v/>
      </c>
      <c r="M24" t="str">
        <f>IFERROR(INDEX(Inventory!A:A,MATCH(Scan!A24,Inventory!E:E,0)),"")</f>
        <v/>
      </c>
    </row>
    <row r="25" spans="2:13" x14ac:dyDescent="0.25">
      <c r="B25" t="str">
        <f>IF(IFERROR(VLOOKUP(TRIM(A25),Inventory!E:E,1,0),0)=0,"X","_")</f>
        <v>_</v>
      </c>
      <c r="C25" t="str">
        <f>IF(IFERROR(VLOOKUP(TRIM(A25),'Full Inventory'!F:F,1,0),0)=0,"X","_")</f>
        <v>_</v>
      </c>
      <c r="D25" t="str">
        <f t="shared" si="0"/>
        <v>X</v>
      </c>
      <c r="E25" t="str">
        <f ca="1">IFERROR(IF(AND(B25&amp;C25&amp;D25="___",INDIRECT("Inventory!A"&amp;MATCH(VLOOKUP(A25,Inventory!E:E,1,0),Inventory!E:E,0))&lt;&gt;INDIRECT("'Full Inventory'!B"&amp;MATCH(VLOOKUP(A25,'Full Inventory'!F:F,1,0),'Full Inventory'!F:F,0))),"X","_"),"_")</f>
        <v>_</v>
      </c>
      <c r="K25" t="str">
        <f t="shared" ca="1" si="1"/>
        <v>__X_</v>
      </c>
      <c r="L25" t="str">
        <f t="shared" ca="1" si="2"/>
        <v/>
      </c>
      <c r="M25" t="str">
        <f>IFERROR(INDEX(Inventory!A:A,MATCH(Scan!A25,Inventory!E:E,0)),"")</f>
        <v/>
      </c>
    </row>
    <row r="26" spans="2:13" x14ac:dyDescent="0.25">
      <c r="B26" t="str">
        <f>IF(IFERROR(VLOOKUP(TRIM(A26),Inventory!E:E,1,0),0)=0,"X","_")</f>
        <v>_</v>
      </c>
      <c r="C26" t="str">
        <f>IF(IFERROR(VLOOKUP(TRIM(A26),'Full Inventory'!F:F,1,0),0)=0,"X","_")</f>
        <v>_</v>
      </c>
      <c r="D26" t="str">
        <f t="shared" si="0"/>
        <v>X</v>
      </c>
      <c r="E26" t="str">
        <f ca="1">IFERROR(IF(AND(B26&amp;C26&amp;D26="___",INDIRECT("Inventory!A"&amp;MATCH(VLOOKUP(A26,Inventory!E:E,1,0),Inventory!E:E,0))&lt;&gt;INDIRECT("'Full Inventory'!B"&amp;MATCH(VLOOKUP(A26,'Full Inventory'!F:F,1,0),'Full Inventory'!F:F,0))),"X","_"),"_")</f>
        <v>_</v>
      </c>
      <c r="K26" t="str">
        <f t="shared" ca="1" si="1"/>
        <v>__X_</v>
      </c>
      <c r="L26" t="str">
        <f t="shared" ca="1" si="2"/>
        <v/>
      </c>
      <c r="M26" t="str">
        <f>IFERROR(INDEX(Inventory!A:A,MATCH(Scan!A26,Inventory!E:E,0)),"")</f>
        <v/>
      </c>
    </row>
    <row r="27" spans="2:13" x14ac:dyDescent="0.25">
      <c r="B27" t="str">
        <f>IF(IFERROR(VLOOKUP(TRIM(A27),Inventory!E:E,1,0),0)=0,"X","_")</f>
        <v>_</v>
      </c>
      <c r="C27" t="str">
        <f>IF(IFERROR(VLOOKUP(TRIM(A27),'Full Inventory'!F:F,1,0),0)=0,"X","_")</f>
        <v>_</v>
      </c>
      <c r="D27" t="str">
        <f t="shared" si="0"/>
        <v>X</v>
      </c>
      <c r="E27" t="str">
        <f ca="1">IFERROR(IF(AND(B27&amp;C27&amp;D27="___",INDIRECT("Inventory!A"&amp;MATCH(VLOOKUP(A27,Inventory!E:E,1,0),Inventory!E:E,0))&lt;&gt;INDIRECT("'Full Inventory'!B"&amp;MATCH(VLOOKUP(A27,'Full Inventory'!F:F,1,0),'Full Inventory'!F:F,0))),"X","_"),"_")</f>
        <v>_</v>
      </c>
      <c r="K27" t="str">
        <f t="shared" ca="1" si="1"/>
        <v>__X_</v>
      </c>
      <c r="L27" t="str">
        <f t="shared" ca="1" si="2"/>
        <v/>
      </c>
      <c r="M27" t="str">
        <f>IFERROR(INDEX(Inventory!A:A,MATCH(Scan!A27,Inventory!E:E,0)),"")</f>
        <v/>
      </c>
    </row>
    <row r="28" spans="2:13" x14ac:dyDescent="0.25">
      <c r="B28" t="str">
        <f>IF(IFERROR(VLOOKUP(TRIM(A28),Inventory!E:E,1,0),0)=0,"X","_")</f>
        <v>_</v>
      </c>
      <c r="C28" t="str">
        <f>IF(IFERROR(VLOOKUP(TRIM(A28),'Full Inventory'!F:F,1,0),0)=0,"X","_")</f>
        <v>_</v>
      </c>
      <c r="D28" t="str">
        <f t="shared" si="0"/>
        <v>X</v>
      </c>
      <c r="E28" t="str">
        <f ca="1">IFERROR(IF(AND(B28&amp;C28&amp;D28="___",INDIRECT("Inventory!A"&amp;MATCH(VLOOKUP(A28,Inventory!E:E,1,0),Inventory!E:E,0))&lt;&gt;INDIRECT("'Full Inventory'!B"&amp;MATCH(VLOOKUP(A28,'Full Inventory'!F:F,1,0),'Full Inventory'!F:F,0))),"X","_"),"_")</f>
        <v>_</v>
      </c>
      <c r="K28" t="str">
        <f t="shared" ca="1" si="1"/>
        <v>__X_</v>
      </c>
      <c r="L28" t="str">
        <f t="shared" ca="1" si="2"/>
        <v/>
      </c>
      <c r="M28" t="str">
        <f>IFERROR(INDEX(Inventory!A:A,MATCH(Scan!A28,Inventory!E:E,0)),"")</f>
        <v/>
      </c>
    </row>
    <row r="29" spans="2:13" x14ac:dyDescent="0.25">
      <c r="B29" t="str">
        <f>IF(IFERROR(VLOOKUP(TRIM(A29),Inventory!E:E,1,0),0)=0,"X","_")</f>
        <v>_</v>
      </c>
      <c r="C29" t="str">
        <f>IF(IFERROR(VLOOKUP(TRIM(A29),'Full Inventory'!F:F,1,0),0)=0,"X","_")</f>
        <v>_</v>
      </c>
      <c r="D29" t="str">
        <f t="shared" si="0"/>
        <v>X</v>
      </c>
      <c r="E29" t="str">
        <f ca="1">IFERROR(IF(AND(B29&amp;C29&amp;D29="___",INDIRECT("Inventory!A"&amp;MATCH(VLOOKUP(A29,Inventory!E:E,1,0),Inventory!E:E,0))&lt;&gt;INDIRECT("'Full Inventory'!B"&amp;MATCH(VLOOKUP(A29,'Full Inventory'!F:F,1,0),'Full Inventory'!F:F,0))),"X","_"),"_")</f>
        <v>_</v>
      </c>
      <c r="K29" t="str">
        <f t="shared" ca="1" si="1"/>
        <v>__X_</v>
      </c>
      <c r="L29" t="str">
        <f t="shared" ca="1" si="2"/>
        <v/>
      </c>
      <c r="M29" t="str">
        <f>IFERROR(INDEX(Inventory!A:A,MATCH(Scan!A29,Inventory!E:E,0)),"")</f>
        <v/>
      </c>
    </row>
    <row r="30" spans="2:13" x14ac:dyDescent="0.25">
      <c r="B30" t="str">
        <f>IF(IFERROR(VLOOKUP(TRIM(A30),Inventory!E:E,1,0),0)=0,"X","_")</f>
        <v>_</v>
      </c>
      <c r="C30" t="str">
        <f>IF(IFERROR(VLOOKUP(TRIM(A30),'Full Inventory'!F:F,1,0),0)=0,"X","_")</f>
        <v>_</v>
      </c>
      <c r="D30" t="str">
        <f t="shared" si="0"/>
        <v>X</v>
      </c>
      <c r="E30" t="str">
        <f ca="1">IFERROR(IF(AND(B30&amp;C30&amp;D30="___",INDIRECT("Inventory!A"&amp;MATCH(VLOOKUP(A30,Inventory!E:E,1,0),Inventory!E:E,0))&lt;&gt;INDIRECT("'Full Inventory'!B"&amp;MATCH(VLOOKUP(A30,'Full Inventory'!F:F,1,0),'Full Inventory'!F:F,0))),"X","_"),"_")</f>
        <v>_</v>
      </c>
      <c r="K30" t="str">
        <f t="shared" ca="1" si="1"/>
        <v>__X_</v>
      </c>
      <c r="L30" t="str">
        <f t="shared" ca="1" si="2"/>
        <v/>
      </c>
      <c r="M30" t="str">
        <f>IFERROR(INDEX(Inventory!A:A,MATCH(Scan!A30,Inventory!E:E,0)),"")</f>
        <v/>
      </c>
    </row>
    <row r="31" spans="2:13" x14ac:dyDescent="0.25">
      <c r="B31" t="str">
        <f>IF(IFERROR(VLOOKUP(TRIM(A31),Inventory!E:E,1,0),0)=0,"X","_")</f>
        <v>_</v>
      </c>
      <c r="C31" t="str">
        <f>IF(IFERROR(VLOOKUP(TRIM(A31),'Full Inventory'!F:F,1,0),0)=0,"X","_")</f>
        <v>_</v>
      </c>
      <c r="D31" t="str">
        <f t="shared" si="0"/>
        <v>X</v>
      </c>
      <c r="E31" t="str">
        <f ca="1">IFERROR(IF(AND(B31&amp;C31&amp;D31="___",INDIRECT("Inventory!A"&amp;MATCH(VLOOKUP(A31,Inventory!E:E,1,0),Inventory!E:E,0))&lt;&gt;INDIRECT("'Full Inventory'!B"&amp;MATCH(VLOOKUP(A31,'Full Inventory'!F:F,1,0),'Full Inventory'!F:F,0))),"X","_"),"_")</f>
        <v>_</v>
      </c>
      <c r="K31" t="str">
        <f t="shared" ca="1" si="1"/>
        <v>__X_</v>
      </c>
      <c r="L31" t="str">
        <f t="shared" ca="1" si="2"/>
        <v/>
      </c>
      <c r="M31" t="str">
        <f>IFERROR(INDEX(Inventory!A:A,MATCH(Scan!A31,Inventory!E:E,0)),"")</f>
        <v/>
      </c>
    </row>
    <row r="32" spans="2:13" x14ac:dyDescent="0.25">
      <c r="B32" t="str">
        <f>IF(IFERROR(VLOOKUP(TRIM(A32),Inventory!E:E,1,0),0)=0,"X","_")</f>
        <v>_</v>
      </c>
      <c r="C32" t="str">
        <f>IF(IFERROR(VLOOKUP(TRIM(A32),'Full Inventory'!F:F,1,0),0)=0,"X","_")</f>
        <v>_</v>
      </c>
      <c r="D32" t="str">
        <f t="shared" si="0"/>
        <v>X</v>
      </c>
      <c r="E32" t="str">
        <f ca="1">IFERROR(IF(AND(B32&amp;C32&amp;D32="___",INDIRECT("Inventory!A"&amp;MATCH(VLOOKUP(A32,Inventory!E:E,1,0),Inventory!E:E,0))&lt;&gt;INDIRECT("'Full Inventory'!B"&amp;MATCH(VLOOKUP(A32,'Full Inventory'!F:F,1,0),'Full Inventory'!F:F,0))),"X","_"),"_")</f>
        <v>_</v>
      </c>
      <c r="K32" t="str">
        <f t="shared" ca="1" si="1"/>
        <v>__X_</v>
      </c>
      <c r="L32" t="str">
        <f t="shared" ca="1" si="2"/>
        <v/>
      </c>
      <c r="M32" t="str">
        <f>IFERROR(INDEX(Inventory!A:A,MATCH(Scan!A32,Inventory!E:E,0)),"")</f>
        <v/>
      </c>
    </row>
    <row r="33" spans="2:13" x14ac:dyDescent="0.25">
      <c r="B33" t="str">
        <f>IF(IFERROR(VLOOKUP(TRIM(A33),Inventory!E:E,1,0),0)=0,"X","_")</f>
        <v>_</v>
      </c>
      <c r="C33" t="str">
        <f>IF(IFERROR(VLOOKUP(TRIM(A33),'Full Inventory'!F:F,1,0),0)=0,"X","_")</f>
        <v>_</v>
      </c>
      <c r="D33" t="str">
        <f t="shared" si="0"/>
        <v>X</v>
      </c>
      <c r="E33" t="str">
        <f ca="1">IFERROR(IF(AND(B33&amp;C33&amp;D33="___",INDIRECT("Inventory!A"&amp;MATCH(VLOOKUP(A33,Inventory!E:E,1,0),Inventory!E:E,0))&lt;&gt;INDIRECT("'Full Inventory'!B"&amp;MATCH(VLOOKUP(A33,'Full Inventory'!F:F,1,0),'Full Inventory'!F:F,0))),"X","_"),"_")</f>
        <v>_</v>
      </c>
      <c r="K33" t="str">
        <f t="shared" ca="1" si="1"/>
        <v>__X_</v>
      </c>
      <c r="L33" t="str">
        <f t="shared" ca="1" si="2"/>
        <v/>
      </c>
      <c r="M33" t="str">
        <f>IFERROR(INDEX(Inventory!A:A,MATCH(Scan!A33,Inventory!E:E,0)),"")</f>
        <v/>
      </c>
    </row>
    <row r="34" spans="2:13" x14ac:dyDescent="0.25">
      <c r="B34" t="str">
        <f>IF(IFERROR(VLOOKUP(TRIM(A34),Inventory!E:E,1,0),0)=0,"X","_")</f>
        <v>_</v>
      </c>
      <c r="C34" t="str">
        <f>IF(IFERROR(VLOOKUP(TRIM(A34),'Full Inventory'!F:F,1,0),0)=0,"X","_")</f>
        <v>_</v>
      </c>
      <c r="D34" t="str">
        <f t="shared" si="0"/>
        <v>X</v>
      </c>
      <c r="E34" t="str">
        <f ca="1">IFERROR(IF(AND(B34&amp;C34&amp;D34="___",INDIRECT("Inventory!A"&amp;MATCH(VLOOKUP(A34,Inventory!E:E,1,0),Inventory!E:E,0))&lt;&gt;INDIRECT("'Full Inventory'!B"&amp;MATCH(VLOOKUP(A34,'Full Inventory'!F:F,1,0),'Full Inventory'!F:F,0))),"X","_"),"_")</f>
        <v>_</v>
      </c>
      <c r="K34" t="str">
        <f t="shared" ca="1" si="1"/>
        <v>__X_</v>
      </c>
      <c r="L34" t="str">
        <f t="shared" ca="1" si="2"/>
        <v/>
      </c>
      <c r="M34" t="str">
        <f>IFERROR(INDEX(Inventory!A:A,MATCH(Scan!A34,Inventory!E:E,0)),"")</f>
        <v/>
      </c>
    </row>
    <row r="35" spans="2:13" x14ac:dyDescent="0.25">
      <c r="B35" t="str">
        <f>IF(IFERROR(VLOOKUP(TRIM(A35),Inventory!E:E,1,0),0)=0,"X","_")</f>
        <v>_</v>
      </c>
      <c r="C35" t="str">
        <f>IF(IFERROR(VLOOKUP(TRIM(A35),'Full Inventory'!F:F,1,0),0)=0,"X","_")</f>
        <v>_</v>
      </c>
      <c r="D35" t="str">
        <f t="shared" si="0"/>
        <v>X</v>
      </c>
      <c r="E35" t="str">
        <f ca="1">IFERROR(IF(AND(B35&amp;C35&amp;D35="___",INDIRECT("Inventory!A"&amp;MATCH(VLOOKUP(A35,Inventory!E:E,1,0),Inventory!E:E,0))&lt;&gt;INDIRECT("'Full Inventory'!B"&amp;MATCH(VLOOKUP(A35,'Full Inventory'!F:F,1,0),'Full Inventory'!F:F,0))),"X","_"),"_")</f>
        <v>_</v>
      </c>
      <c r="K35" t="str">
        <f t="shared" ca="1" si="1"/>
        <v>__X_</v>
      </c>
      <c r="L35" t="str">
        <f t="shared" ca="1" si="2"/>
        <v/>
      </c>
      <c r="M35" t="str">
        <f>IFERROR(INDEX(Inventory!A:A,MATCH(Scan!A35,Inventory!E:E,0)),"")</f>
        <v/>
      </c>
    </row>
    <row r="36" spans="2:13" x14ac:dyDescent="0.25">
      <c r="B36" t="str">
        <f>IF(IFERROR(VLOOKUP(TRIM(A36),Inventory!E:E,1,0),0)=0,"X","_")</f>
        <v>_</v>
      </c>
      <c r="C36" t="str">
        <f>IF(IFERROR(VLOOKUP(TRIM(A36),'Full Inventory'!F:F,1,0),0)=0,"X","_")</f>
        <v>_</v>
      </c>
      <c r="D36" t="str">
        <f t="shared" si="0"/>
        <v>X</v>
      </c>
      <c r="E36" t="str">
        <f ca="1">IFERROR(IF(AND(B36&amp;C36&amp;D36="___",INDIRECT("Inventory!A"&amp;MATCH(VLOOKUP(A36,Inventory!E:E,1,0),Inventory!E:E,0))&lt;&gt;INDIRECT("'Full Inventory'!B"&amp;MATCH(VLOOKUP(A36,'Full Inventory'!F:F,1,0),'Full Inventory'!F:F,0))),"X","_"),"_")</f>
        <v>_</v>
      </c>
      <c r="K36" t="str">
        <f t="shared" ca="1" si="1"/>
        <v>__X_</v>
      </c>
      <c r="L36" t="str">
        <f t="shared" ca="1" si="2"/>
        <v/>
      </c>
      <c r="M36" t="str">
        <f>IFERROR(INDEX(Inventory!A:A,MATCH(Scan!A36,Inventory!E:E,0)),"")</f>
        <v/>
      </c>
    </row>
    <row r="37" spans="2:13" x14ac:dyDescent="0.25">
      <c r="B37" t="str">
        <f>IF(IFERROR(VLOOKUP(TRIM(A37),Inventory!E:E,1,0),0)=0,"X","_")</f>
        <v>_</v>
      </c>
      <c r="C37" t="str">
        <f>IF(IFERROR(VLOOKUP(TRIM(A37),'Full Inventory'!F:F,1,0),0)=0,"X","_")</f>
        <v>_</v>
      </c>
      <c r="D37" t="str">
        <f t="shared" si="0"/>
        <v>X</v>
      </c>
      <c r="E37" t="str">
        <f ca="1">IFERROR(IF(AND(B37&amp;C37&amp;D37="___",INDIRECT("Inventory!A"&amp;MATCH(VLOOKUP(A37,Inventory!E:E,1,0),Inventory!E:E,0))&lt;&gt;INDIRECT("'Full Inventory'!B"&amp;MATCH(VLOOKUP(A37,'Full Inventory'!F:F,1,0),'Full Inventory'!F:F,0))),"X","_"),"_")</f>
        <v>_</v>
      </c>
      <c r="K37" t="str">
        <f t="shared" ca="1" si="1"/>
        <v>__X_</v>
      </c>
      <c r="L37" t="str">
        <f t="shared" ca="1" si="2"/>
        <v/>
      </c>
      <c r="M37" t="str">
        <f>IFERROR(INDEX(Inventory!A:A,MATCH(Scan!A37,Inventory!E:E,0)),"")</f>
        <v/>
      </c>
    </row>
    <row r="38" spans="2:13" x14ac:dyDescent="0.25">
      <c r="B38" t="str">
        <f>IF(IFERROR(VLOOKUP(TRIM(A38),Inventory!E:E,1,0),0)=0,"X","_")</f>
        <v>_</v>
      </c>
      <c r="C38" t="str">
        <f>IF(IFERROR(VLOOKUP(TRIM(A38),'Full Inventory'!F:F,1,0),0)=0,"X","_")</f>
        <v>_</v>
      </c>
      <c r="D38" t="str">
        <f t="shared" si="0"/>
        <v>X</v>
      </c>
      <c r="E38" t="str">
        <f ca="1">IFERROR(IF(AND(B38&amp;C38&amp;D38="___",INDIRECT("Inventory!A"&amp;MATCH(VLOOKUP(A38,Inventory!E:E,1,0),Inventory!E:E,0))&lt;&gt;INDIRECT("'Full Inventory'!B"&amp;MATCH(VLOOKUP(A38,'Full Inventory'!F:F,1,0),'Full Inventory'!F:F,0))),"X","_"),"_")</f>
        <v>_</v>
      </c>
      <c r="K38" t="str">
        <f t="shared" ca="1" si="1"/>
        <v>__X_</v>
      </c>
      <c r="L38" t="str">
        <f t="shared" ca="1" si="2"/>
        <v/>
      </c>
      <c r="M38" t="str">
        <f>IFERROR(INDEX(Inventory!A:A,MATCH(Scan!A38,Inventory!E:E,0)),"")</f>
        <v/>
      </c>
    </row>
    <row r="39" spans="2:13" x14ac:dyDescent="0.25">
      <c r="B39" t="str">
        <f>IF(IFERROR(VLOOKUP(TRIM(A39),Inventory!E:E,1,0),0)=0,"X","_")</f>
        <v>_</v>
      </c>
      <c r="C39" t="str">
        <f>IF(IFERROR(VLOOKUP(TRIM(A39),'Full Inventory'!F:F,1,0),0)=0,"X","_")</f>
        <v>_</v>
      </c>
      <c r="D39" t="str">
        <f t="shared" si="0"/>
        <v>X</v>
      </c>
      <c r="E39" t="str">
        <f ca="1">IFERROR(IF(AND(B39&amp;C39&amp;D39="___",INDIRECT("Inventory!A"&amp;MATCH(VLOOKUP(A39,Inventory!E:E,1,0),Inventory!E:E,0))&lt;&gt;INDIRECT("'Full Inventory'!B"&amp;MATCH(VLOOKUP(A39,'Full Inventory'!F:F,1,0),'Full Inventory'!F:F,0))),"X","_"),"_")</f>
        <v>_</v>
      </c>
      <c r="K39" t="str">
        <f t="shared" ca="1" si="1"/>
        <v>__X_</v>
      </c>
      <c r="L39" t="str">
        <f t="shared" ca="1" si="2"/>
        <v/>
      </c>
      <c r="M39" t="str">
        <f>IFERROR(INDEX(Inventory!A:A,MATCH(Scan!A39,Inventory!E:E,0)),"")</f>
        <v/>
      </c>
    </row>
    <row r="40" spans="2:13" x14ac:dyDescent="0.25">
      <c r="B40" t="str">
        <f>IF(IFERROR(VLOOKUP(TRIM(A40),Inventory!E:E,1,0),0)=0,"X","_")</f>
        <v>_</v>
      </c>
      <c r="C40" t="str">
        <f>IF(IFERROR(VLOOKUP(TRIM(A40),'Full Inventory'!F:F,1,0),0)=0,"X","_")</f>
        <v>_</v>
      </c>
      <c r="D40" t="str">
        <f t="shared" si="0"/>
        <v>X</v>
      </c>
      <c r="E40" t="str">
        <f ca="1">IFERROR(IF(AND(B40&amp;C40&amp;D40="___",INDIRECT("Inventory!A"&amp;MATCH(VLOOKUP(A40,Inventory!E:E,1,0),Inventory!E:E,0))&lt;&gt;INDIRECT("'Full Inventory'!B"&amp;MATCH(VLOOKUP(A40,'Full Inventory'!F:F,1,0),'Full Inventory'!F:F,0))),"X","_"),"_")</f>
        <v>_</v>
      </c>
      <c r="K40" t="str">
        <f t="shared" ca="1" si="1"/>
        <v>__X_</v>
      </c>
      <c r="L40" t="str">
        <f t="shared" ca="1" si="2"/>
        <v/>
      </c>
      <c r="M40" t="str">
        <f>IFERROR(INDEX(Inventory!A:A,MATCH(Scan!A40,Inventory!E:E,0)),"")</f>
        <v/>
      </c>
    </row>
    <row r="41" spans="2:13" x14ac:dyDescent="0.25">
      <c r="B41" t="str">
        <f>IF(IFERROR(VLOOKUP(TRIM(A41),Inventory!E:E,1,0),0)=0,"X","_")</f>
        <v>_</v>
      </c>
      <c r="C41" t="str">
        <f>IF(IFERROR(VLOOKUP(TRIM(A41),'Full Inventory'!F:F,1,0),0)=0,"X","_")</f>
        <v>_</v>
      </c>
      <c r="D41" t="str">
        <f t="shared" si="0"/>
        <v>X</v>
      </c>
      <c r="E41" t="str">
        <f ca="1">IFERROR(IF(AND(B41&amp;C41&amp;D41="___",INDIRECT("Inventory!A"&amp;MATCH(VLOOKUP(A41,Inventory!E:E,1,0),Inventory!E:E,0))&lt;&gt;INDIRECT("'Full Inventory'!B"&amp;MATCH(VLOOKUP(A41,'Full Inventory'!F:F,1,0),'Full Inventory'!F:F,0))),"X","_"),"_")</f>
        <v>_</v>
      </c>
      <c r="K41" t="str">
        <f t="shared" ca="1" si="1"/>
        <v>__X_</v>
      </c>
      <c r="L41" t="str">
        <f t="shared" ca="1" si="2"/>
        <v/>
      </c>
      <c r="M41" t="str">
        <f>IFERROR(INDEX(Inventory!A:A,MATCH(Scan!A41,Inventory!E:E,0)),"")</f>
        <v/>
      </c>
    </row>
    <row r="42" spans="2:13" x14ac:dyDescent="0.25">
      <c r="B42" t="str">
        <f>IF(IFERROR(VLOOKUP(TRIM(A42),Inventory!E:E,1,0),0)=0,"X","_")</f>
        <v>_</v>
      </c>
      <c r="C42" t="str">
        <f>IF(IFERROR(VLOOKUP(TRIM(A42),'Full Inventory'!F:F,1,0),0)=0,"X","_")</f>
        <v>_</v>
      </c>
      <c r="D42" t="str">
        <f t="shared" si="0"/>
        <v>X</v>
      </c>
      <c r="E42" t="str">
        <f ca="1">IFERROR(IF(AND(B42&amp;C42&amp;D42="___",INDIRECT("Inventory!A"&amp;MATCH(VLOOKUP(A42,Inventory!E:E,1,0),Inventory!E:E,0))&lt;&gt;INDIRECT("'Full Inventory'!B"&amp;MATCH(VLOOKUP(A42,'Full Inventory'!F:F,1,0),'Full Inventory'!F:F,0))),"X","_"),"_")</f>
        <v>_</v>
      </c>
      <c r="K42" t="str">
        <f t="shared" ca="1" si="1"/>
        <v>__X_</v>
      </c>
      <c r="L42" t="str">
        <f t="shared" ca="1" si="2"/>
        <v/>
      </c>
      <c r="M42" t="str">
        <f>IFERROR(INDEX(Inventory!A:A,MATCH(Scan!A42,Inventory!E:E,0)),"")</f>
        <v/>
      </c>
    </row>
    <row r="43" spans="2:13" x14ac:dyDescent="0.25">
      <c r="B43" t="str">
        <f>IF(IFERROR(VLOOKUP(TRIM(A43),Inventory!E:E,1,0),0)=0,"X","_")</f>
        <v>_</v>
      </c>
      <c r="C43" t="str">
        <f>IF(IFERROR(VLOOKUP(TRIM(A43),'Full Inventory'!F:F,1,0),0)=0,"X","_")</f>
        <v>_</v>
      </c>
      <c r="D43" t="str">
        <f t="shared" si="0"/>
        <v>X</v>
      </c>
      <c r="E43" t="str">
        <f ca="1">IFERROR(IF(AND(B43&amp;C43&amp;D43="___",INDIRECT("Inventory!A"&amp;MATCH(VLOOKUP(A43,Inventory!E:E,1,0),Inventory!E:E,0))&lt;&gt;INDIRECT("'Full Inventory'!B"&amp;MATCH(VLOOKUP(A43,'Full Inventory'!F:F,1,0),'Full Inventory'!F:F,0))),"X","_"),"_")</f>
        <v>_</v>
      </c>
      <c r="K43" t="str">
        <f t="shared" ca="1" si="1"/>
        <v>__X_</v>
      </c>
      <c r="L43" t="str">
        <f t="shared" ca="1" si="2"/>
        <v/>
      </c>
      <c r="M43" t="str">
        <f>IFERROR(INDEX(Inventory!A:A,MATCH(Scan!A43,Inventory!E:E,0)),"")</f>
        <v/>
      </c>
    </row>
    <row r="44" spans="2:13" x14ac:dyDescent="0.25">
      <c r="B44" t="str">
        <f>IF(IFERROR(VLOOKUP(TRIM(A44),Inventory!E:E,1,0),0)=0,"X","_")</f>
        <v>_</v>
      </c>
      <c r="C44" t="str">
        <f>IF(IFERROR(VLOOKUP(TRIM(A44),'Full Inventory'!F:F,1,0),0)=0,"X","_")</f>
        <v>_</v>
      </c>
      <c r="D44" t="str">
        <f t="shared" si="0"/>
        <v>X</v>
      </c>
      <c r="E44" t="str">
        <f ca="1">IFERROR(IF(AND(B44&amp;C44&amp;D44="___",INDIRECT("Inventory!A"&amp;MATCH(VLOOKUP(A44,Inventory!E:E,1,0),Inventory!E:E,0))&lt;&gt;INDIRECT("'Full Inventory'!B"&amp;MATCH(VLOOKUP(A44,'Full Inventory'!F:F,1,0),'Full Inventory'!F:F,0))),"X","_"),"_")</f>
        <v>_</v>
      </c>
      <c r="K44" t="str">
        <f t="shared" ca="1" si="1"/>
        <v>__X_</v>
      </c>
      <c r="L44" t="str">
        <f t="shared" ca="1" si="2"/>
        <v/>
      </c>
      <c r="M44" t="str">
        <f>IFERROR(INDEX(Inventory!A:A,MATCH(Scan!A44,Inventory!E:E,0)),"")</f>
        <v/>
      </c>
    </row>
    <row r="45" spans="2:13" x14ac:dyDescent="0.25">
      <c r="B45" t="str">
        <f>IF(IFERROR(VLOOKUP(TRIM(A45),Inventory!E:E,1,0),0)=0,"X","_")</f>
        <v>_</v>
      </c>
      <c r="C45" t="str">
        <f>IF(IFERROR(VLOOKUP(TRIM(A45),'Full Inventory'!F:F,1,0),0)=0,"X","_")</f>
        <v>_</v>
      </c>
      <c r="D45" t="str">
        <f t="shared" si="0"/>
        <v>X</v>
      </c>
      <c r="E45" t="str">
        <f ca="1">IFERROR(IF(AND(B45&amp;C45&amp;D45="___",INDIRECT("Inventory!A"&amp;MATCH(VLOOKUP(A45,Inventory!E:E,1,0),Inventory!E:E,0))&lt;&gt;INDIRECT("'Full Inventory'!B"&amp;MATCH(VLOOKUP(A45,'Full Inventory'!F:F,1,0),'Full Inventory'!F:F,0))),"X","_"),"_")</f>
        <v>_</v>
      </c>
      <c r="K45" t="str">
        <f t="shared" ca="1" si="1"/>
        <v>__X_</v>
      </c>
      <c r="L45" t="str">
        <f t="shared" ca="1" si="2"/>
        <v/>
      </c>
      <c r="M45" t="str">
        <f>IFERROR(INDEX(Inventory!A:A,MATCH(Scan!A45,Inventory!E:E,0)),"")</f>
        <v/>
      </c>
    </row>
    <row r="46" spans="2:13" x14ac:dyDescent="0.25">
      <c r="B46" t="str">
        <f>IF(IFERROR(VLOOKUP(TRIM(A46),Inventory!E:E,1,0),0)=0,"X","_")</f>
        <v>_</v>
      </c>
      <c r="C46" t="str">
        <f>IF(IFERROR(VLOOKUP(TRIM(A46),'Full Inventory'!F:F,1,0),0)=0,"X","_")</f>
        <v>_</v>
      </c>
      <c r="D46" t="str">
        <f t="shared" si="0"/>
        <v>X</v>
      </c>
      <c r="E46" t="str">
        <f ca="1">IFERROR(IF(AND(B46&amp;C46&amp;D46="___",INDIRECT("Inventory!A"&amp;MATCH(VLOOKUP(A46,Inventory!E:E,1,0),Inventory!E:E,0))&lt;&gt;INDIRECT("'Full Inventory'!B"&amp;MATCH(VLOOKUP(A46,'Full Inventory'!F:F,1,0),'Full Inventory'!F:F,0))),"X","_"),"_")</f>
        <v>_</v>
      </c>
      <c r="K46" t="str">
        <f t="shared" ca="1" si="1"/>
        <v>__X_</v>
      </c>
      <c r="L46" t="str">
        <f t="shared" ca="1" si="2"/>
        <v/>
      </c>
      <c r="M46" t="str">
        <f>IFERROR(INDEX(Inventory!A:A,MATCH(Scan!A46,Inventory!E:E,0)),"")</f>
        <v/>
      </c>
    </row>
    <row r="47" spans="2:13" x14ac:dyDescent="0.25">
      <c r="B47" t="str">
        <f>IF(IFERROR(VLOOKUP(TRIM(A47),Inventory!E:E,1,0),0)=0,"X","_")</f>
        <v>_</v>
      </c>
      <c r="C47" t="str">
        <f>IF(IFERROR(VLOOKUP(TRIM(A47),'Full Inventory'!F:F,1,0),0)=0,"X","_")</f>
        <v>_</v>
      </c>
      <c r="D47" t="str">
        <f t="shared" si="0"/>
        <v>X</v>
      </c>
      <c r="E47" t="str">
        <f ca="1">IFERROR(IF(AND(B47&amp;C47&amp;D47="___",INDIRECT("Inventory!A"&amp;MATCH(VLOOKUP(A47,Inventory!E:E,1,0),Inventory!E:E,0))&lt;&gt;INDIRECT("'Full Inventory'!B"&amp;MATCH(VLOOKUP(A47,'Full Inventory'!F:F,1,0),'Full Inventory'!F:F,0))),"X","_"),"_")</f>
        <v>_</v>
      </c>
      <c r="K47" t="str">
        <f t="shared" ca="1" si="1"/>
        <v>__X_</v>
      </c>
      <c r="L47" t="str">
        <f t="shared" ca="1" si="2"/>
        <v/>
      </c>
      <c r="M47" t="str">
        <f>IFERROR(INDEX(Inventory!A:A,MATCH(Scan!A47,Inventory!E:E,0)),"")</f>
        <v/>
      </c>
    </row>
    <row r="48" spans="2:13" x14ac:dyDescent="0.25">
      <c r="B48" t="str">
        <f>IF(IFERROR(VLOOKUP(TRIM(A48),Inventory!E:E,1,0),0)=0,"X","_")</f>
        <v>_</v>
      </c>
      <c r="C48" t="str">
        <f>IF(IFERROR(VLOOKUP(TRIM(A48),'Full Inventory'!F:F,1,0),0)=0,"X","_")</f>
        <v>_</v>
      </c>
      <c r="D48" t="str">
        <f t="shared" si="0"/>
        <v>X</v>
      </c>
      <c r="E48" t="str">
        <f ca="1">IFERROR(IF(AND(B48&amp;C48&amp;D48="___",INDIRECT("Inventory!A"&amp;MATCH(VLOOKUP(A48,Inventory!E:E,1,0),Inventory!E:E,0))&lt;&gt;INDIRECT("'Full Inventory'!B"&amp;MATCH(VLOOKUP(A48,'Full Inventory'!F:F,1,0),'Full Inventory'!F:F,0))),"X","_"),"_")</f>
        <v>_</v>
      </c>
      <c r="K48" t="str">
        <f t="shared" ca="1" si="1"/>
        <v>__X_</v>
      </c>
      <c r="L48" t="str">
        <f t="shared" ca="1" si="2"/>
        <v/>
      </c>
      <c r="M48" t="str">
        <f>IFERROR(INDEX(Inventory!A:A,MATCH(Scan!A48,Inventory!E:E,0)),"")</f>
        <v/>
      </c>
    </row>
    <row r="49" spans="2:13" x14ac:dyDescent="0.25">
      <c r="B49" t="str">
        <f>IF(IFERROR(VLOOKUP(TRIM(A49),Inventory!E:E,1,0),0)=0,"X","_")</f>
        <v>_</v>
      </c>
      <c r="C49" t="str">
        <f>IF(IFERROR(VLOOKUP(TRIM(A49),'Full Inventory'!F:F,1,0),0)=0,"X","_")</f>
        <v>_</v>
      </c>
      <c r="D49" t="str">
        <f t="shared" si="0"/>
        <v>X</v>
      </c>
      <c r="E49" t="str">
        <f ca="1">IFERROR(IF(AND(B49&amp;C49&amp;D49="___",INDIRECT("Inventory!A"&amp;MATCH(VLOOKUP(A49,Inventory!E:E,1,0),Inventory!E:E,0))&lt;&gt;INDIRECT("'Full Inventory'!B"&amp;MATCH(VLOOKUP(A49,'Full Inventory'!F:F,1,0),'Full Inventory'!F:F,0))),"X","_"),"_")</f>
        <v>_</v>
      </c>
      <c r="K49" t="str">
        <f t="shared" ca="1" si="1"/>
        <v>__X_</v>
      </c>
      <c r="L49" t="str">
        <f t="shared" ca="1" si="2"/>
        <v/>
      </c>
      <c r="M49" t="str">
        <f>IFERROR(INDEX(Inventory!A:A,MATCH(Scan!A49,Inventory!E:E,0)),"")</f>
        <v/>
      </c>
    </row>
    <row r="50" spans="2:13" x14ac:dyDescent="0.25">
      <c r="B50" t="str">
        <f>IF(IFERROR(VLOOKUP(TRIM(A50),Inventory!E:E,1,0),0)=0,"X","_")</f>
        <v>_</v>
      </c>
      <c r="C50" t="str">
        <f>IF(IFERROR(VLOOKUP(TRIM(A50),'Full Inventory'!F:F,1,0),0)=0,"X","_")</f>
        <v>_</v>
      </c>
      <c r="D50" t="str">
        <f t="shared" si="0"/>
        <v>X</v>
      </c>
      <c r="E50" t="str">
        <f ca="1">IFERROR(IF(AND(B50&amp;C50&amp;D50="___",INDIRECT("Inventory!A"&amp;MATCH(VLOOKUP(A50,Inventory!E:E,1,0),Inventory!E:E,0))&lt;&gt;INDIRECT("'Full Inventory'!B"&amp;MATCH(VLOOKUP(A50,'Full Inventory'!F:F,1,0),'Full Inventory'!F:F,0))),"X","_"),"_")</f>
        <v>_</v>
      </c>
      <c r="K50" t="str">
        <f t="shared" ca="1" si="1"/>
        <v>__X_</v>
      </c>
      <c r="L50" t="str">
        <f t="shared" ca="1" si="2"/>
        <v/>
      </c>
      <c r="M50" t="str">
        <f>IFERROR(INDEX(Inventory!A:A,MATCH(Scan!A50,Inventory!E:E,0)),"")</f>
        <v/>
      </c>
    </row>
    <row r="51" spans="2:13" x14ac:dyDescent="0.25">
      <c r="B51" t="str">
        <f>IF(IFERROR(VLOOKUP(TRIM(A51),Inventory!E:E,1,0),0)=0,"X","_")</f>
        <v>_</v>
      </c>
      <c r="C51" t="str">
        <f>IF(IFERROR(VLOOKUP(TRIM(A51),'Full Inventory'!F:F,1,0),0)=0,"X","_")</f>
        <v>_</v>
      </c>
      <c r="D51" t="str">
        <f t="shared" si="0"/>
        <v>X</v>
      </c>
      <c r="E51" t="str">
        <f ca="1">IFERROR(IF(AND(B51&amp;C51&amp;D51="___",INDIRECT("Inventory!A"&amp;MATCH(VLOOKUP(A51,Inventory!E:E,1,0),Inventory!E:E,0))&lt;&gt;INDIRECT("'Full Inventory'!B"&amp;MATCH(VLOOKUP(A51,'Full Inventory'!F:F,1,0),'Full Inventory'!F:F,0))),"X","_"),"_")</f>
        <v>_</v>
      </c>
      <c r="K51" t="str">
        <f t="shared" ca="1" si="1"/>
        <v>__X_</v>
      </c>
      <c r="L51" t="str">
        <f t="shared" ca="1" si="2"/>
        <v/>
      </c>
      <c r="M51" t="str">
        <f>IFERROR(INDEX(Inventory!A:A,MATCH(Scan!A51,Inventory!E:E,0)),"")</f>
        <v/>
      </c>
    </row>
    <row r="52" spans="2:13" x14ac:dyDescent="0.25">
      <c r="B52" t="str">
        <f>IF(IFERROR(VLOOKUP(TRIM(A52),Inventory!E:E,1,0),0)=0,"X","_")</f>
        <v>_</v>
      </c>
      <c r="C52" t="str">
        <f>IF(IFERROR(VLOOKUP(TRIM(A52),'Full Inventory'!F:F,1,0),0)=0,"X","_")</f>
        <v>_</v>
      </c>
      <c r="D52" t="str">
        <f t="shared" si="0"/>
        <v>X</v>
      </c>
      <c r="E52" t="str">
        <f ca="1">IFERROR(IF(AND(B52&amp;C52&amp;D52="___",INDIRECT("Inventory!A"&amp;MATCH(VLOOKUP(A52,Inventory!E:E,1,0),Inventory!E:E,0))&lt;&gt;INDIRECT("'Full Inventory'!B"&amp;MATCH(VLOOKUP(A52,'Full Inventory'!F:F,1,0),'Full Inventory'!F:F,0))),"X","_"),"_")</f>
        <v>_</v>
      </c>
      <c r="K52" t="str">
        <f t="shared" ca="1" si="1"/>
        <v>__X_</v>
      </c>
      <c r="L52" t="str">
        <f t="shared" ca="1" si="2"/>
        <v/>
      </c>
      <c r="M52" t="str">
        <f>IFERROR(INDEX(Inventory!A:A,MATCH(Scan!A52,Inventory!E:E,0)),"")</f>
        <v/>
      </c>
    </row>
    <row r="53" spans="2:13" x14ac:dyDescent="0.25">
      <c r="B53" t="str">
        <f>IF(IFERROR(VLOOKUP(TRIM(A53),Inventory!E:E,1,0),0)=0,"X","_")</f>
        <v>_</v>
      </c>
      <c r="C53" t="str">
        <f>IF(IFERROR(VLOOKUP(TRIM(A53),'Full Inventory'!F:F,1,0),0)=0,"X","_")</f>
        <v>_</v>
      </c>
      <c r="D53" t="str">
        <f t="shared" si="0"/>
        <v>X</v>
      </c>
      <c r="E53" t="str">
        <f ca="1">IFERROR(IF(AND(B53&amp;C53&amp;D53="___",INDIRECT("Inventory!A"&amp;MATCH(VLOOKUP(A53,Inventory!E:E,1,0),Inventory!E:E,0))&lt;&gt;INDIRECT("'Full Inventory'!B"&amp;MATCH(VLOOKUP(A53,'Full Inventory'!F:F,1,0),'Full Inventory'!F:F,0))),"X","_"),"_")</f>
        <v>_</v>
      </c>
      <c r="K53" t="str">
        <f t="shared" ca="1" si="1"/>
        <v>__X_</v>
      </c>
      <c r="L53" t="str">
        <f t="shared" ca="1" si="2"/>
        <v/>
      </c>
      <c r="M53" t="str">
        <f>IFERROR(INDEX(Inventory!A:A,MATCH(Scan!A53,Inventory!E:E,0)),"")</f>
        <v/>
      </c>
    </row>
    <row r="54" spans="2:13" x14ac:dyDescent="0.25">
      <c r="B54" t="str">
        <f>IF(IFERROR(VLOOKUP(TRIM(A54),Inventory!E:E,1,0),0)=0,"X","_")</f>
        <v>_</v>
      </c>
      <c r="C54" t="str">
        <f>IF(IFERROR(VLOOKUP(TRIM(A54),'Full Inventory'!F:F,1,0),0)=0,"X","_")</f>
        <v>_</v>
      </c>
      <c r="D54" t="str">
        <f t="shared" si="0"/>
        <v>X</v>
      </c>
      <c r="E54" t="str">
        <f ca="1">IFERROR(IF(AND(B54&amp;C54&amp;D54="___",INDIRECT("Inventory!A"&amp;MATCH(VLOOKUP(A54,Inventory!E:E,1,0),Inventory!E:E,0))&lt;&gt;INDIRECT("'Full Inventory'!B"&amp;MATCH(VLOOKUP(A54,'Full Inventory'!F:F,1,0),'Full Inventory'!F:F,0))),"X","_"),"_")</f>
        <v>_</v>
      </c>
      <c r="K54" t="str">
        <f t="shared" ca="1" si="1"/>
        <v>__X_</v>
      </c>
      <c r="L54" t="str">
        <f t="shared" ca="1" si="2"/>
        <v/>
      </c>
      <c r="M54" t="str">
        <f>IFERROR(INDEX(Inventory!A:A,MATCH(Scan!A54,Inventory!E:E,0)),"")</f>
        <v/>
      </c>
    </row>
    <row r="55" spans="2:13" x14ac:dyDescent="0.25">
      <c r="B55" t="str">
        <f>IF(IFERROR(VLOOKUP(TRIM(A55),Inventory!E:E,1,0),0)=0,"X","_")</f>
        <v>_</v>
      </c>
      <c r="C55" t="str">
        <f>IF(IFERROR(VLOOKUP(TRIM(A55),'Full Inventory'!F:F,1,0),0)=0,"X","_")</f>
        <v>_</v>
      </c>
      <c r="D55" t="str">
        <f t="shared" si="0"/>
        <v>X</v>
      </c>
      <c r="E55" t="str">
        <f ca="1">IFERROR(IF(AND(B55&amp;C55&amp;D55="___",INDIRECT("Inventory!A"&amp;MATCH(VLOOKUP(A55,Inventory!E:E,1,0),Inventory!E:E,0))&lt;&gt;INDIRECT("'Full Inventory'!B"&amp;MATCH(VLOOKUP(A55,'Full Inventory'!F:F,1,0),'Full Inventory'!F:F,0))),"X","_"),"_")</f>
        <v>_</v>
      </c>
      <c r="K55" t="str">
        <f t="shared" ca="1" si="1"/>
        <v>__X_</v>
      </c>
      <c r="L55" t="str">
        <f t="shared" ca="1" si="2"/>
        <v/>
      </c>
      <c r="M55" t="str">
        <f>IFERROR(INDEX(Inventory!A:A,MATCH(Scan!A55,Inventory!E:E,0)),"")</f>
        <v/>
      </c>
    </row>
    <row r="56" spans="2:13" x14ac:dyDescent="0.25">
      <c r="B56" t="str">
        <f>IF(IFERROR(VLOOKUP(TRIM(A56),Inventory!E:E,1,0),0)=0,"X","_")</f>
        <v>_</v>
      </c>
      <c r="C56" t="str">
        <f>IF(IFERROR(VLOOKUP(TRIM(A56),'Full Inventory'!F:F,1,0),0)=0,"X","_")</f>
        <v>_</v>
      </c>
      <c r="D56" t="str">
        <f t="shared" si="0"/>
        <v>X</v>
      </c>
      <c r="E56" t="str">
        <f ca="1">IFERROR(IF(AND(B56&amp;C56&amp;D56="___",INDIRECT("Inventory!A"&amp;MATCH(VLOOKUP(A56,Inventory!E:E,1,0),Inventory!E:E,0))&lt;&gt;INDIRECT("'Full Inventory'!B"&amp;MATCH(VLOOKUP(A56,'Full Inventory'!F:F,1,0),'Full Inventory'!F:F,0))),"X","_"),"_")</f>
        <v>_</v>
      </c>
      <c r="K56" t="str">
        <f t="shared" ca="1" si="1"/>
        <v>__X_</v>
      </c>
      <c r="L56" t="str">
        <f t="shared" ca="1" si="2"/>
        <v/>
      </c>
      <c r="M56" t="str">
        <f>IFERROR(INDEX(Inventory!A:A,MATCH(Scan!A56,Inventory!E:E,0)),"")</f>
        <v/>
      </c>
    </row>
    <row r="57" spans="2:13" x14ac:dyDescent="0.25">
      <c r="B57" t="str">
        <f>IF(IFERROR(VLOOKUP(TRIM(A57),Inventory!E:E,1,0),0)=0,"X","_")</f>
        <v>_</v>
      </c>
      <c r="C57" t="str">
        <f>IF(IFERROR(VLOOKUP(TRIM(A57),'Full Inventory'!F:F,1,0),0)=0,"X","_")</f>
        <v>_</v>
      </c>
      <c r="D57" t="str">
        <f t="shared" si="0"/>
        <v>X</v>
      </c>
      <c r="E57" t="str">
        <f ca="1">IFERROR(IF(AND(B57&amp;C57&amp;D57="___",INDIRECT("Inventory!A"&amp;MATCH(VLOOKUP(A57,Inventory!E:E,1,0),Inventory!E:E,0))&lt;&gt;INDIRECT("'Full Inventory'!B"&amp;MATCH(VLOOKUP(A57,'Full Inventory'!F:F,1,0),'Full Inventory'!F:F,0))),"X","_"),"_")</f>
        <v>_</v>
      </c>
      <c r="K57" t="str">
        <f t="shared" ca="1" si="1"/>
        <v>__X_</v>
      </c>
      <c r="L57" t="str">
        <f t="shared" ca="1" si="2"/>
        <v/>
      </c>
      <c r="M57" t="str">
        <f>IFERROR(INDEX(Inventory!A:A,MATCH(Scan!A57,Inventory!E:E,0)),"")</f>
        <v/>
      </c>
    </row>
    <row r="58" spans="2:13" x14ac:dyDescent="0.25">
      <c r="B58" t="str">
        <f>IF(IFERROR(VLOOKUP(TRIM(A58),Inventory!E:E,1,0),0)=0,"X","_")</f>
        <v>_</v>
      </c>
      <c r="C58" t="str">
        <f>IF(IFERROR(VLOOKUP(TRIM(A58),'Full Inventory'!F:F,1,0),0)=0,"X","_")</f>
        <v>_</v>
      </c>
      <c r="D58" t="str">
        <f t="shared" si="0"/>
        <v>X</v>
      </c>
      <c r="E58" t="str">
        <f ca="1">IFERROR(IF(AND(B58&amp;C58&amp;D58="___",INDIRECT("Inventory!A"&amp;MATCH(VLOOKUP(A58,Inventory!E:E,1,0),Inventory!E:E,0))&lt;&gt;INDIRECT("'Full Inventory'!B"&amp;MATCH(VLOOKUP(A58,'Full Inventory'!F:F,1,0),'Full Inventory'!F:F,0))),"X","_"),"_")</f>
        <v>_</v>
      </c>
      <c r="K58" t="str">
        <f t="shared" ca="1" si="1"/>
        <v>__X_</v>
      </c>
      <c r="L58" t="str">
        <f t="shared" ca="1" si="2"/>
        <v/>
      </c>
      <c r="M58" t="str">
        <f>IFERROR(INDEX(Inventory!A:A,MATCH(Scan!A58,Inventory!E:E,0)),"")</f>
        <v/>
      </c>
    </row>
    <row r="59" spans="2:13" x14ac:dyDescent="0.25">
      <c r="B59" t="str">
        <f>IF(IFERROR(VLOOKUP(TRIM(A59),Inventory!E:E,1,0),0)=0,"X","_")</f>
        <v>_</v>
      </c>
      <c r="C59" t="str">
        <f>IF(IFERROR(VLOOKUP(TRIM(A59),'Full Inventory'!F:F,1,0),0)=0,"X","_")</f>
        <v>_</v>
      </c>
      <c r="D59" t="str">
        <f t="shared" si="0"/>
        <v>X</v>
      </c>
      <c r="E59" t="str">
        <f ca="1">IFERROR(IF(AND(B59&amp;C59&amp;D59="___",INDIRECT("Inventory!A"&amp;MATCH(VLOOKUP(A59,Inventory!E:E,1,0),Inventory!E:E,0))&lt;&gt;INDIRECT("'Full Inventory'!B"&amp;MATCH(VLOOKUP(A59,'Full Inventory'!F:F,1,0),'Full Inventory'!F:F,0))),"X","_"),"_")</f>
        <v>_</v>
      </c>
      <c r="K59" t="str">
        <f t="shared" ca="1" si="1"/>
        <v>__X_</v>
      </c>
      <c r="L59" t="str">
        <f t="shared" ca="1" si="2"/>
        <v/>
      </c>
      <c r="M59" t="str">
        <f>IFERROR(INDEX(Inventory!A:A,MATCH(Scan!A59,Inventory!E:E,0)),"")</f>
        <v/>
      </c>
    </row>
    <row r="60" spans="2:13" x14ac:dyDescent="0.25">
      <c r="B60" t="str">
        <f>IF(IFERROR(VLOOKUP(TRIM(A60),Inventory!E:E,1,0),0)=0,"X","_")</f>
        <v>_</v>
      </c>
      <c r="C60" t="str">
        <f>IF(IFERROR(VLOOKUP(TRIM(A60),'Full Inventory'!F:F,1,0),0)=0,"X","_")</f>
        <v>_</v>
      </c>
      <c r="D60" t="str">
        <f t="shared" si="0"/>
        <v>X</v>
      </c>
      <c r="E60" t="str">
        <f ca="1">IFERROR(IF(AND(B60&amp;C60&amp;D60="___",INDIRECT("Inventory!A"&amp;MATCH(VLOOKUP(A60,Inventory!E:E,1,0),Inventory!E:E,0))&lt;&gt;INDIRECT("'Full Inventory'!B"&amp;MATCH(VLOOKUP(A60,'Full Inventory'!F:F,1,0),'Full Inventory'!F:F,0))),"X","_"),"_")</f>
        <v>_</v>
      </c>
      <c r="K60" t="str">
        <f t="shared" ca="1" si="1"/>
        <v>__X_</v>
      </c>
      <c r="L60" t="str">
        <f t="shared" ca="1" si="2"/>
        <v/>
      </c>
      <c r="M60" t="str">
        <f>IFERROR(INDEX(Inventory!A:A,MATCH(Scan!A60,Inventory!E:E,0)),"")</f>
        <v/>
      </c>
    </row>
    <row r="61" spans="2:13" x14ac:dyDescent="0.25">
      <c r="B61" t="str">
        <f>IF(IFERROR(VLOOKUP(TRIM(A61),Inventory!E:E,1,0),0)=0,"X","_")</f>
        <v>_</v>
      </c>
      <c r="C61" t="str">
        <f>IF(IFERROR(VLOOKUP(TRIM(A61),'Full Inventory'!F:F,1,0),0)=0,"X","_")</f>
        <v>_</v>
      </c>
      <c r="D61" t="str">
        <f t="shared" si="0"/>
        <v>X</v>
      </c>
      <c r="E61" t="str">
        <f ca="1">IFERROR(IF(AND(B61&amp;C61&amp;D61="___",INDIRECT("Inventory!A"&amp;MATCH(VLOOKUP(A61,Inventory!E:E,1,0),Inventory!E:E,0))&lt;&gt;INDIRECT("'Full Inventory'!B"&amp;MATCH(VLOOKUP(A61,'Full Inventory'!F:F,1,0),'Full Inventory'!F:F,0))),"X","_"),"_")</f>
        <v>_</v>
      </c>
      <c r="K61" t="str">
        <f t="shared" ca="1" si="1"/>
        <v>__X_</v>
      </c>
      <c r="L61" t="str">
        <f t="shared" ca="1" si="2"/>
        <v/>
      </c>
      <c r="M61" t="str">
        <f>IFERROR(INDEX(Inventory!A:A,MATCH(Scan!A61,Inventory!E:E,0)),"")</f>
        <v/>
      </c>
    </row>
    <row r="62" spans="2:13" x14ac:dyDescent="0.25">
      <c r="B62" t="str">
        <f>IF(IFERROR(VLOOKUP(TRIM(A62),Inventory!E:E,1,0),0)=0,"X","_")</f>
        <v>_</v>
      </c>
      <c r="C62" t="str">
        <f>IF(IFERROR(VLOOKUP(TRIM(A62),'Full Inventory'!F:F,1,0),0)=0,"X","_")</f>
        <v>_</v>
      </c>
      <c r="D62" t="str">
        <f t="shared" si="0"/>
        <v>X</v>
      </c>
      <c r="E62" t="str">
        <f ca="1">IFERROR(IF(AND(B62&amp;C62&amp;D62="___",INDIRECT("Inventory!A"&amp;MATCH(VLOOKUP(A62,Inventory!E:E,1,0),Inventory!E:E,0))&lt;&gt;INDIRECT("'Full Inventory'!B"&amp;MATCH(VLOOKUP(A62,'Full Inventory'!F:F,1,0),'Full Inventory'!F:F,0))),"X","_"),"_")</f>
        <v>_</v>
      </c>
      <c r="K62" t="str">
        <f t="shared" ca="1" si="1"/>
        <v>__X_</v>
      </c>
      <c r="L62" t="str">
        <f t="shared" ca="1" si="2"/>
        <v/>
      </c>
      <c r="M62" t="str">
        <f>IFERROR(INDEX(Inventory!A:A,MATCH(Scan!A62,Inventory!E:E,0)),"")</f>
        <v/>
      </c>
    </row>
    <row r="63" spans="2:13" x14ac:dyDescent="0.25">
      <c r="B63" t="str">
        <f>IF(IFERROR(VLOOKUP(TRIM(A63),Inventory!E:E,1,0),0)=0,"X","_")</f>
        <v>_</v>
      </c>
      <c r="C63" t="str">
        <f>IF(IFERROR(VLOOKUP(TRIM(A63),'Full Inventory'!F:F,1,0),0)=0,"X","_")</f>
        <v>_</v>
      </c>
      <c r="D63" t="str">
        <f t="shared" si="0"/>
        <v>X</v>
      </c>
      <c r="E63" t="str">
        <f ca="1">IFERROR(IF(AND(B63&amp;C63&amp;D63="___",INDIRECT("Inventory!A"&amp;MATCH(VLOOKUP(A63,Inventory!E:E,1,0),Inventory!E:E,0))&lt;&gt;INDIRECT("'Full Inventory'!B"&amp;MATCH(VLOOKUP(A63,'Full Inventory'!F:F,1,0),'Full Inventory'!F:F,0))),"X","_"),"_")</f>
        <v>_</v>
      </c>
      <c r="K63" t="str">
        <f t="shared" ca="1" si="1"/>
        <v>__X_</v>
      </c>
      <c r="L63" t="str">
        <f t="shared" ca="1" si="2"/>
        <v/>
      </c>
      <c r="M63" t="str">
        <f>IFERROR(INDEX(Inventory!A:A,MATCH(Scan!A63,Inventory!E:E,0)),"")</f>
        <v/>
      </c>
    </row>
    <row r="64" spans="2:13" x14ac:dyDescent="0.25">
      <c r="B64" t="str">
        <f>IF(IFERROR(VLOOKUP(TRIM(A64),Inventory!E:E,1,0),0)=0,"X","_")</f>
        <v>_</v>
      </c>
      <c r="C64" t="str">
        <f>IF(IFERROR(VLOOKUP(TRIM(A64),'Full Inventory'!F:F,1,0),0)=0,"X","_")</f>
        <v>_</v>
      </c>
      <c r="D64" t="str">
        <f t="shared" si="0"/>
        <v>X</v>
      </c>
      <c r="E64" t="str">
        <f ca="1">IFERROR(IF(AND(B64&amp;C64&amp;D64="___",INDIRECT("Inventory!A"&amp;MATCH(VLOOKUP(A64,Inventory!E:E,1,0),Inventory!E:E,0))&lt;&gt;INDIRECT("'Full Inventory'!B"&amp;MATCH(VLOOKUP(A64,'Full Inventory'!F:F,1,0),'Full Inventory'!F:F,0))),"X","_"),"_")</f>
        <v>_</v>
      </c>
      <c r="K64" t="str">
        <f t="shared" ca="1" si="1"/>
        <v>__X_</v>
      </c>
      <c r="L64" t="str">
        <f t="shared" ca="1" si="2"/>
        <v/>
      </c>
      <c r="M64" t="str">
        <f>IFERROR(INDEX(Inventory!A:A,MATCH(Scan!A64,Inventory!E:E,0)),"")</f>
        <v/>
      </c>
    </row>
    <row r="65" spans="2:13" x14ac:dyDescent="0.25">
      <c r="B65" t="str">
        <f>IF(IFERROR(VLOOKUP(TRIM(A65),Inventory!E:E,1,0),0)=0,"X","_")</f>
        <v>_</v>
      </c>
      <c r="C65" t="str">
        <f>IF(IFERROR(VLOOKUP(TRIM(A65),'Full Inventory'!F:F,1,0),0)=0,"X","_")</f>
        <v>_</v>
      </c>
      <c r="D65" t="str">
        <f t="shared" si="0"/>
        <v>X</v>
      </c>
      <c r="E65" t="str">
        <f ca="1">IFERROR(IF(AND(B65&amp;C65&amp;D65="___",INDIRECT("Inventory!A"&amp;MATCH(VLOOKUP(A65,Inventory!E:E,1,0),Inventory!E:E,0))&lt;&gt;INDIRECT("'Full Inventory'!B"&amp;MATCH(VLOOKUP(A65,'Full Inventory'!F:F,1,0),'Full Inventory'!F:F,0))),"X","_"),"_")</f>
        <v>_</v>
      </c>
      <c r="K65" t="str">
        <f t="shared" ca="1" si="1"/>
        <v>__X_</v>
      </c>
      <c r="L65" t="str">
        <f t="shared" ca="1" si="2"/>
        <v/>
      </c>
      <c r="M65" t="str">
        <f>IFERROR(INDEX(Inventory!A:A,MATCH(Scan!A65,Inventory!E:E,0)),"")</f>
        <v/>
      </c>
    </row>
    <row r="66" spans="2:13" x14ac:dyDescent="0.25">
      <c r="B66" t="str">
        <f>IF(IFERROR(VLOOKUP(TRIM(A66),Inventory!E:E,1,0),0)=0,"X","_")</f>
        <v>_</v>
      </c>
      <c r="C66" t="str">
        <f>IF(IFERROR(VLOOKUP(TRIM(A66),'Full Inventory'!F:F,1,0),0)=0,"X","_")</f>
        <v>_</v>
      </c>
      <c r="D66" t="str">
        <f t="shared" ref="D66:D129" si="3">IF(TRIM(A66)&lt;&gt;"","_","X")</f>
        <v>X</v>
      </c>
      <c r="E66" t="str">
        <f ca="1">IFERROR(IF(AND(B66&amp;C66&amp;D66="___",INDIRECT("Inventory!A"&amp;MATCH(VLOOKUP(A66,Inventory!E:E,1,0),Inventory!E:E,0))&lt;&gt;INDIRECT("'Full Inventory'!B"&amp;MATCH(VLOOKUP(A66,'Full Inventory'!F:F,1,0),'Full Inventory'!F:F,0))),"X","_"),"_")</f>
        <v>_</v>
      </c>
      <c r="K66" t="str">
        <f t="shared" ca="1" si="1"/>
        <v>__X_</v>
      </c>
      <c r="L66" t="str">
        <f t="shared" ca="1" si="2"/>
        <v/>
      </c>
      <c r="M66" t="str">
        <f>IFERROR(INDEX(Inventory!A:A,MATCH(Scan!A66,Inventory!E:E,0)),"")</f>
        <v/>
      </c>
    </row>
    <row r="67" spans="2:13" x14ac:dyDescent="0.25">
      <c r="B67" t="str">
        <f>IF(IFERROR(VLOOKUP(TRIM(A67),Inventory!E:E,1,0),0)=0,"X","_")</f>
        <v>_</v>
      </c>
      <c r="C67" t="str">
        <f>IF(IFERROR(VLOOKUP(TRIM(A67),'Full Inventory'!F:F,1,0),0)=0,"X","_")</f>
        <v>_</v>
      </c>
      <c r="D67" t="str">
        <f t="shared" si="3"/>
        <v>X</v>
      </c>
      <c r="E67" t="str">
        <f ca="1">IFERROR(IF(AND(B67&amp;C67&amp;D67="___",INDIRECT("Inventory!A"&amp;MATCH(VLOOKUP(A67,Inventory!E:E,1,0),Inventory!E:E,0))&lt;&gt;INDIRECT("'Full Inventory'!B"&amp;MATCH(VLOOKUP(A67,'Full Inventory'!F:F,1,0),'Full Inventory'!F:F,0))),"X","_"),"_")</f>
        <v>_</v>
      </c>
      <c r="K67" t="str">
        <f t="shared" ref="K67:K130" ca="1" si="4">B67&amp;C67&amp;D67&amp;E67</f>
        <v>__X_</v>
      </c>
      <c r="L67" t="str">
        <f t="shared" ref="L67:L130" ca="1" si="5">IF(K67="____","OK",IF(K67="_X__","NOT IN FULL INVENTORY",IF(K67="XX__","NOT IN FULL INVENTORY AND INVENTORY",IF(K67="X___","NOT IN INVENTORY",IF(K67="___X","DIFFERENT NAMES IN FULL INVENTORY AND INVENTORY","")))))</f>
        <v/>
      </c>
      <c r="M67" t="str">
        <f>IFERROR(INDEX(Inventory!A:A,MATCH(Scan!A67,Inventory!E:E,0)),"")</f>
        <v/>
      </c>
    </row>
    <row r="68" spans="2:13" x14ac:dyDescent="0.25">
      <c r="B68" t="str">
        <f>IF(IFERROR(VLOOKUP(TRIM(A68),Inventory!E:E,1,0),0)=0,"X","_")</f>
        <v>_</v>
      </c>
      <c r="C68" t="str">
        <f>IF(IFERROR(VLOOKUP(TRIM(A68),'Full Inventory'!F:F,1,0),0)=0,"X","_")</f>
        <v>_</v>
      </c>
      <c r="D68" t="str">
        <f t="shared" si="3"/>
        <v>X</v>
      </c>
      <c r="E68" t="str">
        <f ca="1">IFERROR(IF(AND(B68&amp;C68&amp;D68="___",INDIRECT("Inventory!A"&amp;MATCH(VLOOKUP(A68,Inventory!E:E,1,0),Inventory!E:E,0))&lt;&gt;INDIRECT("'Full Inventory'!B"&amp;MATCH(VLOOKUP(A68,'Full Inventory'!F:F,1,0),'Full Inventory'!F:F,0))),"X","_"),"_")</f>
        <v>_</v>
      </c>
      <c r="K68" t="str">
        <f t="shared" ca="1" si="4"/>
        <v>__X_</v>
      </c>
      <c r="L68" t="str">
        <f t="shared" ca="1" si="5"/>
        <v/>
      </c>
      <c r="M68" t="str">
        <f>IFERROR(INDEX(Inventory!A:A,MATCH(Scan!A68,Inventory!E:E,0)),"")</f>
        <v/>
      </c>
    </row>
    <row r="69" spans="2:13" x14ac:dyDescent="0.25">
      <c r="B69" t="str">
        <f>IF(IFERROR(VLOOKUP(TRIM(A69),Inventory!E:E,1,0),0)=0,"X","_")</f>
        <v>_</v>
      </c>
      <c r="C69" t="str">
        <f>IF(IFERROR(VLOOKUP(TRIM(A69),'Full Inventory'!F:F,1,0),0)=0,"X","_")</f>
        <v>_</v>
      </c>
      <c r="D69" t="str">
        <f t="shared" si="3"/>
        <v>X</v>
      </c>
      <c r="E69" t="str">
        <f ca="1">IFERROR(IF(AND(B69&amp;C69&amp;D69="___",INDIRECT("Inventory!A"&amp;MATCH(VLOOKUP(A69,Inventory!E:E,1,0),Inventory!E:E,0))&lt;&gt;INDIRECT("'Full Inventory'!B"&amp;MATCH(VLOOKUP(A69,'Full Inventory'!F:F,1,0),'Full Inventory'!F:F,0))),"X","_"),"_")</f>
        <v>_</v>
      </c>
      <c r="K69" t="str">
        <f t="shared" ca="1" si="4"/>
        <v>__X_</v>
      </c>
      <c r="L69" t="str">
        <f t="shared" ca="1" si="5"/>
        <v/>
      </c>
      <c r="M69" t="str">
        <f>IFERROR(INDEX(Inventory!A:A,MATCH(Scan!A69,Inventory!E:E,0)),"")</f>
        <v/>
      </c>
    </row>
    <row r="70" spans="2:13" x14ac:dyDescent="0.25">
      <c r="B70" t="str">
        <f>IF(IFERROR(VLOOKUP(TRIM(A70),Inventory!E:E,1,0),0)=0,"X","_")</f>
        <v>_</v>
      </c>
      <c r="C70" t="str">
        <f>IF(IFERROR(VLOOKUP(TRIM(A70),'Full Inventory'!F:F,1,0),0)=0,"X","_")</f>
        <v>_</v>
      </c>
      <c r="D70" t="str">
        <f t="shared" si="3"/>
        <v>X</v>
      </c>
      <c r="E70" t="str">
        <f ca="1">IFERROR(IF(AND(B70&amp;C70&amp;D70="___",INDIRECT("Inventory!A"&amp;MATCH(VLOOKUP(A70,Inventory!E:E,1,0),Inventory!E:E,0))&lt;&gt;INDIRECT("'Full Inventory'!B"&amp;MATCH(VLOOKUP(A70,'Full Inventory'!F:F,1,0),'Full Inventory'!F:F,0))),"X","_"),"_")</f>
        <v>_</v>
      </c>
      <c r="K70" t="str">
        <f t="shared" ca="1" si="4"/>
        <v>__X_</v>
      </c>
      <c r="L70" t="str">
        <f t="shared" ca="1" si="5"/>
        <v/>
      </c>
      <c r="M70" t="str">
        <f>IFERROR(INDEX(Inventory!A:A,MATCH(Scan!A70,Inventory!E:E,0)),"")</f>
        <v/>
      </c>
    </row>
    <row r="71" spans="2:13" x14ac:dyDescent="0.25">
      <c r="B71" t="str">
        <f>IF(IFERROR(VLOOKUP(TRIM(A71),Inventory!E:E,1,0),0)=0,"X","_")</f>
        <v>_</v>
      </c>
      <c r="C71" t="str">
        <f>IF(IFERROR(VLOOKUP(TRIM(A71),'Full Inventory'!F:F,1,0),0)=0,"X","_")</f>
        <v>_</v>
      </c>
      <c r="D71" t="str">
        <f t="shared" si="3"/>
        <v>X</v>
      </c>
      <c r="E71" t="str">
        <f ca="1">IFERROR(IF(AND(B71&amp;C71&amp;D71="___",INDIRECT("Inventory!A"&amp;MATCH(VLOOKUP(A71,Inventory!E:E,1,0),Inventory!E:E,0))&lt;&gt;INDIRECT("'Full Inventory'!B"&amp;MATCH(VLOOKUP(A71,'Full Inventory'!F:F,1,0),'Full Inventory'!F:F,0))),"X","_"),"_")</f>
        <v>_</v>
      </c>
      <c r="K71" t="str">
        <f t="shared" ca="1" si="4"/>
        <v>__X_</v>
      </c>
      <c r="L71" t="str">
        <f t="shared" ca="1" si="5"/>
        <v/>
      </c>
      <c r="M71" t="str">
        <f>IFERROR(INDEX(Inventory!A:A,MATCH(Scan!A71,Inventory!E:E,0)),"")</f>
        <v/>
      </c>
    </row>
    <row r="72" spans="2:13" x14ac:dyDescent="0.25">
      <c r="B72" t="str">
        <f>IF(IFERROR(VLOOKUP(TRIM(A72),Inventory!E:E,1,0),0)=0,"X","_")</f>
        <v>_</v>
      </c>
      <c r="C72" t="str">
        <f>IF(IFERROR(VLOOKUP(TRIM(A72),'Full Inventory'!F:F,1,0),0)=0,"X","_")</f>
        <v>_</v>
      </c>
      <c r="D72" t="str">
        <f t="shared" si="3"/>
        <v>X</v>
      </c>
      <c r="E72" t="str">
        <f ca="1">IFERROR(IF(AND(B72&amp;C72&amp;D72="___",INDIRECT("Inventory!A"&amp;MATCH(VLOOKUP(A72,Inventory!E:E,1,0),Inventory!E:E,0))&lt;&gt;INDIRECT("'Full Inventory'!B"&amp;MATCH(VLOOKUP(A72,'Full Inventory'!F:F,1,0),'Full Inventory'!F:F,0))),"X","_"),"_")</f>
        <v>_</v>
      </c>
      <c r="K72" t="str">
        <f t="shared" ca="1" si="4"/>
        <v>__X_</v>
      </c>
      <c r="L72" t="str">
        <f t="shared" ca="1" si="5"/>
        <v/>
      </c>
      <c r="M72" t="str">
        <f>IFERROR(INDEX(Inventory!A:A,MATCH(Scan!A72,Inventory!E:E,0)),"")</f>
        <v/>
      </c>
    </row>
    <row r="73" spans="2:13" x14ac:dyDescent="0.25">
      <c r="B73" t="str">
        <f>IF(IFERROR(VLOOKUP(TRIM(A73),Inventory!E:E,1,0),0)=0,"X","_")</f>
        <v>_</v>
      </c>
      <c r="C73" t="str">
        <f>IF(IFERROR(VLOOKUP(TRIM(A73),'Full Inventory'!F:F,1,0),0)=0,"X","_")</f>
        <v>_</v>
      </c>
      <c r="D73" t="str">
        <f t="shared" si="3"/>
        <v>X</v>
      </c>
      <c r="E73" t="str">
        <f ca="1">IFERROR(IF(AND(B73&amp;C73&amp;D73="___",INDIRECT("Inventory!A"&amp;MATCH(VLOOKUP(A73,Inventory!E:E,1,0),Inventory!E:E,0))&lt;&gt;INDIRECT("'Full Inventory'!B"&amp;MATCH(VLOOKUP(A73,'Full Inventory'!F:F,1,0),'Full Inventory'!F:F,0))),"X","_"),"_")</f>
        <v>_</v>
      </c>
      <c r="K73" t="str">
        <f t="shared" ca="1" si="4"/>
        <v>__X_</v>
      </c>
      <c r="L73" t="str">
        <f t="shared" ca="1" si="5"/>
        <v/>
      </c>
      <c r="M73" t="str">
        <f>IFERROR(INDEX(Inventory!A:A,MATCH(Scan!A73,Inventory!E:E,0)),"")</f>
        <v/>
      </c>
    </row>
    <row r="74" spans="2:13" x14ac:dyDescent="0.25">
      <c r="B74" t="str">
        <f>IF(IFERROR(VLOOKUP(TRIM(A74),Inventory!E:E,1,0),0)=0,"X","_")</f>
        <v>_</v>
      </c>
      <c r="C74" t="str">
        <f>IF(IFERROR(VLOOKUP(TRIM(A74),'Full Inventory'!F:F,1,0),0)=0,"X","_")</f>
        <v>_</v>
      </c>
      <c r="D74" t="str">
        <f t="shared" si="3"/>
        <v>X</v>
      </c>
      <c r="E74" t="str">
        <f ca="1">IFERROR(IF(AND(B74&amp;C74&amp;D74="___",INDIRECT("Inventory!A"&amp;MATCH(VLOOKUP(A74,Inventory!E:E,1,0),Inventory!E:E,0))&lt;&gt;INDIRECT("'Full Inventory'!B"&amp;MATCH(VLOOKUP(A74,'Full Inventory'!F:F,1,0),'Full Inventory'!F:F,0))),"X","_"),"_")</f>
        <v>_</v>
      </c>
      <c r="K74" t="str">
        <f t="shared" ca="1" si="4"/>
        <v>__X_</v>
      </c>
      <c r="L74" t="str">
        <f t="shared" ca="1" si="5"/>
        <v/>
      </c>
      <c r="M74" t="str">
        <f>IFERROR(INDEX(Inventory!A:A,MATCH(Scan!A74,Inventory!E:E,0)),"")</f>
        <v/>
      </c>
    </row>
    <row r="75" spans="2:13" x14ac:dyDescent="0.25">
      <c r="B75" t="str">
        <f>IF(IFERROR(VLOOKUP(TRIM(A75),Inventory!E:E,1,0),0)=0,"X","_")</f>
        <v>_</v>
      </c>
      <c r="C75" t="str">
        <f>IF(IFERROR(VLOOKUP(TRIM(A75),'Full Inventory'!F:F,1,0),0)=0,"X","_")</f>
        <v>_</v>
      </c>
      <c r="D75" t="str">
        <f t="shared" si="3"/>
        <v>X</v>
      </c>
      <c r="E75" t="str">
        <f ca="1">IFERROR(IF(AND(B75&amp;C75&amp;D75="___",INDIRECT("Inventory!A"&amp;MATCH(VLOOKUP(A75,Inventory!E:E,1,0),Inventory!E:E,0))&lt;&gt;INDIRECT("'Full Inventory'!B"&amp;MATCH(VLOOKUP(A75,'Full Inventory'!F:F,1,0),'Full Inventory'!F:F,0))),"X","_"),"_")</f>
        <v>_</v>
      </c>
      <c r="K75" t="str">
        <f t="shared" ca="1" si="4"/>
        <v>__X_</v>
      </c>
      <c r="L75" t="str">
        <f t="shared" ca="1" si="5"/>
        <v/>
      </c>
      <c r="M75" t="str">
        <f>IFERROR(INDEX(Inventory!A:A,MATCH(Scan!A75,Inventory!E:E,0)),"")</f>
        <v/>
      </c>
    </row>
    <row r="76" spans="2:13" x14ac:dyDescent="0.25">
      <c r="B76" t="str">
        <f>IF(IFERROR(VLOOKUP(TRIM(A76),Inventory!E:E,1,0),0)=0,"X","_")</f>
        <v>_</v>
      </c>
      <c r="C76" t="str">
        <f>IF(IFERROR(VLOOKUP(TRIM(A76),'Full Inventory'!F:F,1,0),0)=0,"X","_")</f>
        <v>_</v>
      </c>
      <c r="D76" t="str">
        <f t="shared" si="3"/>
        <v>X</v>
      </c>
      <c r="E76" t="str">
        <f ca="1">IFERROR(IF(AND(B76&amp;C76&amp;D76="___",INDIRECT("Inventory!A"&amp;MATCH(VLOOKUP(A76,Inventory!E:E,1,0),Inventory!E:E,0))&lt;&gt;INDIRECT("'Full Inventory'!B"&amp;MATCH(VLOOKUP(A76,'Full Inventory'!F:F,1,0),'Full Inventory'!F:F,0))),"X","_"),"_")</f>
        <v>_</v>
      </c>
      <c r="K76" t="str">
        <f t="shared" ca="1" si="4"/>
        <v>__X_</v>
      </c>
      <c r="L76" t="str">
        <f t="shared" ca="1" si="5"/>
        <v/>
      </c>
      <c r="M76" t="str">
        <f>IFERROR(INDEX(Inventory!A:A,MATCH(Scan!A76,Inventory!E:E,0)),"")</f>
        <v/>
      </c>
    </row>
    <row r="77" spans="2:13" x14ac:dyDescent="0.25">
      <c r="B77" t="str">
        <f>IF(IFERROR(VLOOKUP(TRIM(A77),Inventory!E:E,1,0),0)=0,"X","_")</f>
        <v>_</v>
      </c>
      <c r="C77" t="str">
        <f>IF(IFERROR(VLOOKUP(TRIM(A77),'Full Inventory'!F:F,1,0),0)=0,"X","_")</f>
        <v>_</v>
      </c>
      <c r="D77" t="str">
        <f t="shared" si="3"/>
        <v>X</v>
      </c>
      <c r="E77" t="str">
        <f ca="1">IFERROR(IF(AND(B77&amp;C77&amp;D77="___",INDIRECT("Inventory!A"&amp;MATCH(VLOOKUP(A77,Inventory!E:E,1,0),Inventory!E:E,0))&lt;&gt;INDIRECT("'Full Inventory'!B"&amp;MATCH(VLOOKUP(A77,'Full Inventory'!F:F,1,0),'Full Inventory'!F:F,0))),"X","_"),"_")</f>
        <v>_</v>
      </c>
      <c r="K77" t="str">
        <f t="shared" ca="1" si="4"/>
        <v>__X_</v>
      </c>
      <c r="L77" t="str">
        <f t="shared" ca="1" si="5"/>
        <v/>
      </c>
      <c r="M77" t="str">
        <f>IFERROR(INDEX(Inventory!A:A,MATCH(Scan!A77,Inventory!E:E,0)),"")</f>
        <v/>
      </c>
    </row>
    <row r="78" spans="2:13" x14ac:dyDescent="0.25">
      <c r="B78" t="str">
        <f>IF(IFERROR(VLOOKUP(TRIM(A78),Inventory!E:E,1,0),0)=0,"X","_")</f>
        <v>_</v>
      </c>
      <c r="C78" t="str">
        <f>IF(IFERROR(VLOOKUP(TRIM(A78),'Full Inventory'!F:F,1,0),0)=0,"X","_")</f>
        <v>_</v>
      </c>
      <c r="D78" t="str">
        <f t="shared" si="3"/>
        <v>X</v>
      </c>
      <c r="E78" t="str">
        <f ca="1">IFERROR(IF(AND(B78&amp;C78&amp;D78="___",INDIRECT("Inventory!A"&amp;MATCH(VLOOKUP(A78,Inventory!E:E,1,0),Inventory!E:E,0))&lt;&gt;INDIRECT("'Full Inventory'!B"&amp;MATCH(VLOOKUP(A78,'Full Inventory'!F:F,1,0),'Full Inventory'!F:F,0))),"X","_"),"_")</f>
        <v>_</v>
      </c>
      <c r="K78" t="str">
        <f t="shared" ca="1" si="4"/>
        <v>__X_</v>
      </c>
      <c r="L78" t="str">
        <f t="shared" ca="1" si="5"/>
        <v/>
      </c>
      <c r="M78" t="str">
        <f>IFERROR(INDEX(Inventory!A:A,MATCH(Scan!A78,Inventory!E:E,0)),"")</f>
        <v/>
      </c>
    </row>
    <row r="79" spans="2:13" x14ac:dyDescent="0.25">
      <c r="B79" t="str">
        <f>IF(IFERROR(VLOOKUP(TRIM(A79),Inventory!E:E,1,0),0)=0,"X","_")</f>
        <v>_</v>
      </c>
      <c r="C79" t="str">
        <f>IF(IFERROR(VLOOKUP(TRIM(A79),'Full Inventory'!F:F,1,0),0)=0,"X","_")</f>
        <v>_</v>
      </c>
      <c r="D79" t="str">
        <f t="shared" si="3"/>
        <v>X</v>
      </c>
      <c r="E79" t="str">
        <f ca="1">IFERROR(IF(AND(B79&amp;C79&amp;D79="___",INDIRECT("Inventory!A"&amp;MATCH(VLOOKUP(A79,Inventory!E:E,1,0),Inventory!E:E,0))&lt;&gt;INDIRECT("'Full Inventory'!B"&amp;MATCH(VLOOKUP(A79,'Full Inventory'!F:F,1,0),'Full Inventory'!F:F,0))),"X","_"),"_")</f>
        <v>_</v>
      </c>
      <c r="K79" t="str">
        <f t="shared" ca="1" si="4"/>
        <v>__X_</v>
      </c>
      <c r="L79" t="str">
        <f t="shared" ca="1" si="5"/>
        <v/>
      </c>
      <c r="M79" t="str">
        <f>IFERROR(INDEX(Inventory!A:A,MATCH(Scan!A79,Inventory!E:E,0)),"")</f>
        <v/>
      </c>
    </row>
    <row r="80" spans="2:13" x14ac:dyDescent="0.25">
      <c r="B80" t="str">
        <f>IF(IFERROR(VLOOKUP(TRIM(A80),Inventory!E:E,1,0),0)=0,"X","_")</f>
        <v>_</v>
      </c>
      <c r="C80" t="str">
        <f>IF(IFERROR(VLOOKUP(TRIM(A80),'Full Inventory'!F:F,1,0),0)=0,"X","_")</f>
        <v>_</v>
      </c>
      <c r="D80" t="str">
        <f t="shared" si="3"/>
        <v>X</v>
      </c>
      <c r="E80" t="str">
        <f ca="1">IFERROR(IF(AND(B80&amp;C80&amp;D80="___",INDIRECT("Inventory!A"&amp;MATCH(VLOOKUP(A80,Inventory!E:E,1,0),Inventory!E:E,0))&lt;&gt;INDIRECT("'Full Inventory'!B"&amp;MATCH(VLOOKUP(A80,'Full Inventory'!F:F,1,0),'Full Inventory'!F:F,0))),"X","_"),"_")</f>
        <v>_</v>
      </c>
      <c r="K80" t="str">
        <f t="shared" ca="1" si="4"/>
        <v>__X_</v>
      </c>
      <c r="L80" t="str">
        <f t="shared" ca="1" si="5"/>
        <v/>
      </c>
      <c r="M80" t="str">
        <f>IFERROR(INDEX(Inventory!A:A,MATCH(Scan!A80,Inventory!E:E,0)),"")</f>
        <v/>
      </c>
    </row>
    <row r="81" spans="2:13" x14ac:dyDescent="0.25">
      <c r="B81" t="str">
        <f>IF(IFERROR(VLOOKUP(TRIM(A81),Inventory!E:E,1,0),0)=0,"X","_")</f>
        <v>_</v>
      </c>
      <c r="C81" t="str">
        <f>IF(IFERROR(VLOOKUP(TRIM(A81),'Full Inventory'!F:F,1,0),0)=0,"X","_")</f>
        <v>_</v>
      </c>
      <c r="D81" t="str">
        <f t="shared" si="3"/>
        <v>X</v>
      </c>
      <c r="E81" t="str">
        <f ca="1">IFERROR(IF(AND(B81&amp;C81&amp;D81="___",INDIRECT("Inventory!A"&amp;MATCH(VLOOKUP(A81,Inventory!E:E,1,0),Inventory!E:E,0))&lt;&gt;INDIRECT("'Full Inventory'!B"&amp;MATCH(VLOOKUP(A81,'Full Inventory'!F:F,1,0),'Full Inventory'!F:F,0))),"X","_"),"_")</f>
        <v>_</v>
      </c>
      <c r="K81" t="str">
        <f t="shared" ca="1" si="4"/>
        <v>__X_</v>
      </c>
      <c r="L81" t="str">
        <f t="shared" ca="1" si="5"/>
        <v/>
      </c>
      <c r="M81" t="str">
        <f>IFERROR(INDEX(Inventory!A:A,MATCH(Scan!A81,Inventory!E:E,0)),"")</f>
        <v/>
      </c>
    </row>
    <row r="82" spans="2:13" x14ac:dyDescent="0.25">
      <c r="B82" t="str">
        <f>IF(IFERROR(VLOOKUP(TRIM(A82),Inventory!E:E,1,0),0)=0,"X","_")</f>
        <v>_</v>
      </c>
      <c r="C82" t="str">
        <f>IF(IFERROR(VLOOKUP(TRIM(A82),'Full Inventory'!F:F,1,0),0)=0,"X","_")</f>
        <v>_</v>
      </c>
      <c r="D82" t="str">
        <f t="shared" si="3"/>
        <v>X</v>
      </c>
      <c r="E82" t="str">
        <f ca="1">IFERROR(IF(AND(B82&amp;C82&amp;D82="___",INDIRECT("Inventory!A"&amp;MATCH(VLOOKUP(A82,Inventory!E:E,1,0),Inventory!E:E,0))&lt;&gt;INDIRECT("'Full Inventory'!B"&amp;MATCH(VLOOKUP(A82,'Full Inventory'!F:F,1,0),'Full Inventory'!F:F,0))),"X","_"),"_")</f>
        <v>_</v>
      </c>
      <c r="K82" t="str">
        <f t="shared" ca="1" si="4"/>
        <v>__X_</v>
      </c>
      <c r="L82" t="str">
        <f t="shared" ca="1" si="5"/>
        <v/>
      </c>
      <c r="M82" t="str">
        <f>IFERROR(INDEX(Inventory!A:A,MATCH(Scan!A82,Inventory!E:E,0)),"")</f>
        <v/>
      </c>
    </row>
    <row r="83" spans="2:13" x14ac:dyDescent="0.25">
      <c r="B83" t="str">
        <f>IF(IFERROR(VLOOKUP(TRIM(A83),Inventory!E:E,1,0),0)=0,"X","_")</f>
        <v>_</v>
      </c>
      <c r="C83" t="str">
        <f>IF(IFERROR(VLOOKUP(TRIM(A83),'Full Inventory'!F:F,1,0),0)=0,"X","_")</f>
        <v>_</v>
      </c>
      <c r="D83" t="str">
        <f t="shared" si="3"/>
        <v>X</v>
      </c>
      <c r="E83" t="str">
        <f ca="1">IFERROR(IF(AND(B83&amp;C83&amp;D83="___",INDIRECT("Inventory!A"&amp;MATCH(VLOOKUP(A83,Inventory!E:E,1,0),Inventory!E:E,0))&lt;&gt;INDIRECT("'Full Inventory'!B"&amp;MATCH(VLOOKUP(A83,'Full Inventory'!F:F,1,0),'Full Inventory'!F:F,0))),"X","_"),"_")</f>
        <v>_</v>
      </c>
      <c r="K83" t="str">
        <f t="shared" ca="1" si="4"/>
        <v>__X_</v>
      </c>
      <c r="L83" t="str">
        <f t="shared" ca="1" si="5"/>
        <v/>
      </c>
      <c r="M83" t="str">
        <f>IFERROR(INDEX(Inventory!A:A,MATCH(Scan!A83,Inventory!E:E,0)),"")</f>
        <v/>
      </c>
    </row>
    <row r="84" spans="2:13" x14ac:dyDescent="0.25">
      <c r="B84" t="str">
        <f>IF(IFERROR(VLOOKUP(TRIM(A84),Inventory!E:E,1,0),0)=0,"X","_")</f>
        <v>_</v>
      </c>
      <c r="C84" t="str">
        <f>IF(IFERROR(VLOOKUP(TRIM(A84),'Full Inventory'!F:F,1,0),0)=0,"X","_")</f>
        <v>_</v>
      </c>
      <c r="D84" t="str">
        <f t="shared" si="3"/>
        <v>X</v>
      </c>
      <c r="E84" t="str">
        <f ca="1">IFERROR(IF(AND(B84&amp;C84&amp;D84="___",INDIRECT("Inventory!A"&amp;MATCH(VLOOKUP(A84,Inventory!E:E,1,0),Inventory!E:E,0))&lt;&gt;INDIRECT("'Full Inventory'!B"&amp;MATCH(VLOOKUP(A84,'Full Inventory'!F:F,1,0),'Full Inventory'!F:F,0))),"X","_"),"_")</f>
        <v>_</v>
      </c>
      <c r="K84" t="str">
        <f t="shared" ca="1" si="4"/>
        <v>__X_</v>
      </c>
      <c r="L84" t="str">
        <f t="shared" ca="1" si="5"/>
        <v/>
      </c>
      <c r="M84" t="str">
        <f>IFERROR(INDEX(Inventory!A:A,MATCH(Scan!A84,Inventory!E:E,0)),"")</f>
        <v/>
      </c>
    </row>
    <row r="85" spans="2:13" x14ac:dyDescent="0.25">
      <c r="B85" t="str">
        <f>IF(IFERROR(VLOOKUP(TRIM(A85),Inventory!E:E,1,0),0)=0,"X","_")</f>
        <v>_</v>
      </c>
      <c r="C85" t="str">
        <f>IF(IFERROR(VLOOKUP(TRIM(A85),'Full Inventory'!F:F,1,0),0)=0,"X","_")</f>
        <v>_</v>
      </c>
      <c r="D85" t="str">
        <f t="shared" si="3"/>
        <v>X</v>
      </c>
      <c r="E85" t="str">
        <f ca="1">IFERROR(IF(AND(B85&amp;C85&amp;D85="___",INDIRECT("Inventory!A"&amp;MATCH(VLOOKUP(A85,Inventory!E:E,1,0),Inventory!E:E,0))&lt;&gt;INDIRECT("'Full Inventory'!B"&amp;MATCH(VLOOKUP(A85,'Full Inventory'!F:F,1,0),'Full Inventory'!F:F,0))),"X","_"),"_")</f>
        <v>_</v>
      </c>
      <c r="K85" t="str">
        <f t="shared" ca="1" si="4"/>
        <v>__X_</v>
      </c>
      <c r="L85" t="str">
        <f t="shared" ca="1" si="5"/>
        <v/>
      </c>
      <c r="M85" t="str">
        <f>IFERROR(INDEX(Inventory!A:A,MATCH(Scan!A85,Inventory!E:E,0)),"")</f>
        <v/>
      </c>
    </row>
    <row r="86" spans="2:13" x14ac:dyDescent="0.25">
      <c r="B86" t="str">
        <f>IF(IFERROR(VLOOKUP(TRIM(A86),Inventory!E:E,1,0),0)=0,"X","_")</f>
        <v>_</v>
      </c>
      <c r="C86" t="str">
        <f>IF(IFERROR(VLOOKUP(TRIM(A86),'Full Inventory'!F:F,1,0),0)=0,"X","_")</f>
        <v>_</v>
      </c>
      <c r="D86" t="str">
        <f t="shared" si="3"/>
        <v>X</v>
      </c>
      <c r="E86" t="str">
        <f ca="1">IFERROR(IF(AND(B86&amp;C86&amp;D86="___",INDIRECT("Inventory!A"&amp;MATCH(VLOOKUP(A86,Inventory!E:E,1,0),Inventory!E:E,0))&lt;&gt;INDIRECT("'Full Inventory'!B"&amp;MATCH(VLOOKUP(A86,'Full Inventory'!F:F,1,0),'Full Inventory'!F:F,0))),"X","_"),"_")</f>
        <v>_</v>
      </c>
      <c r="K86" t="str">
        <f t="shared" ca="1" si="4"/>
        <v>__X_</v>
      </c>
      <c r="L86" t="str">
        <f t="shared" ca="1" si="5"/>
        <v/>
      </c>
      <c r="M86" t="str">
        <f>IFERROR(INDEX(Inventory!A:A,MATCH(Scan!A86,Inventory!E:E,0)),"")</f>
        <v/>
      </c>
    </row>
    <row r="87" spans="2:13" x14ac:dyDescent="0.25">
      <c r="B87" t="str">
        <f>IF(IFERROR(VLOOKUP(TRIM(A87),Inventory!E:E,1,0),0)=0,"X","_")</f>
        <v>_</v>
      </c>
      <c r="C87" t="str">
        <f>IF(IFERROR(VLOOKUP(TRIM(A87),'Full Inventory'!F:F,1,0),0)=0,"X","_")</f>
        <v>_</v>
      </c>
      <c r="D87" t="str">
        <f t="shared" si="3"/>
        <v>X</v>
      </c>
      <c r="E87" t="str">
        <f ca="1">IFERROR(IF(AND(B87&amp;C87&amp;D87="___",INDIRECT("Inventory!A"&amp;MATCH(VLOOKUP(A87,Inventory!E:E,1,0),Inventory!E:E,0))&lt;&gt;INDIRECT("'Full Inventory'!B"&amp;MATCH(VLOOKUP(A87,'Full Inventory'!F:F,1,0),'Full Inventory'!F:F,0))),"X","_"),"_")</f>
        <v>_</v>
      </c>
      <c r="K87" t="str">
        <f t="shared" ca="1" si="4"/>
        <v>__X_</v>
      </c>
      <c r="L87" t="str">
        <f t="shared" ca="1" si="5"/>
        <v/>
      </c>
      <c r="M87" t="str">
        <f>IFERROR(INDEX(Inventory!A:A,MATCH(Scan!A87,Inventory!E:E,0)),"")</f>
        <v/>
      </c>
    </row>
    <row r="88" spans="2:13" x14ac:dyDescent="0.25">
      <c r="B88" t="str">
        <f>IF(IFERROR(VLOOKUP(TRIM(A88),Inventory!E:E,1,0),0)=0,"X","_")</f>
        <v>_</v>
      </c>
      <c r="C88" t="str">
        <f>IF(IFERROR(VLOOKUP(TRIM(A88),'Full Inventory'!F:F,1,0),0)=0,"X","_")</f>
        <v>_</v>
      </c>
      <c r="D88" t="str">
        <f t="shared" si="3"/>
        <v>X</v>
      </c>
      <c r="E88" t="str">
        <f ca="1">IFERROR(IF(AND(B88&amp;C88&amp;D88="___",INDIRECT("Inventory!A"&amp;MATCH(VLOOKUP(A88,Inventory!E:E,1,0),Inventory!E:E,0))&lt;&gt;INDIRECT("'Full Inventory'!B"&amp;MATCH(VLOOKUP(A88,'Full Inventory'!F:F,1,0),'Full Inventory'!F:F,0))),"X","_"),"_")</f>
        <v>_</v>
      </c>
      <c r="K88" t="str">
        <f t="shared" ca="1" si="4"/>
        <v>__X_</v>
      </c>
      <c r="L88" t="str">
        <f t="shared" ca="1" si="5"/>
        <v/>
      </c>
      <c r="M88" t="str">
        <f>IFERROR(INDEX(Inventory!A:A,MATCH(Scan!A88,Inventory!E:E,0)),"")</f>
        <v/>
      </c>
    </row>
    <row r="89" spans="2:13" x14ac:dyDescent="0.25">
      <c r="B89" t="str">
        <f>IF(IFERROR(VLOOKUP(TRIM(A89),Inventory!E:E,1,0),0)=0,"X","_")</f>
        <v>_</v>
      </c>
      <c r="C89" t="str">
        <f>IF(IFERROR(VLOOKUP(TRIM(A89),'Full Inventory'!F:F,1,0),0)=0,"X","_")</f>
        <v>_</v>
      </c>
      <c r="D89" t="str">
        <f t="shared" si="3"/>
        <v>X</v>
      </c>
      <c r="E89" t="str">
        <f ca="1">IFERROR(IF(AND(B89&amp;C89&amp;D89="___",INDIRECT("Inventory!A"&amp;MATCH(VLOOKUP(A89,Inventory!E:E,1,0),Inventory!E:E,0))&lt;&gt;INDIRECT("'Full Inventory'!B"&amp;MATCH(VLOOKUP(A89,'Full Inventory'!F:F,1,0),'Full Inventory'!F:F,0))),"X","_"),"_")</f>
        <v>_</v>
      </c>
      <c r="K89" t="str">
        <f t="shared" ca="1" si="4"/>
        <v>__X_</v>
      </c>
      <c r="L89" t="str">
        <f t="shared" ca="1" si="5"/>
        <v/>
      </c>
      <c r="M89" t="str">
        <f>IFERROR(INDEX(Inventory!A:A,MATCH(Scan!A89,Inventory!E:E,0)),"")</f>
        <v/>
      </c>
    </row>
    <row r="90" spans="2:13" x14ac:dyDescent="0.25">
      <c r="B90" t="str">
        <f>IF(IFERROR(VLOOKUP(TRIM(A90),Inventory!E:E,1,0),0)=0,"X","_")</f>
        <v>_</v>
      </c>
      <c r="C90" t="str">
        <f>IF(IFERROR(VLOOKUP(TRIM(A90),'Full Inventory'!F:F,1,0),0)=0,"X","_")</f>
        <v>_</v>
      </c>
      <c r="D90" t="str">
        <f t="shared" si="3"/>
        <v>X</v>
      </c>
      <c r="E90" t="str">
        <f ca="1">IFERROR(IF(AND(B90&amp;C90&amp;D90="___",INDIRECT("Inventory!A"&amp;MATCH(VLOOKUP(A90,Inventory!E:E,1,0),Inventory!E:E,0))&lt;&gt;INDIRECT("'Full Inventory'!B"&amp;MATCH(VLOOKUP(A90,'Full Inventory'!F:F,1,0),'Full Inventory'!F:F,0))),"X","_"),"_")</f>
        <v>_</v>
      </c>
      <c r="K90" t="str">
        <f t="shared" ca="1" si="4"/>
        <v>__X_</v>
      </c>
      <c r="L90" t="str">
        <f t="shared" ca="1" si="5"/>
        <v/>
      </c>
      <c r="M90" t="str">
        <f>IFERROR(INDEX(Inventory!A:A,MATCH(Scan!A90,Inventory!E:E,0)),"")</f>
        <v/>
      </c>
    </row>
    <row r="91" spans="2:13" x14ac:dyDescent="0.25">
      <c r="B91" t="str">
        <f>IF(IFERROR(VLOOKUP(TRIM(A91),Inventory!E:E,1,0),0)=0,"X","_")</f>
        <v>_</v>
      </c>
      <c r="C91" t="str">
        <f>IF(IFERROR(VLOOKUP(TRIM(A91),'Full Inventory'!F:F,1,0),0)=0,"X","_")</f>
        <v>_</v>
      </c>
      <c r="D91" t="str">
        <f t="shared" si="3"/>
        <v>X</v>
      </c>
      <c r="E91" t="str">
        <f ca="1">IFERROR(IF(AND(B91&amp;C91&amp;D91="___",INDIRECT("Inventory!A"&amp;MATCH(VLOOKUP(A91,Inventory!E:E,1,0),Inventory!E:E,0))&lt;&gt;INDIRECT("'Full Inventory'!B"&amp;MATCH(VLOOKUP(A91,'Full Inventory'!F:F,1,0),'Full Inventory'!F:F,0))),"X","_"),"_")</f>
        <v>_</v>
      </c>
      <c r="K91" t="str">
        <f t="shared" ca="1" si="4"/>
        <v>__X_</v>
      </c>
      <c r="L91" t="str">
        <f t="shared" ca="1" si="5"/>
        <v/>
      </c>
      <c r="M91" t="str">
        <f>IFERROR(INDEX(Inventory!A:A,MATCH(Scan!A91,Inventory!E:E,0)),"")</f>
        <v/>
      </c>
    </row>
    <row r="92" spans="2:13" x14ac:dyDescent="0.25">
      <c r="B92" t="str">
        <f>IF(IFERROR(VLOOKUP(TRIM(A92),Inventory!E:E,1,0),0)=0,"X","_")</f>
        <v>_</v>
      </c>
      <c r="C92" t="str">
        <f>IF(IFERROR(VLOOKUP(TRIM(A92),'Full Inventory'!F:F,1,0),0)=0,"X","_")</f>
        <v>_</v>
      </c>
      <c r="D92" t="str">
        <f t="shared" si="3"/>
        <v>X</v>
      </c>
      <c r="E92" t="str">
        <f ca="1">IFERROR(IF(AND(B92&amp;C92&amp;D92="___",INDIRECT("Inventory!A"&amp;MATCH(VLOOKUP(A92,Inventory!E:E,1,0),Inventory!E:E,0))&lt;&gt;INDIRECT("'Full Inventory'!B"&amp;MATCH(VLOOKUP(A92,'Full Inventory'!F:F,1,0),'Full Inventory'!F:F,0))),"X","_"),"_")</f>
        <v>_</v>
      </c>
      <c r="K92" t="str">
        <f t="shared" ca="1" si="4"/>
        <v>__X_</v>
      </c>
      <c r="L92" t="str">
        <f t="shared" ca="1" si="5"/>
        <v/>
      </c>
      <c r="M92" t="str">
        <f>IFERROR(INDEX(Inventory!A:A,MATCH(Scan!A92,Inventory!E:E,0)),"")</f>
        <v/>
      </c>
    </row>
    <row r="93" spans="2:13" x14ac:dyDescent="0.25">
      <c r="B93" t="str">
        <f>IF(IFERROR(VLOOKUP(TRIM(A93),Inventory!E:E,1,0),0)=0,"X","_")</f>
        <v>_</v>
      </c>
      <c r="C93" t="str">
        <f>IF(IFERROR(VLOOKUP(TRIM(A93),'Full Inventory'!F:F,1,0),0)=0,"X","_")</f>
        <v>_</v>
      </c>
      <c r="D93" t="str">
        <f t="shared" si="3"/>
        <v>X</v>
      </c>
      <c r="E93" t="str">
        <f ca="1">IFERROR(IF(AND(B93&amp;C93&amp;D93="___",INDIRECT("Inventory!A"&amp;MATCH(VLOOKUP(A93,Inventory!E:E,1,0),Inventory!E:E,0))&lt;&gt;INDIRECT("'Full Inventory'!B"&amp;MATCH(VLOOKUP(A93,'Full Inventory'!F:F,1,0),'Full Inventory'!F:F,0))),"X","_"),"_")</f>
        <v>_</v>
      </c>
      <c r="K93" t="str">
        <f t="shared" ca="1" si="4"/>
        <v>__X_</v>
      </c>
      <c r="L93" t="str">
        <f t="shared" ca="1" si="5"/>
        <v/>
      </c>
      <c r="M93" t="str">
        <f>IFERROR(INDEX(Inventory!A:A,MATCH(Scan!A93,Inventory!E:E,0)),"")</f>
        <v/>
      </c>
    </row>
    <row r="94" spans="2:13" x14ac:dyDescent="0.25">
      <c r="B94" t="str">
        <f>IF(IFERROR(VLOOKUP(TRIM(A94),Inventory!E:E,1,0),0)=0,"X","_")</f>
        <v>_</v>
      </c>
      <c r="C94" t="str">
        <f>IF(IFERROR(VLOOKUP(TRIM(A94),'Full Inventory'!F:F,1,0),0)=0,"X","_")</f>
        <v>_</v>
      </c>
      <c r="D94" t="str">
        <f t="shared" si="3"/>
        <v>X</v>
      </c>
      <c r="E94" t="str">
        <f ca="1">IFERROR(IF(AND(B94&amp;C94&amp;D94="___",INDIRECT("Inventory!A"&amp;MATCH(VLOOKUP(A94,Inventory!E:E,1,0),Inventory!E:E,0))&lt;&gt;INDIRECT("'Full Inventory'!B"&amp;MATCH(VLOOKUP(A94,'Full Inventory'!F:F,1,0),'Full Inventory'!F:F,0))),"X","_"),"_")</f>
        <v>_</v>
      </c>
      <c r="K94" t="str">
        <f t="shared" ca="1" si="4"/>
        <v>__X_</v>
      </c>
      <c r="L94" t="str">
        <f t="shared" ca="1" si="5"/>
        <v/>
      </c>
      <c r="M94" t="str">
        <f>IFERROR(INDEX(Inventory!A:A,MATCH(Scan!A94,Inventory!E:E,0)),"")</f>
        <v/>
      </c>
    </row>
    <row r="95" spans="2:13" x14ac:dyDescent="0.25">
      <c r="B95" t="str">
        <f>IF(IFERROR(VLOOKUP(TRIM(A95),Inventory!E:E,1,0),0)=0,"X","_")</f>
        <v>_</v>
      </c>
      <c r="C95" t="str">
        <f>IF(IFERROR(VLOOKUP(TRIM(A95),'Full Inventory'!F:F,1,0),0)=0,"X","_")</f>
        <v>_</v>
      </c>
      <c r="D95" t="str">
        <f t="shared" si="3"/>
        <v>X</v>
      </c>
      <c r="E95" t="str">
        <f ca="1">IFERROR(IF(AND(B95&amp;C95&amp;D95="___",INDIRECT("Inventory!A"&amp;MATCH(VLOOKUP(A95,Inventory!E:E,1,0),Inventory!E:E,0))&lt;&gt;INDIRECT("'Full Inventory'!B"&amp;MATCH(VLOOKUP(A95,'Full Inventory'!F:F,1,0),'Full Inventory'!F:F,0))),"X","_"),"_")</f>
        <v>_</v>
      </c>
      <c r="K95" t="str">
        <f t="shared" ca="1" si="4"/>
        <v>__X_</v>
      </c>
      <c r="L95" t="str">
        <f t="shared" ca="1" si="5"/>
        <v/>
      </c>
      <c r="M95" t="str">
        <f>IFERROR(INDEX(Inventory!A:A,MATCH(Scan!A95,Inventory!E:E,0)),"")</f>
        <v/>
      </c>
    </row>
    <row r="96" spans="2:13" x14ac:dyDescent="0.25">
      <c r="B96" t="str">
        <f>IF(IFERROR(VLOOKUP(TRIM(A96),Inventory!E:E,1,0),0)=0,"X","_")</f>
        <v>_</v>
      </c>
      <c r="C96" t="str">
        <f>IF(IFERROR(VLOOKUP(TRIM(A96),'Full Inventory'!F:F,1,0),0)=0,"X","_")</f>
        <v>_</v>
      </c>
      <c r="D96" t="str">
        <f t="shared" si="3"/>
        <v>X</v>
      </c>
      <c r="E96" t="str">
        <f ca="1">IFERROR(IF(AND(B96&amp;C96&amp;D96="___",INDIRECT("Inventory!A"&amp;MATCH(VLOOKUP(A96,Inventory!E:E,1,0),Inventory!E:E,0))&lt;&gt;INDIRECT("'Full Inventory'!B"&amp;MATCH(VLOOKUP(A96,'Full Inventory'!F:F,1,0),'Full Inventory'!F:F,0))),"X","_"),"_")</f>
        <v>_</v>
      </c>
      <c r="K96" t="str">
        <f t="shared" ca="1" si="4"/>
        <v>__X_</v>
      </c>
      <c r="L96" t="str">
        <f t="shared" ca="1" si="5"/>
        <v/>
      </c>
      <c r="M96" t="str">
        <f>IFERROR(INDEX(Inventory!A:A,MATCH(Scan!A96,Inventory!E:E,0)),"")</f>
        <v/>
      </c>
    </row>
    <row r="97" spans="2:13" x14ac:dyDescent="0.25">
      <c r="B97" t="str">
        <f>IF(IFERROR(VLOOKUP(TRIM(A97),Inventory!E:E,1,0),0)=0,"X","_")</f>
        <v>_</v>
      </c>
      <c r="C97" t="str">
        <f>IF(IFERROR(VLOOKUP(TRIM(A97),'Full Inventory'!F:F,1,0),0)=0,"X","_")</f>
        <v>_</v>
      </c>
      <c r="D97" t="str">
        <f t="shared" si="3"/>
        <v>X</v>
      </c>
      <c r="E97" t="str">
        <f ca="1">IFERROR(IF(AND(B97&amp;C97&amp;D97="___",INDIRECT("Inventory!A"&amp;MATCH(VLOOKUP(A97,Inventory!E:E,1,0),Inventory!E:E,0))&lt;&gt;INDIRECT("'Full Inventory'!B"&amp;MATCH(VLOOKUP(A97,'Full Inventory'!F:F,1,0),'Full Inventory'!F:F,0))),"X","_"),"_")</f>
        <v>_</v>
      </c>
      <c r="K97" t="str">
        <f t="shared" ca="1" si="4"/>
        <v>__X_</v>
      </c>
      <c r="L97" t="str">
        <f t="shared" ca="1" si="5"/>
        <v/>
      </c>
      <c r="M97" t="str">
        <f>IFERROR(INDEX(Inventory!A:A,MATCH(Scan!A97,Inventory!E:E,0)),"")</f>
        <v/>
      </c>
    </row>
    <row r="98" spans="2:13" x14ac:dyDescent="0.25">
      <c r="B98" t="str">
        <f>IF(IFERROR(VLOOKUP(TRIM(A98),Inventory!E:E,1,0),0)=0,"X","_")</f>
        <v>_</v>
      </c>
      <c r="C98" t="str">
        <f>IF(IFERROR(VLOOKUP(TRIM(A98),'Full Inventory'!F:F,1,0),0)=0,"X","_")</f>
        <v>_</v>
      </c>
      <c r="D98" t="str">
        <f t="shared" si="3"/>
        <v>X</v>
      </c>
      <c r="E98" t="str">
        <f ca="1">IFERROR(IF(AND(B98&amp;C98&amp;D98="___",INDIRECT("Inventory!A"&amp;MATCH(VLOOKUP(A98,Inventory!E:E,1,0),Inventory!E:E,0))&lt;&gt;INDIRECT("'Full Inventory'!B"&amp;MATCH(VLOOKUP(A98,'Full Inventory'!F:F,1,0),'Full Inventory'!F:F,0))),"X","_"),"_")</f>
        <v>_</v>
      </c>
      <c r="K98" t="str">
        <f t="shared" ca="1" si="4"/>
        <v>__X_</v>
      </c>
      <c r="L98" t="str">
        <f t="shared" ca="1" si="5"/>
        <v/>
      </c>
      <c r="M98" t="str">
        <f>IFERROR(INDEX(Inventory!A:A,MATCH(Scan!A98,Inventory!E:E,0)),"")</f>
        <v/>
      </c>
    </row>
    <row r="99" spans="2:13" x14ac:dyDescent="0.25">
      <c r="B99" t="str">
        <f>IF(IFERROR(VLOOKUP(TRIM(A99),Inventory!E:E,1,0),0)=0,"X","_")</f>
        <v>_</v>
      </c>
      <c r="C99" t="str">
        <f>IF(IFERROR(VLOOKUP(TRIM(A99),'Full Inventory'!F:F,1,0),0)=0,"X","_")</f>
        <v>_</v>
      </c>
      <c r="D99" t="str">
        <f t="shared" si="3"/>
        <v>X</v>
      </c>
      <c r="E99" t="str">
        <f ca="1">IFERROR(IF(AND(B99&amp;C99&amp;D99="___",INDIRECT("Inventory!A"&amp;MATCH(VLOOKUP(A99,Inventory!E:E,1,0),Inventory!E:E,0))&lt;&gt;INDIRECT("'Full Inventory'!B"&amp;MATCH(VLOOKUP(A99,'Full Inventory'!F:F,1,0),'Full Inventory'!F:F,0))),"X","_"),"_")</f>
        <v>_</v>
      </c>
      <c r="K99" t="str">
        <f t="shared" ca="1" si="4"/>
        <v>__X_</v>
      </c>
      <c r="L99" t="str">
        <f t="shared" ca="1" si="5"/>
        <v/>
      </c>
      <c r="M99" t="str">
        <f>IFERROR(INDEX(Inventory!A:A,MATCH(Scan!A99,Inventory!E:E,0)),"")</f>
        <v/>
      </c>
    </row>
    <row r="100" spans="2:13" x14ac:dyDescent="0.25">
      <c r="B100" t="str">
        <f>IF(IFERROR(VLOOKUP(TRIM(A100),Inventory!E:E,1,0),0)=0,"X","_")</f>
        <v>_</v>
      </c>
      <c r="C100" t="str">
        <f>IF(IFERROR(VLOOKUP(TRIM(A100),'Full Inventory'!F:F,1,0),0)=0,"X","_")</f>
        <v>_</v>
      </c>
      <c r="D100" t="str">
        <f t="shared" si="3"/>
        <v>X</v>
      </c>
      <c r="E100" t="str">
        <f ca="1">IFERROR(IF(AND(B100&amp;C100&amp;D100="___",INDIRECT("Inventory!A"&amp;MATCH(VLOOKUP(A100,Inventory!E:E,1,0),Inventory!E:E,0))&lt;&gt;INDIRECT("'Full Inventory'!B"&amp;MATCH(VLOOKUP(A100,'Full Inventory'!F:F,1,0),'Full Inventory'!F:F,0))),"X","_"),"_")</f>
        <v>_</v>
      </c>
      <c r="K100" t="str">
        <f t="shared" ca="1" si="4"/>
        <v>__X_</v>
      </c>
      <c r="L100" t="str">
        <f t="shared" ca="1" si="5"/>
        <v/>
      </c>
      <c r="M100" t="str">
        <f>IFERROR(INDEX(Inventory!A:A,MATCH(Scan!A100,Inventory!E:E,0)),"")</f>
        <v/>
      </c>
    </row>
    <row r="101" spans="2:13" x14ac:dyDescent="0.25">
      <c r="B101" t="str">
        <f>IF(IFERROR(VLOOKUP(TRIM(A101),Inventory!E:E,1,0),0)=0,"X","_")</f>
        <v>_</v>
      </c>
      <c r="C101" t="str">
        <f>IF(IFERROR(VLOOKUP(TRIM(A101),'Full Inventory'!F:F,1,0),0)=0,"X","_")</f>
        <v>_</v>
      </c>
      <c r="D101" t="str">
        <f t="shared" si="3"/>
        <v>X</v>
      </c>
      <c r="E101" t="str">
        <f ca="1">IFERROR(IF(AND(B101&amp;C101&amp;D101="___",INDIRECT("Inventory!A"&amp;MATCH(VLOOKUP(A101,Inventory!E:E,1,0),Inventory!E:E,0))&lt;&gt;INDIRECT("'Full Inventory'!B"&amp;MATCH(VLOOKUP(A101,'Full Inventory'!F:F,1,0),'Full Inventory'!F:F,0))),"X","_"),"_")</f>
        <v>_</v>
      </c>
      <c r="K101" t="str">
        <f t="shared" ca="1" si="4"/>
        <v>__X_</v>
      </c>
      <c r="L101" t="str">
        <f t="shared" ca="1" si="5"/>
        <v/>
      </c>
      <c r="M101" t="str">
        <f>IFERROR(INDEX(Inventory!A:A,MATCH(Scan!A101,Inventory!E:E,0)),"")</f>
        <v/>
      </c>
    </row>
    <row r="102" spans="2:13" x14ac:dyDescent="0.25">
      <c r="B102" t="str">
        <f>IF(IFERROR(VLOOKUP(TRIM(A102),Inventory!E:E,1,0),0)=0,"X","_")</f>
        <v>_</v>
      </c>
      <c r="C102" t="str">
        <f>IF(IFERROR(VLOOKUP(TRIM(A102),'Full Inventory'!F:F,1,0),0)=0,"X","_")</f>
        <v>_</v>
      </c>
      <c r="D102" t="str">
        <f t="shared" si="3"/>
        <v>X</v>
      </c>
      <c r="E102" t="str">
        <f ca="1">IFERROR(IF(AND(B102&amp;C102&amp;D102="___",INDIRECT("Inventory!A"&amp;MATCH(VLOOKUP(A102,Inventory!E:E,1,0),Inventory!E:E,0))&lt;&gt;INDIRECT("'Full Inventory'!B"&amp;MATCH(VLOOKUP(A102,'Full Inventory'!F:F,1,0),'Full Inventory'!F:F,0))),"X","_"),"_")</f>
        <v>_</v>
      </c>
      <c r="K102" t="str">
        <f t="shared" ca="1" si="4"/>
        <v>__X_</v>
      </c>
      <c r="L102" t="str">
        <f t="shared" ca="1" si="5"/>
        <v/>
      </c>
      <c r="M102" t="str">
        <f>IFERROR(INDEX(Inventory!A:A,MATCH(Scan!A102,Inventory!E:E,0)),"")</f>
        <v/>
      </c>
    </row>
    <row r="103" spans="2:13" x14ac:dyDescent="0.25">
      <c r="B103" t="str">
        <f>IF(IFERROR(VLOOKUP(TRIM(A103),Inventory!E:E,1,0),0)=0,"X","_")</f>
        <v>_</v>
      </c>
      <c r="C103" t="str">
        <f>IF(IFERROR(VLOOKUP(TRIM(A103),'Full Inventory'!F:F,1,0),0)=0,"X","_")</f>
        <v>_</v>
      </c>
      <c r="D103" t="str">
        <f t="shared" si="3"/>
        <v>X</v>
      </c>
      <c r="E103" t="str">
        <f ca="1">IFERROR(IF(AND(B103&amp;C103&amp;D103="___",INDIRECT("Inventory!A"&amp;MATCH(VLOOKUP(A103,Inventory!E:E,1,0),Inventory!E:E,0))&lt;&gt;INDIRECT("'Full Inventory'!B"&amp;MATCH(VLOOKUP(A103,'Full Inventory'!F:F,1,0),'Full Inventory'!F:F,0))),"X","_"),"_")</f>
        <v>_</v>
      </c>
      <c r="K103" t="str">
        <f t="shared" ca="1" si="4"/>
        <v>__X_</v>
      </c>
      <c r="L103" t="str">
        <f t="shared" ca="1" si="5"/>
        <v/>
      </c>
      <c r="M103" t="str">
        <f>IFERROR(INDEX(Inventory!A:A,MATCH(Scan!A103,Inventory!E:E,0)),"")</f>
        <v/>
      </c>
    </row>
    <row r="104" spans="2:13" x14ac:dyDescent="0.25">
      <c r="B104" t="str">
        <f>IF(IFERROR(VLOOKUP(TRIM(A104),Inventory!E:E,1,0),0)=0,"X","_")</f>
        <v>_</v>
      </c>
      <c r="C104" t="str">
        <f>IF(IFERROR(VLOOKUP(TRIM(A104),'Full Inventory'!F:F,1,0),0)=0,"X","_")</f>
        <v>_</v>
      </c>
      <c r="D104" t="str">
        <f t="shared" si="3"/>
        <v>X</v>
      </c>
      <c r="E104" t="str">
        <f ca="1">IFERROR(IF(AND(B104&amp;C104&amp;D104="___",INDIRECT("Inventory!A"&amp;MATCH(VLOOKUP(A104,Inventory!E:E,1,0),Inventory!E:E,0))&lt;&gt;INDIRECT("'Full Inventory'!B"&amp;MATCH(VLOOKUP(A104,'Full Inventory'!F:F,1,0),'Full Inventory'!F:F,0))),"X","_"),"_")</f>
        <v>_</v>
      </c>
      <c r="K104" t="str">
        <f t="shared" ca="1" si="4"/>
        <v>__X_</v>
      </c>
      <c r="L104" t="str">
        <f t="shared" ca="1" si="5"/>
        <v/>
      </c>
      <c r="M104" t="str">
        <f>IFERROR(INDEX(Inventory!A:A,MATCH(Scan!A104,Inventory!E:E,0)),"")</f>
        <v/>
      </c>
    </row>
    <row r="105" spans="2:13" x14ac:dyDescent="0.25">
      <c r="B105" t="str">
        <f>IF(IFERROR(VLOOKUP(TRIM(A105),Inventory!E:E,1,0),0)=0,"X","_")</f>
        <v>_</v>
      </c>
      <c r="C105" t="str">
        <f>IF(IFERROR(VLOOKUP(TRIM(A105),'Full Inventory'!F:F,1,0),0)=0,"X","_")</f>
        <v>_</v>
      </c>
      <c r="D105" t="str">
        <f t="shared" si="3"/>
        <v>X</v>
      </c>
      <c r="E105" t="str">
        <f ca="1">IFERROR(IF(AND(B105&amp;C105&amp;D105="___",INDIRECT("Inventory!A"&amp;MATCH(VLOOKUP(A105,Inventory!E:E,1,0),Inventory!E:E,0))&lt;&gt;INDIRECT("'Full Inventory'!B"&amp;MATCH(VLOOKUP(A105,'Full Inventory'!F:F,1,0),'Full Inventory'!F:F,0))),"X","_"),"_")</f>
        <v>_</v>
      </c>
      <c r="K105" t="str">
        <f t="shared" ca="1" si="4"/>
        <v>__X_</v>
      </c>
      <c r="L105" t="str">
        <f t="shared" ca="1" si="5"/>
        <v/>
      </c>
      <c r="M105" t="str">
        <f>IFERROR(INDEX(Inventory!A:A,MATCH(Scan!A105,Inventory!E:E,0)),"")</f>
        <v/>
      </c>
    </row>
    <row r="106" spans="2:13" x14ac:dyDescent="0.25">
      <c r="B106" t="str">
        <f>IF(IFERROR(VLOOKUP(TRIM(A106),Inventory!E:E,1,0),0)=0,"X","_")</f>
        <v>_</v>
      </c>
      <c r="C106" t="str">
        <f>IF(IFERROR(VLOOKUP(TRIM(A106),'Full Inventory'!F:F,1,0),0)=0,"X","_")</f>
        <v>_</v>
      </c>
      <c r="D106" t="str">
        <f t="shared" si="3"/>
        <v>X</v>
      </c>
      <c r="E106" t="str">
        <f ca="1">IFERROR(IF(AND(B106&amp;C106&amp;D106="___",INDIRECT("Inventory!A"&amp;MATCH(VLOOKUP(A106,Inventory!E:E,1,0),Inventory!E:E,0))&lt;&gt;INDIRECT("'Full Inventory'!B"&amp;MATCH(VLOOKUP(A106,'Full Inventory'!F:F,1,0),'Full Inventory'!F:F,0))),"X","_"),"_")</f>
        <v>_</v>
      </c>
      <c r="K106" t="str">
        <f t="shared" ca="1" si="4"/>
        <v>__X_</v>
      </c>
      <c r="L106" t="str">
        <f t="shared" ca="1" si="5"/>
        <v/>
      </c>
      <c r="M106" t="str">
        <f>IFERROR(INDEX(Inventory!A:A,MATCH(Scan!A106,Inventory!E:E,0)),"")</f>
        <v/>
      </c>
    </row>
    <row r="107" spans="2:13" x14ac:dyDescent="0.25">
      <c r="B107" t="str">
        <f>IF(IFERROR(VLOOKUP(TRIM(A107),Inventory!E:E,1,0),0)=0,"X","_")</f>
        <v>_</v>
      </c>
      <c r="C107" t="str">
        <f>IF(IFERROR(VLOOKUP(TRIM(A107),'Full Inventory'!F:F,1,0),0)=0,"X","_")</f>
        <v>_</v>
      </c>
      <c r="D107" t="str">
        <f t="shared" si="3"/>
        <v>X</v>
      </c>
      <c r="E107" t="str">
        <f ca="1">IFERROR(IF(AND(B107&amp;C107&amp;D107="___",INDIRECT("Inventory!A"&amp;MATCH(VLOOKUP(A107,Inventory!E:E,1,0),Inventory!E:E,0))&lt;&gt;INDIRECT("'Full Inventory'!B"&amp;MATCH(VLOOKUP(A107,'Full Inventory'!F:F,1,0),'Full Inventory'!F:F,0))),"X","_"),"_")</f>
        <v>_</v>
      </c>
      <c r="K107" t="str">
        <f t="shared" ca="1" si="4"/>
        <v>__X_</v>
      </c>
      <c r="L107" t="str">
        <f t="shared" ca="1" si="5"/>
        <v/>
      </c>
      <c r="M107" t="str">
        <f>IFERROR(INDEX(Inventory!A:A,MATCH(Scan!A107,Inventory!E:E,0)),"")</f>
        <v/>
      </c>
    </row>
    <row r="108" spans="2:13" x14ac:dyDescent="0.25">
      <c r="B108" t="str">
        <f>IF(IFERROR(VLOOKUP(TRIM(A108),Inventory!E:E,1,0),0)=0,"X","_")</f>
        <v>_</v>
      </c>
      <c r="C108" t="str">
        <f>IF(IFERROR(VLOOKUP(TRIM(A108),'Full Inventory'!F:F,1,0),0)=0,"X","_")</f>
        <v>_</v>
      </c>
      <c r="D108" t="str">
        <f t="shared" si="3"/>
        <v>X</v>
      </c>
      <c r="E108" t="str">
        <f ca="1">IFERROR(IF(AND(B108&amp;C108&amp;D108="___",INDIRECT("Inventory!A"&amp;MATCH(VLOOKUP(A108,Inventory!E:E,1,0),Inventory!E:E,0))&lt;&gt;INDIRECT("'Full Inventory'!B"&amp;MATCH(VLOOKUP(A108,'Full Inventory'!F:F,1,0),'Full Inventory'!F:F,0))),"X","_"),"_")</f>
        <v>_</v>
      </c>
      <c r="K108" t="str">
        <f t="shared" ca="1" si="4"/>
        <v>__X_</v>
      </c>
      <c r="L108" t="str">
        <f t="shared" ca="1" si="5"/>
        <v/>
      </c>
      <c r="M108" t="str">
        <f>IFERROR(INDEX(Inventory!A:A,MATCH(Scan!A108,Inventory!E:E,0)),"")</f>
        <v/>
      </c>
    </row>
    <row r="109" spans="2:13" x14ac:dyDescent="0.25">
      <c r="B109" t="str">
        <f>IF(IFERROR(VLOOKUP(TRIM(A109),Inventory!E:E,1,0),0)=0,"X","_")</f>
        <v>_</v>
      </c>
      <c r="C109" t="str">
        <f>IF(IFERROR(VLOOKUP(TRIM(A109),'Full Inventory'!F:F,1,0),0)=0,"X","_")</f>
        <v>_</v>
      </c>
      <c r="D109" t="str">
        <f t="shared" si="3"/>
        <v>X</v>
      </c>
      <c r="E109" t="str">
        <f ca="1">IFERROR(IF(AND(B109&amp;C109&amp;D109="___",INDIRECT("Inventory!A"&amp;MATCH(VLOOKUP(A109,Inventory!E:E,1,0),Inventory!E:E,0))&lt;&gt;INDIRECT("'Full Inventory'!B"&amp;MATCH(VLOOKUP(A109,'Full Inventory'!F:F,1,0),'Full Inventory'!F:F,0))),"X","_"),"_")</f>
        <v>_</v>
      </c>
      <c r="K109" t="str">
        <f t="shared" ca="1" si="4"/>
        <v>__X_</v>
      </c>
      <c r="L109" t="str">
        <f t="shared" ca="1" si="5"/>
        <v/>
      </c>
      <c r="M109" t="str">
        <f>IFERROR(INDEX(Inventory!A:A,MATCH(Scan!A109,Inventory!E:E,0)),"")</f>
        <v/>
      </c>
    </row>
    <row r="110" spans="2:13" x14ac:dyDescent="0.25">
      <c r="B110" t="str">
        <f>IF(IFERROR(VLOOKUP(TRIM(A110),Inventory!E:E,1,0),0)=0,"X","_")</f>
        <v>_</v>
      </c>
      <c r="C110" t="str">
        <f>IF(IFERROR(VLOOKUP(TRIM(A110),'Full Inventory'!F:F,1,0),0)=0,"X","_")</f>
        <v>_</v>
      </c>
      <c r="D110" t="str">
        <f t="shared" si="3"/>
        <v>X</v>
      </c>
      <c r="E110" t="str">
        <f ca="1">IFERROR(IF(AND(B110&amp;C110&amp;D110="___",INDIRECT("Inventory!A"&amp;MATCH(VLOOKUP(A110,Inventory!E:E,1,0),Inventory!E:E,0))&lt;&gt;INDIRECT("'Full Inventory'!B"&amp;MATCH(VLOOKUP(A110,'Full Inventory'!F:F,1,0),'Full Inventory'!F:F,0))),"X","_"),"_")</f>
        <v>_</v>
      </c>
      <c r="K110" t="str">
        <f t="shared" ca="1" si="4"/>
        <v>__X_</v>
      </c>
      <c r="L110" t="str">
        <f t="shared" ca="1" si="5"/>
        <v/>
      </c>
      <c r="M110" t="str">
        <f>IFERROR(INDEX(Inventory!A:A,MATCH(Scan!A110,Inventory!E:E,0)),"")</f>
        <v/>
      </c>
    </row>
    <row r="111" spans="2:13" x14ac:dyDescent="0.25">
      <c r="B111" t="str">
        <f>IF(IFERROR(VLOOKUP(TRIM(A111),Inventory!E:E,1,0),0)=0,"X","_")</f>
        <v>_</v>
      </c>
      <c r="C111" t="str">
        <f>IF(IFERROR(VLOOKUP(TRIM(A111),'Full Inventory'!F:F,1,0),0)=0,"X","_")</f>
        <v>_</v>
      </c>
      <c r="D111" t="str">
        <f t="shared" si="3"/>
        <v>X</v>
      </c>
      <c r="E111" t="str">
        <f ca="1">IFERROR(IF(AND(B111&amp;C111&amp;D111="___",INDIRECT("Inventory!A"&amp;MATCH(VLOOKUP(A111,Inventory!E:E,1,0),Inventory!E:E,0))&lt;&gt;INDIRECT("'Full Inventory'!B"&amp;MATCH(VLOOKUP(A111,'Full Inventory'!F:F,1,0),'Full Inventory'!F:F,0))),"X","_"),"_")</f>
        <v>_</v>
      </c>
      <c r="K111" t="str">
        <f t="shared" ca="1" si="4"/>
        <v>__X_</v>
      </c>
      <c r="L111" t="str">
        <f t="shared" ca="1" si="5"/>
        <v/>
      </c>
      <c r="M111" t="str">
        <f>IFERROR(INDEX(Inventory!A:A,MATCH(Scan!A111,Inventory!E:E,0)),"")</f>
        <v/>
      </c>
    </row>
    <row r="112" spans="2:13" x14ac:dyDescent="0.25">
      <c r="B112" t="str">
        <f>IF(IFERROR(VLOOKUP(TRIM(A112),Inventory!E:E,1,0),0)=0,"X","_")</f>
        <v>_</v>
      </c>
      <c r="C112" t="str">
        <f>IF(IFERROR(VLOOKUP(TRIM(A112),'Full Inventory'!F:F,1,0),0)=0,"X","_")</f>
        <v>_</v>
      </c>
      <c r="D112" t="str">
        <f t="shared" si="3"/>
        <v>X</v>
      </c>
      <c r="E112" t="str">
        <f ca="1">IFERROR(IF(AND(B112&amp;C112&amp;D112="___",INDIRECT("Inventory!A"&amp;MATCH(VLOOKUP(A112,Inventory!E:E,1,0),Inventory!E:E,0))&lt;&gt;INDIRECT("'Full Inventory'!B"&amp;MATCH(VLOOKUP(A112,'Full Inventory'!F:F,1,0),'Full Inventory'!F:F,0))),"X","_"),"_")</f>
        <v>_</v>
      </c>
      <c r="K112" t="str">
        <f t="shared" ca="1" si="4"/>
        <v>__X_</v>
      </c>
      <c r="L112" t="str">
        <f t="shared" ca="1" si="5"/>
        <v/>
      </c>
      <c r="M112" t="str">
        <f>IFERROR(INDEX(Inventory!A:A,MATCH(Scan!A112,Inventory!E:E,0)),"")</f>
        <v/>
      </c>
    </row>
    <row r="113" spans="2:13" x14ac:dyDescent="0.25">
      <c r="B113" t="str">
        <f>IF(IFERROR(VLOOKUP(TRIM(A113),Inventory!E:E,1,0),0)=0,"X","_")</f>
        <v>_</v>
      </c>
      <c r="C113" t="str">
        <f>IF(IFERROR(VLOOKUP(TRIM(A113),'Full Inventory'!F:F,1,0),0)=0,"X","_")</f>
        <v>_</v>
      </c>
      <c r="D113" t="str">
        <f t="shared" si="3"/>
        <v>X</v>
      </c>
      <c r="E113" t="str">
        <f ca="1">IFERROR(IF(AND(B113&amp;C113&amp;D113="___",INDIRECT("Inventory!A"&amp;MATCH(VLOOKUP(A113,Inventory!E:E,1,0),Inventory!E:E,0))&lt;&gt;INDIRECT("'Full Inventory'!B"&amp;MATCH(VLOOKUP(A113,'Full Inventory'!F:F,1,0),'Full Inventory'!F:F,0))),"X","_"),"_")</f>
        <v>_</v>
      </c>
      <c r="K113" t="str">
        <f t="shared" ca="1" si="4"/>
        <v>__X_</v>
      </c>
      <c r="L113" t="str">
        <f t="shared" ca="1" si="5"/>
        <v/>
      </c>
      <c r="M113" t="str">
        <f>IFERROR(INDEX(Inventory!A:A,MATCH(Scan!A113,Inventory!E:E,0)),"")</f>
        <v/>
      </c>
    </row>
    <row r="114" spans="2:13" x14ac:dyDescent="0.25">
      <c r="B114" t="str">
        <f>IF(IFERROR(VLOOKUP(TRIM(A114),Inventory!E:E,1,0),0)=0,"X","_")</f>
        <v>_</v>
      </c>
      <c r="C114" t="str">
        <f>IF(IFERROR(VLOOKUP(TRIM(A114),'Full Inventory'!F:F,1,0),0)=0,"X","_")</f>
        <v>_</v>
      </c>
      <c r="D114" t="str">
        <f t="shared" si="3"/>
        <v>X</v>
      </c>
      <c r="E114" t="str">
        <f ca="1">IFERROR(IF(AND(B114&amp;C114&amp;D114="___",INDIRECT("Inventory!A"&amp;MATCH(VLOOKUP(A114,Inventory!E:E,1,0),Inventory!E:E,0))&lt;&gt;INDIRECT("'Full Inventory'!B"&amp;MATCH(VLOOKUP(A114,'Full Inventory'!F:F,1,0),'Full Inventory'!F:F,0))),"X","_"),"_")</f>
        <v>_</v>
      </c>
      <c r="K114" t="str">
        <f t="shared" ca="1" si="4"/>
        <v>__X_</v>
      </c>
      <c r="L114" t="str">
        <f t="shared" ca="1" si="5"/>
        <v/>
      </c>
      <c r="M114" t="str">
        <f>IFERROR(INDEX(Inventory!A:A,MATCH(Scan!A114,Inventory!E:E,0)),"")</f>
        <v/>
      </c>
    </row>
    <row r="115" spans="2:13" x14ac:dyDescent="0.25">
      <c r="B115" t="str">
        <f>IF(IFERROR(VLOOKUP(TRIM(A115),Inventory!E:E,1,0),0)=0,"X","_")</f>
        <v>_</v>
      </c>
      <c r="C115" t="str">
        <f>IF(IFERROR(VLOOKUP(TRIM(A115),'Full Inventory'!F:F,1,0),0)=0,"X","_")</f>
        <v>_</v>
      </c>
      <c r="D115" t="str">
        <f t="shared" si="3"/>
        <v>X</v>
      </c>
      <c r="E115" t="str">
        <f ca="1">IFERROR(IF(AND(B115&amp;C115&amp;D115="___",INDIRECT("Inventory!A"&amp;MATCH(VLOOKUP(A115,Inventory!E:E,1,0),Inventory!E:E,0))&lt;&gt;INDIRECT("'Full Inventory'!B"&amp;MATCH(VLOOKUP(A115,'Full Inventory'!F:F,1,0),'Full Inventory'!F:F,0))),"X","_"),"_")</f>
        <v>_</v>
      </c>
      <c r="K115" t="str">
        <f t="shared" ca="1" si="4"/>
        <v>__X_</v>
      </c>
      <c r="L115" t="str">
        <f t="shared" ca="1" si="5"/>
        <v/>
      </c>
      <c r="M115" t="str">
        <f>IFERROR(INDEX(Inventory!A:A,MATCH(Scan!A115,Inventory!E:E,0)),"")</f>
        <v/>
      </c>
    </row>
    <row r="116" spans="2:13" x14ac:dyDescent="0.25">
      <c r="B116" t="str">
        <f>IF(IFERROR(VLOOKUP(TRIM(A116),Inventory!E:E,1,0),0)=0,"X","_")</f>
        <v>_</v>
      </c>
      <c r="C116" t="str">
        <f>IF(IFERROR(VLOOKUP(TRIM(A116),'Full Inventory'!F:F,1,0),0)=0,"X","_")</f>
        <v>_</v>
      </c>
      <c r="D116" t="str">
        <f t="shared" si="3"/>
        <v>X</v>
      </c>
      <c r="E116" t="str">
        <f ca="1">IFERROR(IF(AND(B116&amp;C116&amp;D116="___",INDIRECT("Inventory!A"&amp;MATCH(VLOOKUP(A116,Inventory!E:E,1,0),Inventory!E:E,0))&lt;&gt;INDIRECT("'Full Inventory'!B"&amp;MATCH(VLOOKUP(A116,'Full Inventory'!F:F,1,0),'Full Inventory'!F:F,0))),"X","_"),"_")</f>
        <v>_</v>
      </c>
      <c r="K116" t="str">
        <f t="shared" ca="1" si="4"/>
        <v>__X_</v>
      </c>
      <c r="L116" t="str">
        <f t="shared" ca="1" si="5"/>
        <v/>
      </c>
      <c r="M116" t="str">
        <f>IFERROR(INDEX(Inventory!A:A,MATCH(Scan!A116,Inventory!E:E,0)),"")</f>
        <v/>
      </c>
    </row>
    <row r="117" spans="2:13" x14ac:dyDescent="0.25">
      <c r="B117" t="str">
        <f>IF(IFERROR(VLOOKUP(TRIM(A117),Inventory!E:E,1,0),0)=0,"X","_")</f>
        <v>_</v>
      </c>
      <c r="C117" t="str">
        <f>IF(IFERROR(VLOOKUP(TRIM(A117),'Full Inventory'!F:F,1,0),0)=0,"X","_")</f>
        <v>_</v>
      </c>
      <c r="D117" t="str">
        <f t="shared" si="3"/>
        <v>X</v>
      </c>
      <c r="E117" t="str">
        <f ca="1">IFERROR(IF(AND(B117&amp;C117&amp;D117="___",INDIRECT("Inventory!A"&amp;MATCH(VLOOKUP(A117,Inventory!E:E,1,0),Inventory!E:E,0))&lt;&gt;INDIRECT("'Full Inventory'!B"&amp;MATCH(VLOOKUP(A117,'Full Inventory'!F:F,1,0),'Full Inventory'!F:F,0))),"X","_"),"_")</f>
        <v>_</v>
      </c>
      <c r="K117" t="str">
        <f t="shared" ca="1" si="4"/>
        <v>__X_</v>
      </c>
      <c r="L117" t="str">
        <f t="shared" ca="1" si="5"/>
        <v/>
      </c>
      <c r="M117" t="str">
        <f>IFERROR(INDEX(Inventory!A:A,MATCH(Scan!A117,Inventory!E:E,0)),"")</f>
        <v/>
      </c>
    </row>
    <row r="118" spans="2:13" x14ac:dyDescent="0.25">
      <c r="B118" t="str">
        <f>IF(IFERROR(VLOOKUP(TRIM(A118),Inventory!E:E,1,0),0)=0,"X","_")</f>
        <v>_</v>
      </c>
      <c r="C118" t="str">
        <f>IF(IFERROR(VLOOKUP(TRIM(A118),'Full Inventory'!F:F,1,0),0)=0,"X","_")</f>
        <v>_</v>
      </c>
      <c r="D118" t="str">
        <f t="shared" si="3"/>
        <v>X</v>
      </c>
      <c r="E118" t="str">
        <f ca="1">IFERROR(IF(AND(B118&amp;C118&amp;D118="___",INDIRECT("Inventory!A"&amp;MATCH(VLOOKUP(A118,Inventory!E:E,1,0),Inventory!E:E,0))&lt;&gt;INDIRECT("'Full Inventory'!B"&amp;MATCH(VLOOKUP(A118,'Full Inventory'!F:F,1,0),'Full Inventory'!F:F,0))),"X","_"),"_")</f>
        <v>_</v>
      </c>
      <c r="K118" t="str">
        <f t="shared" ca="1" si="4"/>
        <v>__X_</v>
      </c>
      <c r="L118" t="str">
        <f t="shared" ca="1" si="5"/>
        <v/>
      </c>
      <c r="M118" t="str">
        <f>IFERROR(INDEX(Inventory!A:A,MATCH(Scan!A118,Inventory!E:E,0)),"")</f>
        <v/>
      </c>
    </row>
    <row r="119" spans="2:13" x14ac:dyDescent="0.25">
      <c r="B119" t="str">
        <f>IF(IFERROR(VLOOKUP(TRIM(A119),Inventory!E:E,1,0),0)=0,"X","_")</f>
        <v>_</v>
      </c>
      <c r="C119" t="str">
        <f>IF(IFERROR(VLOOKUP(TRIM(A119),'Full Inventory'!F:F,1,0),0)=0,"X","_")</f>
        <v>_</v>
      </c>
      <c r="D119" t="str">
        <f t="shared" si="3"/>
        <v>X</v>
      </c>
      <c r="E119" t="str">
        <f ca="1">IFERROR(IF(AND(B119&amp;C119&amp;D119="___",INDIRECT("Inventory!A"&amp;MATCH(VLOOKUP(A119,Inventory!E:E,1,0),Inventory!E:E,0))&lt;&gt;INDIRECT("'Full Inventory'!B"&amp;MATCH(VLOOKUP(A119,'Full Inventory'!F:F,1,0),'Full Inventory'!F:F,0))),"X","_"),"_")</f>
        <v>_</v>
      </c>
      <c r="K119" t="str">
        <f t="shared" ca="1" si="4"/>
        <v>__X_</v>
      </c>
      <c r="L119" t="str">
        <f t="shared" ca="1" si="5"/>
        <v/>
      </c>
      <c r="M119" t="str">
        <f>IFERROR(INDEX(Inventory!A:A,MATCH(Scan!A119,Inventory!E:E,0)),"")</f>
        <v/>
      </c>
    </row>
    <row r="120" spans="2:13" x14ac:dyDescent="0.25">
      <c r="B120" t="str">
        <f>IF(IFERROR(VLOOKUP(TRIM(A120),Inventory!E:E,1,0),0)=0,"X","_")</f>
        <v>_</v>
      </c>
      <c r="C120" t="str">
        <f>IF(IFERROR(VLOOKUP(TRIM(A120),'Full Inventory'!F:F,1,0),0)=0,"X","_")</f>
        <v>_</v>
      </c>
      <c r="D120" t="str">
        <f t="shared" si="3"/>
        <v>X</v>
      </c>
      <c r="E120" t="str">
        <f ca="1">IFERROR(IF(AND(B120&amp;C120&amp;D120="___",INDIRECT("Inventory!A"&amp;MATCH(VLOOKUP(A120,Inventory!E:E,1,0),Inventory!E:E,0))&lt;&gt;INDIRECT("'Full Inventory'!B"&amp;MATCH(VLOOKUP(A120,'Full Inventory'!F:F,1,0),'Full Inventory'!F:F,0))),"X","_"),"_")</f>
        <v>_</v>
      </c>
      <c r="K120" t="str">
        <f t="shared" ca="1" si="4"/>
        <v>__X_</v>
      </c>
      <c r="L120" t="str">
        <f t="shared" ca="1" si="5"/>
        <v/>
      </c>
      <c r="M120" t="str">
        <f>IFERROR(INDEX(Inventory!A:A,MATCH(Scan!A120,Inventory!E:E,0)),"")</f>
        <v/>
      </c>
    </row>
    <row r="121" spans="2:13" x14ac:dyDescent="0.25">
      <c r="B121" t="str">
        <f>IF(IFERROR(VLOOKUP(TRIM(A121),Inventory!E:E,1,0),0)=0,"X","_")</f>
        <v>_</v>
      </c>
      <c r="C121" t="str">
        <f>IF(IFERROR(VLOOKUP(TRIM(A121),'Full Inventory'!F:F,1,0),0)=0,"X","_")</f>
        <v>_</v>
      </c>
      <c r="D121" t="str">
        <f t="shared" si="3"/>
        <v>X</v>
      </c>
      <c r="E121" t="str">
        <f ca="1">IFERROR(IF(AND(B121&amp;C121&amp;D121="___",INDIRECT("Inventory!A"&amp;MATCH(VLOOKUP(A121,Inventory!E:E,1,0),Inventory!E:E,0))&lt;&gt;INDIRECT("'Full Inventory'!B"&amp;MATCH(VLOOKUP(A121,'Full Inventory'!F:F,1,0),'Full Inventory'!F:F,0))),"X","_"),"_")</f>
        <v>_</v>
      </c>
      <c r="K121" t="str">
        <f t="shared" ca="1" si="4"/>
        <v>__X_</v>
      </c>
      <c r="L121" t="str">
        <f t="shared" ca="1" si="5"/>
        <v/>
      </c>
      <c r="M121" t="str">
        <f>IFERROR(INDEX(Inventory!A:A,MATCH(Scan!A121,Inventory!E:E,0)),"")</f>
        <v/>
      </c>
    </row>
    <row r="122" spans="2:13" x14ac:dyDescent="0.25">
      <c r="B122" t="str">
        <f>IF(IFERROR(VLOOKUP(TRIM(A122),Inventory!E:E,1,0),0)=0,"X","_")</f>
        <v>_</v>
      </c>
      <c r="C122" t="str">
        <f>IF(IFERROR(VLOOKUP(TRIM(A122),'Full Inventory'!F:F,1,0),0)=0,"X","_")</f>
        <v>_</v>
      </c>
      <c r="D122" t="str">
        <f t="shared" si="3"/>
        <v>X</v>
      </c>
      <c r="E122" t="str">
        <f ca="1">IFERROR(IF(AND(B122&amp;C122&amp;D122="___",INDIRECT("Inventory!A"&amp;MATCH(VLOOKUP(A122,Inventory!E:E,1,0),Inventory!E:E,0))&lt;&gt;INDIRECT("'Full Inventory'!B"&amp;MATCH(VLOOKUP(A122,'Full Inventory'!F:F,1,0),'Full Inventory'!F:F,0))),"X","_"),"_")</f>
        <v>_</v>
      </c>
      <c r="K122" t="str">
        <f t="shared" ca="1" si="4"/>
        <v>__X_</v>
      </c>
      <c r="L122" t="str">
        <f t="shared" ca="1" si="5"/>
        <v/>
      </c>
      <c r="M122" t="str">
        <f>IFERROR(INDEX(Inventory!A:A,MATCH(Scan!A122,Inventory!E:E,0)),"")</f>
        <v/>
      </c>
    </row>
    <row r="123" spans="2:13" x14ac:dyDescent="0.25">
      <c r="B123" t="str">
        <f>IF(IFERROR(VLOOKUP(TRIM(A123),Inventory!E:E,1,0),0)=0,"X","_")</f>
        <v>_</v>
      </c>
      <c r="C123" t="str">
        <f>IF(IFERROR(VLOOKUP(TRIM(A123),'Full Inventory'!F:F,1,0),0)=0,"X","_")</f>
        <v>_</v>
      </c>
      <c r="D123" t="str">
        <f t="shared" si="3"/>
        <v>X</v>
      </c>
      <c r="E123" t="str">
        <f ca="1">IFERROR(IF(AND(B123&amp;C123&amp;D123="___",INDIRECT("Inventory!A"&amp;MATCH(VLOOKUP(A123,Inventory!E:E,1,0),Inventory!E:E,0))&lt;&gt;INDIRECT("'Full Inventory'!B"&amp;MATCH(VLOOKUP(A123,'Full Inventory'!F:F,1,0),'Full Inventory'!F:F,0))),"X","_"),"_")</f>
        <v>_</v>
      </c>
      <c r="K123" t="str">
        <f t="shared" ca="1" si="4"/>
        <v>__X_</v>
      </c>
      <c r="L123" t="str">
        <f t="shared" ca="1" si="5"/>
        <v/>
      </c>
      <c r="M123" t="str">
        <f>IFERROR(INDEX(Inventory!A:A,MATCH(Scan!A123,Inventory!E:E,0)),"")</f>
        <v/>
      </c>
    </row>
    <row r="124" spans="2:13" x14ac:dyDescent="0.25">
      <c r="B124" t="str">
        <f>IF(IFERROR(VLOOKUP(TRIM(A124),Inventory!E:E,1,0),0)=0,"X","_")</f>
        <v>_</v>
      </c>
      <c r="C124" t="str">
        <f>IF(IFERROR(VLOOKUP(TRIM(A124),'Full Inventory'!F:F,1,0),0)=0,"X","_")</f>
        <v>_</v>
      </c>
      <c r="D124" t="str">
        <f t="shared" si="3"/>
        <v>X</v>
      </c>
      <c r="E124" t="str">
        <f ca="1">IFERROR(IF(AND(B124&amp;C124&amp;D124="___",INDIRECT("Inventory!A"&amp;MATCH(VLOOKUP(A124,Inventory!E:E,1,0),Inventory!E:E,0))&lt;&gt;INDIRECT("'Full Inventory'!B"&amp;MATCH(VLOOKUP(A124,'Full Inventory'!F:F,1,0),'Full Inventory'!F:F,0))),"X","_"),"_")</f>
        <v>_</v>
      </c>
      <c r="K124" t="str">
        <f t="shared" ca="1" si="4"/>
        <v>__X_</v>
      </c>
      <c r="L124" t="str">
        <f t="shared" ca="1" si="5"/>
        <v/>
      </c>
      <c r="M124" t="str">
        <f>IFERROR(INDEX(Inventory!A:A,MATCH(Scan!A124,Inventory!E:E,0)),"")</f>
        <v/>
      </c>
    </row>
    <row r="125" spans="2:13" x14ac:dyDescent="0.25">
      <c r="B125" t="str">
        <f>IF(IFERROR(VLOOKUP(TRIM(A125),Inventory!E:E,1,0),0)=0,"X","_")</f>
        <v>_</v>
      </c>
      <c r="C125" t="str">
        <f>IF(IFERROR(VLOOKUP(TRIM(A125),'Full Inventory'!F:F,1,0),0)=0,"X","_")</f>
        <v>_</v>
      </c>
      <c r="D125" t="str">
        <f t="shared" si="3"/>
        <v>X</v>
      </c>
      <c r="E125" t="str">
        <f ca="1">IFERROR(IF(AND(B125&amp;C125&amp;D125="___",INDIRECT("Inventory!A"&amp;MATCH(VLOOKUP(A125,Inventory!E:E,1,0),Inventory!E:E,0))&lt;&gt;INDIRECT("'Full Inventory'!B"&amp;MATCH(VLOOKUP(A125,'Full Inventory'!F:F,1,0),'Full Inventory'!F:F,0))),"X","_"),"_")</f>
        <v>_</v>
      </c>
      <c r="K125" t="str">
        <f t="shared" ca="1" si="4"/>
        <v>__X_</v>
      </c>
      <c r="L125" t="str">
        <f t="shared" ca="1" si="5"/>
        <v/>
      </c>
      <c r="M125" t="str">
        <f>IFERROR(INDEX(Inventory!A:A,MATCH(Scan!A125,Inventory!E:E,0)),"")</f>
        <v/>
      </c>
    </row>
    <row r="126" spans="2:13" x14ac:dyDescent="0.25">
      <c r="B126" t="str">
        <f>IF(IFERROR(VLOOKUP(TRIM(A126),Inventory!E:E,1,0),0)=0,"X","_")</f>
        <v>_</v>
      </c>
      <c r="C126" t="str">
        <f>IF(IFERROR(VLOOKUP(TRIM(A126),'Full Inventory'!F:F,1,0),0)=0,"X","_")</f>
        <v>_</v>
      </c>
      <c r="D126" t="str">
        <f t="shared" si="3"/>
        <v>X</v>
      </c>
      <c r="E126" t="str">
        <f ca="1">IFERROR(IF(AND(B126&amp;C126&amp;D126="___",INDIRECT("Inventory!A"&amp;MATCH(VLOOKUP(A126,Inventory!E:E,1,0),Inventory!E:E,0))&lt;&gt;INDIRECT("'Full Inventory'!B"&amp;MATCH(VLOOKUP(A126,'Full Inventory'!F:F,1,0),'Full Inventory'!F:F,0))),"X","_"),"_")</f>
        <v>_</v>
      </c>
      <c r="K126" t="str">
        <f t="shared" ca="1" si="4"/>
        <v>__X_</v>
      </c>
      <c r="L126" t="str">
        <f t="shared" ca="1" si="5"/>
        <v/>
      </c>
      <c r="M126" t="str">
        <f>IFERROR(INDEX(Inventory!A:A,MATCH(Scan!A126,Inventory!E:E,0)),"")</f>
        <v/>
      </c>
    </row>
    <row r="127" spans="2:13" x14ac:dyDescent="0.25">
      <c r="B127" t="str">
        <f>IF(IFERROR(VLOOKUP(TRIM(A127),Inventory!E:E,1,0),0)=0,"X","_")</f>
        <v>_</v>
      </c>
      <c r="C127" t="str">
        <f>IF(IFERROR(VLOOKUP(TRIM(A127),'Full Inventory'!F:F,1,0),0)=0,"X","_")</f>
        <v>_</v>
      </c>
      <c r="D127" t="str">
        <f t="shared" si="3"/>
        <v>X</v>
      </c>
      <c r="E127" t="str">
        <f ca="1">IFERROR(IF(AND(B127&amp;C127&amp;D127="___",INDIRECT("Inventory!A"&amp;MATCH(VLOOKUP(A127,Inventory!E:E,1,0),Inventory!E:E,0))&lt;&gt;INDIRECT("'Full Inventory'!B"&amp;MATCH(VLOOKUP(A127,'Full Inventory'!F:F,1,0),'Full Inventory'!F:F,0))),"X","_"),"_")</f>
        <v>_</v>
      </c>
      <c r="K127" t="str">
        <f t="shared" ca="1" si="4"/>
        <v>__X_</v>
      </c>
      <c r="L127" t="str">
        <f t="shared" ca="1" si="5"/>
        <v/>
      </c>
      <c r="M127" t="str">
        <f>IFERROR(INDEX(Inventory!A:A,MATCH(Scan!A127,Inventory!E:E,0)),"")</f>
        <v/>
      </c>
    </row>
    <row r="128" spans="2:13" x14ac:dyDescent="0.25">
      <c r="B128" t="str">
        <f>IF(IFERROR(VLOOKUP(TRIM(A128),Inventory!E:E,1,0),0)=0,"X","_")</f>
        <v>_</v>
      </c>
      <c r="C128" t="str">
        <f>IF(IFERROR(VLOOKUP(TRIM(A128),'Full Inventory'!F:F,1,0),0)=0,"X","_")</f>
        <v>_</v>
      </c>
      <c r="D128" t="str">
        <f t="shared" si="3"/>
        <v>X</v>
      </c>
      <c r="E128" t="str">
        <f ca="1">IFERROR(IF(AND(B128&amp;C128&amp;D128="___",INDIRECT("Inventory!A"&amp;MATCH(VLOOKUP(A128,Inventory!E:E,1,0),Inventory!E:E,0))&lt;&gt;INDIRECT("'Full Inventory'!B"&amp;MATCH(VLOOKUP(A128,'Full Inventory'!F:F,1,0),'Full Inventory'!F:F,0))),"X","_"),"_")</f>
        <v>_</v>
      </c>
      <c r="K128" t="str">
        <f t="shared" ca="1" si="4"/>
        <v>__X_</v>
      </c>
      <c r="L128" t="str">
        <f t="shared" ca="1" si="5"/>
        <v/>
      </c>
      <c r="M128" t="str">
        <f>IFERROR(INDEX(Inventory!A:A,MATCH(Scan!A128,Inventory!E:E,0)),"")</f>
        <v/>
      </c>
    </row>
    <row r="129" spans="2:13" x14ac:dyDescent="0.25">
      <c r="B129" t="str">
        <f>IF(IFERROR(VLOOKUP(TRIM(A129),Inventory!E:E,1,0),0)=0,"X","_")</f>
        <v>_</v>
      </c>
      <c r="C129" t="str">
        <f>IF(IFERROR(VLOOKUP(TRIM(A129),'Full Inventory'!F:F,1,0),0)=0,"X","_")</f>
        <v>_</v>
      </c>
      <c r="D129" t="str">
        <f t="shared" si="3"/>
        <v>X</v>
      </c>
      <c r="E129" t="str">
        <f ca="1">IFERROR(IF(AND(B129&amp;C129&amp;D129="___",INDIRECT("Inventory!A"&amp;MATCH(VLOOKUP(A129,Inventory!E:E,1,0),Inventory!E:E,0))&lt;&gt;INDIRECT("'Full Inventory'!B"&amp;MATCH(VLOOKUP(A129,'Full Inventory'!F:F,1,0),'Full Inventory'!F:F,0))),"X","_"),"_")</f>
        <v>_</v>
      </c>
      <c r="K129" t="str">
        <f t="shared" ca="1" si="4"/>
        <v>__X_</v>
      </c>
      <c r="L129" t="str">
        <f t="shared" ca="1" si="5"/>
        <v/>
      </c>
      <c r="M129" t="str">
        <f>IFERROR(INDEX(Inventory!A:A,MATCH(Scan!A129,Inventory!E:E,0)),"")</f>
        <v/>
      </c>
    </row>
    <row r="130" spans="2:13" x14ac:dyDescent="0.25">
      <c r="B130" t="str">
        <f>IF(IFERROR(VLOOKUP(TRIM(A130),Inventory!E:E,1,0),0)=0,"X","_")</f>
        <v>_</v>
      </c>
      <c r="C130" t="str">
        <f>IF(IFERROR(VLOOKUP(TRIM(A130),'Full Inventory'!F:F,1,0),0)=0,"X","_")</f>
        <v>_</v>
      </c>
      <c r="D130" t="str">
        <f t="shared" ref="D130:D193" si="6">IF(TRIM(A130)&lt;&gt;"","_","X")</f>
        <v>X</v>
      </c>
      <c r="E130" t="str">
        <f ca="1">IFERROR(IF(AND(B130&amp;C130&amp;D130="___",INDIRECT("Inventory!A"&amp;MATCH(VLOOKUP(A130,Inventory!E:E,1,0),Inventory!E:E,0))&lt;&gt;INDIRECT("'Full Inventory'!B"&amp;MATCH(VLOOKUP(A130,'Full Inventory'!F:F,1,0),'Full Inventory'!F:F,0))),"X","_"),"_")</f>
        <v>_</v>
      </c>
      <c r="K130" t="str">
        <f t="shared" ca="1" si="4"/>
        <v>__X_</v>
      </c>
      <c r="L130" t="str">
        <f t="shared" ca="1" si="5"/>
        <v/>
      </c>
      <c r="M130" t="str">
        <f>IFERROR(INDEX(Inventory!A:A,MATCH(Scan!A130,Inventory!E:E,0)),"")</f>
        <v/>
      </c>
    </row>
    <row r="131" spans="2:13" x14ac:dyDescent="0.25">
      <c r="B131" t="str">
        <f>IF(IFERROR(VLOOKUP(TRIM(A131),Inventory!E:E,1,0),0)=0,"X","_")</f>
        <v>_</v>
      </c>
      <c r="C131" t="str">
        <f>IF(IFERROR(VLOOKUP(TRIM(A131),'Full Inventory'!F:F,1,0),0)=0,"X","_")</f>
        <v>_</v>
      </c>
      <c r="D131" t="str">
        <f t="shared" si="6"/>
        <v>X</v>
      </c>
      <c r="E131" t="str">
        <f ca="1">IFERROR(IF(AND(B131&amp;C131&amp;D131="___",INDIRECT("Inventory!A"&amp;MATCH(VLOOKUP(A131,Inventory!E:E,1,0),Inventory!E:E,0))&lt;&gt;INDIRECT("'Full Inventory'!B"&amp;MATCH(VLOOKUP(A131,'Full Inventory'!F:F,1,0),'Full Inventory'!F:F,0))),"X","_"),"_")</f>
        <v>_</v>
      </c>
      <c r="K131" t="str">
        <f t="shared" ref="K131:K194" ca="1" si="7">B131&amp;C131&amp;D131&amp;E131</f>
        <v>__X_</v>
      </c>
      <c r="L131" t="str">
        <f t="shared" ref="L131:L194" ca="1" si="8">IF(K131="____","OK",IF(K131="_X__","NOT IN FULL INVENTORY",IF(K131="XX__","NOT IN FULL INVENTORY AND INVENTORY",IF(K131="X___","NOT IN INVENTORY",IF(K131="___X","DIFFERENT NAMES IN FULL INVENTORY AND INVENTORY","")))))</f>
        <v/>
      </c>
      <c r="M131" t="str">
        <f>IFERROR(INDEX(Inventory!A:A,MATCH(Scan!A131,Inventory!E:E,0)),"")</f>
        <v/>
      </c>
    </row>
    <row r="132" spans="2:13" x14ac:dyDescent="0.25">
      <c r="B132" t="str">
        <f>IF(IFERROR(VLOOKUP(TRIM(A132),Inventory!E:E,1,0),0)=0,"X","_")</f>
        <v>_</v>
      </c>
      <c r="C132" t="str">
        <f>IF(IFERROR(VLOOKUP(TRIM(A132),'Full Inventory'!F:F,1,0),0)=0,"X","_")</f>
        <v>_</v>
      </c>
      <c r="D132" t="str">
        <f t="shared" si="6"/>
        <v>X</v>
      </c>
      <c r="E132" t="str">
        <f ca="1">IFERROR(IF(AND(B132&amp;C132&amp;D132="___",INDIRECT("Inventory!A"&amp;MATCH(VLOOKUP(A132,Inventory!E:E,1,0),Inventory!E:E,0))&lt;&gt;INDIRECT("'Full Inventory'!B"&amp;MATCH(VLOOKUP(A132,'Full Inventory'!F:F,1,0),'Full Inventory'!F:F,0))),"X","_"),"_")</f>
        <v>_</v>
      </c>
      <c r="K132" t="str">
        <f t="shared" ca="1" si="7"/>
        <v>__X_</v>
      </c>
      <c r="L132" t="str">
        <f t="shared" ca="1" si="8"/>
        <v/>
      </c>
      <c r="M132" t="str">
        <f>IFERROR(INDEX(Inventory!A:A,MATCH(Scan!A132,Inventory!E:E,0)),"")</f>
        <v/>
      </c>
    </row>
    <row r="133" spans="2:13" x14ac:dyDescent="0.25">
      <c r="B133" t="str">
        <f>IF(IFERROR(VLOOKUP(TRIM(A133),Inventory!E:E,1,0),0)=0,"X","_")</f>
        <v>_</v>
      </c>
      <c r="C133" t="str">
        <f>IF(IFERROR(VLOOKUP(TRIM(A133),'Full Inventory'!F:F,1,0),0)=0,"X","_")</f>
        <v>_</v>
      </c>
      <c r="D133" t="str">
        <f t="shared" si="6"/>
        <v>X</v>
      </c>
      <c r="E133" t="str">
        <f ca="1">IFERROR(IF(AND(B133&amp;C133&amp;D133="___",INDIRECT("Inventory!A"&amp;MATCH(VLOOKUP(A133,Inventory!E:E,1,0),Inventory!E:E,0))&lt;&gt;INDIRECT("'Full Inventory'!B"&amp;MATCH(VLOOKUP(A133,'Full Inventory'!F:F,1,0),'Full Inventory'!F:F,0))),"X","_"),"_")</f>
        <v>_</v>
      </c>
      <c r="K133" t="str">
        <f t="shared" ca="1" si="7"/>
        <v>__X_</v>
      </c>
      <c r="L133" t="str">
        <f t="shared" ca="1" si="8"/>
        <v/>
      </c>
      <c r="M133" t="str">
        <f>IFERROR(INDEX(Inventory!A:A,MATCH(Scan!A133,Inventory!E:E,0)),"")</f>
        <v/>
      </c>
    </row>
    <row r="134" spans="2:13" x14ac:dyDescent="0.25">
      <c r="B134" t="str">
        <f>IF(IFERROR(VLOOKUP(TRIM(A134),Inventory!E:E,1,0),0)=0,"X","_")</f>
        <v>_</v>
      </c>
      <c r="C134" t="str">
        <f>IF(IFERROR(VLOOKUP(TRIM(A134),'Full Inventory'!F:F,1,0),0)=0,"X","_")</f>
        <v>_</v>
      </c>
      <c r="D134" t="str">
        <f t="shared" si="6"/>
        <v>X</v>
      </c>
      <c r="E134" t="str">
        <f ca="1">IFERROR(IF(AND(B134&amp;C134&amp;D134="___",INDIRECT("Inventory!A"&amp;MATCH(VLOOKUP(A134,Inventory!E:E,1,0),Inventory!E:E,0))&lt;&gt;INDIRECT("'Full Inventory'!B"&amp;MATCH(VLOOKUP(A134,'Full Inventory'!F:F,1,0),'Full Inventory'!F:F,0))),"X","_"),"_")</f>
        <v>_</v>
      </c>
      <c r="K134" t="str">
        <f t="shared" ca="1" si="7"/>
        <v>__X_</v>
      </c>
      <c r="L134" t="str">
        <f t="shared" ca="1" si="8"/>
        <v/>
      </c>
      <c r="M134" t="str">
        <f>IFERROR(INDEX(Inventory!A:A,MATCH(Scan!A134,Inventory!E:E,0)),"")</f>
        <v/>
      </c>
    </row>
    <row r="135" spans="2:13" x14ac:dyDescent="0.25">
      <c r="B135" t="str">
        <f>IF(IFERROR(VLOOKUP(TRIM(A135),Inventory!E:E,1,0),0)=0,"X","_")</f>
        <v>_</v>
      </c>
      <c r="C135" t="str">
        <f>IF(IFERROR(VLOOKUP(TRIM(A135),'Full Inventory'!F:F,1,0),0)=0,"X","_")</f>
        <v>_</v>
      </c>
      <c r="D135" t="str">
        <f t="shared" si="6"/>
        <v>X</v>
      </c>
      <c r="E135" t="str">
        <f ca="1">IFERROR(IF(AND(B135&amp;C135&amp;D135="___",INDIRECT("Inventory!A"&amp;MATCH(VLOOKUP(A135,Inventory!E:E,1,0),Inventory!E:E,0))&lt;&gt;INDIRECT("'Full Inventory'!B"&amp;MATCH(VLOOKUP(A135,'Full Inventory'!F:F,1,0),'Full Inventory'!F:F,0))),"X","_"),"_")</f>
        <v>_</v>
      </c>
      <c r="K135" t="str">
        <f t="shared" ca="1" si="7"/>
        <v>__X_</v>
      </c>
      <c r="L135" t="str">
        <f t="shared" ca="1" si="8"/>
        <v/>
      </c>
      <c r="M135" t="str">
        <f>IFERROR(INDEX(Inventory!A:A,MATCH(Scan!A135,Inventory!E:E,0)),"")</f>
        <v/>
      </c>
    </row>
    <row r="136" spans="2:13" x14ac:dyDescent="0.25">
      <c r="B136" t="str">
        <f>IF(IFERROR(VLOOKUP(TRIM(A136),Inventory!E:E,1,0),0)=0,"X","_")</f>
        <v>_</v>
      </c>
      <c r="C136" t="str">
        <f>IF(IFERROR(VLOOKUP(TRIM(A136),'Full Inventory'!F:F,1,0),0)=0,"X","_")</f>
        <v>_</v>
      </c>
      <c r="D136" t="str">
        <f t="shared" si="6"/>
        <v>X</v>
      </c>
      <c r="E136" t="str">
        <f ca="1">IFERROR(IF(AND(B136&amp;C136&amp;D136="___",INDIRECT("Inventory!A"&amp;MATCH(VLOOKUP(A136,Inventory!E:E,1,0),Inventory!E:E,0))&lt;&gt;INDIRECT("'Full Inventory'!B"&amp;MATCH(VLOOKUP(A136,'Full Inventory'!F:F,1,0),'Full Inventory'!F:F,0))),"X","_"),"_")</f>
        <v>_</v>
      </c>
      <c r="K136" t="str">
        <f t="shared" ca="1" si="7"/>
        <v>__X_</v>
      </c>
      <c r="L136" t="str">
        <f t="shared" ca="1" si="8"/>
        <v/>
      </c>
      <c r="M136" t="str">
        <f>IFERROR(INDEX(Inventory!A:A,MATCH(Scan!A136,Inventory!E:E,0)),"")</f>
        <v/>
      </c>
    </row>
    <row r="137" spans="2:13" x14ac:dyDescent="0.25">
      <c r="B137" t="str">
        <f>IF(IFERROR(VLOOKUP(TRIM(A137),Inventory!E:E,1,0),0)=0,"X","_")</f>
        <v>_</v>
      </c>
      <c r="C137" t="str">
        <f>IF(IFERROR(VLOOKUP(TRIM(A137),'Full Inventory'!F:F,1,0),0)=0,"X","_")</f>
        <v>_</v>
      </c>
      <c r="D137" t="str">
        <f t="shared" si="6"/>
        <v>X</v>
      </c>
      <c r="E137" t="str">
        <f ca="1">IFERROR(IF(AND(B137&amp;C137&amp;D137="___",INDIRECT("Inventory!A"&amp;MATCH(VLOOKUP(A137,Inventory!E:E,1,0),Inventory!E:E,0))&lt;&gt;INDIRECT("'Full Inventory'!B"&amp;MATCH(VLOOKUP(A137,'Full Inventory'!F:F,1,0),'Full Inventory'!F:F,0))),"X","_"),"_")</f>
        <v>_</v>
      </c>
      <c r="K137" t="str">
        <f t="shared" ca="1" si="7"/>
        <v>__X_</v>
      </c>
      <c r="L137" t="str">
        <f t="shared" ca="1" si="8"/>
        <v/>
      </c>
      <c r="M137" t="str">
        <f>IFERROR(INDEX(Inventory!A:A,MATCH(Scan!A137,Inventory!E:E,0)),"")</f>
        <v/>
      </c>
    </row>
    <row r="138" spans="2:13" x14ac:dyDescent="0.25">
      <c r="B138" t="str">
        <f>IF(IFERROR(VLOOKUP(TRIM(A138),Inventory!E:E,1,0),0)=0,"X","_")</f>
        <v>_</v>
      </c>
      <c r="C138" t="str">
        <f>IF(IFERROR(VLOOKUP(TRIM(A138),'Full Inventory'!F:F,1,0),0)=0,"X","_")</f>
        <v>_</v>
      </c>
      <c r="D138" t="str">
        <f t="shared" si="6"/>
        <v>X</v>
      </c>
      <c r="E138" t="str">
        <f ca="1">IFERROR(IF(AND(B138&amp;C138&amp;D138="___",INDIRECT("Inventory!A"&amp;MATCH(VLOOKUP(A138,Inventory!E:E,1,0),Inventory!E:E,0))&lt;&gt;INDIRECT("'Full Inventory'!B"&amp;MATCH(VLOOKUP(A138,'Full Inventory'!F:F,1,0),'Full Inventory'!F:F,0))),"X","_"),"_")</f>
        <v>_</v>
      </c>
      <c r="K138" t="str">
        <f t="shared" ca="1" si="7"/>
        <v>__X_</v>
      </c>
      <c r="L138" t="str">
        <f t="shared" ca="1" si="8"/>
        <v/>
      </c>
      <c r="M138" t="str">
        <f>IFERROR(INDEX(Inventory!A:A,MATCH(Scan!A138,Inventory!E:E,0)),"")</f>
        <v/>
      </c>
    </row>
    <row r="139" spans="2:13" x14ac:dyDescent="0.25">
      <c r="B139" t="str">
        <f>IF(IFERROR(VLOOKUP(TRIM(A139),Inventory!E:E,1,0),0)=0,"X","_")</f>
        <v>_</v>
      </c>
      <c r="C139" t="str">
        <f>IF(IFERROR(VLOOKUP(TRIM(A139),'Full Inventory'!F:F,1,0),0)=0,"X","_")</f>
        <v>_</v>
      </c>
      <c r="D139" t="str">
        <f t="shared" si="6"/>
        <v>X</v>
      </c>
      <c r="E139" t="str">
        <f ca="1">IFERROR(IF(AND(B139&amp;C139&amp;D139="___",INDIRECT("Inventory!A"&amp;MATCH(VLOOKUP(A139,Inventory!E:E,1,0),Inventory!E:E,0))&lt;&gt;INDIRECT("'Full Inventory'!B"&amp;MATCH(VLOOKUP(A139,'Full Inventory'!F:F,1,0),'Full Inventory'!F:F,0))),"X","_"),"_")</f>
        <v>_</v>
      </c>
      <c r="K139" t="str">
        <f t="shared" ca="1" si="7"/>
        <v>__X_</v>
      </c>
      <c r="L139" t="str">
        <f t="shared" ca="1" si="8"/>
        <v/>
      </c>
      <c r="M139" t="str">
        <f>IFERROR(INDEX(Inventory!A:A,MATCH(Scan!A139,Inventory!E:E,0)),"")</f>
        <v/>
      </c>
    </row>
    <row r="140" spans="2:13" x14ac:dyDescent="0.25">
      <c r="B140" t="str">
        <f>IF(IFERROR(VLOOKUP(TRIM(A140),Inventory!E:E,1,0),0)=0,"X","_")</f>
        <v>_</v>
      </c>
      <c r="C140" t="str">
        <f>IF(IFERROR(VLOOKUP(TRIM(A140),'Full Inventory'!F:F,1,0),0)=0,"X","_")</f>
        <v>_</v>
      </c>
      <c r="D140" t="str">
        <f t="shared" si="6"/>
        <v>X</v>
      </c>
      <c r="E140" t="str">
        <f ca="1">IFERROR(IF(AND(B140&amp;C140&amp;D140="___",INDIRECT("Inventory!A"&amp;MATCH(VLOOKUP(A140,Inventory!E:E,1,0),Inventory!E:E,0))&lt;&gt;INDIRECT("'Full Inventory'!B"&amp;MATCH(VLOOKUP(A140,'Full Inventory'!F:F,1,0),'Full Inventory'!F:F,0))),"X","_"),"_")</f>
        <v>_</v>
      </c>
      <c r="K140" t="str">
        <f t="shared" ca="1" si="7"/>
        <v>__X_</v>
      </c>
      <c r="L140" t="str">
        <f t="shared" ca="1" si="8"/>
        <v/>
      </c>
      <c r="M140" t="str">
        <f>IFERROR(INDEX(Inventory!A:A,MATCH(Scan!A140,Inventory!E:E,0)),"")</f>
        <v/>
      </c>
    </row>
    <row r="141" spans="2:13" x14ac:dyDescent="0.25">
      <c r="B141" t="str">
        <f>IF(IFERROR(VLOOKUP(TRIM(A141),Inventory!E:E,1,0),0)=0,"X","_")</f>
        <v>_</v>
      </c>
      <c r="C141" t="str">
        <f>IF(IFERROR(VLOOKUP(TRIM(A141),'Full Inventory'!F:F,1,0),0)=0,"X","_")</f>
        <v>_</v>
      </c>
      <c r="D141" t="str">
        <f t="shared" si="6"/>
        <v>X</v>
      </c>
      <c r="E141" t="str">
        <f ca="1">IFERROR(IF(AND(B141&amp;C141&amp;D141="___",INDIRECT("Inventory!A"&amp;MATCH(VLOOKUP(A141,Inventory!E:E,1,0),Inventory!E:E,0))&lt;&gt;INDIRECT("'Full Inventory'!B"&amp;MATCH(VLOOKUP(A141,'Full Inventory'!F:F,1,0),'Full Inventory'!F:F,0))),"X","_"),"_")</f>
        <v>_</v>
      </c>
      <c r="K141" t="str">
        <f t="shared" ca="1" si="7"/>
        <v>__X_</v>
      </c>
      <c r="L141" t="str">
        <f t="shared" ca="1" si="8"/>
        <v/>
      </c>
      <c r="M141" t="str">
        <f>IFERROR(INDEX(Inventory!A:A,MATCH(Scan!A141,Inventory!E:E,0)),"")</f>
        <v/>
      </c>
    </row>
    <row r="142" spans="2:13" x14ac:dyDescent="0.25">
      <c r="B142" t="str">
        <f>IF(IFERROR(VLOOKUP(TRIM(A142),Inventory!E:E,1,0),0)=0,"X","_")</f>
        <v>_</v>
      </c>
      <c r="C142" t="str">
        <f>IF(IFERROR(VLOOKUP(TRIM(A142),'Full Inventory'!F:F,1,0),0)=0,"X","_")</f>
        <v>_</v>
      </c>
      <c r="D142" t="str">
        <f t="shared" si="6"/>
        <v>X</v>
      </c>
      <c r="E142" t="str">
        <f ca="1">IFERROR(IF(AND(B142&amp;C142&amp;D142="___",INDIRECT("Inventory!A"&amp;MATCH(VLOOKUP(A142,Inventory!E:E,1,0),Inventory!E:E,0))&lt;&gt;INDIRECT("'Full Inventory'!B"&amp;MATCH(VLOOKUP(A142,'Full Inventory'!F:F,1,0),'Full Inventory'!F:F,0))),"X","_"),"_")</f>
        <v>_</v>
      </c>
      <c r="K142" t="str">
        <f t="shared" ca="1" si="7"/>
        <v>__X_</v>
      </c>
      <c r="L142" t="str">
        <f t="shared" ca="1" si="8"/>
        <v/>
      </c>
      <c r="M142" t="str">
        <f>IFERROR(INDEX(Inventory!A:A,MATCH(Scan!A142,Inventory!E:E,0)),"")</f>
        <v/>
      </c>
    </row>
    <row r="143" spans="2:13" x14ac:dyDescent="0.25">
      <c r="B143" t="str">
        <f>IF(IFERROR(VLOOKUP(TRIM(A143),Inventory!E:E,1,0),0)=0,"X","_")</f>
        <v>_</v>
      </c>
      <c r="C143" t="str">
        <f>IF(IFERROR(VLOOKUP(TRIM(A143),'Full Inventory'!F:F,1,0),0)=0,"X","_")</f>
        <v>_</v>
      </c>
      <c r="D143" t="str">
        <f t="shared" si="6"/>
        <v>X</v>
      </c>
      <c r="E143" t="str">
        <f ca="1">IFERROR(IF(AND(B143&amp;C143&amp;D143="___",INDIRECT("Inventory!A"&amp;MATCH(VLOOKUP(A143,Inventory!E:E,1,0),Inventory!E:E,0))&lt;&gt;INDIRECT("'Full Inventory'!B"&amp;MATCH(VLOOKUP(A143,'Full Inventory'!F:F,1,0),'Full Inventory'!F:F,0))),"X","_"),"_")</f>
        <v>_</v>
      </c>
      <c r="K143" t="str">
        <f t="shared" ca="1" si="7"/>
        <v>__X_</v>
      </c>
      <c r="L143" t="str">
        <f t="shared" ca="1" si="8"/>
        <v/>
      </c>
      <c r="M143" t="str">
        <f>IFERROR(INDEX(Inventory!A:A,MATCH(Scan!A143,Inventory!E:E,0)),"")</f>
        <v/>
      </c>
    </row>
    <row r="144" spans="2:13" x14ac:dyDescent="0.25">
      <c r="B144" t="str">
        <f>IF(IFERROR(VLOOKUP(TRIM(A144),Inventory!E:E,1,0),0)=0,"X","_")</f>
        <v>_</v>
      </c>
      <c r="C144" t="str">
        <f>IF(IFERROR(VLOOKUP(TRIM(A144),'Full Inventory'!F:F,1,0),0)=0,"X","_")</f>
        <v>_</v>
      </c>
      <c r="D144" t="str">
        <f t="shared" si="6"/>
        <v>X</v>
      </c>
      <c r="E144" t="str">
        <f ca="1">IFERROR(IF(AND(B144&amp;C144&amp;D144="___",INDIRECT("Inventory!A"&amp;MATCH(VLOOKUP(A144,Inventory!E:E,1,0),Inventory!E:E,0))&lt;&gt;INDIRECT("'Full Inventory'!B"&amp;MATCH(VLOOKUP(A144,'Full Inventory'!F:F,1,0),'Full Inventory'!F:F,0))),"X","_"),"_")</f>
        <v>_</v>
      </c>
      <c r="K144" t="str">
        <f t="shared" ca="1" si="7"/>
        <v>__X_</v>
      </c>
      <c r="L144" t="str">
        <f t="shared" ca="1" si="8"/>
        <v/>
      </c>
      <c r="M144" t="str">
        <f>IFERROR(INDEX(Inventory!A:A,MATCH(Scan!A144,Inventory!E:E,0)),"")</f>
        <v/>
      </c>
    </row>
    <row r="145" spans="2:13" x14ac:dyDescent="0.25">
      <c r="B145" t="str">
        <f>IF(IFERROR(VLOOKUP(TRIM(A145),Inventory!E:E,1,0),0)=0,"X","_")</f>
        <v>_</v>
      </c>
      <c r="C145" t="str">
        <f>IF(IFERROR(VLOOKUP(TRIM(A145),'Full Inventory'!F:F,1,0),0)=0,"X","_")</f>
        <v>_</v>
      </c>
      <c r="D145" t="str">
        <f t="shared" si="6"/>
        <v>X</v>
      </c>
      <c r="E145" t="str">
        <f ca="1">IFERROR(IF(AND(B145&amp;C145&amp;D145="___",INDIRECT("Inventory!A"&amp;MATCH(VLOOKUP(A145,Inventory!E:E,1,0),Inventory!E:E,0))&lt;&gt;INDIRECT("'Full Inventory'!B"&amp;MATCH(VLOOKUP(A145,'Full Inventory'!F:F,1,0),'Full Inventory'!F:F,0))),"X","_"),"_")</f>
        <v>_</v>
      </c>
      <c r="K145" t="str">
        <f t="shared" ca="1" si="7"/>
        <v>__X_</v>
      </c>
      <c r="L145" t="str">
        <f t="shared" ca="1" si="8"/>
        <v/>
      </c>
      <c r="M145" t="str">
        <f>IFERROR(INDEX(Inventory!A:A,MATCH(Scan!A145,Inventory!E:E,0)),"")</f>
        <v/>
      </c>
    </row>
    <row r="146" spans="2:13" x14ac:dyDescent="0.25">
      <c r="B146" t="str">
        <f>IF(IFERROR(VLOOKUP(TRIM(A146),Inventory!E:E,1,0),0)=0,"X","_")</f>
        <v>_</v>
      </c>
      <c r="C146" t="str">
        <f>IF(IFERROR(VLOOKUP(TRIM(A146),'Full Inventory'!F:F,1,0),0)=0,"X","_")</f>
        <v>_</v>
      </c>
      <c r="D146" t="str">
        <f t="shared" si="6"/>
        <v>X</v>
      </c>
      <c r="E146" t="str">
        <f ca="1">IFERROR(IF(AND(B146&amp;C146&amp;D146="___",INDIRECT("Inventory!A"&amp;MATCH(VLOOKUP(A146,Inventory!E:E,1,0),Inventory!E:E,0))&lt;&gt;INDIRECT("'Full Inventory'!B"&amp;MATCH(VLOOKUP(A146,'Full Inventory'!F:F,1,0),'Full Inventory'!F:F,0))),"X","_"),"_")</f>
        <v>_</v>
      </c>
      <c r="K146" t="str">
        <f t="shared" ca="1" si="7"/>
        <v>__X_</v>
      </c>
      <c r="L146" t="str">
        <f t="shared" ca="1" si="8"/>
        <v/>
      </c>
      <c r="M146" t="str">
        <f>IFERROR(INDEX(Inventory!A:A,MATCH(Scan!A146,Inventory!E:E,0)),"")</f>
        <v/>
      </c>
    </row>
    <row r="147" spans="2:13" x14ac:dyDescent="0.25">
      <c r="B147" t="str">
        <f>IF(IFERROR(VLOOKUP(TRIM(A147),Inventory!E:E,1,0),0)=0,"X","_")</f>
        <v>_</v>
      </c>
      <c r="C147" t="str">
        <f>IF(IFERROR(VLOOKUP(TRIM(A147),'Full Inventory'!F:F,1,0),0)=0,"X","_")</f>
        <v>_</v>
      </c>
      <c r="D147" t="str">
        <f t="shared" si="6"/>
        <v>X</v>
      </c>
      <c r="E147" t="str">
        <f ca="1">IFERROR(IF(AND(B147&amp;C147&amp;D147="___",INDIRECT("Inventory!A"&amp;MATCH(VLOOKUP(A147,Inventory!E:E,1,0),Inventory!E:E,0))&lt;&gt;INDIRECT("'Full Inventory'!B"&amp;MATCH(VLOOKUP(A147,'Full Inventory'!F:F,1,0),'Full Inventory'!F:F,0))),"X","_"),"_")</f>
        <v>_</v>
      </c>
      <c r="K147" t="str">
        <f t="shared" ca="1" si="7"/>
        <v>__X_</v>
      </c>
      <c r="L147" t="str">
        <f t="shared" ca="1" si="8"/>
        <v/>
      </c>
      <c r="M147" t="str">
        <f>IFERROR(INDEX(Inventory!A:A,MATCH(Scan!A147,Inventory!E:E,0)),"")</f>
        <v/>
      </c>
    </row>
    <row r="148" spans="2:13" x14ac:dyDescent="0.25">
      <c r="B148" t="str">
        <f>IF(IFERROR(VLOOKUP(TRIM(A148),Inventory!E:E,1,0),0)=0,"X","_")</f>
        <v>_</v>
      </c>
      <c r="C148" t="str">
        <f>IF(IFERROR(VLOOKUP(TRIM(A148),'Full Inventory'!F:F,1,0),0)=0,"X","_")</f>
        <v>_</v>
      </c>
      <c r="D148" t="str">
        <f t="shared" si="6"/>
        <v>X</v>
      </c>
      <c r="E148" t="str">
        <f ca="1">IFERROR(IF(AND(B148&amp;C148&amp;D148="___",INDIRECT("Inventory!A"&amp;MATCH(VLOOKUP(A148,Inventory!E:E,1,0),Inventory!E:E,0))&lt;&gt;INDIRECT("'Full Inventory'!B"&amp;MATCH(VLOOKUP(A148,'Full Inventory'!F:F,1,0),'Full Inventory'!F:F,0))),"X","_"),"_")</f>
        <v>_</v>
      </c>
      <c r="K148" t="str">
        <f t="shared" ca="1" si="7"/>
        <v>__X_</v>
      </c>
      <c r="L148" t="str">
        <f t="shared" ca="1" si="8"/>
        <v/>
      </c>
      <c r="M148" t="str">
        <f>IFERROR(INDEX(Inventory!A:A,MATCH(Scan!A148,Inventory!E:E,0)),"")</f>
        <v/>
      </c>
    </row>
    <row r="149" spans="2:13" x14ac:dyDescent="0.25">
      <c r="B149" t="str">
        <f>IF(IFERROR(VLOOKUP(TRIM(A149),Inventory!E:E,1,0),0)=0,"X","_")</f>
        <v>_</v>
      </c>
      <c r="C149" t="str">
        <f>IF(IFERROR(VLOOKUP(TRIM(A149),'Full Inventory'!F:F,1,0),0)=0,"X","_")</f>
        <v>_</v>
      </c>
      <c r="D149" t="str">
        <f t="shared" si="6"/>
        <v>X</v>
      </c>
      <c r="E149" t="str">
        <f ca="1">IFERROR(IF(AND(B149&amp;C149&amp;D149="___",INDIRECT("Inventory!A"&amp;MATCH(VLOOKUP(A149,Inventory!E:E,1,0),Inventory!E:E,0))&lt;&gt;INDIRECT("'Full Inventory'!B"&amp;MATCH(VLOOKUP(A149,'Full Inventory'!F:F,1,0),'Full Inventory'!F:F,0))),"X","_"),"_")</f>
        <v>_</v>
      </c>
      <c r="K149" t="str">
        <f t="shared" ca="1" si="7"/>
        <v>__X_</v>
      </c>
      <c r="L149" t="str">
        <f t="shared" ca="1" si="8"/>
        <v/>
      </c>
      <c r="M149" t="str">
        <f>IFERROR(INDEX(Inventory!A:A,MATCH(Scan!A149,Inventory!E:E,0)),"")</f>
        <v/>
      </c>
    </row>
    <row r="150" spans="2:13" x14ac:dyDescent="0.25">
      <c r="B150" t="str">
        <f>IF(IFERROR(VLOOKUP(TRIM(A150),Inventory!E:E,1,0),0)=0,"X","_")</f>
        <v>_</v>
      </c>
      <c r="C150" t="str">
        <f>IF(IFERROR(VLOOKUP(TRIM(A150),'Full Inventory'!F:F,1,0),0)=0,"X","_")</f>
        <v>_</v>
      </c>
      <c r="D150" t="str">
        <f t="shared" si="6"/>
        <v>X</v>
      </c>
      <c r="E150" t="str">
        <f ca="1">IFERROR(IF(AND(B150&amp;C150&amp;D150="___",INDIRECT("Inventory!A"&amp;MATCH(VLOOKUP(A150,Inventory!E:E,1,0),Inventory!E:E,0))&lt;&gt;INDIRECT("'Full Inventory'!B"&amp;MATCH(VLOOKUP(A150,'Full Inventory'!F:F,1,0),'Full Inventory'!F:F,0))),"X","_"),"_")</f>
        <v>_</v>
      </c>
      <c r="K150" t="str">
        <f t="shared" ca="1" si="7"/>
        <v>__X_</v>
      </c>
      <c r="L150" t="str">
        <f t="shared" ca="1" si="8"/>
        <v/>
      </c>
      <c r="M150" t="str">
        <f>IFERROR(INDEX(Inventory!A:A,MATCH(Scan!A150,Inventory!E:E,0)),"")</f>
        <v/>
      </c>
    </row>
    <row r="151" spans="2:13" x14ac:dyDescent="0.25">
      <c r="B151" t="str">
        <f>IF(IFERROR(VLOOKUP(TRIM(A151),Inventory!E:E,1,0),0)=0,"X","_")</f>
        <v>_</v>
      </c>
      <c r="C151" t="str">
        <f>IF(IFERROR(VLOOKUP(TRIM(A151),'Full Inventory'!F:F,1,0),0)=0,"X","_")</f>
        <v>_</v>
      </c>
      <c r="D151" t="str">
        <f t="shared" si="6"/>
        <v>X</v>
      </c>
      <c r="E151" t="str">
        <f ca="1">IFERROR(IF(AND(B151&amp;C151&amp;D151="___",INDIRECT("Inventory!A"&amp;MATCH(VLOOKUP(A151,Inventory!E:E,1,0),Inventory!E:E,0))&lt;&gt;INDIRECT("'Full Inventory'!B"&amp;MATCH(VLOOKUP(A151,'Full Inventory'!F:F,1,0),'Full Inventory'!F:F,0))),"X","_"),"_")</f>
        <v>_</v>
      </c>
      <c r="K151" t="str">
        <f t="shared" ca="1" si="7"/>
        <v>__X_</v>
      </c>
      <c r="L151" t="str">
        <f t="shared" ca="1" si="8"/>
        <v/>
      </c>
      <c r="M151" t="str">
        <f>IFERROR(INDEX(Inventory!A:A,MATCH(Scan!A151,Inventory!E:E,0)),"")</f>
        <v/>
      </c>
    </row>
    <row r="152" spans="2:13" x14ac:dyDescent="0.25">
      <c r="B152" t="str">
        <f>IF(IFERROR(VLOOKUP(TRIM(A152),Inventory!E:E,1,0),0)=0,"X","_")</f>
        <v>_</v>
      </c>
      <c r="C152" t="str">
        <f>IF(IFERROR(VLOOKUP(TRIM(A152),'Full Inventory'!F:F,1,0),0)=0,"X","_")</f>
        <v>_</v>
      </c>
      <c r="D152" t="str">
        <f t="shared" si="6"/>
        <v>X</v>
      </c>
      <c r="E152" t="str">
        <f ca="1">IFERROR(IF(AND(B152&amp;C152&amp;D152="___",INDIRECT("Inventory!A"&amp;MATCH(VLOOKUP(A152,Inventory!E:E,1,0),Inventory!E:E,0))&lt;&gt;INDIRECT("'Full Inventory'!B"&amp;MATCH(VLOOKUP(A152,'Full Inventory'!F:F,1,0),'Full Inventory'!F:F,0))),"X","_"),"_")</f>
        <v>_</v>
      </c>
      <c r="K152" t="str">
        <f t="shared" ca="1" si="7"/>
        <v>__X_</v>
      </c>
      <c r="L152" t="str">
        <f t="shared" ca="1" si="8"/>
        <v/>
      </c>
      <c r="M152" t="str">
        <f>IFERROR(INDEX(Inventory!A:A,MATCH(Scan!A152,Inventory!E:E,0)),"")</f>
        <v/>
      </c>
    </row>
    <row r="153" spans="2:13" x14ac:dyDescent="0.25">
      <c r="B153" t="str">
        <f>IF(IFERROR(VLOOKUP(TRIM(A153),Inventory!E:E,1,0),0)=0,"X","_")</f>
        <v>_</v>
      </c>
      <c r="C153" t="str">
        <f>IF(IFERROR(VLOOKUP(TRIM(A153),'Full Inventory'!F:F,1,0),0)=0,"X","_")</f>
        <v>_</v>
      </c>
      <c r="D153" t="str">
        <f t="shared" si="6"/>
        <v>X</v>
      </c>
      <c r="E153" t="str">
        <f ca="1">IFERROR(IF(AND(B153&amp;C153&amp;D153="___",INDIRECT("Inventory!A"&amp;MATCH(VLOOKUP(A153,Inventory!E:E,1,0),Inventory!E:E,0))&lt;&gt;INDIRECT("'Full Inventory'!B"&amp;MATCH(VLOOKUP(A153,'Full Inventory'!F:F,1,0),'Full Inventory'!F:F,0))),"X","_"),"_")</f>
        <v>_</v>
      </c>
      <c r="K153" t="str">
        <f t="shared" ca="1" si="7"/>
        <v>__X_</v>
      </c>
      <c r="L153" t="str">
        <f t="shared" ca="1" si="8"/>
        <v/>
      </c>
      <c r="M153" t="str">
        <f>IFERROR(INDEX(Inventory!A:A,MATCH(Scan!A153,Inventory!E:E,0)),"")</f>
        <v/>
      </c>
    </row>
    <row r="154" spans="2:13" x14ac:dyDescent="0.25">
      <c r="B154" t="str">
        <f>IF(IFERROR(VLOOKUP(TRIM(A154),Inventory!E:E,1,0),0)=0,"X","_")</f>
        <v>_</v>
      </c>
      <c r="C154" t="str">
        <f>IF(IFERROR(VLOOKUP(TRIM(A154),'Full Inventory'!F:F,1,0),0)=0,"X","_")</f>
        <v>_</v>
      </c>
      <c r="D154" t="str">
        <f t="shared" si="6"/>
        <v>X</v>
      </c>
      <c r="E154" t="str">
        <f ca="1">IFERROR(IF(AND(B154&amp;C154&amp;D154="___",INDIRECT("Inventory!A"&amp;MATCH(VLOOKUP(A154,Inventory!E:E,1,0),Inventory!E:E,0))&lt;&gt;INDIRECT("'Full Inventory'!B"&amp;MATCH(VLOOKUP(A154,'Full Inventory'!F:F,1,0),'Full Inventory'!F:F,0))),"X","_"),"_")</f>
        <v>_</v>
      </c>
      <c r="K154" t="str">
        <f t="shared" ca="1" si="7"/>
        <v>__X_</v>
      </c>
      <c r="L154" t="str">
        <f t="shared" ca="1" si="8"/>
        <v/>
      </c>
      <c r="M154" t="str">
        <f>IFERROR(INDEX(Inventory!A:A,MATCH(Scan!A154,Inventory!E:E,0)),"")</f>
        <v/>
      </c>
    </row>
    <row r="155" spans="2:13" x14ac:dyDescent="0.25">
      <c r="B155" t="str">
        <f>IF(IFERROR(VLOOKUP(TRIM(A155),Inventory!E:E,1,0),0)=0,"X","_")</f>
        <v>_</v>
      </c>
      <c r="C155" t="str">
        <f>IF(IFERROR(VLOOKUP(TRIM(A155),'Full Inventory'!F:F,1,0),0)=0,"X","_")</f>
        <v>_</v>
      </c>
      <c r="D155" t="str">
        <f t="shared" si="6"/>
        <v>X</v>
      </c>
      <c r="E155" t="str">
        <f ca="1">IFERROR(IF(AND(B155&amp;C155&amp;D155="___",INDIRECT("Inventory!A"&amp;MATCH(VLOOKUP(A155,Inventory!E:E,1,0),Inventory!E:E,0))&lt;&gt;INDIRECT("'Full Inventory'!B"&amp;MATCH(VLOOKUP(A155,'Full Inventory'!F:F,1,0),'Full Inventory'!F:F,0))),"X","_"),"_")</f>
        <v>_</v>
      </c>
      <c r="K155" t="str">
        <f t="shared" ca="1" si="7"/>
        <v>__X_</v>
      </c>
      <c r="L155" t="str">
        <f t="shared" ca="1" si="8"/>
        <v/>
      </c>
      <c r="M155" t="str">
        <f>IFERROR(INDEX(Inventory!A:A,MATCH(Scan!A155,Inventory!E:E,0)),"")</f>
        <v/>
      </c>
    </row>
    <row r="156" spans="2:13" x14ac:dyDescent="0.25">
      <c r="B156" t="str">
        <f>IF(IFERROR(VLOOKUP(TRIM(A156),Inventory!E:E,1,0),0)=0,"X","_")</f>
        <v>_</v>
      </c>
      <c r="C156" t="str">
        <f>IF(IFERROR(VLOOKUP(TRIM(A156),'Full Inventory'!F:F,1,0),0)=0,"X","_")</f>
        <v>_</v>
      </c>
      <c r="D156" t="str">
        <f t="shared" si="6"/>
        <v>X</v>
      </c>
      <c r="E156" t="str">
        <f ca="1">IFERROR(IF(AND(B156&amp;C156&amp;D156="___",INDIRECT("Inventory!A"&amp;MATCH(VLOOKUP(A156,Inventory!E:E,1,0),Inventory!E:E,0))&lt;&gt;INDIRECT("'Full Inventory'!B"&amp;MATCH(VLOOKUP(A156,'Full Inventory'!F:F,1,0),'Full Inventory'!F:F,0))),"X","_"),"_")</f>
        <v>_</v>
      </c>
      <c r="K156" t="str">
        <f t="shared" ca="1" si="7"/>
        <v>__X_</v>
      </c>
      <c r="L156" t="str">
        <f t="shared" ca="1" si="8"/>
        <v/>
      </c>
      <c r="M156" t="str">
        <f>IFERROR(INDEX(Inventory!A:A,MATCH(Scan!A156,Inventory!E:E,0)),"")</f>
        <v/>
      </c>
    </row>
    <row r="157" spans="2:13" x14ac:dyDescent="0.25">
      <c r="B157" t="str">
        <f>IF(IFERROR(VLOOKUP(TRIM(A157),Inventory!E:E,1,0),0)=0,"X","_")</f>
        <v>_</v>
      </c>
      <c r="C157" t="str">
        <f>IF(IFERROR(VLOOKUP(TRIM(A157),'Full Inventory'!F:F,1,0),0)=0,"X","_")</f>
        <v>_</v>
      </c>
      <c r="D157" t="str">
        <f t="shared" si="6"/>
        <v>X</v>
      </c>
      <c r="E157" t="str">
        <f ca="1">IFERROR(IF(AND(B157&amp;C157&amp;D157="___",INDIRECT("Inventory!A"&amp;MATCH(VLOOKUP(A157,Inventory!E:E,1,0),Inventory!E:E,0))&lt;&gt;INDIRECT("'Full Inventory'!B"&amp;MATCH(VLOOKUP(A157,'Full Inventory'!F:F,1,0),'Full Inventory'!F:F,0))),"X","_"),"_")</f>
        <v>_</v>
      </c>
      <c r="K157" t="str">
        <f t="shared" ca="1" si="7"/>
        <v>__X_</v>
      </c>
      <c r="L157" t="str">
        <f t="shared" ca="1" si="8"/>
        <v/>
      </c>
      <c r="M157" t="str">
        <f>IFERROR(INDEX(Inventory!A:A,MATCH(Scan!A157,Inventory!E:E,0)),"")</f>
        <v/>
      </c>
    </row>
    <row r="158" spans="2:13" x14ac:dyDescent="0.25">
      <c r="B158" t="str">
        <f>IF(IFERROR(VLOOKUP(TRIM(A158),Inventory!E:E,1,0),0)=0,"X","_")</f>
        <v>_</v>
      </c>
      <c r="C158" t="str">
        <f>IF(IFERROR(VLOOKUP(TRIM(A158),'Full Inventory'!F:F,1,0),0)=0,"X","_")</f>
        <v>_</v>
      </c>
      <c r="D158" t="str">
        <f t="shared" si="6"/>
        <v>X</v>
      </c>
      <c r="E158" t="str">
        <f ca="1">IFERROR(IF(AND(B158&amp;C158&amp;D158="___",INDIRECT("Inventory!A"&amp;MATCH(VLOOKUP(A158,Inventory!E:E,1,0),Inventory!E:E,0))&lt;&gt;INDIRECT("'Full Inventory'!B"&amp;MATCH(VLOOKUP(A158,'Full Inventory'!F:F,1,0),'Full Inventory'!F:F,0))),"X","_"),"_")</f>
        <v>_</v>
      </c>
      <c r="K158" t="str">
        <f t="shared" ca="1" si="7"/>
        <v>__X_</v>
      </c>
      <c r="L158" t="str">
        <f t="shared" ca="1" si="8"/>
        <v/>
      </c>
      <c r="M158" t="str">
        <f>IFERROR(INDEX(Inventory!A:A,MATCH(Scan!A158,Inventory!E:E,0)),"")</f>
        <v/>
      </c>
    </row>
    <row r="159" spans="2:13" x14ac:dyDescent="0.25">
      <c r="B159" t="str">
        <f>IF(IFERROR(VLOOKUP(TRIM(A159),Inventory!E:E,1,0),0)=0,"X","_")</f>
        <v>_</v>
      </c>
      <c r="C159" t="str">
        <f>IF(IFERROR(VLOOKUP(TRIM(A159),'Full Inventory'!F:F,1,0),0)=0,"X","_")</f>
        <v>_</v>
      </c>
      <c r="D159" t="str">
        <f t="shared" si="6"/>
        <v>X</v>
      </c>
      <c r="E159" t="str">
        <f ca="1">IFERROR(IF(AND(B159&amp;C159&amp;D159="___",INDIRECT("Inventory!A"&amp;MATCH(VLOOKUP(A159,Inventory!E:E,1,0),Inventory!E:E,0))&lt;&gt;INDIRECT("'Full Inventory'!B"&amp;MATCH(VLOOKUP(A159,'Full Inventory'!F:F,1,0),'Full Inventory'!F:F,0))),"X","_"),"_")</f>
        <v>_</v>
      </c>
      <c r="K159" t="str">
        <f t="shared" ca="1" si="7"/>
        <v>__X_</v>
      </c>
      <c r="L159" t="str">
        <f t="shared" ca="1" si="8"/>
        <v/>
      </c>
      <c r="M159" t="str">
        <f>IFERROR(INDEX(Inventory!A:A,MATCH(Scan!A159,Inventory!E:E,0)),"")</f>
        <v/>
      </c>
    </row>
    <row r="160" spans="2:13" x14ac:dyDescent="0.25">
      <c r="B160" t="str">
        <f>IF(IFERROR(VLOOKUP(TRIM(A160),Inventory!E:E,1,0),0)=0,"X","_")</f>
        <v>_</v>
      </c>
      <c r="C160" t="str">
        <f>IF(IFERROR(VLOOKUP(TRIM(A160),'Full Inventory'!F:F,1,0),0)=0,"X","_")</f>
        <v>_</v>
      </c>
      <c r="D160" t="str">
        <f t="shared" si="6"/>
        <v>X</v>
      </c>
      <c r="E160" t="str">
        <f ca="1">IFERROR(IF(AND(B160&amp;C160&amp;D160="___",INDIRECT("Inventory!A"&amp;MATCH(VLOOKUP(A160,Inventory!E:E,1,0),Inventory!E:E,0))&lt;&gt;INDIRECT("'Full Inventory'!B"&amp;MATCH(VLOOKUP(A160,'Full Inventory'!F:F,1,0),'Full Inventory'!F:F,0))),"X","_"),"_")</f>
        <v>_</v>
      </c>
      <c r="K160" t="str">
        <f t="shared" ca="1" si="7"/>
        <v>__X_</v>
      </c>
      <c r="L160" t="str">
        <f t="shared" ca="1" si="8"/>
        <v/>
      </c>
      <c r="M160" t="str">
        <f>IFERROR(INDEX(Inventory!A:A,MATCH(Scan!A160,Inventory!E:E,0)),"")</f>
        <v/>
      </c>
    </row>
    <row r="161" spans="2:13" x14ac:dyDescent="0.25">
      <c r="B161" t="str">
        <f>IF(IFERROR(VLOOKUP(TRIM(A161),Inventory!E:E,1,0),0)=0,"X","_")</f>
        <v>_</v>
      </c>
      <c r="C161" t="str">
        <f>IF(IFERROR(VLOOKUP(TRIM(A161),'Full Inventory'!F:F,1,0),0)=0,"X","_")</f>
        <v>_</v>
      </c>
      <c r="D161" t="str">
        <f t="shared" si="6"/>
        <v>X</v>
      </c>
      <c r="E161" t="str">
        <f ca="1">IFERROR(IF(AND(B161&amp;C161&amp;D161="___",INDIRECT("Inventory!A"&amp;MATCH(VLOOKUP(A161,Inventory!E:E,1,0),Inventory!E:E,0))&lt;&gt;INDIRECT("'Full Inventory'!B"&amp;MATCH(VLOOKUP(A161,'Full Inventory'!F:F,1,0),'Full Inventory'!F:F,0))),"X","_"),"_")</f>
        <v>_</v>
      </c>
      <c r="K161" t="str">
        <f t="shared" ca="1" si="7"/>
        <v>__X_</v>
      </c>
      <c r="L161" t="str">
        <f t="shared" ca="1" si="8"/>
        <v/>
      </c>
      <c r="M161" t="str">
        <f>IFERROR(INDEX(Inventory!A:A,MATCH(Scan!A161,Inventory!E:E,0)),"")</f>
        <v/>
      </c>
    </row>
    <row r="162" spans="2:13" x14ac:dyDescent="0.25">
      <c r="B162" t="str">
        <f>IF(IFERROR(VLOOKUP(TRIM(A162),Inventory!E:E,1,0),0)=0,"X","_")</f>
        <v>_</v>
      </c>
      <c r="C162" t="str">
        <f>IF(IFERROR(VLOOKUP(TRIM(A162),'Full Inventory'!F:F,1,0),0)=0,"X","_")</f>
        <v>_</v>
      </c>
      <c r="D162" t="str">
        <f t="shared" si="6"/>
        <v>X</v>
      </c>
      <c r="E162" t="str">
        <f ca="1">IFERROR(IF(AND(B162&amp;C162&amp;D162="___",INDIRECT("Inventory!A"&amp;MATCH(VLOOKUP(A162,Inventory!E:E,1,0),Inventory!E:E,0))&lt;&gt;INDIRECT("'Full Inventory'!B"&amp;MATCH(VLOOKUP(A162,'Full Inventory'!F:F,1,0),'Full Inventory'!F:F,0))),"X","_"),"_")</f>
        <v>_</v>
      </c>
      <c r="K162" t="str">
        <f t="shared" ca="1" si="7"/>
        <v>__X_</v>
      </c>
      <c r="L162" t="str">
        <f t="shared" ca="1" si="8"/>
        <v/>
      </c>
      <c r="M162" t="str">
        <f>IFERROR(INDEX(Inventory!A:A,MATCH(Scan!A162,Inventory!E:E,0)),"")</f>
        <v/>
      </c>
    </row>
    <row r="163" spans="2:13" x14ac:dyDescent="0.25">
      <c r="B163" t="str">
        <f>IF(IFERROR(VLOOKUP(TRIM(A163),Inventory!E:E,1,0),0)=0,"X","_")</f>
        <v>_</v>
      </c>
      <c r="C163" t="str">
        <f>IF(IFERROR(VLOOKUP(TRIM(A163),'Full Inventory'!F:F,1,0),0)=0,"X","_")</f>
        <v>_</v>
      </c>
      <c r="D163" t="str">
        <f t="shared" si="6"/>
        <v>X</v>
      </c>
      <c r="E163" t="str">
        <f ca="1">IFERROR(IF(AND(B163&amp;C163&amp;D163="___",INDIRECT("Inventory!A"&amp;MATCH(VLOOKUP(A163,Inventory!E:E,1,0),Inventory!E:E,0))&lt;&gt;INDIRECT("'Full Inventory'!B"&amp;MATCH(VLOOKUP(A163,'Full Inventory'!F:F,1,0),'Full Inventory'!F:F,0))),"X","_"),"_")</f>
        <v>_</v>
      </c>
      <c r="K163" t="str">
        <f t="shared" ca="1" si="7"/>
        <v>__X_</v>
      </c>
      <c r="L163" t="str">
        <f t="shared" ca="1" si="8"/>
        <v/>
      </c>
      <c r="M163" t="str">
        <f>IFERROR(INDEX(Inventory!A:A,MATCH(Scan!A163,Inventory!E:E,0)),"")</f>
        <v/>
      </c>
    </row>
    <row r="164" spans="2:13" x14ac:dyDescent="0.25">
      <c r="B164" t="str">
        <f>IF(IFERROR(VLOOKUP(TRIM(A164),Inventory!E:E,1,0),0)=0,"X","_")</f>
        <v>_</v>
      </c>
      <c r="C164" t="str">
        <f>IF(IFERROR(VLOOKUP(TRIM(A164),'Full Inventory'!F:F,1,0),0)=0,"X","_")</f>
        <v>_</v>
      </c>
      <c r="D164" t="str">
        <f t="shared" si="6"/>
        <v>X</v>
      </c>
      <c r="E164" t="str">
        <f ca="1">IFERROR(IF(AND(B164&amp;C164&amp;D164="___",INDIRECT("Inventory!A"&amp;MATCH(VLOOKUP(A164,Inventory!E:E,1,0),Inventory!E:E,0))&lt;&gt;INDIRECT("'Full Inventory'!B"&amp;MATCH(VLOOKUP(A164,'Full Inventory'!F:F,1,0),'Full Inventory'!F:F,0))),"X","_"),"_")</f>
        <v>_</v>
      </c>
      <c r="K164" t="str">
        <f t="shared" ca="1" si="7"/>
        <v>__X_</v>
      </c>
      <c r="L164" t="str">
        <f t="shared" ca="1" si="8"/>
        <v/>
      </c>
      <c r="M164" t="str">
        <f>IFERROR(INDEX(Inventory!A:A,MATCH(Scan!A164,Inventory!E:E,0)),"")</f>
        <v/>
      </c>
    </row>
    <row r="165" spans="2:13" x14ac:dyDescent="0.25">
      <c r="B165" t="str">
        <f>IF(IFERROR(VLOOKUP(TRIM(A165),Inventory!E:E,1,0),0)=0,"X","_")</f>
        <v>_</v>
      </c>
      <c r="C165" t="str">
        <f>IF(IFERROR(VLOOKUP(TRIM(A165),'Full Inventory'!F:F,1,0),0)=0,"X","_")</f>
        <v>_</v>
      </c>
      <c r="D165" t="str">
        <f t="shared" si="6"/>
        <v>X</v>
      </c>
      <c r="E165" t="str">
        <f ca="1">IFERROR(IF(AND(B165&amp;C165&amp;D165="___",INDIRECT("Inventory!A"&amp;MATCH(VLOOKUP(A165,Inventory!E:E,1,0),Inventory!E:E,0))&lt;&gt;INDIRECT("'Full Inventory'!B"&amp;MATCH(VLOOKUP(A165,'Full Inventory'!F:F,1,0),'Full Inventory'!F:F,0))),"X","_"),"_")</f>
        <v>_</v>
      </c>
      <c r="K165" t="str">
        <f t="shared" ca="1" si="7"/>
        <v>__X_</v>
      </c>
      <c r="L165" t="str">
        <f t="shared" ca="1" si="8"/>
        <v/>
      </c>
      <c r="M165" t="str">
        <f>IFERROR(INDEX(Inventory!A:A,MATCH(Scan!A165,Inventory!E:E,0)),"")</f>
        <v/>
      </c>
    </row>
    <row r="166" spans="2:13" x14ac:dyDescent="0.25">
      <c r="B166" t="str">
        <f>IF(IFERROR(VLOOKUP(TRIM(A166),Inventory!E:E,1,0),0)=0,"X","_")</f>
        <v>_</v>
      </c>
      <c r="C166" t="str">
        <f>IF(IFERROR(VLOOKUP(TRIM(A166),'Full Inventory'!F:F,1,0),0)=0,"X","_")</f>
        <v>_</v>
      </c>
      <c r="D166" t="str">
        <f t="shared" si="6"/>
        <v>X</v>
      </c>
      <c r="E166" t="str">
        <f ca="1">IFERROR(IF(AND(B166&amp;C166&amp;D166="___",INDIRECT("Inventory!A"&amp;MATCH(VLOOKUP(A166,Inventory!E:E,1,0),Inventory!E:E,0))&lt;&gt;INDIRECT("'Full Inventory'!B"&amp;MATCH(VLOOKUP(A166,'Full Inventory'!F:F,1,0),'Full Inventory'!F:F,0))),"X","_"),"_")</f>
        <v>_</v>
      </c>
      <c r="K166" t="str">
        <f t="shared" ca="1" si="7"/>
        <v>__X_</v>
      </c>
      <c r="L166" t="str">
        <f t="shared" ca="1" si="8"/>
        <v/>
      </c>
      <c r="M166" t="str">
        <f>IFERROR(INDEX(Inventory!A:A,MATCH(Scan!A166,Inventory!E:E,0)),"")</f>
        <v/>
      </c>
    </row>
    <row r="167" spans="2:13" x14ac:dyDescent="0.25">
      <c r="B167" t="str">
        <f>IF(IFERROR(VLOOKUP(TRIM(A167),Inventory!E:E,1,0),0)=0,"X","_")</f>
        <v>_</v>
      </c>
      <c r="C167" t="str">
        <f>IF(IFERROR(VLOOKUP(TRIM(A167),'Full Inventory'!F:F,1,0),0)=0,"X","_")</f>
        <v>_</v>
      </c>
      <c r="D167" t="str">
        <f t="shared" si="6"/>
        <v>X</v>
      </c>
      <c r="E167" t="str">
        <f ca="1">IFERROR(IF(AND(B167&amp;C167&amp;D167="___",INDIRECT("Inventory!A"&amp;MATCH(VLOOKUP(A167,Inventory!E:E,1,0),Inventory!E:E,0))&lt;&gt;INDIRECT("'Full Inventory'!B"&amp;MATCH(VLOOKUP(A167,'Full Inventory'!F:F,1,0),'Full Inventory'!F:F,0))),"X","_"),"_")</f>
        <v>_</v>
      </c>
      <c r="K167" t="str">
        <f t="shared" ca="1" si="7"/>
        <v>__X_</v>
      </c>
      <c r="L167" t="str">
        <f t="shared" ca="1" si="8"/>
        <v/>
      </c>
      <c r="M167" t="str">
        <f>IFERROR(INDEX(Inventory!A:A,MATCH(Scan!A167,Inventory!E:E,0)),"")</f>
        <v/>
      </c>
    </row>
    <row r="168" spans="2:13" x14ac:dyDescent="0.25">
      <c r="B168" t="str">
        <f>IF(IFERROR(VLOOKUP(TRIM(A168),Inventory!E:E,1,0),0)=0,"X","_")</f>
        <v>_</v>
      </c>
      <c r="C168" t="str">
        <f>IF(IFERROR(VLOOKUP(TRIM(A168),'Full Inventory'!F:F,1,0),0)=0,"X","_")</f>
        <v>_</v>
      </c>
      <c r="D168" t="str">
        <f t="shared" si="6"/>
        <v>X</v>
      </c>
      <c r="E168" t="str">
        <f ca="1">IFERROR(IF(AND(B168&amp;C168&amp;D168="___",INDIRECT("Inventory!A"&amp;MATCH(VLOOKUP(A168,Inventory!E:E,1,0),Inventory!E:E,0))&lt;&gt;INDIRECT("'Full Inventory'!B"&amp;MATCH(VLOOKUP(A168,'Full Inventory'!F:F,1,0),'Full Inventory'!F:F,0))),"X","_"),"_")</f>
        <v>_</v>
      </c>
      <c r="K168" t="str">
        <f t="shared" ca="1" si="7"/>
        <v>__X_</v>
      </c>
      <c r="L168" t="str">
        <f t="shared" ca="1" si="8"/>
        <v/>
      </c>
      <c r="M168" t="str">
        <f>IFERROR(INDEX(Inventory!A:A,MATCH(Scan!A168,Inventory!E:E,0)),"")</f>
        <v/>
      </c>
    </row>
    <row r="169" spans="2:13" x14ac:dyDescent="0.25">
      <c r="B169" t="str">
        <f>IF(IFERROR(VLOOKUP(TRIM(A169),Inventory!E:E,1,0),0)=0,"X","_")</f>
        <v>_</v>
      </c>
      <c r="C169" t="str">
        <f>IF(IFERROR(VLOOKUP(TRIM(A169),'Full Inventory'!F:F,1,0),0)=0,"X","_")</f>
        <v>_</v>
      </c>
      <c r="D169" t="str">
        <f t="shared" si="6"/>
        <v>X</v>
      </c>
      <c r="E169" t="str">
        <f ca="1">IFERROR(IF(AND(B169&amp;C169&amp;D169="___",INDIRECT("Inventory!A"&amp;MATCH(VLOOKUP(A169,Inventory!E:E,1,0),Inventory!E:E,0))&lt;&gt;INDIRECT("'Full Inventory'!B"&amp;MATCH(VLOOKUP(A169,'Full Inventory'!F:F,1,0),'Full Inventory'!F:F,0))),"X","_"),"_")</f>
        <v>_</v>
      </c>
      <c r="K169" t="str">
        <f t="shared" ca="1" si="7"/>
        <v>__X_</v>
      </c>
      <c r="L169" t="str">
        <f t="shared" ca="1" si="8"/>
        <v/>
      </c>
      <c r="M169" t="str">
        <f>IFERROR(INDEX(Inventory!A:A,MATCH(Scan!A169,Inventory!E:E,0)),"")</f>
        <v/>
      </c>
    </row>
    <row r="170" spans="2:13" x14ac:dyDescent="0.25">
      <c r="B170" t="str">
        <f>IF(IFERROR(VLOOKUP(TRIM(A170),Inventory!E:E,1,0),0)=0,"X","_")</f>
        <v>_</v>
      </c>
      <c r="C170" t="str">
        <f>IF(IFERROR(VLOOKUP(TRIM(A170),'Full Inventory'!F:F,1,0),0)=0,"X","_")</f>
        <v>_</v>
      </c>
      <c r="D170" t="str">
        <f t="shared" si="6"/>
        <v>X</v>
      </c>
      <c r="E170" t="str">
        <f ca="1">IFERROR(IF(AND(B170&amp;C170&amp;D170="___",INDIRECT("Inventory!A"&amp;MATCH(VLOOKUP(A170,Inventory!E:E,1,0),Inventory!E:E,0))&lt;&gt;INDIRECT("'Full Inventory'!B"&amp;MATCH(VLOOKUP(A170,'Full Inventory'!F:F,1,0),'Full Inventory'!F:F,0))),"X","_"),"_")</f>
        <v>_</v>
      </c>
      <c r="K170" t="str">
        <f t="shared" ca="1" si="7"/>
        <v>__X_</v>
      </c>
      <c r="L170" t="str">
        <f t="shared" ca="1" si="8"/>
        <v/>
      </c>
      <c r="M170" t="str">
        <f>IFERROR(INDEX(Inventory!A:A,MATCH(Scan!A170,Inventory!E:E,0)),"")</f>
        <v/>
      </c>
    </row>
    <row r="171" spans="2:13" x14ac:dyDescent="0.25">
      <c r="B171" t="str">
        <f>IF(IFERROR(VLOOKUP(TRIM(A171),Inventory!E:E,1,0),0)=0,"X","_")</f>
        <v>_</v>
      </c>
      <c r="C171" t="str">
        <f>IF(IFERROR(VLOOKUP(TRIM(A171),'Full Inventory'!F:F,1,0),0)=0,"X","_")</f>
        <v>_</v>
      </c>
      <c r="D171" t="str">
        <f t="shared" si="6"/>
        <v>X</v>
      </c>
      <c r="E171" t="str">
        <f ca="1">IFERROR(IF(AND(B171&amp;C171&amp;D171="___",INDIRECT("Inventory!A"&amp;MATCH(VLOOKUP(A171,Inventory!E:E,1,0),Inventory!E:E,0))&lt;&gt;INDIRECT("'Full Inventory'!B"&amp;MATCH(VLOOKUP(A171,'Full Inventory'!F:F,1,0),'Full Inventory'!F:F,0))),"X","_"),"_")</f>
        <v>_</v>
      </c>
      <c r="K171" t="str">
        <f t="shared" ca="1" si="7"/>
        <v>__X_</v>
      </c>
      <c r="L171" t="str">
        <f t="shared" ca="1" si="8"/>
        <v/>
      </c>
      <c r="M171" t="str">
        <f>IFERROR(INDEX(Inventory!A:A,MATCH(Scan!A171,Inventory!E:E,0)),"")</f>
        <v/>
      </c>
    </row>
    <row r="172" spans="2:13" x14ac:dyDescent="0.25">
      <c r="B172" t="str">
        <f>IF(IFERROR(VLOOKUP(TRIM(A172),Inventory!E:E,1,0),0)=0,"X","_")</f>
        <v>_</v>
      </c>
      <c r="C172" t="str">
        <f>IF(IFERROR(VLOOKUP(TRIM(A172),'Full Inventory'!F:F,1,0),0)=0,"X","_")</f>
        <v>_</v>
      </c>
      <c r="D172" t="str">
        <f t="shared" si="6"/>
        <v>X</v>
      </c>
      <c r="E172" t="str">
        <f ca="1">IFERROR(IF(AND(B172&amp;C172&amp;D172="___",INDIRECT("Inventory!A"&amp;MATCH(VLOOKUP(A172,Inventory!E:E,1,0),Inventory!E:E,0))&lt;&gt;INDIRECT("'Full Inventory'!B"&amp;MATCH(VLOOKUP(A172,'Full Inventory'!F:F,1,0),'Full Inventory'!F:F,0))),"X","_"),"_")</f>
        <v>_</v>
      </c>
      <c r="K172" t="str">
        <f t="shared" ca="1" si="7"/>
        <v>__X_</v>
      </c>
      <c r="L172" t="str">
        <f t="shared" ca="1" si="8"/>
        <v/>
      </c>
      <c r="M172" t="str">
        <f>IFERROR(INDEX(Inventory!A:A,MATCH(Scan!A172,Inventory!E:E,0)),"")</f>
        <v/>
      </c>
    </row>
    <row r="173" spans="2:13" x14ac:dyDescent="0.25">
      <c r="B173" t="str">
        <f>IF(IFERROR(VLOOKUP(TRIM(A173),Inventory!E:E,1,0),0)=0,"X","_")</f>
        <v>_</v>
      </c>
      <c r="C173" t="str">
        <f>IF(IFERROR(VLOOKUP(TRIM(A173),'Full Inventory'!F:F,1,0),0)=0,"X","_")</f>
        <v>_</v>
      </c>
      <c r="D173" t="str">
        <f t="shared" si="6"/>
        <v>X</v>
      </c>
      <c r="E173" t="str">
        <f ca="1">IFERROR(IF(AND(B173&amp;C173&amp;D173="___",INDIRECT("Inventory!A"&amp;MATCH(VLOOKUP(A173,Inventory!E:E,1,0),Inventory!E:E,0))&lt;&gt;INDIRECT("'Full Inventory'!B"&amp;MATCH(VLOOKUP(A173,'Full Inventory'!F:F,1,0),'Full Inventory'!F:F,0))),"X","_"),"_")</f>
        <v>_</v>
      </c>
      <c r="K173" t="str">
        <f t="shared" ca="1" si="7"/>
        <v>__X_</v>
      </c>
      <c r="L173" t="str">
        <f t="shared" ca="1" si="8"/>
        <v/>
      </c>
      <c r="M173" t="str">
        <f>IFERROR(INDEX(Inventory!A:A,MATCH(Scan!A173,Inventory!E:E,0)),"")</f>
        <v/>
      </c>
    </row>
    <row r="174" spans="2:13" x14ac:dyDescent="0.25">
      <c r="B174" t="str">
        <f>IF(IFERROR(VLOOKUP(TRIM(A174),Inventory!E:E,1,0),0)=0,"X","_")</f>
        <v>_</v>
      </c>
      <c r="C174" t="str">
        <f>IF(IFERROR(VLOOKUP(TRIM(A174),'Full Inventory'!F:F,1,0),0)=0,"X","_")</f>
        <v>_</v>
      </c>
      <c r="D174" t="str">
        <f t="shared" si="6"/>
        <v>X</v>
      </c>
      <c r="E174" t="str">
        <f ca="1">IFERROR(IF(AND(B174&amp;C174&amp;D174="___",INDIRECT("Inventory!A"&amp;MATCH(VLOOKUP(A174,Inventory!E:E,1,0),Inventory!E:E,0))&lt;&gt;INDIRECT("'Full Inventory'!B"&amp;MATCH(VLOOKUP(A174,'Full Inventory'!F:F,1,0),'Full Inventory'!F:F,0))),"X","_"),"_")</f>
        <v>_</v>
      </c>
      <c r="K174" t="str">
        <f t="shared" ca="1" si="7"/>
        <v>__X_</v>
      </c>
      <c r="L174" t="str">
        <f t="shared" ca="1" si="8"/>
        <v/>
      </c>
      <c r="M174" t="str">
        <f>IFERROR(INDEX(Inventory!A:A,MATCH(Scan!A174,Inventory!E:E,0)),"")</f>
        <v/>
      </c>
    </row>
    <row r="175" spans="2:13" x14ac:dyDescent="0.25">
      <c r="B175" t="str">
        <f>IF(IFERROR(VLOOKUP(TRIM(A175),Inventory!E:E,1,0),0)=0,"X","_")</f>
        <v>_</v>
      </c>
      <c r="C175" t="str">
        <f>IF(IFERROR(VLOOKUP(TRIM(A175),'Full Inventory'!F:F,1,0),0)=0,"X","_")</f>
        <v>_</v>
      </c>
      <c r="D175" t="str">
        <f t="shared" si="6"/>
        <v>X</v>
      </c>
      <c r="E175" t="str">
        <f ca="1">IFERROR(IF(AND(B175&amp;C175&amp;D175="___",INDIRECT("Inventory!A"&amp;MATCH(VLOOKUP(A175,Inventory!E:E,1,0),Inventory!E:E,0))&lt;&gt;INDIRECT("'Full Inventory'!B"&amp;MATCH(VLOOKUP(A175,'Full Inventory'!F:F,1,0),'Full Inventory'!F:F,0))),"X","_"),"_")</f>
        <v>_</v>
      </c>
      <c r="K175" t="str">
        <f t="shared" ca="1" si="7"/>
        <v>__X_</v>
      </c>
      <c r="L175" t="str">
        <f t="shared" ca="1" si="8"/>
        <v/>
      </c>
      <c r="M175" t="str">
        <f>IFERROR(INDEX(Inventory!A:A,MATCH(Scan!A175,Inventory!E:E,0)),"")</f>
        <v/>
      </c>
    </row>
    <row r="176" spans="2:13" x14ac:dyDescent="0.25">
      <c r="B176" t="str">
        <f>IF(IFERROR(VLOOKUP(TRIM(A176),Inventory!E:E,1,0),0)=0,"X","_")</f>
        <v>_</v>
      </c>
      <c r="C176" t="str">
        <f>IF(IFERROR(VLOOKUP(TRIM(A176),'Full Inventory'!F:F,1,0),0)=0,"X","_")</f>
        <v>_</v>
      </c>
      <c r="D176" t="str">
        <f t="shared" si="6"/>
        <v>X</v>
      </c>
      <c r="E176" t="str">
        <f ca="1">IFERROR(IF(AND(B176&amp;C176&amp;D176="___",INDIRECT("Inventory!A"&amp;MATCH(VLOOKUP(A176,Inventory!E:E,1,0),Inventory!E:E,0))&lt;&gt;INDIRECT("'Full Inventory'!B"&amp;MATCH(VLOOKUP(A176,'Full Inventory'!F:F,1,0),'Full Inventory'!F:F,0))),"X","_"),"_")</f>
        <v>_</v>
      </c>
      <c r="K176" t="str">
        <f t="shared" ca="1" si="7"/>
        <v>__X_</v>
      </c>
      <c r="L176" t="str">
        <f t="shared" ca="1" si="8"/>
        <v/>
      </c>
      <c r="M176" t="str">
        <f>IFERROR(INDEX(Inventory!A:A,MATCH(Scan!A176,Inventory!E:E,0)),"")</f>
        <v/>
      </c>
    </row>
    <row r="177" spans="2:13" x14ac:dyDescent="0.25">
      <c r="B177" t="str">
        <f>IF(IFERROR(VLOOKUP(TRIM(A177),Inventory!E:E,1,0),0)=0,"X","_")</f>
        <v>_</v>
      </c>
      <c r="C177" t="str">
        <f>IF(IFERROR(VLOOKUP(TRIM(A177),'Full Inventory'!F:F,1,0),0)=0,"X","_")</f>
        <v>_</v>
      </c>
      <c r="D177" t="str">
        <f t="shared" si="6"/>
        <v>X</v>
      </c>
      <c r="E177" t="str">
        <f ca="1">IFERROR(IF(AND(B177&amp;C177&amp;D177="___",INDIRECT("Inventory!A"&amp;MATCH(VLOOKUP(A177,Inventory!E:E,1,0),Inventory!E:E,0))&lt;&gt;INDIRECT("'Full Inventory'!B"&amp;MATCH(VLOOKUP(A177,'Full Inventory'!F:F,1,0),'Full Inventory'!F:F,0))),"X","_"),"_")</f>
        <v>_</v>
      </c>
      <c r="K177" t="str">
        <f t="shared" ca="1" si="7"/>
        <v>__X_</v>
      </c>
      <c r="L177" t="str">
        <f t="shared" ca="1" si="8"/>
        <v/>
      </c>
      <c r="M177" t="str">
        <f>IFERROR(INDEX(Inventory!A:A,MATCH(Scan!A177,Inventory!E:E,0)),"")</f>
        <v/>
      </c>
    </row>
    <row r="178" spans="2:13" x14ac:dyDescent="0.25">
      <c r="B178" t="str">
        <f>IF(IFERROR(VLOOKUP(TRIM(A178),Inventory!E:E,1,0),0)=0,"X","_")</f>
        <v>_</v>
      </c>
      <c r="C178" t="str">
        <f>IF(IFERROR(VLOOKUP(TRIM(A178),'Full Inventory'!F:F,1,0),0)=0,"X","_")</f>
        <v>_</v>
      </c>
      <c r="D178" t="str">
        <f t="shared" si="6"/>
        <v>X</v>
      </c>
      <c r="E178" t="str">
        <f ca="1">IFERROR(IF(AND(B178&amp;C178&amp;D178="___",INDIRECT("Inventory!A"&amp;MATCH(VLOOKUP(A178,Inventory!E:E,1,0),Inventory!E:E,0))&lt;&gt;INDIRECT("'Full Inventory'!B"&amp;MATCH(VLOOKUP(A178,'Full Inventory'!F:F,1,0),'Full Inventory'!F:F,0))),"X","_"),"_")</f>
        <v>_</v>
      </c>
      <c r="K178" t="str">
        <f t="shared" ca="1" si="7"/>
        <v>__X_</v>
      </c>
      <c r="L178" t="str">
        <f t="shared" ca="1" si="8"/>
        <v/>
      </c>
      <c r="M178" t="str">
        <f>IFERROR(INDEX(Inventory!A:A,MATCH(Scan!A178,Inventory!E:E,0)),"")</f>
        <v/>
      </c>
    </row>
    <row r="179" spans="2:13" x14ac:dyDescent="0.25">
      <c r="B179" t="str">
        <f>IF(IFERROR(VLOOKUP(TRIM(A179),Inventory!E:E,1,0),0)=0,"X","_")</f>
        <v>_</v>
      </c>
      <c r="C179" t="str">
        <f>IF(IFERROR(VLOOKUP(TRIM(A179),'Full Inventory'!F:F,1,0),0)=0,"X","_")</f>
        <v>_</v>
      </c>
      <c r="D179" t="str">
        <f t="shared" si="6"/>
        <v>X</v>
      </c>
      <c r="E179" t="str">
        <f ca="1">IFERROR(IF(AND(B179&amp;C179&amp;D179="___",INDIRECT("Inventory!A"&amp;MATCH(VLOOKUP(A179,Inventory!E:E,1,0),Inventory!E:E,0))&lt;&gt;INDIRECT("'Full Inventory'!B"&amp;MATCH(VLOOKUP(A179,'Full Inventory'!F:F,1,0),'Full Inventory'!F:F,0))),"X","_"),"_")</f>
        <v>_</v>
      </c>
      <c r="K179" t="str">
        <f t="shared" ca="1" si="7"/>
        <v>__X_</v>
      </c>
      <c r="L179" t="str">
        <f t="shared" ca="1" si="8"/>
        <v/>
      </c>
      <c r="M179" t="str">
        <f>IFERROR(INDEX(Inventory!A:A,MATCH(Scan!A179,Inventory!E:E,0)),"")</f>
        <v/>
      </c>
    </row>
    <row r="180" spans="2:13" x14ac:dyDescent="0.25">
      <c r="B180" t="str">
        <f>IF(IFERROR(VLOOKUP(TRIM(A180),Inventory!E:E,1,0),0)=0,"X","_")</f>
        <v>_</v>
      </c>
      <c r="C180" t="str">
        <f>IF(IFERROR(VLOOKUP(TRIM(A180),'Full Inventory'!F:F,1,0),0)=0,"X","_")</f>
        <v>_</v>
      </c>
      <c r="D180" t="str">
        <f t="shared" si="6"/>
        <v>X</v>
      </c>
      <c r="E180" t="str">
        <f ca="1">IFERROR(IF(AND(B180&amp;C180&amp;D180="___",INDIRECT("Inventory!A"&amp;MATCH(VLOOKUP(A180,Inventory!E:E,1,0),Inventory!E:E,0))&lt;&gt;INDIRECT("'Full Inventory'!B"&amp;MATCH(VLOOKUP(A180,'Full Inventory'!F:F,1,0),'Full Inventory'!F:F,0))),"X","_"),"_")</f>
        <v>_</v>
      </c>
      <c r="K180" t="str">
        <f t="shared" ca="1" si="7"/>
        <v>__X_</v>
      </c>
      <c r="L180" t="str">
        <f t="shared" ca="1" si="8"/>
        <v/>
      </c>
      <c r="M180" t="str">
        <f>IFERROR(INDEX(Inventory!A:A,MATCH(Scan!A180,Inventory!E:E,0)),"")</f>
        <v/>
      </c>
    </row>
    <row r="181" spans="2:13" x14ac:dyDescent="0.25">
      <c r="B181" t="str">
        <f>IF(IFERROR(VLOOKUP(TRIM(A181),Inventory!E:E,1,0),0)=0,"X","_")</f>
        <v>_</v>
      </c>
      <c r="C181" t="str">
        <f>IF(IFERROR(VLOOKUP(TRIM(A181),'Full Inventory'!F:F,1,0),0)=0,"X","_")</f>
        <v>_</v>
      </c>
      <c r="D181" t="str">
        <f t="shared" si="6"/>
        <v>X</v>
      </c>
      <c r="E181" t="str">
        <f ca="1">IFERROR(IF(AND(B181&amp;C181&amp;D181="___",INDIRECT("Inventory!A"&amp;MATCH(VLOOKUP(A181,Inventory!E:E,1,0),Inventory!E:E,0))&lt;&gt;INDIRECT("'Full Inventory'!B"&amp;MATCH(VLOOKUP(A181,'Full Inventory'!F:F,1,0),'Full Inventory'!F:F,0))),"X","_"),"_")</f>
        <v>_</v>
      </c>
      <c r="K181" t="str">
        <f t="shared" ca="1" si="7"/>
        <v>__X_</v>
      </c>
      <c r="L181" t="str">
        <f t="shared" ca="1" si="8"/>
        <v/>
      </c>
      <c r="M181" t="str">
        <f>IFERROR(INDEX(Inventory!A:A,MATCH(Scan!A181,Inventory!E:E,0)),"")</f>
        <v/>
      </c>
    </row>
    <row r="182" spans="2:13" x14ac:dyDescent="0.25">
      <c r="B182" t="str">
        <f>IF(IFERROR(VLOOKUP(TRIM(A182),Inventory!E:E,1,0),0)=0,"X","_")</f>
        <v>_</v>
      </c>
      <c r="C182" t="str">
        <f>IF(IFERROR(VLOOKUP(TRIM(A182),'Full Inventory'!F:F,1,0),0)=0,"X","_")</f>
        <v>_</v>
      </c>
      <c r="D182" t="str">
        <f t="shared" si="6"/>
        <v>X</v>
      </c>
      <c r="E182" t="str">
        <f ca="1">IFERROR(IF(AND(B182&amp;C182&amp;D182="___",INDIRECT("Inventory!A"&amp;MATCH(VLOOKUP(A182,Inventory!E:E,1,0),Inventory!E:E,0))&lt;&gt;INDIRECT("'Full Inventory'!B"&amp;MATCH(VLOOKUP(A182,'Full Inventory'!F:F,1,0),'Full Inventory'!F:F,0))),"X","_"),"_")</f>
        <v>_</v>
      </c>
      <c r="K182" t="str">
        <f t="shared" ca="1" si="7"/>
        <v>__X_</v>
      </c>
      <c r="L182" t="str">
        <f t="shared" ca="1" si="8"/>
        <v/>
      </c>
      <c r="M182" t="str">
        <f>IFERROR(INDEX(Inventory!A:A,MATCH(Scan!A182,Inventory!E:E,0)),"")</f>
        <v/>
      </c>
    </row>
    <row r="183" spans="2:13" x14ac:dyDescent="0.25">
      <c r="B183" t="str">
        <f>IF(IFERROR(VLOOKUP(TRIM(A183),Inventory!E:E,1,0),0)=0,"X","_")</f>
        <v>_</v>
      </c>
      <c r="C183" t="str">
        <f>IF(IFERROR(VLOOKUP(TRIM(A183),'Full Inventory'!F:F,1,0),0)=0,"X","_")</f>
        <v>_</v>
      </c>
      <c r="D183" t="str">
        <f t="shared" si="6"/>
        <v>X</v>
      </c>
      <c r="E183" t="str">
        <f ca="1">IFERROR(IF(AND(B183&amp;C183&amp;D183="___",INDIRECT("Inventory!A"&amp;MATCH(VLOOKUP(A183,Inventory!E:E,1,0),Inventory!E:E,0))&lt;&gt;INDIRECT("'Full Inventory'!B"&amp;MATCH(VLOOKUP(A183,'Full Inventory'!F:F,1,0),'Full Inventory'!F:F,0))),"X","_"),"_")</f>
        <v>_</v>
      </c>
      <c r="K183" t="str">
        <f t="shared" ca="1" si="7"/>
        <v>__X_</v>
      </c>
      <c r="L183" t="str">
        <f t="shared" ca="1" si="8"/>
        <v/>
      </c>
      <c r="M183" t="str">
        <f>IFERROR(INDEX(Inventory!A:A,MATCH(Scan!A183,Inventory!E:E,0)),"")</f>
        <v/>
      </c>
    </row>
    <row r="184" spans="2:13" x14ac:dyDescent="0.25">
      <c r="B184" t="str">
        <f>IF(IFERROR(VLOOKUP(TRIM(A184),Inventory!E:E,1,0),0)=0,"X","_")</f>
        <v>_</v>
      </c>
      <c r="C184" t="str">
        <f>IF(IFERROR(VLOOKUP(TRIM(A184),'Full Inventory'!F:F,1,0),0)=0,"X","_")</f>
        <v>_</v>
      </c>
      <c r="D184" t="str">
        <f t="shared" si="6"/>
        <v>X</v>
      </c>
      <c r="E184" t="str">
        <f ca="1">IFERROR(IF(AND(B184&amp;C184&amp;D184="___",INDIRECT("Inventory!A"&amp;MATCH(VLOOKUP(A184,Inventory!E:E,1,0),Inventory!E:E,0))&lt;&gt;INDIRECT("'Full Inventory'!B"&amp;MATCH(VLOOKUP(A184,'Full Inventory'!F:F,1,0),'Full Inventory'!F:F,0))),"X","_"),"_")</f>
        <v>_</v>
      </c>
      <c r="K184" t="str">
        <f t="shared" ca="1" si="7"/>
        <v>__X_</v>
      </c>
      <c r="L184" t="str">
        <f t="shared" ca="1" si="8"/>
        <v/>
      </c>
      <c r="M184" t="str">
        <f>IFERROR(INDEX(Inventory!A:A,MATCH(Scan!A184,Inventory!E:E,0)),"")</f>
        <v/>
      </c>
    </row>
    <row r="185" spans="2:13" x14ac:dyDescent="0.25">
      <c r="B185" t="str">
        <f>IF(IFERROR(VLOOKUP(TRIM(A185),Inventory!E:E,1,0),0)=0,"X","_")</f>
        <v>_</v>
      </c>
      <c r="C185" t="str">
        <f>IF(IFERROR(VLOOKUP(TRIM(A185),'Full Inventory'!F:F,1,0),0)=0,"X","_")</f>
        <v>_</v>
      </c>
      <c r="D185" t="str">
        <f t="shared" si="6"/>
        <v>X</v>
      </c>
      <c r="E185" t="str">
        <f ca="1">IFERROR(IF(AND(B185&amp;C185&amp;D185="___",INDIRECT("Inventory!A"&amp;MATCH(VLOOKUP(A185,Inventory!E:E,1,0),Inventory!E:E,0))&lt;&gt;INDIRECT("'Full Inventory'!B"&amp;MATCH(VLOOKUP(A185,'Full Inventory'!F:F,1,0),'Full Inventory'!F:F,0))),"X","_"),"_")</f>
        <v>_</v>
      </c>
      <c r="K185" t="str">
        <f t="shared" ca="1" si="7"/>
        <v>__X_</v>
      </c>
      <c r="L185" t="str">
        <f t="shared" ca="1" si="8"/>
        <v/>
      </c>
      <c r="M185" t="str">
        <f>IFERROR(INDEX(Inventory!A:A,MATCH(Scan!A185,Inventory!E:E,0)),"")</f>
        <v/>
      </c>
    </row>
    <row r="186" spans="2:13" x14ac:dyDescent="0.25">
      <c r="B186" t="str">
        <f>IF(IFERROR(VLOOKUP(TRIM(A186),Inventory!E:E,1,0),0)=0,"X","_")</f>
        <v>_</v>
      </c>
      <c r="C186" t="str">
        <f>IF(IFERROR(VLOOKUP(TRIM(A186),'Full Inventory'!F:F,1,0),0)=0,"X","_")</f>
        <v>_</v>
      </c>
      <c r="D186" t="str">
        <f t="shared" si="6"/>
        <v>X</v>
      </c>
      <c r="E186" t="str">
        <f ca="1">IFERROR(IF(AND(B186&amp;C186&amp;D186="___",INDIRECT("Inventory!A"&amp;MATCH(VLOOKUP(A186,Inventory!E:E,1,0),Inventory!E:E,0))&lt;&gt;INDIRECT("'Full Inventory'!B"&amp;MATCH(VLOOKUP(A186,'Full Inventory'!F:F,1,0),'Full Inventory'!F:F,0))),"X","_"),"_")</f>
        <v>_</v>
      </c>
      <c r="K186" t="str">
        <f t="shared" ca="1" si="7"/>
        <v>__X_</v>
      </c>
      <c r="L186" t="str">
        <f t="shared" ca="1" si="8"/>
        <v/>
      </c>
      <c r="M186" t="str">
        <f>IFERROR(INDEX(Inventory!A:A,MATCH(Scan!A186,Inventory!E:E,0)),"")</f>
        <v/>
      </c>
    </row>
    <row r="187" spans="2:13" x14ac:dyDescent="0.25">
      <c r="B187" t="str">
        <f>IF(IFERROR(VLOOKUP(TRIM(A187),Inventory!E:E,1,0),0)=0,"X","_")</f>
        <v>_</v>
      </c>
      <c r="C187" t="str">
        <f>IF(IFERROR(VLOOKUP(TRIM(A187),'Full Inventory'!F:F,1,0),0)=0,"X","_")</f>
        <v>_</v>
      </c>
      <c r="D187" t="str">
        <f t="shared" si="6"/>
        <v>X</v>
      </c>
      <c r="E187" t="str">
        <f ca="1">IFERROR(IF(AND(B187&amp;C187&amp;D187="___",INDIRECT("Inventory!A"&amp;MATCH(VLOOKUP(A187,Inventory!E:E,1,0),Inventory!E:E,0))&lt;&gt;INDIRECT("'Full Inventory'!B"&amp;MATCH(VLOOKUP(A187,'Full Inventory'!F:F,1,0),'Full Inventory'!F:F,0))),"X","_"),"_")</f>
        <v>_</v>
      </c>
      <c r="K187" t="str">
        <f t="shared" ca="1" si="7"/>
        <v>__X_</v>
      </c>
      <c r="L187" t="str">
        <f t="shared" ca="1" si="8"/>
        <v/>
      </c>
      <c r="M187" t="str">
        <f>IFERROR(INDEX(Inventory!A:A,MATCH(Scan!A187,Inventory!E:E,0)),"")</f>
        <v/>
      </c>
    </row>
    <row r="188" spans="2:13" x14ac:dyDescent="0.25">
      <c r="B188" t="str">
        <f>IF(IFERROR(VLOOKUP(TRIM(A188),Inventory!E:E,1,0),0)=0,"X","_")</f>
        <v>_</v>
      </c>
      <c r="C188" t="str">
        <f>IF(IFERROR(VLOOKUP(TRIM(A188),'Full Inventory'!F:F,1,0),0)=0,"X","_")</f>
        <v>_</v>
      </c>
      <c r="D188" t="str">
        <f t="shared" si="6"/>
        <v>X</v>
      </c>
      <c r="E188" t="str">
        <f ca="1">IFERROR(IF(AND(B188&amp;C188&amp;D188="___",INDIRECT("Inventory!A"&amp;MATCH(VLOOKUP(A188,Inventory!E:E,1,0),Inventory!E:E,0))&lt;&gt;INDIRECT("'Full Inventory'!B"&amp;MATCH(VLOOKUP(A188,'Full Inventory'!F:F,1,0),'Full Inventory'!F:F,0))),"X","_"),"_")</f>
        <v>_</v>
      </c>
      <c r="K188" t="str">
        <f t="shared" ca="1" si="7"/>
        <v>__X_</v>
      </c>
      <c r="L188" t="str">
        <f t="shared" ca="1" si="8"/>
        <v/>
      </c>
      <c r="M188" t="str">
        <f>IFERROR(INDEX(Inventory!A:A,MATCH(Scan!A188,Inventory!E:E,0)),"")</f>
        <v/>
      </c>
    </row>
    <row r="189" spans="2:13" x14ac:dyDescent="0.25">
      <c r="B189" t="str">
        <f>IF(IFERROR(VLOOKUP(TRIM(A189),Inventory!E:E,1,0),0)=0,"X","_")</f>
        <v>_</v>
      </c>
      <c r="C189" t="str">
        <f>IF(IFERROR(VLOOKUP(TRIM(A189),'Full Inventory'!F:F,1,0),0)=0,"X","_")</f>
        <v>_</v>
      </c>
      <c r="D189" t="str">
        <f t="shared" si="6"/>
        <v>X</v>
      </c>
      <c r="E189" t="str">
        <f ca="1">IFERROR(IF(AND(B189&amp;C189&amp;D189="___",INDIRECT("Inventory!A"&amp;MATCH(VLOOKUP(A189,Inventory!E:E,1,0),Inventory!E:E,0))&lt;&gt;INDIRECT("'Full Inventory'!B"&amp;MATCH(VLOOKUP(A189,'Full Inventory'!F:F,1,0),'Full Inventory'!F:F,0))),"X","_"),"_")</f>
        <v>_</v>
      </c>
      <c r="K189" t="str">
        <f t="shared" ca="1" si="7"/>
        <v>__X_</v>
      </c>
      <c r="L189" t="str">
        <f t="shared" ca="1" si="8"/>
        <v/>
      </c>
      <c r="M189" t="str">
        <f>IFERROR(INDEX(Inventory!A:A,MATCH(Scan!A189,Inventory!E:E,0)),"")</f>
        <v/>
      </c>
    </row>
    <row r="190" spans="2:13" x14ac:dyDescent="0.25">
      <c r="B190" t="str">
        <f>IF(IFERROR(VLOOKUP(TRIM(A190),Inventory!E:E,1,0),0)=0,"X","_")</f>
        <v>_</v>
      </c>
      <c r="C190" t="str">
        <f>IF(IFERROR(VLOOKUP(TRIM(A190),'Full Inventory'!F:F,1,0),0)=0,"X","_")</f>
        <v>_</v>
      </c>
      <c r="D190" t="str">
        <f t="shared" si="6"/>
        <v>X</v>
      </c>
      <c r="E190" t="str">
        <f ca="1">IFERROR(IF(AND(B190&amp;C190&amp;D190="___",INDIRECT("Inventory!A"&amp;MATCH(VLOOKUP(A190,Inventory!E:E,1,0),Inventory!E:E,0))&lt;&gt;INDIRECT("'Full Inventory'!B"&amp;MATCH(VLOOKUP(A190,'Full Inventory'!F:F,1,0),'Full Inventory'!F:F,0))),"X","_"),"_")</f>
        <v>_</v>
      </c>
      <c r="K190" t="str">
        <f t="shared" ca="1" si="7"/>
        <v>__X_</v>
      </c>
      <c r="L190" t="str">
        <f t="shared" ca="1" si="8"/>
        <v/>
      </c>
      <c r="M190" t="str">
        <f>IFERROR(INDEX(Inventory!A:A,MATCH(Scan!A190,Inventory!E:E,0)),"")</f>
        <v/>
      </c>
    </row>
    <row r="191" spans="2:13" x14ac:dyDescent="0.25">
      <c r="B191" t="str">
        <f>IF(IFERROR(VLOOKUP(TRIM(A191),Inventory!E:E,1,0),0)=0,"X","_")</f>
        <v>_</v>
      </c>
      <c r="C191" t="str">
        <f>IF(IFERROR(VLOOKUP(TRIM(A191),'Full Inventory'!F:F,1,0),0)=0,"X","_")</f>
        <v>_</v>
      </c>
      <c r="D191" t="str">
        <f t="shared" si="6"/>
        <v>X</v>
      </c>
      <c r="E191" t="str">
        <f ca="1">IFERROR(IF(AND(B191&amp;C191&amp;D191="___",INDIRECT("Inventory!A"&amp;MATCH(VLOOKUP(A191,Inventory!E:E,1,0),Inventory!E:E,0))&lt;&gt;INDIRECT("'Full Inventory'!B"&amp;MATCH(VLOOKUP(A191,'Full Inventory'!F:F,1,0),'Full Inventory'!F:F,0))),"X","_"),"_")</f>
        <v>_</v>
      </c>
      <c r="K191" t="str">
        <f t="shared" ca="1" si="7"/>
        <v>__X_</v>
      </c>
      <c r="L191" t="str">
        <f t="shared" ca="1" si="8"/>
        <v/>
      </c>
      <c r="M191" t="str">
        <f>IFERROR(INDEX(Inventory!A:A,MATCH(Scan!A191,Inventory!E:E,0)),"")</f>
        <v/>
      </c>
    </row>
    <row r="192" spans="2:13" x14ac:dyDescent="0.25">
      <c r="B192" t="str">
        <f>IF(IFERROR(VLOOKUP(TRIM(A192),Inventory!E:E,1,0),0)=0,"X","_")</f>
        <v>_</v>
      </c>
      <c r="C192" t="str">
        <f>IF(IFERROR(VLOOKUP(TRIM(A192),'Full Inventory'!F:F,1,0),0)=0,"X","_")</f>
        <v>_</v>
      </c>
      <c r="D192" t="str">
        <f t="shared" si="6"/>
        <v>X</v>
      </c>
      <c r="E192" t="str">
        <f ca="1">IFERROR(IF(AND(B192&amp;C192&amp;D192="___",INDIRECT("Inventory!A"&amp;MATCH(VLOOKUP(A192,Inventory!E:E,1,0),Inventory!E:E,0))&lt;&gt;INDIRECT("'Full Inventory'!B"&amp;MATCH(VLOOKUP(A192,'Full Inventory'!F:F,1,0),'Full Inventory'!F:F,0))),"X","_"),"_")</f>
        <v>_</v>
      </c>
      <c r="K192" t="str">
        <f t="shared" ca="1" si="7"/>
        <v>__X_</v>
      </c>
      <c r="L192" t="str">
        <f t="shared" ca="1" si="8"/>
        <v/>
      </c>
      <c r="M192" t="str">
        <f>IFERROR(INDEX(Inventory!A:A,MATCH(Scan!A192,Inventory!E:E,0)),"")</f>
        <v/>
      </c>
    </row>
    <row r="193" spans="2:13" x14ac:dyDescent="0.25">
      <c r="B193" t="str">
        <f>IF(IFERROR(VLOOKUP(TRIM(A193),Inventory!E:E,1,0),0)=0,"X","_")</f>
        <v>_</v>
      </c>
      <c r="C193" t="str">
        <f>IF(IFERROR(VLOOKUP(TRIM(A193),'Full Inventory'!F:F,1,0),0)=0,"X","_")</f>
        <v>_</v>
      </c>
      <c r="D193" t="str">
        <f t="shared" si="6"/>
        <v>X</v>
      </c>
      <c r="E193" t="str">
        <f ca="1">IFERROR(IF(AND(B193&amp;C193&amp;D193="___",INDIRECT("Inventory!A"&amp;MATCH(VLOOKUP(A193,Inventory!E:E,1,0),Inventory!E:E,0))&lt;&gt;INDIRECT("'Full Inventory'!B"&amp;MATCH(VLOOKUP(A193,'Full Inventory'!F:F,1,0),'Full Inventory'!F:F,0))),"X","_"),"_")</f>
        <v>_</v>
      </c>
      <c r="K193" t="str">
        <f t="shared" ca="1" si="7"/>
        <v>__X_</v>
      </c>
      <c r="L193" t="str">
        <f t="shared" ca="1" si="8"/>
        <v/>
      </c>
      <c r="M193" t="str">
        <f>IFERROR(INDEX(Inventory!A:A,MATCH(Scan!A193,Inventory!E:E,0)),"")</f>
        <v/>
      </c>
    </row>
    <row r="194" spans="2:13" x14ac:dyDescent="0.25">
      <c r="B194" t="str">
        <f>IF(IFERROR(VLOOKUP(TRIM(A194),Inventory!E:E,1,0),0)=0,"X","_")</f>
        <v>_</v>
      </c>
      <c r="C194" t="str">
        <f>IF(IFERROR(VLOOKUP(TRIM(A194),'Full Inventory'!F:F,1,0),0)=0,"X","_")</f>
        <v>_</v>
      </c>
      <c r="D194" t="str">
        <f t="shared" ref="D194:D257" si="9">IF(TRIM(A194)&lt;&gt;"","_","X")</f>
        <v>X</v>
      </c>
      <c r="E194" t="str">
        <f ca="1">IFERROR(IF(AND(B194&amp;C194&amp;D194="___",INDIRECT("Inventory!A"&amp;MATCH(VLOOKUP(A194,Inventory!E:E,1,0),Inventory!E:E,0))&lt;&gt;INDIRECT("'Full Inventory'!B"&amp;MATCH(VLOOKUP(A194,'Full Inventory'!F:F,1,0),'Full Inventory'!F:F,0))),"X","_"),"_")</f>
        <v>_</v>
      </c>
      <c r="K194" t="str">
        <f t="shared" ca="1" si="7"/>
        <v>__X_</v>
      </c>
      <c r="L194" t="str">
        <f t="shared" ca="1" si="8"/>
        <v/>
      </c>
      <c r="M194" t="str">
        <f>IFERROR(INDEX(Inventory!A:A,MATCH(Scan!A194,Inventory!E:E,0)),"")</f>
        <v/>
      </c>
    </row>
    <row r="195" spans="2:13" x14ac:dyDescent="0.25">
      <c r="B195" t="str">
        <f>IF(IFERROR(VLOOKUP(TRIM(A195),Inventory!E:E,1,0),0)=0,"X","_")</f>
        <v>_</v>
      </c>
      <c r="C195" t="str">
        <f>IF(IFERROR(VLOOKUP(TRIM(A195),'Full Inventory'!F:F,1,0),0)=0,"X","_")</f>
        <v>_</v>
      </c>
      <c r="D195" t="str">
        <f t="shared" si="9"/>
        <v>X</v>
      </c>
      <c r="E195" t="str">
        <f ca="1">IFERROR(IF(AND(B195&amp;C195&amp;D195="___",INDIRECT("Inventory!A"&amp;MATCH(VLOOKUP(A195,Inventory!E:E,1,0),Inventory!E:E,0))&lt;&gt;INDIRECT("'Full Inventory'!B"&amp;MATCH(VLOOKUP(A195,'Full Inventory'!F:F,1,0),'Full Inventory'!F:F,0))),"X","_"),"_")</f>
        <v>_</v>
      </c>
      <c r="K195" t="str">
        <f t="shared" ref="K195:K258" ca="1" si="10">B195&amp;C195&amp;D195&amp;E195</f>
        <v>__X_</v>
      </c>
      <c r="L195" t="str">
        <f t="shared" ref="L195:L258" ca="1" si="11">IF(K195="____","OK",IF(K195="_X__","NOT IN FULL INVENTORY",IF(K195="XX__","NOT IN FULL INVENTORY AND INVENTORY",IF(K195="X___","NOT IN INVENTORY",IF(K195="___X","DIFFERENT NAMES IN FULL INVENTORY AND INVENTORY","")))))</f>
        <v/>
      </c>
      <c r="M195" t="str">
        <f>IFERROR(INDEX(Inventory!A:A,MATCH(Scan!A195,Inventory!E:E,0)),"")</f>
        <v/>
      </c>
    </row>
    <row r="196" spans="2:13" x14ac:dyDescent="0.25">
      <c r="B196" t="str">
        <f>IF(IFERROR(VLOOKUP(TRIM(A196),Inventory!E:E,1,0),0)=0,"X","_")</f>
        <v>_</v>
      </c>
      <c r="C196" t="str">
        <f>IF(IFERROR(VLOOKUP(TRIM(A196),'Full Inventory'!F:F,1,0),0)=0,"X","_")</f>
        <v>_</v>
      </c>
      <c r="D196" t="str">
        <f t="shared" si="9"/>
        <v>X</v>
      </c>
      <c r="E196" t="str">
        <f ca="1">IFERROR(IF(AND(B196&amp;C196&amp;D196="___",INDIRECT("Inventory!A"&amp;MATCH(VLOOKUP(A196,Inventory!E:E,1,0),Inventory!E:E,0))&lt;&gt;INDIRECT("'Full Inventory'!B"&amp;MATCH(VLOOKUP(A196,'Full Inventory'!F:F,1,0),'Full Inventory'!F:F,0))),"X","_"),"_")</f>
        <v>_</v>
      </c>
      <c r="K196" t="str">
        <f t="shared" ca="1" si="10"/>
        <v>__X_</v>
      </c>
      <c r="L196" t="str">
        <f t="shared" ca="1" si="11"/>
        <v/>
      </c>
      <c r="M196" t="str">
        <f>IFERROR(INDEX(Inventory!A:A,MATCH(Scan!A196,Inventory!E:E,0)),"")</f>
        <v/>
      </c>
    </row>
    <row r="197" spans="2:13" x14ac:dyDescent="0.25">
      <c r="B197" t="str">
        <f>IF(IFERROR(VLOOKUP(TRIM(A197),Inventory!E:E,1,0),0)=0,"X","_")</f>
        <v>_</v>
      </c>
      <c r="C197" t="str">
        <f>IF(IFERROR(VLOOKUP(TRIM(A197),'Full Inventory'!F:F,1,0),0)=0,"X","_")</f>
        <v>_</v>
      </c>
      <c r="D197" t="str">
        <f t="shared" si="9"/>
        <v>X</v>
      </c>
      <c r="E197" t="str">
        <f ca="1">IFERROR(IF(AND(B197&amp;C197&amp;D197="___",INDIRECT("Inventory!A"&amp;MATCH(VLOOKUP(A197,Inventory!E:E,1,0),Inventory!E:E,0))&lt;&gt;INDIRECT("'Full Inventory'!B"&amp;MATCH(VLOOKUP(A197,'Full Inventory'!F:F,1,0),'Full Inventory'!F:F,0))),"X","_"),"_")</f>
        <v>_</v>
      </c>
      <c r="K197" t="str">
        <f t="shared" ca="1" si="10"/>
        <v>__X_</v>
      </c>
      <c r="L197" t="str">
        <f t="shared" ca="1" si="11"/>
        <v/>
      </c>
      <c r="M197" t="str">
        <f>IFERROR(INDEX(Inventory!A:A,MATCH(Scan!A197,Inventory!E:E,0)),"")</f>
        <v/>
      </c>
    </row>
    <row r="198" spans="2:13" x14ac:dyDescent="0.25">
      <c r="B198" t="str">
        <f>IF(IFERROR(VLOOKUP(TRIM(A198),Inventory!E:E,1,0),0)=0,"X","_")</f>
        <v>_</v>
      </c>
      <c r="C198" t="str">
        <f>IF(IFERROR(VLOOKUP(TRIM(A198),'Full Inventory'!F:F,1,0),0)=0,"X","_")</f>
        <v>_</v>
      </c>
      <c r="D198" t="str">
        <f t="shared" si="9"/>
        <v>X</v>
      </c>
      <c r="E198" t="str">
        <f ca="1">IFERROR(IF(AND(B198&amp;C198&amp;D198="___",INDIRECT("Inventory!A"&amp;MATCH(VLOOKUP(A198,Inventory!E:E,1,0),Inventory!E:E,0))&lt;&gt;INDIRECT("'Full Inventory'!B"&amp;MATCH(VLOOKUP(A198,'Full Inventory'!F:F,1,0),'Full Inventory'!F:F,0))),"X","_"),"_")</f>
        <v>_</v>
      </c>
      <c r="K198" t="str">
        <f t="shared" ca="1" si="10"/>
        <v>__X_</v>
      </c>
      <c r="L198" t="str">
        <f t="shared" ca="1" si="11"/>
        <v/>
      </c>
      <c r="M198" t="str">
        <f>IFERROR(INDEX(Inventory!A:A,MATCH(Scan!A198,Inventory!E:E,0)),"")</f>
        <v/>
      </c>
    </row>
    <row r="199" spans="2:13" x14ac:dyDescent="0.25">
      <c r="B199" t="str">
        <f>IF(IFERROR(VLOOKUP(TRIM(A199),Inventory!E:E,1,0),0)=0,"X","_")</f>
        <v>_</v>
      </c>
      <c r="C199" t="str">
        <f>IF(IFERROR(VLOOKUP(TRIM(A199),'Full Inventory'!F:F,1,0),0)=0,"X","_")</f>
        <v>_</v>
      </c>
      <c r="D199" t="str">
        <f t="shared" si="9"/>
        <v>X</v>
      </c>
      <c r="E199" t="str">
        <f ca="1">IFERROR(IF(AND(B199&amp;C199&amp;D199="___",INDIRECT("Inventory!A"&amp;MATCH(VLOOKUP(A199,Inventory!E:E,1,0),Inventory!E:E,0))&lt;&gt;INDIRECT("'Full Inventory'!B"&amp;MATCH(VLOOKUP(A199,'Full Inventory'!F:F,1,0),'Full Inventory'!F:F,0))),"X","_"),"_")</f>
        <v>_</v>
      </c>
      <c r="K199" t="str">
        <f t="shared" ca="1" si="10"/>
        <v>__X_</v>
      </c>
      <c r="L199" t="str">
        <f t="shared" ca="1" si="11"/>
        <v/>
      </c>
      <c r="M199" t="str">
        <f>IFERROR(INDEX(Inventory!A:A,MATCH(Scan!A199,Inventory!E:E,0)),"")</f>
        <v/>
      </c>
    </row>
    <row r="200" spans="2:13" x14ac:dyDescent="0.25">
      <c r="B200" t="str">
        <f>IF(IFERROR(VLOOKUP(TRIM(A200),Inventory!E:E,1,0),0)=0,"X","_")</f>
        <v>_</v>
      </c>
      <c r="C200" t="str">
        <f>IF(IFERROR(VLOOKUP(TRIM(A200),'Full Inventory'!F:F,1,0),0)=0,"X","_")</f>
        <v>_</v>
      </c>
      <c r="D200" t="str">
        <f t="shared" si="9"/>
        <v>X</v>
      </c>
      <c r="E200" t="str">
        <f ca="1">IFERROR(IF(AND(B200&amp;C200&amp;D200="___",INDIRECT("Inventory!A"&amp;MATCH(VLOOKUP(A200,Inventory!E:E,1,0),Inventory!E:E,0))&lt;&gt;INDIRECT("'Full Inventory'!B"&amp;MATCH(VLOOKUP(A200,'Full Inventory'!F:F,1,0),'Full Inventory'!F:F,0))),"X","_"),"_")</f>
        <v>_</v>
      </c>
      <c r="K200" t="str">
        <f t="shared" ca="1" si="10"/>
        <v>__X_</v>
      </c>
      <c r="L200" t="str">
        <f t="shared" ca="1" si="11"/>
        <v/>
      </c>
      <c r="M200" t="str">
        <f>IFERROR(INDEX(Inventory!A:A,MATCH(Scan!A200,Inventory!E:E,0)),"")</f>
        <v/>
      </c>
    </row>
    <row r="201" spans="2:13" x14ac:dyDescent="0.25">
      <c r="B201" t="str">
        <f>IF(IFERROR(VLOOKUP(TRIM(A201),Inventory!E:E,1,0),0)=0,"X","_")</f>
        <v>_</v>
      </c>
      <c r="C201" t="str">
        <f>IF(IFERROR(VLOOKUP(TRIM(A201),'Full Inventory'!F:F,1,0),0)=0,"X","_")</f>
        <v>_</v>
      </c>
      <c r="D201" t="str">
        <f t="shared" si="9"/>
        <v>X</v>
      </c>
      <c r="E201" t="str">
        <f ca="1">IFERROR(IF(AND(B201&amp;C201&amp;D201="___",INDIRECT("Inventory!A"&amp;MATCH(VLOOKUP(A201,Inventory!E:E,1,0),Inventory!E:E,0))&lt;&gt;INDIRECT("'Full Inventory'!B"&amp;MATCH(VLOOKUP(A201,'Full Inventory'!F:F,1,0),'Full Inventory'!F:F,0))),"X","_"),"_")</f>
        <v>_</v>
      </c>
      <c r="K201" t="str">
        <f t="shared" ca="1" si="10"/>
        <v>__X_</v>
      </c>
      <c r="L201" t="str">
        <f t="shared" ca="1" si="11"/>
        <v/>
      </c>
      <c r="M201" t="str">
        <f>IFERROR(INDEX(Inventory!A:A,MATCH(Scan!A201,Inventory!E:E,0)),"")</f>
        <v/>
      </c>
    </row>
    <row r="202" spans="2:13" x14ac:dyDescent="0.25">
      <c r="B202" t="str">
        <f>IF(IFERROR(VLOOKUP(TRIM(A202),Inventory!E:E,1,0),0)=0,"X","_")</f>
        <v>_</v>
      </c>
      <c r="C202" t="str">
        <f>IF(IFERROR(VLOOKUP(TRIM(A202),'Full Inventory'!F:F,1,0),0)=0,"X","_")</f>
        <v>_</v>
      </c>
      <c r="D202" t="str">
        <f t="shared" si="9"/>
        <v>X</v>
      </c>
      <c r="E202" t="str">
        <f ca="1">IFERROR(IF(AND(B202&amp;C202&amp;D202="___",INDIRECT("Inventory!A"&amp;MATCH(VLOOKUP(A202,Inventory!E:E,1,0),Inventory!E:E,0))&lt;&gt;INDIRECT("'Full Inventory'!B"&amp;MATCH(VLOOKUP(A202,'Full Inventory'!F:F,1,0),'Full Inventory'!F:F,0))),"X","_"),"_")</f>
        <v>_</v>
      </c>
      <c r="K202" t="str">
        <f t="shared" ca="1" si="10"/>
        <v>__X_</v>
      </c>
      <c r="L202" t="str">
        <f t="shared" ca="1" si="11"/>
        <v/>
      </c>
      <c r="M202" t="str">
        <f>IFERROR(INDEX(Inventory!A:A,MATCH(Scan!A202,Inventory!E:E,0)),"")</f>
        <v/>
      </c>
    </row>
    <row r="203" spans="2:13" x14ac:dyDescent="0.25">
      <c r="B203" t="str">
        <f>IF(IFERROR(VLOOKUP(TRIM(A203),Inventory!E:E,1,0),0)=0,"X","_")</f>
        <v>_</v>
      </c>
      <c r="C203" t="str">
        <f>IF(IFERROR(VLOOKUP(TRIM(A203),'Full Inventory'!F:F,1,0),0)=0,"X","_")</f>
        <v>_</v>
      </c>
      <c r="D203" t="str">
        <f t="shared" si="9"/>
        <v>X</v>
      </c>
      <c r="E203" t="str">
        <f ca="1">IFERROR(IF(AND(B203&amp;C203&amp;D203="___",INDIRECT("Inventory!A"&amp;MATCH(VLOOKUP(A203,Inventory!E:E,1,0),Inventory!E:E,0))&lt;&gt;INDIRECT("'Full Inventory'!B"&amp;MATCH(VLOOKUP(A203,'Full Inventory'!F:F,1,0),'Full Inventory'!F:F,0))),"X","_"),"_")</f>
        <v>_</v>
      </c>
      <c r="K203" t="str">
        <f t="shared" ca="1" si="10"/>
        <v>__X_</v>
      </c>
      <c r="L203" t="str">
        <f t="shared" ca="1" si="11"/>
        <v/>
      </c>
      <c r="M203" t="str">
        <f>IFERROR(INDEX(Inventory!A:A,MATCH(Scan!A203,Inventory!E:E,0)),"")</f>
        <v/>
      </c>
    </row>
    <row r="204" spans="2:13" x14ac:dyDescent="0.25">
      <c r="B204" t="str">
        <f>IF(IFERROR(VLOOKUP(TRIM(A204),Inventory!E:E,1,0),0)=0,"X","_")</f>
        <v>_</v>
      </c>
      <c r="C204" t="str">
        <f>IF(IFERROR(VLOOKUP(TRIM(A204),'Full Inventory'!F:F,1,0),0)=0,"X","_")</f>
        <v>_</v>
      </c>
      <c r="D204" t="str">
        <f t="shared" si="9"/>
        <v>X</v>
      </c>
      <c r="E204" t="str">
        <f ca="1">IFERROR(IF(AND(B204&amp;C204&amp;D204="___",INDIRECT("Inventory!A"&amp;MATCH(VLOOKUP(A204,Inventory!E:E,1,0),Inventory!E:E,0))&lt;&gt;INDIRECT("'Full Inventory'!B"&amp;MATCH(VLOOKUP(A204,'Full Inventory'!F:F,1,0),'Full Inventory'!F:F,0))),"X","_"),"_")</f>
        <v>_</v>
      </c>
      <c r="K204" t="str">
        <f t="shared" ca="1" si="10"/>
        <v>__X_</v>
      </c>
      <c r="L204" t="str">
        <f t="shared" ca="1" si="11"/>
        <v/>
      </c>
      <c r="M204" t="str">
        <f>IFERROR(INDEX(Inventory!A:A,MATCH(Scan!A204,Inventory!E:E,0)),"")</f>
        <v/>
      </c>
    </row>
    <row r="205" spans="2:13" x14ac:dyDescent="0.25">
      <c r="B205" t="str">
        <f>IF(IFERROR(VLOOKUP(TRIM(A205),Inventory!E:E,1,0),0)=0,"X","_")</f>
        <v>_</v>
      </c>
      <c r="C205" t="str">
        <f>IF(IFERROR(VLOOKUP(TRIM(A205),'Full Inventory'!F:F,1,0),0)=0,"X","_")</f>
        <v>_</v>
      </c>
      <c r="D205" t="str">
        <f t="shared" si="9"/>
        <v>X</v>
      </c>
      <c r="E205" t="str">
        <f ca="1">IFERROR(IF(AND(B205&amp;C205&amp;D205="___",INDIRECT("Inventory!A"&amp;MATCH(VLOOKUP(A205,Inventory!E:E,1,0),Inventory!E:E,0))&lt;&gt;INDIRECT("'Full Inventory'!B"&amp;MATCH(VLOOKUP(A205,'Full Inventory'!F:F,1,0),'Full Inventory'!F:F,0))),"X","_"),"_")</f>
        <v>_</v>
      </c>
      <c r="K205" t="str">
        <f t="shared" ca="1" si="10"/>
        <v>__X_</v>
      </c>
      <c r="L205" t="str">
        <f t="shared" ca="1" si="11"/>
        <v/>
      </c>
      <c r="M205" t="str">
        <f>IFERROR(INDEX(Inventory!A:A,MATCH(Scan!A205,Inventory!E:E,0)),"")</f>
        <v/>
      </c>
    </row>
    <row r="206" spans="2:13" x14ac:dyDescent="0.25">
      <c r="B206" t="str">
        <f>IF(IFERROR(VLOOKUP(TRIM(A206),Inventory!E:E,1,0),0)=0,"X","_")</f>
        <v>_</v>
      </c>
      <c r="C206" t="str">
        <f>IF(IFERROR(VLOOKUP(TRIM(A206),'Full Inventory'!F:F,1,0),0)=0,"X","_")</f>
        <v>_</v>
      </c>
      <c r="D206" t="str">
        <f t="shared" si="9"/>
        <v>X</v>
      </c>
      <c r="E206" t="str">
        <f ca="1">IFERROR(IF(AND(B206&amp;C206&amp;D206="___",INDIRECT("Inventory!A"&amp;MATCH(VLOOKUP(A206,Inventory!E:E,1,0),Inventory!E:E,0))&lt;&gt;INDIRECT("'Full Inventory'!B"&amp;MATCH(VLOOKUP(A206,'Full Inventory'!F:F,1,0),'Full Inventory'!F:F,0))),"X","_"),"_")</f>
        <v>_</v>
      </c>
      <c r="K206" t="str">
        <f t="shared" ca="1" si="10"/>
        <v>__X_</v>
      </c>
      <c r="L206" t="str">
        <f t="shared" ca="1" si="11"/>
        <v/>
      </c>
      <c r="M206" t="str">
        <f>IFERROR(INDEX(Inventory!A:A,MATCH(Scan!A206,Inventory!E:E,0)),"")</f>
        <v/>
      </c>
    </row>
    <row r="207" spans="2:13" x14ac:dyDescent="0.25">
      <c r="B207" t="str">
        <f>IF(IFERROR(VLOOKUP(TRIM(A207),Inventory!E:E,1,0),0)=0,"X","_")</f>
        <v>_</v>
      </c>
      <c r="C207" t="str">
        <f>IF(IFERROR(VLOOKUP(TRIM(A207),'Full Inventory'!F:F,1,0),0)=0,"X","_")</f>
        <v>_</v>
      </c>
      <c r="D207" t="str">
        <f t="shared" si="9"/>
        <v>X</v>
      </c>
      <c r="E207" t="str">
        <f ca="1">IFERROR(IF(AND(B207&amp;C207&amp;D207="___",INDIRECT("Inventory!A"&amp;MATCH(VLOOKUP(A207,Inventory!E:E,1,0),Inventory!E:E,0))&lt;&gt;INDIRECT("'Full Inventory'!B"&amp;MATCH(VLOOKUP(A207,'Full Inventory'!F:F,1,0),'Full Inventory'!F:F,0))),"X","_"),"_")</f>
        <v>_</v>
      </c>
      <c r="K207" t="str">
        <f t="shared" ca="1" si="10"/>
        <v>__X_</v>
      </c>
      <c r="L207" t="str">
        <f t="shared" ca="1" si="11"/>
        <v/>
      </c>
      <c r="M207" t="str">
        <f>IFERROR(INDEX(Inventory!A:A,MATCH(Scan!A207,Inventory!E:E,0)),"")</f>
        <v/>
      </c>
    </row>
    <row r="208" spans="2:13" x14ac:dyDescent="0.25">
      <c r="B208" t="str">
        <f>IF(IFERROR(VLOOKUP(TRIM(A208),Inventory!E:E,1,0),0)=0,"X","_")</f>
        <v>_</v>
      </c>
      <c r="C208" t="str">
        <f>IF(IFERROR(VLOOKUP(TRIM(A208),'Full Inventory'!F:F,1,0),0)=0,"X","_")</f>
        <v>_</v>
      </c>
      <c r="D208" t="str">
        <f t="shared" si="9"/>
        <v>X</v>
      </c>
      <c r="E208" t="str">
        <f ca="1">IFERROR(IF(AND(B208&amp;C208&amp;D208="___",INDIRECT("Inventory!A"&amp;MATCH(VLOOKUP(A208,Inventory!E:E,1,0),Inventory!E:E,0))&lt;&gt;INDIRECT("'Full Inventory'!B"&amp;MATCH(VLOOKUP(A208,'Full Inventory'!F:F,1,0),'Full Inventory'!F:F,0))),"X","_"),"_")</f>
        <v>_</v>
      </c>
      <c r="K208" t="str">
        <f t="shared" ca="1" si="10"/>
        <v>__X_</v>
      </c>
      <c r="L208" t="str">
        <f t="shared" ca="1" si="11"/>
        <v/>
      </c>
      <c r="M208" t="str">
        <f>IFERROR(INDEX(Inventory!A:A,MATCH(Scan!A208,Inventory!E:E,0)),"")</f>
        <v/>
      </c>
    </row>
    <row r="209" spans="2:13" x14ac:dyDescent="0.25">
      <c r="B209" t="str">
        <f>IF(IFERROR(VLOOKUP(TRIM(A209),Inventory!E:E,1,0),0)=0,"X","_")</f>
        <v>_</v>
      </c>
      <c r="C209" t="str">
        <f>IF(IFERROR(VLOOKUP(TRIM(A209),'Full Inventory'!F:F,1,0),0)=0,"X","_")</f>
        <v>_</v>
      </c>
      <c r="D209" t="str">
        <f t="shared" si="9"/>
        <v>X</v>
      </c>
      <c r="E209" t="str">
        <f ca="1">IFERROR(IF(AND(B209&amp;C209&amp;D209="___",INDIRECT("Inventory!A"&amp;MATCH(VLOOKUP(A209,Inventory!E:E,1,0),Inventory!E:E,0))&lt;&gt;INDIRECT("'Full Inventory'!B"&amp;MATCH(VLOOKUP(A209,'Full Inventory'!F:F,1,0),'Full Inventory'!F:F,0))),"X","_"),"_")</f>
        <v>_</v>
      </c>
      <c r="K209" t="str">
        <f t="shared" ca="1" si="10"/>
        <v>__X_</v>
      </c>
      <c r="L209" t="str">
        <f t="shared" ca="1" si="11"/>
        <v/>
      </c>
      <c r="M209" t="str">
        <f>IFERROR(INDEX(Inventory!A:A,MATCH(Scan!A209,Inventory!E:E,0)),"")</f>
        <v/>
      </c>
    </row>
    <row r="210" spans="2:13" x14ac:dyDescent="0.25">
      <c r="B210" t="str">
        <f>IF(IFERROR(VLOOKUP(TRIM(A210),Inventory!E:E,1,0),0)=0,"X","_")</f>
        <v>_</v>
      </c>
      <c r="C210" t="str">
        <f>IF(IFERROR(VLOOKUP(TRIM(A210),'Full Inventory'!F:F,1,0),0)=0,"X","_")</f>
        <v>_</v>
      </c>
      <c r="D210" t="str">
        <f t="shared" si="9"/>
        <v>X</v>
      </c>
      <c r="E210" t="str">
        <f ca="1">IFERROR(IF(AND(B210&amp;C210&amp;D210="___",INDIRECT("Inventory!A"&amp;MATCH(VLOOKUP(A210,Inventory!E:E,1,0),Inventory!E:E,0))&lt;&gt;INDIRECT("'Full Inventory'!B"&amp;MATCH(VLOOKUP(A210,'Full Inventory'!F:F,1,0),'Full Inventory'!F:F,0))),"X","_"),"_")</f>
        <v>_</v>
      </c>
      <c r="K210" t="str">
        <f t="shared" ca="1" si="10"/>
        <v>__X_</v>
      </c>
      <c r="L210" t="str">
        <f t="shared" ca="1" si="11"/>
        <v/>
      </c>
      <c r="M210" t="str">
        <f>IFERROR(INDEX(Inventory!A:A,MATCH(Scan!A210,Inventory!E:E,0)),"")</f>
        <v/>
      </c>
    </row>
    <row r="211" spans="2:13" x14ac:dyDescent="0.25">
      <c r="B211" t="str">
        <f>IF(IFERROR(VLOOKUP(TRIM(A211),Inventory!E:E,1,0),0)=0,"X","_")</f>
        <v>_</v>
      </c>
      <c r="C211" t="str">
        <f>IF(IFERROR(VLOOKUP(TRIM(A211),'Full Inventory'!F:F,1,0),0)=0,"X","_")</f>
        <v>_</v>
      </c>
      <c r="D211" t="str">
        <f t="shared" si="9"/>
        <v>X</v>
      </c>
      <c r="E211" t="str">
        <f ca="1">IFERROR(IF(AND(B211&amp;C211&amp;D211="___",INDIRECT("Inventory!A"&amp;MATCH(VLOOKUP(A211,Inventory!E:E,1,0),Inventory!E:E,0))&lt;&gt;INDIRECT("'Full Inventory'!B"&amp;MATCH(VLOOKUP(A211,'Full Inventory'!F:F,1,0),'Full Inventory'!F:F,0))),"X","_"),"_")</f>
        <v>_</v>
      </c>
      <c r="K211" t="str">
        <f t="shared" ca="1" si="10"/>
        <v>__X_</v>
      </c>
      <c r="L211" t="str">
        <f t="shared" ca="1" si="11"/>
        <v/>
      </c>
      <c r="M211" t="str">
        <f>IFERROR(INDEX(Inventory!A:A,MATCH(Scan!A211,Inventory!E:E,0)),"")</f>
        <v/>
      </c>
    </row>
    <row r="212" spans="2:13" x14ac:dyDescent="0.25">
      <c r="B212" t="str">
        <f>IF(IFERROR(VLOOKUP(TRIM(A212),Inventory!E:E,1,0),0)=0,"X","_")</f>
        <v>_</v>
      </c>
      <c r="C212" t="str">
        <f>IF(IFERROR(VLOOKUP(TRIM(A212),'Full Inventory'!F:F,1,0),0)=0,"X","_")</f>
        <v>_</v>
      </c>
      <c r="D212" t="str">
        <f t="shared" si="9"/>
        <v>X</v>
      </c>
      <c r="E212" t="str">
        <f ca="1">IFERROR(IF(AND(B212&amp;C212&amp;D212="___",INDIRECT("Inventory!A"&amp;MATCH(VLOOKUP(A212,Inventory!E:E,1,0),Inventory!E:E,0))&lt;&gt;INDIRECT("'Full Inventory'!B"&amp;MATCH(VLOOKUP(A212,'Full Inventory'!F:F,1,0),'Full Inventory'!F:F,0))),"X","_"),"_")</f>
        <v>_</v>
      </c>
      <c r="K212" t="str">
        <f t="shared" ca="1" si="10"/>
        <v>__X_</v>
      </c>
      <c r="L212" t="str">
        <f t="shared" ca="1" si="11"/>
        <v/>
      </c>
      <c r="M212" t="str">
        <f>IFERROR(INDEX(Inventory!A:A,MATCH(Scan!A212,Inventory!E:E,0)),"")</f>
        <v/>
      </c>
    </row>
    <row r="213" spans="2:13" x14ac:dyDescent="0.25">
      <c r="B213" t="str">
        <f>IF(IFERROR(VLOOKUP(TRIM(A213),Inventory!E:E,1,0),0)=0,"X","_")</f>
        <v>_</v>
      </c>
      <c r="C213" t="str">
        <f>IF(IFERROR(VLOOKUP(TRIM(A213),'Full Inventory'!F:F,1,0),0)=0,"X","_")</f>
        <v>_</v>
      </c>
      <c r="D213" t="str">
        <f t="shared" si="9"/>
        <v>X</v>
      </c>
      <c r="E213" t="str">
        <f ca="1">IFERROR(IF(AND(B213&amp;C213&amp;D213="___",INDIRECT("Inventory!A"&amp;MATCH(VLOOKUP(A213,Inventory!E:E,1,0),Inventory!E:E,0))&lt;&gt;INDIRECT("'Full Inventory'!B"&amp;MATCH(VLOOKUP(A213,'Full Inventory'!F:F,1,0),'Full Inventory'!F:F,0))),"X","_"),"_")</f>
        <v>_</v>
      </c>
      <c r="K213" t="str">
        <f t="shared" ca="1" si="10"/>
        <v>__X_</v>
      </c>
      <c r="L213" t="str">
        <f t="shared" ca="1" si="11"/>
        <v/>
      </c>
      <c r="M213" t="str">
        <f>IFERROR(INDEX(Inventory!A:A,MATCH(Scan!A213,Inventory!E:E,0)),"")</f>
        <v/>
      </c>
    </row>
    <row r="214" spans="2:13" x14ac:dyDescent="0.25">
      <c r="B214" t="str">
        <f>IF(IFERROR(VLOOKUP(TRIM(A214),Inventory!E:E,1,0),0)=0,"X","_")</f>
        <v>_</v>
      </c>
      <c r="C214" t="str">
        <f>IF(IFERROR(VLOOKUP(TRIM(A214),'Full Inventory'!F:F,1,0),0)=0,"X","_")</f>
        <v>_</v>
      </c>
      <c r="D214" t="str">
        <f t="shared" si="9"/>
        <v>X</v>
      </c>
      <c r="E214" t="str">
        <f ca="1">IFERROR(IF(AND(B214&amp;C214&amp;D214="___",INDIRECT("Inventory!A"&amp;MATCH(VLOOKUP(A214,Inventory!E:E,1,0),Inventory!E:E,0))&lt;&gt;INDIRECT("'Full Inventory'!B"&amp;MATCH(VLOOKUP(A214,'Full Inventory'!F:F,1,0),'Full Inventory'!F:F,0))),"X","_"),"_")</f>
        <v>_</v>
      </c>
      <c r="K214" t="str">
        <f t="shared" ca="1" si="10"/>
        <v>__X_</v>
      </c>
      <c r="L214" t="str">
        <f t="shared" ca="1" si="11"/>
        <v/>
      </c>
      <c r="M214" t="str">
        <f>IFERROR(INDEX(Inventory!A:A,MATCH(Scan!A214,Inventory!E:E,0)),"")</f>
        <v/>
      </c>
    </row>
    <row r="215" spans="2:13" x14ac:dyDescent="0.25">
      <c r="B215" t="str">
        <f>IF(IFERROR(VLOOKUP(TRIM(A215),Inventory!E:E,1,0),0)=0,"X","_")</f>
        <v>_</v>
      </c>
      <c r="C215" t="str">
        <f>IF(IFERROR(VLOOKUP(TRIM(A215),'Full Inventory'!F:F,1,0),0)=0,"X","_")</f>
        <v>_</v>
      </c>
      <c r="D215" t="str">
        <f t="shared" si="9"/>
        <v>X</v>
      </c>
      <c r="E215" t="str">
        <f ca="1">IFERROR(IF(AND(B215&amp;C215&amp;D215="___",INDIRECT("Inventory!A"&amp;MATCH(VLOOKUP(A215,Inventory!E:E,1,0),Inventory!E:E,0))&lt;&gt;INDIRECT("'Full Inventory'!B"&amp;MATCH(VLOOKUP(A215,'Full Inventory'!F:F,1,0),'Full Inventory'!F:F,0))),"X","_"),"_")</f>
        <v>_</v>
      </c>
      <c r="K215" t="str">
        <f t="shared" ca="1" si="10"/>
        <v>__X_</v>
      </c>
      <c r="L215" t="str">
        <f t="shared" ca="1" si="11"/>
        <v/>
      </c>
      <c r="M215" t="str">
        <f>IFERROR(INDEX(Inventory!A:A,MATCH(Scan!A215,Inventory!E:E,0)),"")</f>
        <v/>
      </c>
    </row>
    <row r="216" spans="2:13" x14ac:dyDescent="0.25">
      <c r="B216" t="str">
        <f>IF(IFERROR(VLOOKUP(TRIM(A216),Inventory!E:E,1,0),0)=0,"X","_")</f>
        <v>_</v>
      </c>
      <c r="C216" t="str">
        <f>IF(IFERROR(VLOOKUP(TRIM(A216),'Full Inventory'!F:F,1,0),0)=0,"X","_")</f>
        <v>_</v>
      </c>
      <c r="D216" t="str">
        <f t="shared" si="9"/>
        <v>X</v>
      </c>
      <c r="E216" t="str">
        <f ca="1">IFERROR(IF(AND(B216&amp;C216&amp;D216="___",INDIRECT("Inventory!A"&amp;MATCH(VLOOKUP(A216,Inventory!E:E,1,0),Inventory!E:E,0))&lt;&gt;INDIRECT("'Full Inventory'!B"&amp;MATCH(VLOOKUP(A216,'Full Inventory'!F:F,1,0),'Full Inventory'!F:F,0))),"X","_"),"_")</f>
        <v>_</v>
      </c>
      <c r="K216" t="str">
        <f t="shared" ca="1" si="10"/>
        <v>__X_</v>
      </c>
      <c r="L216" t="str">
        <f t="shared" ca="1" si="11"/>
        <v/>
      </c>
      <c r="M216" t="str">
        <f>IFERROR(INDEX(Inventory!A:A,MATCH(Scan!A216,Inventory!E:E,0)),"")</f>
        <v/>
      </c>
    </row>
    <row r="217" spans="2:13" x14ac:dyDescent="0.25">
      <c r="B217" t="str">
        <f>IF(IFERROR(VLOOKUP(TRIM(A217),Inventory!E:E,1,0),0)=0,"X","_")</f>
        <v>_</v>
      </c>
      <c r="C217" t="str">
        <f>IF(IFERROR(VLOOKUP(TRIM(A217),'Full Inventory'!F:F,1,0),0)=0,"X","_")</f>
        <v>_</v>
      </c>
      <c r="D217" t="str">
        <f t="shared" si="9"/>
        <v>X</v>
      </c>
      <c r="E217" t="str">
        <f ca="1">IFERROR(IF(AND(B217&amp;C217&amp;D217="___",INDIRECT("Inventory!A"&amp;MATCH(VLOOKUP(A217,Inventory!E:E,1,0),Inventory!E:E,0))&lt;&gt;INDIRECT("'Full Inventory'!B"&amp;MATCH(VLOOKUP(A217,'Full Inventory'!F:F,1,0),'Full Inventory'!F:F,0))),"X","_"),"_")</f>
        <v>_</v>
      </c>
      <c r="K217" t="str">
        <f t="shared" ca="1" si="10"/>
        <v>__X_</v>
      </c>
      <c r="L217" t="str">
        <f t="shared" ca="1" si="11"/>
        <v/>
      </c>
      <c r="M217" t="str">
        <f>IFERROR(INDEX(Inventory!A:A,MATCH(Scan!A217,Inventory!E:E,0)),"")</f>
        <v/>
      </c>
    </row>
    <row r="218" spans="2:13" x14ac:dyDescent="0.25">
      <c r="B218" t="str">
        <f>IF(IFERROR(VLOOKUP(TRIM(A218),Inventory!E:E,1,0),0)=0,"X","_")</f>
        <v>_</v>
      </c>
      <c r="C218" t="str">
        <f>IF(IFERROR(VLOOKUP(TRIM(A218),'Full Inventory'!F:F,1,0),0)=0,"X","_")</f>
        <v>_</v>
      </c>
      <c r="D218" t="str">
        <f t="shared" si="9"/>
        <v>X</v>
      </c>
      <c r="E218" t="str">
        <f ca="1">IFERROR(IF(AND(B218&amp;C218&amp;D218="___",INDIRECT("Inventory!A"&amp;MATCH(VLOOKUP(A218,Inventory!E:E,1,0),Inventory!E:E,0))&lt;&gt;INDIRECT("'Full Inventory'!B"&amp;MATCH(VLOOKUP(A218,'Full Inventory'!F:F,1,0),'Full Inventory'!F:F,0))),"X","_"),"_")</f>
        <v>_</v>
      </c>
      <c r="K218" t="str">
        <f t="shared" ca="1" si="10"/>
        <v>__X_</v>
      </c>
      <c r="L218" t="str">
        <f t="shared" ca="1" si="11"/>
        <v/>
      </c>
      <c r="M218" t="str">
        <f>IFERROR(INDEX(Inventory!A:A,MATCH(Scan!A218,Inventory!E:E,0)),"")</f>
        <v/>
      </c>
    </row>
    <row r="219" spans="2:13" x14ac:dyDescent="0.25">
      <c r="B219" t="str">
        <f>IF(IFERROR(VLOOKUP(TRIM(A219),Inventory!E:E,1,0),0)=0,"X","_")</f>
        <v>_</v>
      </c>
      <c r="C219" t="str">
        <f>IF(IFERROR(VLOOKUP(TRIM(A219),'Full Inventory'!F:F,1,0),0)=0,"X","_")</f>
        <v>_</v>
      </c>
      <c r="D219" t="str">
        <f t="shared" si="9"/>
        <v>X</v>
      </c>
      <c r="E219" t="str">
        <f ca="1">IFERROR(IF(AND(B219&amp;C219&amp;D219="___",INDIRECT("Inventory!A"&amp;MATCH(VLOOKUP(A219,Inventory!E:E,1,0),Inventory!E:E,0))&lt;&gt;INDIRECT("'Full Inventory'!B"&amp;MATCH(VLOOKUP(A219,'Full Inventory'!F:F,1,0),'Full Inventory'!F:F,0))),"X","_"),"_")</f>
        <v>_</v>
      </c>
      <c r="K219" t="str">
        <f t="shared" ca="1" si="10"/>
        <v>__X_</v>
      </c>
      <c r="L219" t="str">
        <f t="shared" ca="1" si="11"/>
        <v/>
      </c>
      <c r="M219" t="str">
        <f>IFERROR(INDEX(Inventory!A:A,MATCH(Scan!A219,Inventory!E:E,0)),"")</f>
        <v/>
      </c>
    </row>
    <row r="220" spans="2:13" x14ac:dyDescent="0.25">
      <c r="B220" t="str">
        <f>IF(IFERROR(VLOOKUP(TRIM(A220),Inventory!E:E,1,0),0)=0,"X","_")</f>
        <v>_</v>
      </c>
      <c r="C220" t="str">
        <f>IF(IFERROR(VLOOKUP(TRIM(A220),'Full Inventory'!F:F,1,0),0)=0,"X","_")</f>
        <v>_</v>
      </c>
      <c r="D220" t="str">
        <f t="shared" si="9"/>
        <v>X</v>
      </c>
      <c r="E220" t="str">
        <f ca="1">IFERROR(IF(AND(B220&amp;C220&amp;D220="___",INDIRECT("Inventory!A"&amp;MATCH(VLOOKUP(A220,Inventory!E:E,1,0),Inventory!E:E,0))&lt;&gt;INDIRECT("'Full Inventory'!B"&amp;MATCH(VLOOKUP(A220,'Full Inventory'!F:F,1,0),'Full Inventory'!F:F,0))),"X","_"),"_")</f>
        <v>_</v>
      </c>
      <c r="K220" t="str">
        <f t="shared" ca="1" si="10"/>
        <v>__X_</v>
      </c>
      <c r="L220" t="str">
        <f t="shared" ca="1" si="11"/>
        <v/>
      </c>
      <c r="M220" t="str">
        <f>IFERROR(INDEX(Inventory!A:A,MATCH(Scan!A220,Inventory!E:E,0)),"")</f>
        <v/>
      </c>
    </row>
    <row r="221" spans="2:13" x14ac:dyDescent="0.25">
      <c r="B221" t="str">
        <f>IF(IFERROR(VLOOKUP(TRIM(A221),Inventory!E:E,1,0),0)=0,"X","_")</f>
        <v>_</v>
      </c>
      <c r="C221" t="str">
        <f>IF(IFERROR(VLOOKUP(TRIM(A221),'Full Inventory'!F:F,1,0),0)=0,"X","_")</f>
        <v>_</v>
      </c>
      <c r="D221" t="str">
        <f t="shared" si="9"/>
        <v>X</v>
      </c>
      <c r="E221" t="str">
        <f ca="1">IFERROR(IF(AND(B221&amp;C221&amp;D221="___",INDIRECT("Inventory!A"&amp;MATCH(VLOOKUP(A221,Inventory!E:E,1,0),Inventory!E:E,0))&lt;&gt;INDIRECT("'Full Inventory'!B"&amp;MATCH(VLOOKUP(A221,'Full Inventory'!F:F,1,0),'Full Inventory'!F:F,0))),"X","_"),"_")</f>
        <v>_</v>
      </c>
      <c r="K221" t="str">
        <f t="shared" ca="1" si="10"/>
        <v>__X_</v>
      </c>
      <c r="L221" t="str">
        <f t="shared" ca="1" si="11"/>
        <v/>
      </c>
      <c r="M221" t="str">
        <f>IFERROR(INDEX(Inventory!A:A,MATCH(Scan!A221,Inventory!E:E,0)),"")</f>
        <v/>
      </c>
    </row>
    <row r="222" spans="2:13" x14ac:dyDescent="0.25">
      <c r="B222" t="str">
        <f>IF(IFERROR(VLOOKUP(TRIM(A222),Inventory!E:E,1,0),0)=0,"X","_")</f>
        <v>_</v>
      </c>
      <c r="C222" t="str">
        <f>IF(IFERROR(VLOOKUP(TRIM(A222),'Full Inventory'!F:F,1,0),0)=0,"X","_")</f>
        <v>_</v>
      </c>
      <c r="D222" t="str">
        <f t="shared" si="9"/>
        <v>X</v>
      </c>
      <c r="E222" t="str">
        <f ca="1">IFERROR(IF(AND(B222&amp;C222&amp;D222="___",INDIRECT("Inventory!A"&amp;MATCH(VLOOKUP(A222,Inventory!E:E,1,0),Inventory!E:E,0))&lt;&gt;INDIRECT("'Full Inventory'!B"&amp;MATCH(VLOOKUP(A222,'Full Inventory'!F:F,1,0),'Full Inventory'!F:F,0))),"X","_"),"_")</f>
        <v>_</v>
      </c>
      <c r="K222" t="str">
        <f t="shared" ca="1" si="10"/>
        <v>__X_</v>
      </c>
      <c r="L222" t="str">
        <f t="shared" ca="1" si="11"/>
        <v/>
      </c>
      <c r="M222" t="str">
        <f>IFERROR(INDEX(Inventory!A:A,MATCH(Scan!A222,Inventory!E:E,0)),"")</f>
        <v/>
      </c>
    </row>
    <row r="223" spans="2:13" x14ac:dyDescent="0.25">
      <c r="B223" t="str">
        <f>IF(IFERROR(VLOOKUP(TRIM(A223),Inventory!E:E,1,0),0)=0,"X","_")</f>
        <v>_</v>
      </c>
      <c r="C223" t="str">
        <f>IF(IFERROR(VLOOKUP(TRIM(A223),'Full Inventory'!F:F,1,0),0)=0,"X","_")</f>
        <v>_</v>
      </c>
      <c r="D223" t="str">
        <f t="shared" si="9"/>
        <v>X</v>
      </c>
      <c r="E223" t="str">
        <f ca="1">IFERROR(IF(AND(B223&amp;C223&amp;D223="___",INDIRECT("Inventory!A"&amp;MATCH(VLOOKUP(A223,Inventory!E:E,1,0),Inventory!E:E,0))&lt;&gt;INDIRECT("'Full Inventory'!B"&amp;MATCH(VLOOKUP(A223,'Full Inventory'!F:F,1,0),'Full Inventory'!F:F,0))),"X","_"),"_")</f>
        <v>_</v>
      </c>
      <c r="K223" t="str">
        <f t="shared" ca="1" si="10"/>
        <v>__X_</v>
      </c>
      <c r="L223" t="str">
        <f t="shared" ca="1" si="11"/>
        <v/>
      </c>
      <c r="M223" t="str">
        <f>IFERROR(INDEX(Inventory!A:A,MATCH(Scan!A223,Inventory!E:E,0)),"")</f>
        <v/>
      </c>
    </row>
    <row r="224" spans="2:13" x14ac:dyDescent="0.25">
      <c r="B224" t="str">
        <f>IF(IFERROR(VLOOKUP(TRIM(A224),Inventory!E:E,1,0),0)=0,"X","_")</f>
        <v>_</v>
      </c>
      <c r="C224" t="str">
        <f>IF(IFERROR(VLOOKUP(TRIM(A224),'Full Inventory'!F:F,1,0),0)=0,"X","_")</f>
        <v>_</v>
      </c>
      <c r="D224" t="str">
        <f t="shared" si="9"/>
        <v>X</v>
      </c>
      <c r="E224" t="str">
        <f ca="1">IFERROR(IF(AND(B224&amp;C224&amp;D224="___",INDIRECT("Inventory!A"&amp;MATCH(VLOOKUP(A224,Inventory!E:E,1,0),Inventory!E:E,0))&lt;&gt;INDIRECT("'Full Inventory'!B"&amp;MATCH(VLOOKUP(A224,'Full Inventory'!F:F,1,0),'Full Inventory'!F:F,0))),"X","_"),"_")</f>
        <v>_</v>
      </c>
      <c r="K224" t="str">
        <f t="shared" ca="1" si="10"/>
        <v>__X_</v>
      </c>
      <c r="L224" t="str">
        <f t="shared" ca="1" si="11"/>
        <v/>
      </c>
      <c r="M224" t="str">
        <f>IFERROR(INDEX(Inventory!A:A,MATCH(Scan!A224,Inventory!E:E,0)),"")</f>
        <v/>
      </c>
    </row>
    <row r="225" spans="2:13" x14ac:dyDescent="0.25">
      <c r="B225" t="str">
        <f>IF(IFERROR(VLOOKUP(TRIM(A225),Inventory!E:E,1,0),0)=0,"X","_")</f>
        <v>_</v>
      </c>
      <c r="C225" t="str">
        <f>IF(IFERROR(VLOOKUP(TRIM(A225),'Full Inventory'!F:F,1,0),0)=0,"X","_")</f>
        <v>_</v>
      </c>
      <c r="D225" t="str">
        <f t="shared" si="9"/>
        <v>X</v>
      </c>
      <c r="E225" t="str">
        <f ca="1">IFERROR(IF(AND(B225&amp;C225&amp;D225="___",INDIRECT("Inventory!A"&amp;MATCH(VLOOKUP(A225,Inventory!E:E,1,0),Inventory!E:E,0))&lt;&gt;INDIRECT("'Full Inventory'!B"&amp;MATCH(VLOOKUP(A225,'Full Inventory'!F:F,1,0),'Full Inventory'!F:F,0))),"X","_"),"_")</f>
        <v>_</v>
      </c>
      <c r="K225" t="str">
        <f t="shared" ca="1" si="10"/>
        <v>__X_</v>
      </c>
      <c r="L225" t="str">
        <f t="shared" ca="1" si="11"/>
        <v/>
      </c>
      <c r="M225" t="str">
        <f>IFERROR(INDEX(Inventory!A:A,MATCH(Scan!A225,Inventory!E:E,0)),"")</f>
        <v/>
      </c>
    </row>
    <row r="226" spans="2:13" x14ac:dyDescent="0.25">
      <c r="B226" t="str">
        <f>IF(IFERROR(VLOOKUP(TRIM(A226),Inventory!E:E,1,0),0)=0,"X","_")</f>
        <v>_</v>
      </c>
      <c r="C226" t="str">
        <f>IF(IFERROR(VLOOKUP(TRIM(A226),'Full Inventory'!F:F,1,0),0)=0,"X","_")</f>
        <v>_</v>
      </c>
      <c r="D226" t="str">
        <f t="shared" si="9"/>
        <v>X</v>
      </c>
      <c r="E226" t="str">
        <f ca="1">IFERROR(IF(AND(B226&amp;C226&amp;D226="___",INDIRECT("Inventory!A"&amp;MATCH(VLOOKUP(A226,Inventory!E:E,1,0),Inventory!E:E,0))&lt;&gt;INDIRECT("'Full Inventory'!B"&amp;MATCH(VLOOKUP(A226,'Full Inventory'!F:F,1,0),'Full Inventory'!F:F,0))),"X","_"),"_")</f>
        <v>_</v>
      </c>
      <c r="K226" t="str">
        <f t="shared" ca="1" si="10"/>
        <v>__X_</v>
      </c>
      <c r="L226" t="str">
        <f t="shared" ca="1" si="11"/>
        <v/>
      </c>
      <c r="M226" t="str">
        <f>IFERROR(INDEX(Inventory!A:A,MATCH(Scan!A226,Inventory!E:E,0)),"")</f>
        <v/>
      </c>
    </row>
    <row r="227" spans="2:13" x14ac:dyDescent="0.25">
      <c r="B227" t="str">
        <f>IF(IFERROR(VLOOKUP(TRIM(A227),Inventory!E:E,1,0),0)=0,"X","_")</f>
        <v>_</v>
      </c>
      <c r="C227" t="str">
        <f>IF(IFERROR(VLOOKUP(TRIM(A227),'Full Inventory'!F:F,1,0),0)=0,"X","_")</f>
        <v>_</v>
      </c>
      <c r="D227" t="str">
        <f t="shared" si="9"/>
        <v>X</v>
      </c>
      <c r="E227" t="str">
        <f ca="1">IFERROR(IF(AND(B227&amp;C227&amp;D227="___",INDIRECT("Inventory!A"&amp;MATCH(VLOOKUP(A227,Inventory!E:E,1,0),Inventory!E:E,0))&lt;&gt;INDIRECT("'Full Inventory'!B"&amp;MATCH(VLOOKUP(A227,'Full Inventory'!F:F,1,0),'Full Inventory'!F:F,0))),"X","_"),"_")</f>
        <v>_</v>
      </c>
      <c r="K227" t="str">
        <f t="shared" ca="1" si="10"/>
        <v>__X_</v>
      </c>
      <c r="L227" t="str">
        <f t="shared" ca="1" si="11"/>
        <v/>
      </c>
      <c r="M227" t="str">
        <f>IFERROR(INDEX(Inventory!A:A,MATCH(Scan!A227,Inventory!E:E,0)),"")</f>
        <v/>
      </c>
    </row>
    <row r="228" spans="2:13" x14ac:dyDescent="0.25">
      <c r="B228" t="str">
        <f>IF(IFERROR(VLOOKUP(TRIM(A228),Inventory!E:E,1,0),0)=0,"X","_")</f>
        <v>_</v>
      </c>
      <c r="C228" t="str">
        <f>IF(IFERROR(VLOOKUP(TRIM(A228),'Full Inventory'!F:F,1,0),0)=0,"X","_")</f>
        <v>_</v>
      </c>
      <c r="D228" t="str">
        <f t="shared" si="9"/>
        <v>X</v>
      </c>
      <c r="E228" t="str">
        <f ca="1">IFERROR(IF(AND(B228&amp;C228&amp;D228="___",INDIRECT("Inventory!A"&amp;MATCH(VLOOKUP(A228,Inventory!E:E,1,0),Inventory!E:E,0))&lt;&gt;INDIRECT("'Full Inventory'!B"&amp;MATCH(VLOOKUP(A228,'Full Inventory'!F:F,1,0),'Full Inventory'!F:F,0))),"X","_"),"_")</f>
        <v>_</v>
      </c>
      <c r="K228" t="str">
        <f t="shared" ca="1" si="10"/>
        <v>__X_</v>
      </c>
      <c r="L228" t="str">
        <f t="shared" ca="1" si="11"/>
        <v/>
      </c>
      <c r="M228" t="str">
        <f>IFERROR(INDEX(Inventory!A:A,MATCH(Scan!A228,Inventory!E:E,0)),"")</f>
        <v/>
      </c>
    </row>
    <row r="229" spans="2:13" x14ac:dyDescent="0.25">
      <c r="B229" t="str">
        <f>IF(IFERROR(VLOOKUP(TRIM(A229),Inventory!E:E,1,0),0)=0,"X","_")</f>
        <v>_</v>
      </c>
      <c r="C229" t="str">
        <f>IF(IFERROR(VLOOKUP(TRIM(A229),'Full Inventory'!F:F,1,0),0)=0,"X","_")</f>
        <v>_</v>
      </c>
      <c r="D229" t="str">
        <f t="shared" si="9"/>
        <v>X</v>
      </c>
      <c r="E229" t="str">
        <f ca="1">IFERROR(IF(AND(B229&amp;C229&amp;D229="___",INDIRECT("Inventory!A"&amp;MATCH(VLOOKUP(A229,Inventory!E:E,1,0),Inventory!E:E,0))&lt;&gt;INDIRECT("'Full Inventory'!B"&amp;MATCH(VLOOKUP(A229,'Full Inventory'!F:F,1,0),'Full Inventory'!F:F,0))),"X","_"),"_")</f>
        <v>_</v>
      </c>
      <c r="K229" t="str">
        <f t="shared" ca="1" si="10"/>
        <v>__X_</v>
      </c>
      <c r="L229" t="str">
        <f t="shared" ca="1" si="11"/>
        <v/>
      </c>
      <c r="M229" t="str">
        <f>IFERROR(INDEX(Inventory!A:A,MATCH(Scan!A229,Inventory!E:E,0)),"")</f>
        <v/>
      </c>
    </row>
    <row r="230" spans="2:13" x14ac:dyDescent="0.25">
      <c r="B230" t="str">
        <f>IF(IFERROR(VLOOKUP(TRIM(A230),Inventory!E:E,1,0),0)=0,"X","_")</f>
        <v>_</v>
      </c>
      <c r="C230" t="str">
        <f>IF(IFERROR(VLOOKUP(TRIM(A230),'Full Inventory'!F:F,1,0),0)=0,"X","_")</f>
        <v>_</v>
      </c>
      <c r="D230" t="str">
        <f t="shared" si="9"/>
        <v>X</v>
      </c>
      <c r="E230" t="str">
        <f ca="1">IFERROR(IF(AND(B230&amp;C230&amp;D230="___",INDIRECT("Inventory!A"&amp;MATCH(VLOOKUP(A230,Inventory!E:E,1,0),Inventory!E:E,0))&lt;&gt;INDIRECT("'Full Inventory'!B"&amp;MATCH(VLOOKUP(A230,'Full Inventory'!F:F,1,0),'Full Inventory'!F:F,0))),"X","_"),"_")</f>
        <v>_</v>
      </c>
      <c r="K230" t="str">
        <f t="shared" ca="1" si="10"/>
        <v>__X_</v>
      </c>
      <c r="L230" t="str">
        <f t="shared" ca="1" si="11"/>
        <v/>
      </c>
      <c r="M230" t="str">
        <f>IFERROR(INDEX(Inventory!A:A,MATCH(Scan!A230,Inventory!E:E,0)),"")</f>
        <v/>
      </c>
    </row>
    <row r="231" spans="2:13" x14ac:dyDescent="0.25">
      <c r="B231" t="str">
        <f>IF(IFERROR(VLOOKUP(TRIM(A231),Inventory!E:E,1,0),0)=0,"X","_")</f>
        <v>_</v>
      </c>
      <c r="C231" t="str">
        <f>IF(IFERROR(VLOOKUP(TRIM(A231),'Full Inventory'!F:F,1,0),0)=0,"X","_")</f>
        <v>_</v>
      </c>
      <c r="D231" t="str">
        <f t="shared" si="9"/>
        <v>X</v>
      </c>
      <c r="E231" t="str">
        <f ca="1">IFERROR(IF(AND(B231&amp;C231&amp;D231="___",INDIRECT("Inventory!A"&amp;MATCH(VLOOKUP(A231,Inventory!E:E,1,0),Inventory!E:E,0))&lt;&gt;INDIRECT("'Full Inventory'!B"&amp;MATCH(VLOOKUP(A231,'Full Inventory'!F:F,1,0),'Full Inventory'!F:F,0))),"X","_"),"_")</f>
        <v>_</v>
      </c>
      <c r="K231" t="str">
        <f t="shared" ca="1" si="10"/>
        <v>__X_</v>
      </c>
      <c r="L231" t="str">
        <f t="shared" ca="1" si="11"/>
        <v/>
      </c>
      <c r="M231" t="str">
        <f>IFERROR(INDEX(Inventory!A:A,MATCH(Scan!A231,Inventory!E:E,0)),"")</f>
        <v/>
      </c>
    </row>
    <row r="232" spans="2:13" x14ac:dyDescent="0.25">
      <c r="B232" t="str">
        <f>IF(IFERROR(VLOOKUP(TRIM(A232),Inventory!E:E,1,0),0)=0,"X","_")</f>
        <v>_</v>
      </c>
      <c r="C232" t="str">
        <f>IF(IFERROR(VLOOKUP(TRIM(A232),'Full Inventory'!F:F,1,0),0)=0,"X","_")</f>
        <v>_</v>
      </c>
      <c r="D232" t="str">
        <f t="shared" si="9"/>
        <v>X</v>
      </c>
      <c r="E232" t="str">
        <f ca="1">IFERROR(IF(AND(B232&amp;C232&amp;D232="___",INDIRECT("Inventory!A"&amp;MATCH(VLOOKUP(A232,Inventory!E:E,1,0),Inventory!E:E,0))&lt;&gt;INDIRECT("'Full Inventory'!B"&amp;MATCH(VLOOKUP(A232,'Full Inventory'!F:F,1,0),'Full Inventory'!F:F,0))),"X","_"),"_")</f>
        <v>_</v>
      </c>
      <c r="K232" t="str">
        <f t="shared" ca="1" si="10"/>
        <v>__X_</v>
      </c>
      <c r="L232" t="str">
        <f t="shared" ca="1" si="11"/>
        <v/>
      </c>
      <c r="M232" t="str">
        <f>IFERROR(INDEX(Inventory!A:A,MATCH(Scan!A232,Inventory!E:E,0)),"")</f>
        <v/>
      </c>
    </row>
    <row r="233" spans="2:13" x14ac:dyDescent="0.25">
      <c r="B233" t="str">
        <f>IF(IFERROR(VLOOKUP(TRIM(A233),Inventory!E:E,1,0),0)=0,"X","_")</f>
        <v>_</v>
      </c>
      <c r="C233" t="str">
        <f>IF(IFERROR(VLOOKUP(TRIM(A233),'Full Inventory'!F:F,1,0),0)=0,"X","_")</f>
        <v>_</v>
      </c>
      <c r="D233" t="str">
        <f t="shared" si="9"/>
        <v>X</v>
      </c>
      <c r="E233" t="str">
        <f ca="1">IFERROR(IF(AND(B233&amp;C233&amp;D233="___",INDIRECT("Inventory!A"&amp;MATCH(VLOOKUP(A233,Inventory!E:E,1,0),Inventory!E:E,0))&lt;&gt;INDIRECT("'Full Inventory'!B"&amp;MATCH(VLOOKUP(A233,'Full Inventory'!F:F,1,0),'Full Inventory'!F:F,0))),"X","_"),"_")</f>
        <v>_</v>
      </c>
      <c r="K233" t="str">
        <f t="shared" ca="1" si="10"/>
        <v>__X_</v>
      </c>
      <c r="L233" t="str">
        <f t="shared" ca="1" si="11"/>
        <v/>
      </c>
      <c r="M233" t="str">
        <f>IFERROR(INDEX(Inventory!A:A,MATCH(Scan!A233,Inventory!E:E,0)),"")</f>
        <v/>
      </c>
    </row>
    <row r="234" spans="2:13" x14ac:dyDescent="0.25">
      <c r="B234" t="str">
        <f>IF(IFERROR(VLOOKUP(TRIM(A234),Inventory!E:E,1,0),0)=0,"X","_")</f>
        <v>_</v>
      </c>
      <c r="C234" t="str">
        <f>IF(IFERROR(VLOOKUP(TRIM(A234),'Full Inventory'!F:F,1,0),0)=0,"X","_")</f>
        <v>_</v>
      </c>
      <c r="D234" t="str">
        <f t="shared" si="9"/>
        <v>X</v>
      </c>
      <c r="E234" t="str">
        <f ca="1">IFERROR(IF(AND(B234&amp;C234&amp;D234="___",INDIRECT("Inventory!A"&amp;MATCH(VLOOKUP(A234,Inventory!E:E,1,0),Inventory!E:E,0))&lt;&gt;INDIRECT("'Full Inventory'!B"&amp;MATCH(VLOOKUP(A234,'Full Inventory'!F:F,1,0),'Full Inventory'!F:F,0))),"X","_"),"_")</f>
        <v>_</v>
      </c>
      <c r="K234" t="str">
        <f t="shared" ca="1" si="10"/>
        <v>__X_</v>
      </c>
      <c r="L234" t="str">
        <f t="shared" ca="1" si="11"/>
        <v/>
      </c>
      <c r="M234" t="str">
        <f>IFERROR(INDEX(Inventory!A:A,MATCH(Scan!A234,Inventory!E:E,0)),"")</f>
        <v/>
      </c>
    </row>
    <row r="235" spans="2:13" x14ac:dyDescent="0.25">
      <c r="B235" t="str">
        <f>IF(IFERROR(VLOOKUP(TRIM(A235),Inventory!E:E,1,0),0)=0,"X","_")</f>
        <v>_</v>
      </c>
      <c r="C235" t="str">
        <f>IF(IFERROR(VLOOKUP(TRIM(A235),'Full Inventory'!F:F,1,0),0)=0,"X","_")</f>
        <v>_</v>
      </c>
      <c r="D235" t="str">
        <f t="shared" si="9"/>
        <v>X</v>
      </c>
      <c r="E235" t="str">
        <f ca="1">IFERROR(IF(AND(B235&amp;C235&amp;D235="___",INDIRECT("Inventory!A"&amp;MATCH(VLOOKUP(A235,Inventory!E:E,1,0),Inventory!E:E,0))&lt;&gt;INDIRECT("'Full Inventory'!B"&amp;MATCH(VLOOKUP(A235,'Full Inventory'!F:F,1,0),'Full Inventory'!F:F,0))),"X","_"),"_")</f>
        <v>_</v>
      </c>
      <c r="K235" t="str">
        <f t="shared" ca="1" si="10"/>
        <v>__X_</v>
      </c>
      <c r="L235" t="str">
        <f t="shared" ca="1" si="11"/>
        <v/>
      </c>
      <c r="M235" t="str">
        <f>IFERROR(INDEX(Inventory!A:A,MATCH(Scan!A235,Inventory!E:E,0)),"")</f>
        <v/>
      </c>
    </row>
    <row r="236" spans="2:13" x14ac:dyDescent="0.25">
      <c r="B236" t="str">
        <f>IF(IFERROR(VLOOKUP(TRIM(A236),Inventory!E:E,1,0),0)=0,"X","_")</f>
        <v>_</v>
      </c>
      <c r="C236" t="str">
        <f>IF(IFERROR(VLOOKUP(TRIM(A236),'Full Inventory'!F:F,1,0),0)=0,"X","_")</f>
        <v>_</v>
      </c>
      <c r="D236" t="str">
        <f t="shared" si="9"/>
        <v>X</v>
      </c>
      <c r="E236" t="str">
        <f ca="1">IFERROR(IF(AND(B236&amp;C236&amp;D236="___",INDIRECT("Inventory!A"&amp;MATCH(VLOOKUP(A236,Inventory!E:E,1,0),Inventory!E:E,0))&lt;&gt;INDIRECT("'Full Inventory'!B"&amp;MATCH(VLOOKUP(A236,'Full Inventory'!F:F,1,0),'Full Inventory'!F:F,0))),"X","_"),"_")</f>
        <v>_</v>
      </c>
      <c r="K236" t="str">
        <f t="shared" ca="1" si="10"/>
        <v>__X_</v>
      </c>
      <c r="L236" t="str">
        <f t="shared" ca="1" si="11"/>
        <v/>
      </c>
      <c r="M236" t="str">
        <f>IFERROR(INDEX(Inventory!A:A,MATCH(Scan!A236,Inventory!E:E,0)),"")</f>
        <v/>
      </c>
    </row>
    <row r="237" spans="2:13" x14ac:dyDescent="0.25">
      <c r="B237" t="str">
        <f>IF(IFERROR(VLOOKUP(TRIM(A237),Inventory!E:E,1,0),0)=0,"X","_")</f>
        <v>_</v>
      </c>
      <c r="C237" t="str">
        <f>IF(IFERROR(VLOOKUP(TRIM(A237),'Full Inventory'!F:F,1,0),0)=0,"X","_")</f>
        <v>_</v>
      </c>
      <c r="D237" t="str">
        <f t="shared" si="9"/>
        <v>X</v>
      </c>
      <c r="E237" t="str">
        <f ca="1">IFERROR(IF(AND(B237&amp;C237&amp;D237="___",INDIRECT("Inventory!A"&amp;MATCH(VLOOKUP(A237,Inventory!E:E,1,0),Inventory!E:E,0))&lt;&gt;INDIRECT("'Full Inventory'!B"&amp;MATCH(VLOOKUP(A237,'Full Inventory'!F:F,1,0),'Full Inventory'!F:F,0))),"X","_"),"_")</f>
        <v>_</v>
      </c>
      <c r="K237" t="str">
        <f t="shared" ca="1" si="10"/>
        <v>__X_</v>
      </c>
      <c r="L237" t="str">
        <f t="shared" ca="1" si="11"/>
        <v/>
      </c>
      <c r="M237" t="str">
        <f>IFERROR(INDEX(Inventory!A:A,MATCH(Scan!A237,Inventory!E:E,0)),"")</f>
        <v/>
      </c>
    </row>
    <row r="238" spans="2:13" x14ac:dyDescent="0.25">
      <c r="B238" t="str">
        <f>IF(IFERROR(VLOOKUP(TRIM(A238),Inventory!E:E,1,0),0)=0,"X","_")</f>
        <v>_</v>
      </c>
      <c r="C238" t="str">
        <f>IF(IFERROR(VLOOKUP(TRIM(A238),'Full Inventory'!F:F,1,0),0)=0,"X","_")</f>
        <v>_</v>
      </c>
      <c r="D238" t="str">
        <f t="shared" si="9"/>
        <v>X</v>
      </c>
      <c r="E238" t="str">
        <f ca="1">IFERROR(IF(AND(B238&amp;C238&amp;D238="___",INDIRECT("Inventory!A"&amp;MATCH(VLOOKUP(A238,Inventory!E:E,1,0),Inventory!E:E,0))&lt;&gt;INDIRECT("'Full Inventory'!B"&amp;MATCH(VLOOKUP(A238,'Full Inventory'!F:F,1,0),'Full Inventory'!F:F,0))),"X","_"),"_")</f>
        <v>_</v>
      </c>
      <c r="K238" t="str">
        <f t="shared" ca="1" si="10"/>
        <v>__X_</v>
      </c>
      <c r="L238" t="str">
        <f t="shared" ca="1" si="11"/>
        <v/>
      </c>
      <c r="M238" t="str">
        <f>IFERROR(INDEX(Inventory!A:A,MATCH(Scan!A238,Inventory!E:E,0)),"")</f>
        <v/>
      </c>
    </row>
    <row r="239" spans="2:13" x14ac:dyDescent="0.25">
      <c r="B239" t="str">
        <f>IF(IFERROR(VLOOKUP(TRIM(A239),Inventory!E:E,1,0),0)=0,"X","_")</f>
        <v>_</v>
      </c>
      <c r="C239" t="str">
        <f>IF(IFERROR(VLOOKUP(TRIM(A239),'Full Inventory'!F:F,1,0),0)=0,"X","_")</f>
        <v>_</v>
      </c>
      <c r="D239" t="str">
        <f t="shared" si="9"/>
        <v>X</v>
      </c>
      <c r="E239" t="str">
        <f ca="1">IFERROR(IF(AND(B239&amp;C239&amp;D239="___",INDIRECT("Inventory!A"&amp;MATCH(VLOOKUP(A239,Inventory!E:E,1,0),Inventory!E:E,0))&lt;&gt;INDIRECT("'Full Inventory'!B"&amp;MATCH(VLOOKUP(A239,'Full Inventory'!F:F,1,0),'Full Inventory'!F:F,0))),"X","_"),"_")</f>
        <v>_</v>
      </c>
      <c r="K239" t="str">
        <f t="shared" ca="1" si="10"/>
        <v>__X_</v>
      </c>
      <c r="L239" t="str">
        <f t="shared" ca="1" si="11"/>
        <v/>
      </c>
      <c r="M239" t="str">
        <f>IFERROR(INDEX(Inventory!A:A,MATCH(Scan!A239,Inventory!E:E,0)),"")</f>
        <v/>
      </c>
    </row>
    <row r="240" spans="2:13" x14ac:dyDescent="0.25">
      <c r="B240" t="str">
        <f>IF(IFERROR(VLOOKUP(TRIM(A240),Inventory!E:E,1,0),0)=0,"X","_")</f>
        <v>_</v>
      </c>
      <c r="C240" t="str">
        <f>IF(IFERROR(VLOOKUP(TRIM(A240),'Full Inventory'!F:F,1,0),0)=0,"X","_")</f>
        <v>_</v>
      </c>
      <c r="D240" t="str">
        <f t="shared" si="9"/>
        <v>X</v>
      </c>
      <c r="E240" t="str">
        <f ca="1">IFERROR(IF(AND(B240&amp;C240&amp;D240="___",INDIRECT("Inventory!A"&amp;MATCH(VLOOKUP(A240,Inventory!E:E,1,0),Inventory!E:E,0))&lt;&gt;INDIRECT("'Full Inventory'!B"&amp;MATCH(VLOOKUP(A240,'Full Inventory'!F:F,1,0),'Full Inventory'!F:F,0))),"X","_"),"_")</f>
        <v>_</v>
      </c>
      <c r="K240" t="str">
        <f t="shared" ca="1" si="10"/>
        <v>__X_</v>
      </c>
      <c r="L240" t="str">
        <f t="shared" ca="1" si="11"/>
        <v/>
      </c>
      <c r="M240" t="str">
        <f>IFERROR(INDEX(Inventory!A:A,MATCH(Scan!A240,Inventory!E:E,0)),"")</f>
        <v/>
      </c>
    </row>
    <row r="241" spans="2:13" x14ac:dyDescent="0.25">
      <c r="B241" t="str">
        <f>IF(IFERROR(VLOOKUP(TRIM(A241),Inventory!E:E,1,0),0)=0,"X","_")</f>
        <v>_</v>
      </c>
      <c r="C241" t="str">
        <f>IF(IFERROR(VLOOKUP(TRIM(A241),'Full Inventory'!F:F,1,0),0)=0,"X","_")</f>
        <v>_</v>
      </c>
      <c r="D241" t="str">
        <f t="shared" si="9"/>
        <v>X</v>
      </c>
      <c r="E241" t="str">
        <f ca="1">IFERROR(IF(AND(B241&amp;C241&amp;D241="___",INDIRECT("Inventory!A"&amp;MATCH(VLOOKUP(A241,Inventory!E:E,1,0),Inventory!E:E,0))&lt;&gt;INDIRECT("'Full Inventory'!B"&amp;MATCH(VLOOKUP(A241,'Full Inventory'!F:F,1,0),'Full Inventory'!F:F,0))),"X","_"),"_")</f>
        <v>_</v>
      </c>
      <c r="K241" t="str">
        <f t="shared" ca="1" si="10"/>
        <v>__X_</v>
      </c>
      <c r="L241" t="str">
        <f t="shared" ca="1" si="11"/>
        <v/>
      </c>
      <c r="M241" t="str">
        <f>IFERROR(INDEX(Inventory!A:A,MATCH(Scan!A241,Inventory!E:E,0)),"")</f>
        <v/>
      </c>
    </row>
    <row r="242" spans="2:13" x14ac:dyDescent="0.25">
      <c r="B242" t="str">
        <f>IF(IFERROR(VLOOKUP(TRIM(A242),Inventory!E:E,1,0),0)=0,"X","_")</f>
        <v>_</v>
      </c>
      <c r="C242" t="str">
        <f>IF(IFERROR(VLOOKUP(TRIM(A242),'Full Inventory'!F:F,1,0),0)=0,"X","_")</f>
        <v>_</v>
      </c>
      <c r="D242" t="str">
        <f t="shared" si="9"/>
        <v>X</v>
      </c>
      <c r="E242" t="str">
        <f ca="1">IFERROR(IF(AND(B242&amp;C242&amp;D242="___",INDIRECT("Inventory!A"&amp;MATCH(VLOOKUP(A242,Inventory!E:E,1,0),Inventory!E:E,0))&lt;&gt;INDIRECT("'Full Inventory'!B"&amp;MATCH(VLOOKUP(A242,'Full Inventory'!F:F,1,0),'Full Inventory'!F:F,0))),"X","_"),"_")</f>
        <v>_</v>
      </c>
      <c r="K242" t="str">
        <f t="shared" ca="1" si="10"/>
        <v>__X_</v>
      </c>
      <c r="L242" t="str">
        <f t="shared" ca="1" si="11"/>
        <v/>
      </c>
      <c r="M242" t="str">
        <f>IFERROR(INDEX(Inventory!A:A,MATCH(Scan!A242,Inventory!E:E,0)),"")</f>
        <v/>
      </c>
    </row>
    <row r="243" spans="2:13" x14ac:dyDescent="0.25">
      <c r="B243" t="str">
        <f>IF(IFERROR(VLOOKUP(TRIM(A243),Inventory!E:E,1,0),0)=0,"X","_")</f>
        <v>_</v>
      </c>
      <c r="C243" t="str">
        <f>IF(IFERROR(VLOOKUP(TRIM(A243),'Full Inventory'!F:F,1,0),0)=0,"X","_")</f>
        <v>_</v>
      </c>
      <c r="D243" t="str">
        <f t="shared" si="9"/>
        <v>X</v>
      </c>
      <c r="E243" t="str">
        <f ca="1">IFERROR(IF(AND(B243&amp;C243&amp;D243="___",INDIRECT("Inventory!A"&amp;MATCH(VLOOKUP(A243,Inventory!E:E,1,0),Inventory!E:E,0))&lt;&gt;INDIRECT("'Full Inventory'!B"&amp;MATCH(VLOOKUP(A243,'Full Inventory'!F:F,1,0),'Full Inventory'!F:F,0))),"X","_"),"_")</f>
        <v>_</v>
      </c>
      <c r="K243" t="str">
        <f t="shared" ca="1" si="10"/>
        <v>__X_</v>
      </c>
      <c r="L243" t="str">
        <f t="shared" ca="1" si="11"/>
        <v/>
      </c>
      <c r="M243" t="str">
        <f>IFERROR(INDEX(Inventory!A:A,MATCH(Scan!A243,Inventory!E:E,0)),"")</f>
        <v/>
      </c>
    </row>
    <row r="244" spans="2:13" x14ac:dyDescent="0.25">
      <c r="B244" t="str">
        <f>IF(IFERROR(VLOOKUP(TRIM(A244),Inventory!E:E,1,0),0)=0,"X","_")</f>
        <v>_</v>
      </c>
      <c r="C244" t="str">
        <f>IF(IFERROR(VLOOKUP(TRIM(A244),'Full Inventory'!F:F,1,0),0)=0,"X","_")</f>
        <v>_</v>
      </c>
      <c r="D244" t="str">
        <f t="shared" si="9"/>
        <v>X</v>
      </c>
      <c r="E244" t="str">
        <f ca="1">IFERROR(IF(AND(B244&amp;C244&amp;D244="___",INDIRECT("Inventory!A"&amp;MATCH(VLOOKUP(A244,Inventory!E:E,1,0),Inventory!E:E,0))&lt;&gt;INDIRECT("'Full Inventory'!B"&amp;MATCH(VLOOKUP(A244,'Full Inventory'!F:F,1,0),'Full Inventory'!F:F,0))),"X","_"),"_")</f>
        <v>_</v>
      </c>
      <c r="K244" t="str">
        <f t="shared" ca="1" si="10"/>
        <v>__X_</v>
      </c>
      <c r="L244" t="str">
        <f t="shared" ca="1" si="11"/>
        <v/>
      </c>
      <c r="M244" t="str">
        <f>IFERROR(INDEX(Inventory!A:A,MATCH(Scan!A244,Inventory!E:E,0)),"")</f>
        <v/>
      </c>
    </row>
    <row r="245" spans="2:13" x14ac:dyDescent="0.25">
      <c r="B245" t="str">
        <f>IF(IFERROR(VLOOKUP(TRIM(A245),Inventory!E:E,1,0),0)=0,"X","_")</f>
        <v>_</v>
      </c>
      <c r="C245" t="str">
        <f>IF(IFERROR(VLOOKUP(TRIM(A245),'Full Inventory'!F:F,1,0),0)=0,"X","_")</f>
        <v>_</v>
      </c>
      <c r="D245" t="str">
        <f t="shared" si="9"/>
        <v>X</v>
      </c>
      <c r="E245" t="str">
        <f ca="1">IFERROR(IF(AND(B245&amp;C245&amp;D245="___",INDIRECT("Inventory!A"&amp;MATCH(VLOOKUP(A245,Inventory!E:E,1,0),Inventory!E:E,0))&lt;&gt;INDIRECT("'Full Inventory'!B"&amp;MATCH(VLOOKUP(A245,'Full Inventory'!F:F,1,0),'Full Inventory'!F:F,0))),"X","_"),"_")</f>
        <v>_</v>
      </c>
      <c r="K245" t="str">
        <f t="shared" ca="1" si="10"/>
        <v>__X_</v>
      </c>
      <c r="L245" t="str">
        <f t="shared" ca="1" si="11"/>
        <v/>
      </c>
      <c r="M245" t="str">
        <f>IFERROR(INDEX(Inventory!A:A,MATCH(Scan!A245,Inventory!E:E,0)),"")</f>
        <v/>
      </c>
    </row>
    <row r="246" spans="2:13" x14ac:dyDescent="0.25">
      <c r="B246" t="str">
        <f>IF(IFERROR(VLOOKUP(TRIM(A246),Inventory!E:E,1,0),0)=0,"X","_")</f>
        <v>_</v>
      </c>
      <c r="C246" t="str">
        <f>IF(IFERROR(VLOOKUP(TRIM(A246),'Full Inventory'!F:F,1,0),0)=0,"X","_")</f>
        <v>_</v>
      </c>
      <c r="D246" t="str">
        <f t="shared" si="9"/>
        <v>X</v>
      </c>
      <c r="E246" t="str">
        <f ca="1">IFERROR(IF(AND(B246&amp;C246&amp;D246="___",INDIRECT("Inventory!A"&amp;MATCH(VLOOKUP(A246,Inventory!E:E,1,0),Inventory!E:E,0))&lt;&gt;INDIRECT("'Full Inventory'!B"&amp;MATCH(VLOOKUP(A246,'Full Inventory'!F:F,1,0),'Full Inventory'!F:F,0))),"X","_"),"_")</f>
        <v>_</v>
      </c>
      <c r="K246" t="str">
        <f t="shared" ca="1" si="10"/>
        <v>__X_</v>
      </c>
      <c r="L246" t="str">
        <f t="shared" ca="1" si="11"/>
        <v/>
      </c>
      <c r="M246" t="str">
        <f>IFERROR(INDEX(Inventory!A:A,MATCH(Scan!A246,Inventory!E:E,0)),"")</f>
        <v/>
      </c>
    </row>
    <row r="247" spans="2:13" x14ac:dyDescent="0.25">
      <c r="B247" t="str">
        <f>IF(IFERROR(VLOOKUP(TRIM(A247),Inventory!E:E,1,0),0)=0,"X","_")</f>
        <v>_</v>
      </c>
      <c r="C247" t="str">
        <f>IF(IFERROR(VLOOKUP(TRIM(A247),'Full Inventory'!F:F,1,0),0)=0,"X","_")</f>
        <v>_</v>
      </c>
      <c r="D247" t="str">
        <f t="shared" si="9"/>
        <v>X</v>
      </c>
      <c r="E247" t="str">
        <f ca="1">IFERROR(IF(AND(B247&amp;C247&amp;D247="___",INDIRECT("Inventory!A"&amp;MATCH(VLOOKUP(A247,Inventory!E:E,1,0),Inventory!E:E,0))&lt;&gt;INDIRECT("'Full Inventory'!B"&amp;MATCH(VLOOKUP(A247,'Full Inventory'!F:F,1,0),'Full Inventory'!F:F,0))),"X","_"),"_")</f>
        <v>_</v>
      </c>
      <c r="K247" t="str">
        <f t="shared" ca="1" si="10"/>
        <v>__X_</v>
      </c>
      <c r="L247" t="str">
        <f t="shared" ca="1" si="11"/>
        <v/>
      </c>
      <c r="M247" t="str">
        <f>IFERROR(INDEX(Inventory!A:A,MATCH(Scan!A247,Inventory!E:E,0)),"")</f>
        <v/>
      </c>
    </row>
    <row r="248" spans="2:13" x14ac:dyDescent="0.25">
      <c r="B248" t="str">
        <f>IF(IFERROR(VLOOKUP(TRIM(A248),Inventory!E:E,1,0),0)=0,"X","_")</f>
        <v>_</v>
      </c>
      <c r="C248" t="str">
        <f>IF(IFERROR(VLOOKUP(TRIM(A248),'Full Inventory'!F:F,1,0),0)=0,"X","_")</f>
        <v>_</v>
      </c>
      <c r="D248" t="str">
        <f t="shared" si="9"/>
        <v>X</v>
      </c>
      <c r="E248" t="str">
        <f ca="1">IFERROR(IF(AND(B248&amp;C248&amp;D248="___",INDIRECT("Inventory!A"&amp;MATCH(VLOOKUP(A248,Inventory!E:E,1,0),Inventory!E:E,0))&lt;&gt;INDIRECT("'Full Inventory'!B"&amp;MATCH(VLOOKUP(A248,'Full Inventory'!F:F,1,0),'Full Inventory'!F:F,0))),"X","_"),"_")</f>
        <v>_</v>
      </c>
      <c r="K248" t="str">
        <f t="shared" ca="1" si="10"/>
        <v>__X_</v>
      </c>
      <c r="L248" t="str">
        <f t="shared" ca="1" si="11"/>
        <v/>
      </c>
      <c r="M248" t="str">
        <f>IFERROR(INDEX(Inventory!A:A,MATCH(Scan!A248,Inventory!E:E,0)),"")</f>
        <v/>
      </c>
    </row>
    <row r="249" spans="2:13" x14ac:dyDescent="0.25">
      <c r="B249" t="str">
        <f>IF(IFERROR(VLOOKUP(TRIM(A249),Inventory!E:E,1,0),0)=0,"X","_")</f>
        <v>_</v>
      </c>
      <c r="C249" t="str">
        <f>IF(IFERROR(VLOOKUP(TRIM(A249),'Full Inventory'!F:F,1,0),0)=0,"X","_")</f>
        <v>_</v>
      </c>
      <c r="D249" t="str">
        <f t="shared" si="9"/>
        <v>X</v>
      </c>
      <c r="E249" t="str">
        <f ca="1">IFERROR(IF(AND(B249&amp;C249&amp;D249="___",INDIRECT("Inventory!A"&amp;MATCH(VLOOKUP(A249,Inventory!E:E,1,0),Inventory!E:E,0))&lt;&gt;INDIRECT("'Full Inventory'!B"&amp;MATCH(VLOOKUP(A249,'Full Inventory'!F:F,1,0),'Full Inventory'!F:F,0))),"X","_"),"_")</f>
        <v>_</v>
      </c>
      <c r="K249" t="str">
        <f t="shared" ca="1" si="10"/>
        <v>__X_</v>
      </c>
      <c r="L249" t="str">
        <f t="shared" ca="1" si="11"/>
        <v/>
      </c>
      <c r="M249" t="str">
        <f>IFERROR(INDEX(Inventory!A:A,MATCH(Scan!A249,Inventory!E:E,0)),"")</f>
        <v/>
      </c>
    </row>
    <row r="250" spans="2:13" x14ac:dyDescent="0.25">
      <c r="B250" t="str">
        <f>IF(IFERROR(VLOOKUP(TRIM(A250),Inventory!E:E,1,0),0)=0,"X","_")</f>
        <v>_</v>
      </c>
      <c r="C250" t="str">
        <f>IF(IFERROR(VLOOKUP(TRIM(A250),'Full Inventory'!F:F,1,0),0)=0,"X","_")</f>
        <v>_</v>
      </c>
      <c r="D250" t="str">
        <f t="shared" si="9"/>
        <v>X</v>
      </c>
      <c r="E250" t="str">
        <f ca="1">IFERROR(IF(AND(B250&amp;C250&amp;D250="___",INDIRECT("Inventory!A"&amp;MATCH(VLOOKUP(A250,Inventory!E:E,1,0),Inventory!E:E,0))&lt;&gt;INDIRECT("'Full Inventory'!B"&amp;MATCH(VLOOKUP(A250,'Full Inventory'!F:F,1,0),'Full Inventory'!F:F,0))),"X","_"),"_")</f>
        <v>_</v>
      </c>
      <c r="K250" t="str">
        <f t="shared" ca="1" si="10"/>
        <v>__X_</v>
      </c>
      <c r="L250" t="str">
        <f t="shared" ca="1" si="11"/>
        <v/>
      </c>
      <c r="M250" t="str">
        <f>IFERROR(INDEX(Inventory!A:A,MATCH(Scan!A250,Inventory!E:E,0)),"")</f>
        <v/>
      </c>
    </row>
    <row r="251" spans="2:13" x14ac:dyDescent="0.25">
      <c r="B251" t="str">
        <f>IF(IFERROR(VLOOKUP(TRIM(A251),Inventory!E:E,1,0),0)=0,"X","_")</f>
        <v>_</v>
      </c>
      <c r="C251" t="str">
        <f>IF(IFERROR(VLOOKUP(TRIM(A251),'Full Inventory'!F:F,1,0),0)=0,"X","_")</f>
        <v>_</v>
      </c>
      <c r="D251" t="str">
        <f t="shared" si="9"/>
        <v>X</v>
      </c>
      <c r="E251" t="str">
        <f ca="1">IFERROR(IF(AND(B251&amp;C251&amp;D251="___",INDIRECT("Inventory!A"&amp;MATCH(VLOOKUP(A251,Inventory!E:E,1,0),Inventory!E:E,0))&lt;&gt;INDIRECT("'Full Inventory'!B"&amp;MATCH(VLOOKUP(A251,'Full Inventory'!F:F,1,0),'Full Inventory'!F:F,0))),"X","_"),"_")</f>
        <v>_</v>
      </c>
      <c r="K251" t="str">
        <f t="shared" ca="1" si="10"/>
        <v>__X_</v>
      </c>
      <c r="L251" t="str">
        <f t="shared" ca="1" si="11"/>
        <v/>
      </c>
      <c r="M251" t="str">
        <f>IFERROR(INDEX(Inventory!A:A,MATCH(Scan!A251,Inventory!E:E,0)),"")</f>
        <v/>
      </c>
    </row>
    <row r="252" spans="2:13" x14ac:dyDescent="0.25">
      <c r="B252" t="str">
        <f>IF(IFERROR(VLOOKUP(TRIM(A252),Inventory!E:E,1,0),0)=0,"X","_")</f>
        <v>_</v>
      </c>
      <c r="C252" t="str">
        <f>IF(IFERROR(VLOOKUP(TRIM(A252),'Full Inventory'!F:F,1,0),0)=0,"X","_")</f>
        <v>_</v>
      </c>
      <c r="D252" t="str">
        <f t="shared" si="9"/>
        <v>X</v>
      </c>
      <c r="E252" t="str">
        <f ca="1">IFERROR(IF(AND(B252&amp;C252&amp;D252="___",INDIRECT("Inventory!A"&amp;MATCH(VLOOKUP(A252,Inventory!E:E,1,0),Inventory!E:E,0))&lt;&gt;INDIRECT("'Full Inventory'!B"&amp;MATCH(VLOOKUP(A252,'Full Inventory'!F:F,1,0),'Full Inventory'!F:F,0))),"X","_"),"_")</f>
        <v>_</v>
      </c>
      <c r="K252" t="str">
        <f t="shared" ca="1" si="10"/>
        <v>__X_</v>
      </c>
      <c r="L252" t="str">
        <f t="shared" ca="1" si="11"/>
        <v/>
      </c>
      <c r="M252" t="str">
        <f>IFERROR(INDEX(Inventory!A:A,MATCH(Scan!A252,Inventory!E:E,0)),"")</f>
        <v/>
      </c>
    </row>
    <row r="253" spans="2:13" x14ac:dyDescent="0.25">
      <c r="B253" t="str">
        <f>IF(IFERROR(VLOOKUP(TRIM(A253),Inventory!E:E,1,0),0)=0,"X","_")</f>
        <v>_</v>
      </c>
      <c r="C253" t="str">
        <f>IF(IFERROR(VLOOKUP(TRIM(A253),'Full Inventory'!F:F,1,0),0)=0,"X","_")</f>
        <v>_</v>
      </c>
      <c r="D253" t="str">
        <f t="shared" si="9"/>
        <v>X</v>
      </c>
      <c r="E253" t="str">
        <f ca="1">IFERROR(IF(AND(B253&amp;C253&amp;D253="___",INDIRECT("Inventory!A"&amp;MATCH(VLOOKUP(A253,Inventory!E:E,1,0),Inventory!E:E,0))&lt;&gt;INDIRECT("'Full Inventory'!B"&amp;MATCH(VLOOKUP(A253,'Full Inventory'!F:F,1,0),'Full Inventory'!F:F,0))),"X","_"),"_")</f>
        <v>_</v>
      </c>
      <c r="K253" t="str">
        <f t="shared" ca="1" si="10"/>
        <v>__X_</v>
      </c>
      <c r="L253" t="str">
        <f t="shared" ca="1" si="11"/>
        <v/>
      </c>
      <c r="M253" t="str">
        <f>IFERROR(INDEX(Inventory!A:A,MATCH(Scan!A253,Inventory!E:E,0)),"")</f>
        <v/>
      </c>
    </row>
    <row r="254" spans="2:13" x14ac:dyDescent="0.25">
      <c r="B254" t="str">
        <f>IF(IFERROR(VLOOKUP(TRIM(A254),Inventory!E:E,1,0),0)=0,"X","_")</f>
        <v>_</v>
      </c>
      <c r="C254" t="str">
        <f>IF(IFERROR(VLOOKUP(TRIM(A254),'Full Inventory'!F:F,1,0),0)=0,"X","_")</f>
        <v>_</v>
      </c>
      <c r="D254" t="str">
        <f t="shared" si="9"/>
        <v>X</v>
      </c>
      <c r="E254" t="str">
        <f ca="1">IFERROR(IF(AND(B254&amp;C254&amp;D254="___",INDIRECT("Inventory!A"&amp;MATCH(VLOOKUP(A254,Inventory!E:E,1,0),Inventory!E:E,0))&lt;&gt;INDIRECT("'Full Inventory'!B"&amp;MATCH(VLOOKUP(A254,'Full Inventory'!F:F,1,0),'Full Inventory'!F:F,0))),"X","_"),"_")</f>
        <v>_</v>
      </c>
      <c r="K254" t="str">
        <f t="shared" ca="1" si="10"/>
        <v>__X_</v>
      </c>
      <c r="L254" t="str">
        <f t="shared" ca="1" si="11"/>
        <v/>
      </c>
      <c r="M254" t="str">
        <f>IFERROR(INDEX(Inventory!A:A,MATCH(Scan!A254,Inventory!E:E,0)),"")</f>
        <v/>
      </c>
    </row>
    <row r="255" spans="2:13" x14ac:dyDescent="0.25">
      <c r="B255" t="str">
        <f>IF(IFERROR(VLOOKUP(TRIM(A255),Inventory!E:E,1,0),0)=0,"X","_")</f>
        <v>_</v>
      </c>
      <c r="C255" t="str">
        <f>IF(IFERROR(VLOOKUP(TRIM(A255),'Full Inventory'!F:F,1,0),0)=0,"X","_")</f>
        <v>_</v>
      </c>
      <c r="D255" t="str">
        <f t="shared" si="9"/>
        <v>X</v>
      </c>
      <c r="E255" t="str">
        <f ca="1">IFERROR(IF(AND(B255&amp;C255&amp;D255="___",INDIRECT("Inventory!A"&amp;MATCH(VLOOKUP(A255,Inventory!E:E,1,0),Inventory!E:E,0))&lt;&gt;INDIRECT("'Full Inventory'!B"&amp;MATCH(VLOOKUP(A255,'Full Inventory'!F:F,1,0),'Full Inventory'!F:F,0))),"X","_"),"_")</f>
        <v>_</v>
      </c>
      <c r="K255" t="str">
        <f t="shared" ca="1" si="10"/>
        <v>__X_</v>
      </c>
      <c r="L255" t="str">
        <f t="shared" ca="1" si="11"/>
        <v/>
      </c>
      <c r="M255" t="str">
        <f>IFERROR(INDEX(Inventory!A:A,MATCH(Scan!A255,Inventory!E:E,0)),"")</f>
        <v/>
      </c>
    </row>
    <row r="256" spans="2:13" x14ac:dyDescent="0.25">
      <c r="B256" t="str">
        <f>IF(IFERROR(VLOOKUP(TRIM(A256),Inventory!E:E,1,0),0)=0,"X","_")</f>
        <v>_</v>
      </c>
      <c r="C256" t="str">
        <f>IF(IFERROR(VLOOKUP(TRIM(A256),'Full Inventory'!F:F,1,0),0)=0,"X","_")</f>
        <v>_</v>
      </c>
      <c r="D256" t="str">
        <f t="shared" si="9"/>
        <v>X</v>
      </c>
      <c r="E256" t="str">
        <f ca="1">IFERROR(IF(AND(B256&amp;C256&amp;D256="___",INDIRECT("Inventory!A"&amp;MATCH(VLOOKUP(A256,Inventory!E:E,1,0),Inventory!E:E,0))&lt;&gt;INDIRECT("'Full Inventory'!B"&amp;MATCH(VLOOKUP(A256,'Full Inventory'!F:F,1,0),'Full Inventory'!F:F,0))),"X","_"),"_")</f>
        <v>_</v>
      </c>
      <c r="K256" t="str">
        <f t="shared" ca="1" si="10"/>
        <v>__X_</v>
      </c>
      <c r="L256" t="str">
        <f t="shared" ca="1" si="11"/>
        <v/>
      </c>
      <c r="M256" t="str">
        <f>IFERROR(INDEX(Inventory!A:A,MATCH(Scan!A256,Inventory!E:E,0)),"")</f>
        <v/>
      </c>
    </row>
    <row r="257" spans="2:13" x14ac:dyDescent="0.25">
      <c r="B257" t="str">
        <f>IF(IFERROR(VLOOKUP(TRIM(A257),Inventory!E:E,1,0),0)=0,"X","_")</f>
        <v>_</v>
      </c>
      <c r="C257" t="str">
        <f>IF(IFERROR(VLOOKUP(TRIM(A257),'Full Inventory'!F:F,1,0),0)=0,"X","_")</f>
        <v>_</v>
      </c>
      <c r="D257" t="str">
        <f t="shared" si="9"/>
        <v>X</v>
      </c>
      <c r="E257" t="str">
        <f ca="1">IFERROR(IF(AND(B257&amp;C257&amp;D257="___",INDIRECT("Inventory!A"&amp;MATCH(VLOOKUP(A257,Inventory!E:E,1,0),Inventory!E:E,0))&lt;&gt;INDIRECT("'Full Inventory'!B"&amp;MATCH(VLOOKUP(A257,'Full Inventory'!F:F,1,0),'Full Inventory'!F:F,0))),"X","_"),"_")</f>
        <v>_</v>
      </c>
      <c r="K257" t="str">
        <f t="shared" ca="1" si="10"/>
        <v>__X_</v>
      </c>
      <c r="L257" t="str">
        <f t="shared" ca="1" si="11"/>
        <v/>
      </c>
      <c r="M257" t="str">
        <f>IFERROR(INDEX(Inventory!A:A,MATCH(Scan!A257,Inventory!E:E,0)),"")</f>
        <v/>
      </c>
    </row>
    <row r="258" spans="2:13" x14ac:dyDescent="0.25">
      <c r="B258" t="str">
        <f>IF(IFERROR(VLOOKUP(TRIM(A258),Inventory!E:E,1,0),0)=0,"X","_")</f>
        <v>_</v>
      </c>
      <c r="C258" t="str">
        <f>IF(IFERROR(VLOOKUP(TRIM(A258),'Full Inventory'!F:F,1,0),0)=0,"X","_")</f>
        <v>_</v>
      </c>
      <c r="D258" t="str">
        <f t="shared" ref="D258:D321" si="12">IF(TRIM(A258)&lt;&gt;"","_","X")</f>
        <v>X</v>
      </c>
      <c r="E258" t="str">
        <f ca="1">IFERROR(IF(AND(B258&amp;C258&amp;D258="___",INDIRECT("Inventory!A"&amp;MATCH(VLOOKUP(A258,Inventory!E:E,1,0),Inventory!E:E,0))&lt;&gt;INDIRECT("'Full Inventory'!B"&amp;MATCH(VLOOKUP(A258,'Full Inventory'!F:F,1,0),'Full Inventory'!F:F,0))),"X","_"),"_")</f>
        <v>_</v>
      </c>
      <c r="K258" t="str">
        <f t="shared" ca="1" si="10"/>
        <v>__X_</v>
      </c>
      <c r="L258" t="str">
        <f t="shared" ca="1" si="11"/>
        <v/>
      </c>
      <c r="M258" t="str">
        <f>IFERROR(INDEX(Inventory!A:A,MATCH(Scan!A258,Inventory!E:E,0)),"")</f>
        <v/>
      </c>
    </row>
    <row r="259" spans="2:13" x14ac:dyDescent="0.25">
      <c r="B259" t="str">
        <f>IF(IFERROR(VLOOKUP(TRIM(A259),Inventory!E:E,1,0),0)=0,"X","_")</f>
        <v>_</v>
      </c>
      <c r="C259" t="str">
        <f>IF(IFERROR(VLOOKUP(TRIM(A259),'Full Inventory'!F:F,1,0),0)=0,"X","_")</f>
        <v>_</v>
      </c>
      <c r="D259" t="str">
        <f t="shared" si="12"/>
        <v>X</v>
      </c>
      <c r="E259" t="str">
        <f ca="1">IFERROR(IF(AND(B259&amp;C259&amp;D259="___",INDIRECT("Inventory!A"&amp;MATCH(VLOOKUP(A259,Inventory!E:E,1,0),Inventory!E:E,0))&lt;&gt;INDIRECT("'Full Inventory'!B"&amp;MATCH(VLOOKUP(A259,'Full Inventory'!F:F,1,0),'Full Inventory'!F:F,0))),"X","_"),"_")</f>
        <v>_</v>
      </c>
      <c r="K259" t="str">
        <f t="shared" ref="K259:K322" ca="1" si="13">B259&amp;C259&amp;D259&amp;E259</f>
        <v>__X_</v>
      </c>
      <c r="L259" t="str">
        <f t="shared" ref="L259:L322" ca="1" si="14">IF(K259="____","OK",IF(K259="_X__","NOT IN FULL INVENTORY",IF(K259="XX__","NOT IN FULL INVENTORY AND INVENTORY",IF(K259="X___","NOT IN INVENTORY",IF(K259="___X","DIFFERENT NAMES IN FULL INVENTORY AND INVENTORY","")))))</f>
        <v/>
      </c>
      <c r="M259" t="str">
        <f>IFERROR(INDEX(Inventory!A:A,MATCH(Scan!A259,Inventory!E:E,0)),"")</f>
        <v/>
      </c>
    </row>
    <row r="260" spans="2:13" x14ac:dyDescent="0.25">
      <c r="B260" t="str">
        <f>IF(IFERROR(VLOOKUP(TRIM(A260),Inventory!E:E,1,0),0)=0,"X","_")</f>
        <v>_</v>
      </c>
      <c r="C260" t="str">
        <f>IF(IFERROR(VLOOKUP(TRIM(A260),'Full Inventory'!F:F,1,0),0)=0,"X","_")</f>
        <v>_</v>
      </c>
      <c r="D260" t="str">
        <f t="shared" si="12"/>
        <v>X</v>
      </c>
      <c r="E260" t="str">
        <f ca="1">IFERROR(IF(AND(B260&amp;C260&amp;D260="___",INDIRECT("Inventory!A"&amp;MATCH(VLOOKUP(A260,Inventory!E:E,1,0),Inventory!E:E,0))&lt;&gt;INDIRECT("'Full Inventory'!B"&amp;MATCH(VLOOKUP(A260,'Full Inventory'!F:F,1,0),'Full Inventory'!F:F,0))),"X","_"),"_")</f>
        <v>_</v>
      </c>
      <c r="K260" t="str">
        <f t="shared" ca="1" si="13"/>
        <v>__X_</v>
      </c>
      <c r="L260" t="str">
        <f t="shared" ca="1" si="14"/>
        <v/>
      </c>
      <c r="M260" t="str">
        <f>IFERROR(INDEX(Inventory!A:A,MATCH(Scan!A260,Inventory!E:E,0)),"")</f>
        <v/>
      </c>
    </row>
    <row r="261" spans="2:13" x14ac:dyDescent="0.25">
      <c r="B261" t="str">
        <f>IF(IFERROR(VLOOKUP(TRIM(A261),Inventory!E:E,1,0),0)=0,"X","_")</f>
        <v>_</v>
      </c>
      <c r="C261" t="str">
        <f>IF(IFERROR(VLOOKUP(TRIM(A261),'Full Inventory'!F:F,1,0),0)=0,"X","_")</f>
        <v>_</v>
      </c>
      <c r="D261" t="str">
        <f t="shared" si="12"/>
        <v>X</v>
      </c>
      <c r="E261" t="str">
        <f ca="1">IFERROR(IF(AND(B261&amp;C261&amp;D261="___",INDIRECT("Inventory!A"&amp;MATCH(VLOOKUP(A261,Inventory!E:E,1,0),Inventory!E:E,0))&lt;&gt;INDIRECT("'Full Inventory'!B"&amp;MATCH(VLOOKUP(A261,'Full Inventory'!F:F,1,0),'Full Inventory'!F:F,0))),"X","_"),"_")</f>
        <v>_</v>
      </c>
      <c r="K261" t="str">
        <f t="shared" ca="1" si="13"/>
        <v>__X_</v>
      </c>
      <c r="L261" t="str">
        <f t="shared" ca="1" si="14"/>
        <v/>
      </c>
      <c r="M261" t="str">
        <f>IFERROR(INDEX(Inventory!A:A,MATCH(Scan!A261,Inventory!E:E,0)),"")</f>
        <v/>
      </c>
    </row>
    <row r="262" spans="2:13" x14ac:dyDescent="0.25">
      <c r="B262" t="str">
        <f>IF(IFERROR(VLOOKUP(TRIM(A262),Inventory!E:E,1,0),0)=0,"X","_")</f>
        <v>_</v>
      </c>
      <c r="C262" t="str">
        <f>IF(IFERROR(VLOOKUP(TRIM(A262),'Full Inventory'!F:F,1,0),0)=0,"X","_")</f>
        <v>_</v>
      </c>
      <c r="D262" t="str">
        <f t="shared" si="12"/>
        <v>X</v>
      </c>
      <c r="E262" t="str">
        <f ca="1">IFERROR(IF(AND(B262&amp;C262&amp;D262="___",INDIRECT("Inventory!A"&amp;MATCH(VLOOKUP(A262,Inventory!E:E,1,0),Inventory!E:E,0))&lt;&gt;INDIRECT("'Full Inventory'!B"&amp;MATCH(VLOOKUP(A262,'Full Inventory'!F:F,1,0),'Full Inventory'!F:F,0))),"X","_"),"_")</f>
        <v>_</v>
      </c>
      <c r="K262" t="str">
        <f t="shared" ca="1" si="13"/>
        <v>__X_</v>
      </c>
      <c r="L262" t="str">
        <f t="shared" ca="1" si="14"/>
        <v/>
      </c>
      <c r="M262" t="str">
        <f>IFERROR(INDEX(Inventory!A:A,MATCH(Scan!A262,Inventory!E:E,0)),"")</f>
        <v/>
      </c>
    </row>
    <row r="263" spans="2:13" x14ac:dyDescent="0.25">
      <c r="B263" t="str">
        <f>IF(IFERROR(VLOOKUP(TRIM(A263),Inventory!E:E,1,0),0)=0,"X","_")</f>
        <v>_</v>
      </c>
      <c r="C263" t="str">
        <f>IF(IFERROR(VLOOKUP(TRIM(A263),'Full Inventory'!F:F,1,0),0)=0,"X","_")</f>
        <v>_</v>
      </c>
      <c r="D263" t="str">
        <f t="shared" si="12"/>
        <v>X</v>
      </c>
      <c r="E263" t="str">
        <f ca="1">IFERROR(IF(AND(B263&amp;C263&amp;D263="___",INDIRECT("Inventory!A"&amp;MATCH(VLOOKUP(A263,Inventory!E:E,1,0),Inventory!E:E,0))&lt;&gt;INDIRECT("'Full Inventory'!B"&amp;MATCH(VLOOKUP(A263,'Full Inventory'!F:F,1,0),'Full Inventory'!F:F,0))),"X","_"),"_")</f>
        <v>_</v>
      </c>
      <c r="K263" t="str">
        <f t="shared" ca="1" si="13"/>
        <v>__X_</v>
      </c>
      <c r="L263" t="str">
        <f t="shared" ca="1" si="14"/>
        <v/>
      </c>
      <c r="M263" t="str">
        <f>IFERROR(INDEX(Inventory!A:A,MATCH(Scan!A263,Inventory!E:E,0)),"")</f>
        <v/>
      </c>
    </row>
    <row r="264" spans="2:13" x14ac:dyDescent="0.25">
      <c r="B264" t="str">
        <f>IF(IFERROR(VLOOKUP(TRIM(A264),Inventory!E:E,1,0),0)=0,"X","_")</f>
        <v>_</v>
      </c>
      <c r="C264" t="str">
        <f>IF(IFERROR(VLOOKUP(TRIM(A264),'Full Inventory'!F:F,1,0),0)=0,"X","_")</f>
        <v>_</v>
      </c>
      <c r="D264" t="str">
        <f t="shared" si="12"/>
        <v>X</v>
      </c>
      <c r="E264" t="str">
        <f ca="1">IFERROR(IF(AND(B264&amp;C264&amp;D264="___",INDIRECT("Inventory!A"&amp;MATCH(VLOOKUP(A264,Inventory!E:E,1,0),Inventory!E:E,0))&lt;&gt;INDIRECT("'Full Inventory'!B"&amp;MATCH(VLOOKUP(A264,'Full Inventory'!F:F,1,0),'Full Inventory'!F:F,0))),"X","_"),"_")</f>
        <v>_</v>
      </c>
      <c r="K264" t="str">
        <f t="shared" ca="1" si="13"/>
        <v>__X_</v>
      </c>
      <c r="L264" t="str">
        <f t="shared" ca="1" si="14"/>
        <v/>
      </c>
      <c r="M264" t="str">
        <f>IFERROR(INDEX(Inventory!A:A,MATCH(Scan!A264,Inventory!E:E,0)),"")</f>
        <v/>
      </c>
    </row>
    <row r="265" spans="2:13" x14ac:dyDescent="0.25">
      <c r="B265" t="str">
        <f>IF(IFERROR(VLOOKUP(TRIM(A265),Inventory!E:E,1,0),0)=0,"X","_")</f>
        <v>_</v>
      </c>
      <c r="C265" t="str">
        <f>IF(IFERROR(VLOOKUP(TRIM(A265),'Full Inventory'!F:F,1,0),0)=0,"X","_")</f>
        <v>_</v>
      </c>
      <c r="D265" t="str">
        <f t="shared" si="12"/>
        <v>X</v>
      </c>
      <c r="E265" t="str">
        <f ca="1">IFERROR(IF(AND(B265&amp;C265&amp;D265="___",INDIRECT("Inventory!A"&amp;MATCH(VLOOKUP(A265,Inventory!E:E,1,0),Inventory!E:E,0))&lt;&gt;INDIRECT("'Full Inventory'!B"&amp;MATCH(VLOOKUP(A265,'Full Inventory'!F:F,1,0),'Full Inventory'!F:F,0))),"X","_"),"_")</f>
        <v>_</v>
      </c>
      <c r="K265" t="str">
        <f t="shared" ca="1" si="13"/>
        <v>__X_</v>
      </c>
      <c r="L265" t="str">
        <f t="shared" ca="1" si="14"/>
        <v/>
      </c>
      <c r="M265" t="str">
        <f>IFERROR(INDEX(Inventory!A:A,MATCH(Scan!A265,Inventory!E:E,0)),"")</f>
        <v/>
      </c>
    </row>
    <row r="266" spans="2:13" x14ac:dyDescent="0.25">
      <c r="B266" t="str">
        <f>IF(IFERROR(VLOOKUP(TRIM(A266),Inventory!E:E,1,0),0)=0,"X","_")</f>
        <v>_</v>
      </c>
      <c r="C266" t="str">
        <f>IF(IFERROR(VLOOKUP(TRIM(A266),'Full Inventory'!F:F,1,0),0)=0,"X","_")</f>
        <v>_</v>
      </c>
      <c r="D266" t="str">
        <f t="shared" si="12"/>
        <v>X</v>
      </c>
      <c r="E266" t="str">
        <f ca="1">IFERROR(IF(AND(B266&amp;C266&amp;D266="___",INDIRECT("Inventory!A"&amp;MATCH(VLOOKUP(A266,Inventory!E:E,1,0),Inventory!E:E,0))&lt;&gt;INDIRECT("'Full Inventory'!B"&amp;MATCH(VLOOKUP(A266,'Full Inventory'!F:F,1,0),'Full Inventory'!F:F,0))),"X","_"),"_")</f>
        <v>_</v>
      </c>
      <c r="K266" t="str">
        <f t="shared" ca="1" si="13"/>
        <v>__X_</v>
      </c>
      <c r="L266" t="str">
        <f t="shared" ca="1" si="14"/>
        <v/>
      </c>
      <c r="M266" t="str">
        <f>IFERROR(INDEX(Inventory!A:A,MATCH(Scan!A266,Inventory!E:E,0)),"")</f>
        <v/>
      </c>
    </row>
    <row r="267" spans="2:13" x14ac:dyDescent="0.25">
      <c r="B267" t="str">
        <f>IF(IFERROR(VLOOKUP(TRIM(A267),Inventory!E:E,1,0),0)=0,"X","_")</f>
        <v>_</v>
      </c>
      <c r="C267" t="str">
        <f>IF(IFERROR(VLOOKUP(TRIM(A267),'Full Inventory'!F:F,1,0),0)=0,"X","_")</f>
        <v>_</v>
      </c>
      <c r="D267" t="str">
        <f t="shared" si="12"/>
        <v>X</v>
      </c>
      <c r="E267" t="str">
        <f ca="1">IFERROR(IF(AND(B267&amp;C267&amp;D267="___",INDIRECT("Inventory!A"&amp;MATCH(VLOOKUP(A267,Inventory!E:E,1,0),Inventory!E:E,0))&lt;&gt;INDIRECT("'Full Inventory'!B"&amp;MATCH(VLOOKUP(A267,'Full Inventory'!F:F,1,0),'Full Inventory'!F:F,0))),"X","_"),"_")</f>
        <v>_</v>
      </c>
      <c r="K267" t="str">
        <f t="shared" ca="1" si="13"/>
        <v>__X_</v>
      </c>
      <c r="L267" t="str">
        <f t="shared" ca="1" si="14"/>
        <v/>
      </c>
      <c r="M267" t="str">
        <f>IFERROR(INDEX(Inventory!A:A,MATCH(Scan!A267,Inventory!E:E,0)),"")</f>
        <v/>
      </c>
    </row>
    <row r="268" spans="2:13" x14ac:dyDescent="0.25">
      <c r="B268" t="str">
        <f>IF(IFERROR(VLOOKUP(TRIM(A268),Inventory!E:E,1,0),0)=0,"X","_")</f>
        <v>_</v>
      </c>
      <c r="C268" t="str">
        <f>IF(IFERROR(VLOOKUP(TRIM(A268),'Full Inventory'!F:F,1,0),0)=0,"X","_")</f>
        <v>_</v>
      </c>
      <c r="D268" t="str">
        <f t="shared" si="12"/>
        <v>X</v>
      </c>
      <c r="E268" t="str">
        <f ca="1">IFERROR(IF(AND(B268&amp;C268&amp;D268="___",INDIRECT("Inventory!A"&amp;MATCH(VLOOKUP(A268,Inventory!E:E,1,0),Inventory!E:E,0))&lt;&gt;INDIRECT("'Full Inventory'!B"&amp;MATCH(VLOOKUP(A268,'Full Inventory'!F:F,1,0),'Full Inventory'!F:F,0))),"X","_"),"_")</f>
        <v>_</v>
      </c>
      <c r="K268" t="str">
        <f t="shared" ca="1" si="13"/>
        <v>__X_</v>
      </c>
      <c r="L268" t="str">
        <f t="shared" ca="1" si="14"/>
        <v/>
      </c>
      <c r="M268" t="str">
        <f>IFERROR(INDEX(Inventory!A:A,MATCH(Scan!A268,Inventory!E:E,0)),"")</f>
        <v/>
      </c>
    </row>
    <row r="269" spans="2:13" x14ac:dyDescent="0.25">
      <c r="B269" t="str">
        <f>IF(IFERROR(VLOOKUP(TRIM(A269),Inventory!E:E,1,0),0)=0,"X","_")</f>
        <v>_</v>
      </c>
      <c r="C269" t="str">
        <f>IF(IFERROR(VLOOKUP(TRIM(A269),'Full Inventory'!F:F,1,0),0)=0,"X","_")</f>
        <v>_</v>
      </c>
      <c r="D269" t="str">
        <f t="shared" si="12"/>
        <v>X</v>
      </c>
      <c r="E269" t="str">
        <f ca="1">IFERROR(IF(AND(B269&amp;C269&amp;D269="___",INDIRECT("Inventory!A"&amp;MATCH(VLOOKUP(A269,Inventory!E:E,1,0),Inventory!E:E,0))&lt;&gt;INDIRECT("'Full Inventory'!B"&amp;MATCH(VLOOKUP(A269,'Full Inventory'!F:F,1,0),'Full Inventory'!F:F,0))),"X","_"),"_")</f>
        <v>_</v>
      </c>
      <c r="K269" t="str">
        <f t="shared" ca="1" si="13"/>
        <v>__X_</v>
      </c>
      <c r="L269" t="str">
        <f t="shared" ca="1" si="14"/>
        <v/>
      </c>
      <c r="M269" t="str">
        <f>IFERROR(INDEX(Inventory!A:A,MATCH(Scan!A269,Inventory!E:E,0)),"")</f>
        <v/>
      </c>
    </row>
    <row r="270" spans="2:13" x14ac:dyDescent="0.25">
      <c r="B270" t="str">
        <f>IF(IFERROR(VLOOKUP(TRIM(A270),Inventory!E:E,1,0),0)=0,"X","_")</f>
        <v>_</v>
      </c>
      <c r="C270" t="str">
        <f>IF(IFERROR(VLOOKUP(TRIM(A270),'Full Inventory'!F:F,1,0),0)=0,"X","_")</f>
        <v>_</v>
      </c>
      <c r="D270" t="str">
        <f t="shared" si="12"/>
        <v>X</v>
      </c>
      <c r="E270" t="str">
        <f ca="1">IFERROR(IF(AND(B270&amp;C270&amp;D270="___",INDIRECT("Inventory!A"&amp;MATCH(VLOOKUP(A270,Inventory!E:E,1,0),Inventory!E:E,0))&lt;&gt;INDIRECT("'Full Inventory'!B"&amp;MATCH(VLOOKUP(A270,'Full Inventory'!F:F,1,0),'Full Inventory'!F:F,0))),"X","_"),"_")</f>
        <v>_</v>
      </c>
      <c r="K270" t="str">
        <f t="shared" ca="1" si="13"/>
        <v>__X_</v>
      </c>
      <c r="L270" t="str">
        <f t="shared" ca="1" si="14"/>
        <v/>
      </c>
      <c r="M270" t="str">
        <f>IFERROR(INDEX(Inventory!A:A,MATCH(Scan!A270,Inventory!E:E,0)),"")</f>
        <v/>
      </c>
    </row>
    <row r="271" spans="2:13" x14ac:dyDescent="0.25">
      <c r="B271" t="str">
        <f>IF(IFERROR(VLOOKUP(TRIM(A271),Inventory!E:E,1,0),0)=0,"X","_")</f>
        <v>_</v>
      </c>
      <c r="C271" t="str">
        <f>IF(IFERROR(VLOOKUP(TRIM(A271),'Full Inventory'!F:F,1,0),0)=0,"X","_")</f>
        <v>_</v>
      </c>
      <c r="D271" t="str">
        <f t="shared" si="12"/>
        <v>X</v>
      </c>
      <c r="E271" t="str">
        <f ca="1">IFERROR(IF(AND(B271&amp;C271&amp;D271="___",INDIRECT("Inventory!A"&amp;MATCH(VLOOKUP(A271,Inventory!E:E,1,0),Inventory!E:E,0))&lt;&gt;INDIRECT("'Full Inventory'!B"&amp;MATCH(VLOOKUP(A271,'Full Inventory'!F:F,1,0),'Full Inventory'!F:F,0))),"X","_"),"_")</f>
        <v>_</v>
      </c>
      <c r="K271" t="str">
        <f t="shared" ca="1" si="13"/>
        <v>__X_</v>
      </c>
      <c r="L271" t="str">
        <f t="shared" ca="1" si="14"/>
        <v/>
      </c>
      <c r="M271" t="str">
        <f>IFERROR(INDEX(Inventory!A:A,MATCH(Scan!A271,Inventory!E:E,0)),"")</f>
        <v/>
      </c>
    </row>
    <row r="272" spans="2:13" x14ac:dyDescent="0.25">
      <c r="B272" t="str">
        <f>IF(IFERROR(VLOOKUP(TRIM(A272),Inventory!E:E,1,0),0)=0,"X","_")</f>
        <v>_</v>
      </c>
      <c r="C272" t="str">
        <f>IF(IFERROR(VLOOKUP(TRIM(A272),'Full Inventory'!F:F,1,0),0)=0,"X","_")</f>
        <v>_</v>
      </c>
      <c r="D272" t="str">
        <f t="shared" si="12"/>
        <v>X</v>
      </c>
      <c r="E272" t="str">
        <f ca="1">IFERROR(IF(AND(B272&amp;C272&amp;D272="___",INDIRECT("Inventory!A"&amp;MATCH(VLOOKUP(A272,Inventory!E:E,1,0),Inventory!E:E,0))&lt;&gt;INDIRECT("'Full Inventory'!B"&amp;MATCH(VLOOKUP(A272,'Full Inventory'!F:F,1,0),'Full Inventory'!F:F,0))),"X","_"),"_")</f>
        <v>_</v>
      </c>
      <c r="K272" t="str">
        <f t="shared" ca="1" si="13"/>
        <v>__X_</v>
      </c>
      <c r="L272" t="str">
        <f t="shared" ca="1" si="14"/>
        <v/>
      </c>
      <c r="M272" t="str">
        <f>IFERROR(INDEX(Inventory!A:A,MATCH(Scan!A272,Inventory!E:E,0)),"")</f>
        <v/>
      </c>
    </row>
    <row r="273" spans="2:13" x14ac:dyDescent="0.25">
      <c r="B273" t="str">
        <f>IF(IFERROR(VLOOKUP(TRIM(A273),Inventory!E:E,1,0),0)=0,"X","_")</f>
        <v>_</v>
      </c>
      <c r="C273" t="str">
        <f>IF(IFERROR(VLOOKUP(TRIM(A273),'Full Inventory'!F:F,1,0),0)=0,"X","_")</f>
        <v>_</v>
      </c>
      <c r="D273" t="str">
        <f t="shared" si="12"/>
        <v>X</v>
      </c>
      <c r="E273" t="str">
        <f ca="1">IFERROR(IF(AND(B273&amp;C273&amp;D273="___",INDIRECT("Inventory!A"&amp;MATCH(VLOOKUP(A273,Inventory!E:E,1,0),Inventory!E:E,0))&lt;&gt;INDIRECT("'Full Inventory'!B"&amp;MATCH(VLOOKUP(A273,'Full Inventory'!F:F,1,0),'Full Inventory'!F:F,0))),"X","_"),"_")</f>
        <v>_</v>
      </c>
      <c r="K273" t="str">
        <f t="shared" ca="1" si="13"/>
        <v>__X_</v>
      </c>
      <c r="L273" t="str">
        <f t="shared" ca="1" si="14"/>
        <v/>
      </c>
      <c r="M273" t="str">
        <f>IFERROR(INDEX(Inventory!A:A,MATCH(Scan!A273,Inventory!E:E,0)),"")</f>
        <v/>
      </c>
    </row>
    <row r="274" spans="2:13" x14ac:dyDescent="0.25">
      <c r="B274" t="str">
        <f>IF(IFERROR(VLOOKUP(TRIM(A274),Inventory!E:E,1,0),0)=0,"X","_")</f>
        <v>_</v>
      </c>
      <c r="C274" t="str">
        <f>IF(IFERROR(VLOOKUP(TRIM(A274),'Full Inventory'!F:F,1,0),0)=0,"X","_")</f>
        <v>_</v>
      </c>
      <c r="D274" t="str">
        <f t="shared" si="12"/>
        <v>X</v>
      </c>
      <c r="E274" t="str">
        <f ca="1">IFERROR(IF(AND(B274&amp;C274&amp;D274="___",INDIRECT("Inventory!A"&amp;MATCH(VLOOKUP(A274,Inventory!E:E,1,0),Inventory!E:E,0))&lt;&gt;INDIRECT("'Full Inventory'!B"&amp;MATCH(VLOOKUP(A274,'Full Inventory'!F:F,1,0),'Full Inventory'!F:F,0))),"X","_"),"_")</f>
        <v>_</v>
      </c>
      <c r="K274" t="str">
        <f t="shared" ca="1" si="13"/>
        <v>__X_</v>
      </c>
      <c r="L274" t="str">
        <f t="shared" ca="1" si="14"/>
        <v/>
      </c>
      <c r="M274" t="str">
        <f>IFERROR(INDEX(Inventory!A:A,MATCH(Scan!A274,Inventory!E:E,0)),"")</f>
        <v/>
      </c>
    </row>
    <row r="275" spans="2:13" x14ac:dyDescent="0.25">
      <c r="B275" t="str">
        <f>IF(IFERROR(VLOOKUP(TRIM(A275),Inventory!E:E,1,0),0)=0,"X","_")</f>
        <v>_</v>
      </c>
      <c r="C275" t="str">
        <f>IF(IFERROR(VLOOKUP(TRIM(A275),'Full Inventory'!F:F,1,0),0)=0,"X","_")</f>
        <v>_</v>
      </c>
      <c r="D275" t="str">
        <f t="shared" si="12"/>
        <v>X</v>
      </c>
      <c r="E275" t="str">
        <f ca="1">IFERROR(IF(AND(B275&amp;C275&amp;D275="___",INDIRECT("Inventory!A"&amp;MATCH(VLOOKUP(A275,Inventory!E:E,1,0),Inventory!E:E,0))&lt;&gt;INDIRECT("'Full Inventory'!B"&amp;MATCH(VLOOKUP(A275,'Full Inventory'!F:F,1,0),'Full Inventory'!F:F,0))),"X","_"),"_")</f>
        <v>_</v>
      </c>
      <c r="K275" t="str">
        <f t="shared" ca="1" si="13"/>
        <v>__X_</v>
      </c>
      <c r="L275" t="str">
        <f t="shared" ca="1" si="14"/>
        <v/>
      </c>
      <c r="M275" t="str">
        <f>IFERROR(INDEX(Inventory!A:A,MATCH(Scan!A275,Inventory!E:E,0)),"")</f>
        <v/>
      </c>
    </row>
    <row r="276" spans="2:13" x14ac:dyDescent="0.25">
      <c r="B276" t="str">
        <f>IF(IFERROR(VLOOKUP(TRIM(A276),Inventory!E:E,1,0),0)=0,"X","_")</f>
        <v>_</v>
      </c>
      <c r="C276" t="str">
        <f>IF(IFERROR(VLOOKUP(TRIM(A276),'Full Inventory'!F:F,1,0),0)=0,"X","_")</f>
        <v>_</v>
      </c>
      <c r="D276" t="str">
        <f t="shared" si="12"/>
        <v>X</v>
      </c>
      <c r="E276" t="str">
        <f ca="1">IFERROR(IF(AND(B276&amp;C276&amp;D276="___",INDIRECT("Inventory!A"&amp;MATCH(VLOOKUP(A276,Inventory!E:E,1,0),Inventory!E:E,0))&lt;&gt;INDIRECT("'Full Inventory'!B"&amp;MATCH(VLOOKUP(A276,'Full Inventory'!F:F,1,0),'Full Inventory'!F:F,0))),"X","_"),"_")</f>
        <v>_</v>
      </c>
      <c r="K276" t="str">
        <f t="shared" ca="1" si="13"/>
        <v>__X_</v>
      </c>
      <c r="L276" t="str">
        <f t="shared" ca="1" si="14"/>
        <v/>
      </c>
      <c r="M276" t="str">
        <f>IFERROR(INDEX(Inventory!A:A,MATCH(Scan!A276,Inventory!E:E,0)),"")</f>
        <v/>
      </c>
    </row>
    <row r="277" spans="2:13" x14ac:dyDescent="0.25">
      <c r="B277" t="str">
        <f>IF(IFERROR(VLOOKUP(TRIM(A277),Inventory!E:E,1,0),0)=0,"X","_")</f>
        <v>_</v>
      </c>
      <c r="C277" t="str">
        <f>IF(IFERROR(VLOOKUP(TRIM(A277),'Full Inventory'!F:F,1,0),0)=0,"X","_")</f>
        <v>_</v>
      </c>
      <c r="D277" t="str">
        <f t="shared" si="12"/>
        <v>X</v>
      </c>
      <c r="E277" t="str">
        <f ca="1">IFERROR(IF(AND(B277&amp;C277&amp;D277="___",INDIRECT("Inventory!A"&amp;MATCH(VLOOKUP(A277,Inventory!E:E,1,0),Inventory!E:E,0))&lt;&gt;INDIRECT("'Full Inventory'!B"&amp;MATCH(VLOOKUP(A277,'Full Inventory'!F:F,1,0),'Full Inventory'!F:F,0))),"X","_"),"_")</f>
        <v>_</v>
      </c>
      <c r="K277" t="str">
        <f t="shared" ca="1" si="13"/>
        <v>__X_</v>
      </c>
      <c r="L277" t="str">
        <f t="shared" ca="1" si="14"/>
        <v/>
      </c>
      <c r="M277" t="str">
        <f>IFERROR(INDEX(Inventory!A:A,MATCH(Scan!A277,Inventory!E:E,0)),"")</f>
        <v/>
      </c>
    </row>
    <row r="278" spans="2:13" x14ac:dyDescent="0.25">
      <c r="B278" t="str">
        <f>IF(IFERROR(VLOOKUP(TRIM(A278),Inventory!E:E,1,0),0)=0,"X","_")</f>
        <v>_</v>
      </c>
      <c r="C278" t="str">
        <f>IF(IFERROR(VLOOKUP(TRIM(A278),'Full Inventory'!F:F,1,0),0)=0,"X","_")</f>
        <v>_</v>
      </c>
      <c r="D278" t="str">
        <f t="shared" si="12"/>
        <v>X</v>
      </c>
      <c r="E278" t="str">
        <f ca="1">IFERROR(IF(AND(B278&amp;C278&amp;D278="___",INDIRECT("Inventory!A"&amp;MATCH(VLOOKUP(A278,Inventory!E:E,1,0),Inventory!E:E,0))&lt;&gt;INDIRECT("'Full Inventory'!B"&amp;MATCH(VLOOKUP(A278,'Full Inventory'!F:F,1,0),'Full Inventory'!F:F,0))),"X","_"),"_")</f>
        <v>_</v>
      </c>
      <c r="K278" t="str">
        <f t="shared" ca="1" si="13"/>
        <v>__X_</v>
      </c>
      <c r="L278" t="str">
        <f t="shared" ca="1" si="14"/>
        <v/>
      </c>
      <c r="M278" t="str">
        <f>IFERROR(INDEX(Inventory!A:A,MATCH(Scan!A278,Inventory!E:E,0)),"")</f>
        <v/>
      </c>
    </row>
    <row r="279" spans="2:13" x14ac:dyDescent="0.25">
      <c r="B279" t="str">
        <f>IF(IFERROR(VLOOKUP(TRIM(A279),Inventory!E:E,1,0),0)=0,"X","_")</f>
        <v>_</v>
      </c>
      <c r="C279" t="str">
        <f>IF(IFERROR(VLOOKUP(TRIM(A279),'Full Inventory'!F:F,1,0),0)=0,"X","_")</f>
        <v>_</v>
      </c>
      <c r="D279" t="str">
        <f t="shared" si="12"/>
        <v>X</v>
      </c>
      <c r="E279" t="str">
        <f ca="1">IFERROR(IF(AND(B279&amp;C279&amp;D279="___",INDIRECT("Inventory!A"&amp;MATCH(VLOOKUP(A279,Inventory!E:E,1,0),Inventory!E:E,0))&lt;&gt;INDIRECT("'Full Inventory'!B"&amp;MATCH(VLOOKUP(A279,'Full Inventory'!F:F,1,0),'Full Inventory'!F:F,0))),"X","_"),"_")</f>
        <v>_</v>
      </c>
      <c r="K279" t="str">
        <f t="shared" ca="1" si="13"/>
        <v>__X_</v>
      </c>
      <c r="L279" t="str">
        <f t="shared" ca="1" si="14"/>
        <v/>
      </c>
      <c r="M279" t="str">
        <f>IFERROR(INDEX(Inventory!A:A,MATCH(Scan!A279,Inventory!E:E,0)),"")</f>
        <v/>
      </c>
    </row>
    <row r="280" spans="2:13" x14ac:dyDescent="0.25">
      <c r="B280" t="str">
        <f>IF(IFERROR(VLOOKUP(TRIM(A280),Inventory!E:E,1,0),0)=0,"X","_")</f>
        <v>_</v>
      </c>
      <c r="C280" t="str">
        <f>IF(IFERROR(VLOOKUP(TRIM(A280),'Full Inventory'!F:F,1,0),0)=0,"X","_")</f>
        <v>_</v>
      </c>
      <c r="D280" t="str">
        <f t="shared" si="12"/>
        <v>X</v>
      </c>
      <c r="E280" t="str">
        <f ca="1">IFERROR(IF(AND(B280&amp;C280&amp;D280="___",INDIRECT("Inventory!A"&amp;MATCH(VLOOKUP(A280,Inventory!E:E,1,0),Inventory!E:E,0))&lt;&gt;INDIRECT("'Full Inventory'!B"&amp;MATCH(VLOOKUP(A280,'Full Inventory'!F:F,1,0),'Full Inventory'!F:F,0))),"X","_"),"_")</f>
        <v>_</v>
      </c>
      <c r="K280" t="str">
        <f t="shared" ca="1" si="13"/>
        <v>__X_</v>
      </c>
      <c r="L280" t="str">
        <f t="shared" ca="1" si="14"/>
        <v/>
      </c>
      <c r="M280" t="str">
        <f>IFERROR(INDEX(Inventory!A:A,MATCH(Scan!A280,Inventory!E:E,0)),"")</f>
        <v/>
      </c>
    </row>
    <row r="281" spans="2:13" x14ac:dyDescent="0.25">
      <c r="B281" t="str">
        <f>IF(IFERROR(VLOOKUP(TRIM(A281),Inventory!E:E,1,0),0)=0,"X","_")</f>
        <v>_</v>
      </c>
      <c r="C281" t="str">
        <f>IF(IFERROR(VLOOKUP(TRIM(A281),'Full Inventory'!F:F,1,0),0)=0,"X","_")</f>
        <v>_</v>
      </c>
      <c r="D281" t="str">
        <f t="shared" si="12"/>
        <v>X</v>
      </c>
      <c r="E281" t="str">
        <f ca="1">IFERROR(IF(AND(B281&amp;C281&amp;D281="___",INDIRECT("Inventory!A"&amp;MATCH(VLOOKUP(A281,Inventory!E:E,1,0),Inventory!E:E,0))&lt;&gt;INDIRECT("'Full Inventory'!B"&amp;MATCH(VLOOKUP(A281,'Full Inventory'!F:F,1,0),'Full Inventory'!F:F,0))),"X","_"),"_")</f>
        <v>_</v>
      </c>
      <c r="K281" t="str">
        <f t="shared" ca="1" si="13"/>
        <v>__X_</v>
      </c>
      <c r="L281" t="str">
        <f t="shared" ca="1" si="14"/>
        <v/>
      </c>
      <c r="M281" t="str">
        <f>IFERROR(INDEX(Inventory!A:A,MATCH(Scan!A281,Inventory!E:E,0)),"")</f>
        <v/>
      </c>
    </row>
    <row r="282" spans="2:13" x14ac:dyDescent="0.25">
      <c r="B282" t="str">
        <f>IF(IFERROR(VLOOKUP(TRIM(A282),Inventory!E:E,1,0),0)=0,"X","_")</f>
        <v>_</v>
      </c>
      <c r="C282" t="str">
        <f>IF(IFERROR(VLOOKUP(TRIM(A282),'Full Inventory'!F:F,1,0),0)=0,"X","_")</f>
        <v>_</v>
      </c>
      <c r="D282" t="str">
        <f t="shared" si="12"/>
        <v>X</v>
      </c>
      <c r="E282" t="str">
        <f ca="1">IFERROR(IF(AND(B282&amp;C282&amp;D282="___",INDIRECT("Inventory!A"&amp;MATCH(VLOOKUP(A282,Inventory!E:E,1,0),Inventory!E:E,0))&lt;&gt;INDIRECT("'Full Inventory'!B"&amp;MATCH(VLOOKUP(A282,'Full Inventory'!F:F,1,0),'Full Inventory'!F:F,0))),"X","_"),"_")</f>
        <v>_</v>
      </c>
      <c r="K282" t="str">
        <f t="shared" ca="1" si="13"/>
        <v>__X_</v>
      </c>
      <c r="L282" t="str">
        <f t="shared" ca="1" si="14"/>
        <v/>
      </c>
      <c r="M282" t="str">
        <f>IFERROR(INDEX(Inventory!A:A,MATCH(Scan!A282,Inventory!E:E,0)),"")</f>
        <v/>
      </c>
    </row>
    <row r="283" spans="2:13" x14ac:dyDescent="0.25">
      <c r="B283" t="str">
        <f>IF(IFERROR(VLOOKUP(TRIM(A283),Inventory!E:E,1,0),0)=0,"X","_")</f>
        <v>_</v>
      </c>
      <c r="C283" t="str">
        <f>IF(IFERROR(VLOOKUP(TRIM(A283),'Full Inventory'!F:F,1,0),0)=0,"X","_")</f>
        <v>_</v>
      </c>
      <c r="D283" t="str">
        <f t="shared" si="12"/>
        <v>X</v>
      </c>
      <c r="E283" t="str">
        <f ca="1">IFERROR(IF(AND(B283&amp;C283&amp;D283="___",INDIRECT("Inventory!A"&amp;MATCH(VLOOKUP(A283,Inventory!E:E,1,0),Inventory!E:E,0))&lt;&gt;INDIRECT("'Full Inventory'!B"&amp;MATCH(VLOOKUP(A283,'Full Inventory'!F:F,1,0),'Full Inventory'!F:F,0))),"X","_"),"_")</f>
        <v>_</v>
      </c>
      <c r="K283" t="str">
        <f t="shared" ca="1" si="13"/>
        <v>__X_</v>
      </c>
      <c r="L283" t="str">
        <f t="shared" ca="1" si="14"/>
        <v/>
      </c>
      <c r="M283" t="str">
        <f>IFERROR(INDEX(Inventory!A:A,MATCH(Scan!A283,Inventory!E:E,0)),"")</f>
        <v/>
      </c>
    </row>
    <row r="284" spans="2:13" x14ac:dyDescent="0.25">
      <c r="B284" t="str">
        <f>IF(IFERROR(VLOOKUP(TRIM(A284),Inventory!E:E,1,0),0)=0,"X","_")</f>
        <v>_</v>
      </c>
      <c r="C284" t="str">
        <f>IF(IFERROR(VLOOKUP(TRIM(A284),'Full Inventory'!F:F,1,0),0)=0,"X","_")</f>
        <v>_</v>
      </c>
      <c r="D284" t="str">
        <f t="shared" si="12"/>
        <v>X</v>
      </c>
      <c r="E284" t="str">
        <f ca="1">IFERROR(IF(AND(B284&amp;C284&amp;D284="___",INDIRECT("Inventory!A"&amp;MATCH(VLOOKUP(A284,Inventory!E:E,1,0),Inventory!E:E,0))&lt;&gt;INDIRECT("'Full Inventory'!B"&amp;MATCH(VLOOKUP(A284,'Full Inventory'!F:F,1,0),'Full Inventory'!F:F,0))),"X","_"),"_")</f>
        <v>_</v>
      </c>
      <c r="K284" t="str">
        <f t="shared" ca="1" si="13"/>
        <v>__X_</v>
      </c>
      <c r="L284" t="str">
        <f t="shared" ca="1" si="14"/>
        <v/>
      </c>
      <c r="M284" t="str">
        <f>IFERROR(INDEX(Inventory!A:A,MATCH(Scan!A284,Inventory!E:E,0)),"")</f>
        <v/>
      </c>
    </row>
    <row r="285" spans="2:13" x14ac:dyDescent="0.25">
      <c r="B285" t="str">
        <f>IF(IFERROR(VLOOKUP(TRIM(A285),Inventory!E:E,1,0),0)=0,"X","_")</f>
        <v>_</v>
      </c>
      <c r="C285" t="str">
        <f>IF(IFERROR(VLOOKUP(TRIM(A285),'Full Inventory'!F:F,1,0),0)=0,"X","_")</f>
        <v>_</v>
      </c>
      <c r="D285" t="str">
        <f t="shared" si="12"/>
        <v>X</v>
      </c>
      <c r="E285" t="str">
        <f ca="1">IFERROR(IF(AND(B285&amp;C285&amp;D285="___",INDIRECT("Inventory!A"&amp;MATCH(VLOOKUP(A285,Inventory!E:E,1,0),Inventory!E:E,0))&lt;&gt;INDIRECT("'Full Inventory'!B"&amp;MATCH(VLOOKUP(A285,'Full Inventory'!F:F,1,0),'Full Inventory'!F:F,0))),"X","_"),"_")</f>
        <v>_</v>
      </c>
      <c r="K285" t="str">
        <f t="shared" ca="1" si="13"/>
        <v>__X_</v>
      </c>
      <c r="L285" t="str">
        <f t="shared" ca="1" si="14"/>
        <v/>
      </c>
      <c r="M285" t="str">
        <f>IFERROR(INDEX(Inventory!A:A,MATCH(Scan!A285,Inventory!E:E,0)),"")</f>
        <v/>
      </c>
    </row>
    <row r="286" spans="2:13" x14ac:dyDescent="0.25">
      <c r="B286" t="str">
        <f>IF(IFERROR(VLOOKUP(TRIM(A286),Inventory!E:E,1,0),0)=0,"X","_")</f>
        <v>_</v>
      </c>
      <c r="C286" t="str">
        <f>IF(IFERROR(VLOOKUP(TRIM(A286),'Full Inventory'!F:F,1,0),0)=0,"X","_")</f>
        <v>_</v>
      </c>
      <c r="D286" t="str">
        <f t="shared" si="12"/>
        <v>X</v>
      </c>
      <c r="E286" t="str">
        <f ca="1">IFERROR(IF(AND(B286&amp;C286&amp;D286="___",INDIRECT("Inventory!A"&amp;MATCH(VLOOKUP(A286,Inventory!E:E,1,0),Inventory!E:E,0))&lt;&gt;INDIRECT("'Full Inventory'!B"&amp;MATCH(VLOOKUP(A286,'Full Inventory'!F:F,1,0),'Full Inventory'!F:F,0))),"X","_"),"_")</f>
        <v>_</v>
      </c>
      <c r="K286" t="str">
        <f t="shared" ca="1" si="13"/>
        <v>__X_</v>
      </c>
      <c r="L286" t="str">
        <f t="shared" ca="1" si="14"/>
        <v/>
      </c>
      <c r="M286" t="str">
        <f>IFERROR(INDEX(Inventory!A:A,MATCH(Scan!A286,Inventory!E:E,0)),"")</f>
        <v/>
      </c>
    </row>
    <row r="287" spans="2:13" x14ac:dyDescent="0.25">
      <c r="B287" t="str">
        <f>IF(IFERROR(VLOOKUP(TRIM(A287),Inventory!E:E,1,0),0)=0,"X","_")</f>
        <v>_</v>
      </c>
      <c r="C287" t="str">
        <f>IF(IFERROR(VLOOKUP(TRIM(A287),'Full Inventory'!F:F,1,0),0)=0,"X","_")</f>
        <v>_</v>
      </c>
      <c r="D287" t="str">
        <f t="shared" si="12"/>
        <v>X</v>
      </c>
      <c r="E287" t="str">
        <f ca="1">IFERROR(IF(AND(B287&amp;C287&amp;D287="___",INDIRECT("Inventory!A"&amp;MATCH(VLOOKUP(A287,Inventory!E:E,1,0),Inventory!E:E,0))&lt;&gt;INDIRECT("'Full Inventory'!B"&amp;MATCH(VLOOKUP(A287,'Full Inventory'!F:F,1,0),'Full Inventory'!F:F,0))),"X","_"),"_")</f>
        <v>_</v>
      </c>
      <c r="K287" t="str">
        <f t="shared" ca="1" si="13"/>
        <v>__X_</v>
      </c>
      <c r="L287" t="str">
        <f t="shared" ca="1" si="14"/>
        <v/>
      </c>
      <c r="M287" t="str">
        <f>IFERROR(INDEX(Inventory!A:A,MATCH(Scan!A287,Inventory!E:E,0)),"")</f>
        <v/>
      </c>
    </row>
    <row r="288" spans="2:13" x14ac:dyDescent="0.25">
      <c r="B288" t="str">
        <f>IF(IFERROR(VLOOKUP(TRIM(A288),Inventory!E:E,1,0),0)=0,"X","_")</f>
        <v>_</v>
      </c>
      <c r="C288" t="str">
        <f>IF(IFERROR(VLOOKUP(TRIM(A288),'Full Inventory'!F:F,1,0),0)=0,"X","_")</f>
        <v>_</v>
      </c>
      <c r="D288" t="str">
        <f t="shared" si="12"/>
        <v>X</v>
      </c>
      <c r="E288" t="str">
        <f ca="1">IFERROR(IF(AND(B288&amp;C288&amp;D288="___",INDIRECT("Inventory!A"&amp;MATCH(VLOOKUP(A288,Inventory!E:E,1,0),Inventory!E:E,0))&lt;&gt;INDIRECT("'Full Inventory'!B"&amp;MATCH(VLOOKUP(A288,'Full Inventory'!F:F,1,0),'Full Inventory'!F:F,0))),"X","_"),"_")</f>
        <v>_</v>
      </c>
      <c r="K288" t="str">
        <f t="shared" ca="1" si="13"/>
        <v>__X_</v>
      </c>
      <c r="L288" t="str">
        <f t="shared" ca="1" si="14"/>
        <v/>
      </c>
      <c r="M288" t="str">
        <f>IFERROR(INDEX(Inventory!A:A,MATCH(Scan!A288,Inventory!E:E,0)),"")</f>
        <v/>
      </c>
    </row>
    <row r="289" spans="2:13" x14ac:dyDescent="0.25">
      <c r="B289" t="str">
        <f>IF(IFERROR(VLOOKUP(TRIM(A289),Inventory!E:E,1,0),0)=0,"X","_")</f>
        <v>_</v>
      </c>
      <c r="C289" t="str">
        <f>IF(IFERROR(VLOOKUP(TRIM(A289),'Full Inventory'!F:F,1,0),0)=0,"X","_")</f>
        <v>_</v>
      </c>
      <c r="D289" t="str">
        <f t="shared" si="12"/>
        <v>X</v>
      </c>
      <c r="E289" t="str">
        <f ca="1">IFERROR(IF(AND(B289&amp;C289&amp;D289="___",INDIRECT("Inventory!A"&amp;MATCH(VLOOKUP(A289,Inventory!E:E,1,0),Inventory!E:E,0))&lt;&gt;INDIRECT("'Full Inventory'!B"&amp;MATCH(VLOOKUP(A289,'Full Inventory'!F:F,1,0),'Full Inventory'!F:F,0))),"X","_"),"_")</f>
        <v>_</v>
      </c>
      <c r="K289" t="str">
        <f t="shared" ca="1" si="13"/>
        <v>__X_</v>
      </c>
      <c r="L289" t="str">
        <f t="shared" ca="1" si="14"/>
        <v/>
      </c>
      <c r="M289" t="str">
        <f>IFERROR(INDEX(Inventory!A:A,MATCH(Scan!A289,Inventory!E:E,0)),"")</f>
        <v/>
      </c>
    </row>
    <row r="290" spans="2:13" x14ac:dyDescent="0.25">
      <c r="B290" t="str">
        <f>IF(IFERROR(VLOOKUP(TRIM(A290),Inventory!E:E,1,0),0)=0,"X","_")</f>
        <v>_</v>
      </c>
      <c r="C290" t="str">
        <f>IF(IFERROR(VLOOKUP(TRIM(A290),'Full Inventory'!F:F,1,0),0)=0,"X","_")</f>
        <v>_</v>
      </c>
      <c r="D290" t="str">
        <f t="shared" si="12"/>
        <v>X</v>
      </c>
      <c r="E290" t="str">
        <f ca="1">IFERROR(IF(AND(B290&amp;C290&amp;D290="___",INDIRECT("Inventory!A"&amp;MATCH(VLOOKUP(A290,Inventory!E:E,1,0),Inventory!E:E,0))&lt;&gt;INDIRECT("'Full Inventory'!B"&amp;MATCH(VLOOKUP(A290,'Full Inventory'!F:F,1,0),'Full Inventory'!F:F,0))),"X","_"),"_")</f>
        <v>_</v>
      </c>
      <c r="K290" t="str">
        <f t="shared" ca="1" si="13"/>
        <v>__X_</v>
      </c>
      <c r="L290" t="str">
        <f t="shared" ca="1" si="14"/>
        <v/>
      </c>
      <c r="M290" t="str">
        <f>IFERROR(INDEX(Inventory!A:A,MATCH(Scan!A290,Inventory!E:E,0)),"")</f>
        <v/>
      </c>
    </row>
    <row r="291" spans="2:13" x14ac:dyDescent="0.25">
      <c r="B291" t="str">
        <f>IF(IFERROR(VLOOKUP(TRIM(A291),Inventory!E:E,1,0),0)=0,"X","_")</f>
        <v>_</v>
      </c>
      <c r="C291" t="str">
        <f>IF(IFERROR(VLOOKUP(TRIM(A291),'Full Inventory'!F:F,1,0),0)=0,"X","_")</f>
        <v>_</v>
      </c>
      <c r="D291" t="str">
        <f t="shared" si="12"/>
        <v>X</v>
      </c>
      <c r="E291" t="str">
        <f ca="1">IFERROR(IF(AND(B291&amp;C291&amp;D291="___",INDIRECT("Inventory!A"&amp;MATCH(VLOOKUP(A291,Inventory!E:E,1,0),Inventory!E:E,0))&lt;&gt;INDIRECT("'Full Inventory'!B"&amp;MATCH(VLOOKUP(A291,'Full Inventory'!F:F,1,0),'Full Inventory'!F:F,0))),"X","_"),"_")</f>
        <v>_</v>
      </c>
      <c r="K291" t="str">
        <f t="shared" ca="1" si="13"/>
        <v>__X_</v>
      </c>
      <c r="L291" t="str">
        <f t="shared" ca="1" si="14"/>
        <v/>
      </c>
      <c r="M291" t="str">
        <f>IFERROR(INDEX(Inventory!A:A,MATCH(Scan!A291,Inventory!E:E,0)),"")</f>
        <v/>
      </c>
    </row>
    <row r="292" spans="2:13" x14ac:dyDescent="0.25">
      <c r="B292" t="str">
        <f>IF(IFERROR(VLOOKUP(TRIM(A292),Inventory!E:E,1,0),0)=0,"X","_")</f>
        <v>_</v>
      </c>
      <c r="C292" t="str">
        <f>IF(IFERROR(VLOOKUP(TRIM(A292),'Full Inventory'!F:F,1,0),0)=0,"X","_")</f>
        <v>_</v>
      </c>
      <c r="D292" t="str">
        <f t="shared" si="12"/>
        <v>X</v>
      </c>
      <c r="E292" t="str">
        <f ca="1">IFERROR(IF(AND(B292&amp;C292&amp;D292="___",INDIRECT("Inventory!A"&amp;MATCH(VLOOKUP(A292,Inventory!E:E,1,0),Inventory!E:E,0))&lt;&gt;INDIRECT("'Full Inventory'!B"&amp;MATCH(VLOOKUP(A292,'Full Inventory'!F:F,1,0),'Full Inventory'!F:F,0))),"X","_"),"_")</f>
        <v>_</v>
      </c>
      <c r="K292" t="str">
        <f t="shared" ca="1" si="13"/>
        <v>__X_</v>
      </c>
      <c r="L292" t="str">
        <f t="shared" ca="1" si="14"/>
        <v/>
      </c>
      <c r="M292" t="str">
        <f>IFERROR(INDEX(Inventory!A:A,MATCH(Scan!A292,Inventory!E:E,0)),"")</f>
        <v/>
      </c>
    </row>
    <row r="293" spans="2:13" x14ac:dyDescent="0.25">
      <c r="B293" t="str">
        <f>IF(IFERROR(VLOOKUP(TRIM(A293),Inventory!E:E,1,0),0)=0,"X","_")</f>
        <v>_</v>
      </c>
      <c r="C293" t="str">
        <f>IF(IFERROR(VLOOKUP(TRIM(A293),'Full Inventory'!F:F,1,0),0)=0,"X","_")</f>
        <v>_</v>
      </c>
      <c r="D293" t="str">
        <f t="shared" si="12"/>
        <v>X</v>
      </c>
      <c r="E293" t="str">
        <f ca="1">IFERROR(IF(AND(B293&amp;C293&amp;D293="___",INDIRECT("Inventory!A"&amp;MATCH(VLOOKUP(A293,Inventory!E:E,1,0),Inventory!E:E,0))&lt;&gt;INDIRECT("'Full Inventory'!B"&amp;MATCH(VLOOKUP(A293,'Full Inventory'!F:F,1,0),'Full Inventory'!F:F,0))),"X","_"),"_")</f>
        <v>_</v>
      </c>
      <c r="K293" t="str">
        <f t="shared" ca="1" si="13"/>
        <v>__X_</v>
      </c>
      <c r="L293" t="str">
        <f t="shared" ca="1" si="14"/>
        <v/>
      </c>
      <c r="M293" t="str">
        <f>IFERROR(INDEX(Inventory!A:A,MATCH(Scan!A293,Inventory!E:E,0)),"")</f>
        <v/>
      </c>
    </row>
    <row r="294" spans="2:13" x14ac:dyDescent="0.25">
      <c r="B294" t="str">
        <f>IF(IFERROR(VLOOKUP(TRIM(A294),Inventory!E:E,1,0),0)=0,"X","_")</f>
        <v>_</v>
      </c>
      <c r="C294" t="str">
        <f>IF(IFERROR(VLOOKUP(TRIM(A294),'Full Inventory'!F:F,1,0),0)=0,"X","_")</f>
        <v>_</v>
      </c>
      <c r="D294" t="str">
        <f t="shared" si="12"/>
        <v>X</v>
      </c>
      <c r="E294" t="str">
        <f ca="1">IFERROR(IF(AND(B294&amp;C294&amp;D294="___",INDIRECT("Inventory!A"&amp;MATCH(VLOOKUP(A294,Inventory!E:E,1,0),Inventory!E:E,0))&lt;&gt;INDIRECT("'Full Inventory'!B"&amp;MATCH(VLOOKUP(A294,'Full Inventory'!F:F,1,0),'Full Inventory'!F:F,0))),"X","_"),"_")</f>
        <v>_</v>
      </c>
      <c r="K294" t="str">
        <f t="shared" ca="1" si="13"/>
        <v>__X_</v>
      </c>
      <c r="L294" t="str">
        <f t="shared" ca="1" si="14"/>
        <v/>
      </c>
      <c r="M294" t="str">
        <f>IFERROR(INDEX(Inventory!A:A,MATCH(Scan!A294,Inventory!E:E,0)),"")</f>
        <v/>
      </c>
    </row>
    <row r="295" spans="2:13" x14ac:dyDescent="0.25">
      <c r="B295" t="str">
        <f>IF(IFERROR(VLOOKUP(TRIM(A295),Inventory!E:E,1,0),0)=0,"X","_")</f>
        <v>_</v>
      </c>
      <c r="C295" t="str">
        <f>IF(IFERROR(VLOOKUP(TRIM(A295),'Full Inventory'!F:F,1,0),0)=0,"X","_")</f>
        <v>_</v>
      </c>
      <c r="D295" t="str">
        <f t="shared" si="12"/>
        <v>X</v>
      </c>
      <c r="E295" t="str">
        <f ca="1">IFERROR(IF(AND(B295&amp;C295&amp;D295="___",INDIRECT("Inventory!A"&amp;MATCH(VLOOKUP(A295,Inventory!E:E,1,0),Inventory!E:E,0))&lt;&gt;INDIRECT("'Full Inventory'!B"&amp;MATCH(VLOOKUP(A295,'Full Inventory'!F:F,1,0),'Full Inventory'!F:F,0))),"X","_"),"_")</f>
        <v>_</v>
      </c>
      <c r="K295" t="str">
        <f t="shared" ca="1" si="13"/>
        <v>__X_</v>
      </c>
      <c r="L295" t="str">
        <f t="shared" ca="1" si="14"/>
        <v/>
      </c>
      <c r="M295" t="str">
        <f>IFERROR(INDEX(Inventory!A:A,MATCH(Scan!A295,Inventory!E:E,0)),"")</f>
        <v/>
      </c>
    </row>
    <row r="296" spans="2:13" x14ac:dyDescent="0.25">
      <c r="B296" t="str">
        <f>IF(IFERROR(VLOOKUP(TRIM(A296),Inventory!E:E,1,0),0)=0,"X","_")</f>
        <v>_</v>
      </c>
      <c r="C296" t="str">
        <f>IF(IFERROR(VLOOKUP(TRIM(A296),'Full Inventory'!F:F,1,0),0)=0,"X","_")</f>
        <v>_</v>
      </c>
      <c r="D296" t="str">
        <f t="shared" si="12"/>
        <v>X</v>
      </c>
      <c r="E296" t="str">
        <f ca="1">IFERROR(IF(AND(B296&amp;C296&amp;D296="___",INDIRECT("Inventory!A"&amp;MATCH(VLOOKUP(A296,Inventory!E:E,1,0),Inventory!E:E,0))&lt;&gt;INDIRECT("'Full Inventory'!B"&amp;MATCH(VLOOKUP(A296,'Full Inventory'!F:F,1,0),'Full Inventory'!F:F,0))),"X","_"),"_")</f>
        <v>_</v>
      </c>
      <c r="K296" t="str">
        <f t="shared" ca="1" si="13"/>
        <v>__X_</v>
      </c>
      <c r="L296" t="str">
        <f t="shared" ca="1" si="14"/>
        <v/>
      </c>
      <c r="M296" t="str">
        <f>IFERROR(INDEX(Inventory!A:A,MATCH(Scan!A296,Inventory!E:E,0)),"")</f>
        <v/>
      </c>
    </row>
    <row r="297" spans="2:13" x14ac:dyDescent="0.25">
      <c r="B297" t="str">
        <f>IF(IFERROR(VLOOKUP(TRIM(A297),Inventory!E:E,1,0),0)=0,"X","_")</f>
        <v>_</v>
      </c>
      <c r="C297" t="str">
        <f>IF(IFERROR(VLOOKUP(TRIM(A297),'Full Inventory'!F:F,1,0),0)=0,"X","_")</f>
        <v>_</v>
      </c>
      <c r="D297" t="str">
        <f t="shared" si="12"/>
        <v>X</v>
      </c>
      <c r="E297" t="str">
        <f ca="1">IFERROR(IF(AND(B297&amp;C297&amp;D297="___",INDIRECT("Inventory!A"&amp;MATCH(VLOOKUP(A297,Inventory!E:E,1,0),Inventory!E:E,0))&lt;&gt;INDIRECT("'Full Inventory'!B"&amp;MATCH(VLOOKUP(A297,'Full Inventory'!F:F,1,0),'Full Inventory'!F:F,0))),"X","_"),"_")</f>
        <v>_</v>
      </c>
      <c r="K297" t="str">
        <f t="shared" ca="1" si="13"/>
        <v>__X_</v>
      </c>
      <c r="L297" t="str">
        <f t="shared" ca="1" si="14"/>
        <v/>
      </c>
      <c r="M297" t="str">
        <f>IFERROR(INDEX(Inventory!A:A,MATCH(Scan!A297,Inventory!E:E,0)),"")</f>
        <v/>
      </c>
    </row>
    <row r="298" spans="2:13" x14ac:dyDescent="0.25">
      <c r="B298" t="str">
        <f>IF(IFERROR(VLOOKUP(TRIM(A298),Inventory!E:E,1,0),0)=0,"X","_")</f>
        <v>_</v>
      </c>
      <c r="C298" t="str">
        <f>IF(IFERROR(VLOOKUP(TRIM(A298),'Full Inventory'!F:F,1,0),0)=0,"X","_")</f>
        <v>_</v>
      </c>
      <c r="D298" t="str">
        <f t="shared" si="12"/>
        <v>X</v>
      </c>
      <c r="E298" t="str">
        <f ca="1">IFERROR(IF(AND(B298&amp;C298&amp;D298="___",INDIRECT("Inventory!A"&amp;MATCH(VLOOKUP(A298,Inventory!E:E,1,0),Inventory!E:E,0))&lt;&gt;INDIRECT("'Full Inventory'!B"&amp;MATCH(VLOOKUP(A298,'Full Inventory'!F:F,1,0),'Full Inventory'!F:F,0))),"X","_"),"_")</f>
        <v>_</v>
      </c>
      <c r="K298" t="str">
        <f t="shared" ca="1" si="13"/>
        <v>__X_</v>
      </c>
      <c r="L298" t="str">
        <f t="shared" ca="1" si="14"/>
        <v/>
      </c>
      <c r="M298" t="str">
        <f>IFERROR(INDEX(Inventory!A:A,MATCH(Scan!A298,Inventory!E:E,0)),"")</f>
        <v/>
      </c>
    </row>
    <row r="299" spans="2:13" x14ac:dyDescent="0.25">
      <c r="B299" t="str">
        <f>IF(IFERROR(VLOOKUP(TRIM(A299),Inventory!E:E,1,0),0)=0,"X","_")</f>
        <v>_</v>
      </c>
      <c r="C299" t="str">
        <f>IF(IFERROR(VLOOKUP(TRIM(A299),'Full Inventory'!F:F,1,0),0)=0,"X","_")</f>
        <v>_</v>
      </c>
      <c r="D299" t="str">
        <f t="shared" si="12"/>
        <v>X</v>
      </c>
      <c r="E299" t="str">
        <f ca="1">IFERROR(IF(AND(B299&amp;C299&amp;D299="___",INDIRECT("Inventory!A"&amp;MATCH(VLOOKUP(A299,Inventory!E:E,1,0),Inventory!E:E,0))&lt;&gt;INDIRECT("'Full Inventory'!B"&amp;MATCH(VLOOKUP(A299,'Full Inventory'!F:F,1,0),'Full Inventory'!F:F,0))),"X","_"),"_")</f>
        <v>_</v>
      </c>
      <c r="K299" t="str">
        <f t="shared" ca="1" si="13"/>
        <v>__X_</v>
      </c>
      <c r="L299" t="str">
        <f t="shared" ca="1" si="14"/>
        <v/>
      </c>
      <c r="M299" t="str">
        <f>IFERROR(INDEX(Inventory!A:A,MATCH(Scan!A299,Inventory!E:E,0)),"")</f>
        <v/>
      </c>
    </row>
    <row r="300" spans="2:13" x14ac:dyDescent="0.25">
      <c r="B300" t="str">
        <f>IF(IFERROR(VLOOKUP(TRIM(A300),Inventory!E:E,1,0),0)=0,"X","_")</f>
        <v>_</v>
      </c>
      <c r="C300" t="str">
        <f>IF(IFERROR(VLOOKUP(TRIM(A300),'Full Inventory'!F:F,1,0),0)=0,"X","_")</f>
        <v>_</v>
      </c>
      <c r="D300" t="str">
        <f t="shared" si="12"/>
        <v>X</v>
      </c>
      <c r="E300" t="str">
        <f ca="1">IFERROR(IF(AND(B300&amp;C300&amp;D300="___",INDIRECT("Inventory!A"&amp;MATCH(VLOOKUP(A300,Inventory!E:E,1,0),Inventory!E:E,0))&lt;&gt;INDIRECT("'Full Inventory'!B"&amp;MATCH(VLOOKUP(A300,'Full Inventory'!F:F,1,0),'Full Inventory'!F:F,0))),"X","_"),"_")</f>
        <v>_</v>
      </c>
      <c r="K300" t="str">
        <f t="shared" ca="1" si="13"/>
        <v>__X_</v>
      </c>
      <c r="L300" t="str">
        <f t="shared" ca="1" si="14"/>
        <v/>
      </c>
      <c r="M300" t="str">
        <f>IFERROR(INDEX(Inventory!A:A,MATCH(Scan!A300,Inventory!E:E,0)),"")</f>
        <v/>
      </c>
    </row>
    <row r="301" spans="2:13" x14ac:dyDescent="0.25">
      <c r="B301" t="str">
        <f>IF(IFERROR(VLOOKUP(TRIM(A301),Inventory!E:E,1,0),0)=0,"X","_")</f>
        <v>_</v>
      </c>
      <c r="C301" t="str">
        <f>IF(IFERROR(VLOOKUP(TRIM(A301),'Full Inventory'!F:F,1,0),0)=0,"X","_")</f>
        <v>_</v>
      </c>
      <c r="D301" t="str">
        <f t="shared" si="12"/>
        <v>X</v>
      </c>
      <c r="E301" t="str">
        <f ca="1">IFERROR(IF(AND(B301&amp;C301&amp;D301="___",INDIRECT("Inventory!A"&amp;MATCH(VLOOKUP(A301,Inventory!E:E,1,0),Inventory!E:E,0))&lt;&gt;INDIRECT("'Full Inventory'!B"&amp;MATCH(VLOOKUP(A301,'Full Inventory'!F:F,1,0),'Full Inventory'!F:F,0))),"X","_"),"_")</f>
        <v>_</v>
      </c>
      <c r="K301" t="str">
        <f t="shared" ca="1" si="13"/>
        <v>__X_</v>
      </c>
      <c r="L301" t="str">
        <f t="shared" ca="1" si="14"/>
        <v/>
      </c>
      <c r="M301" t="str">
        <f>IFERROR(INDEX(Inventory!A:A,MATCH(Scan!A301,Inventory!E:E,0)),"")</f>
        <v/>
      </c>
    </row>
    <row r="302" spans="2:13" x14ac:dyDescent="0.25">
      <c r="B302" t="str">
        <f>IF(IFERROR(VLOOKUP(TRIM(A302),Inventory!E:E,1,0),0)=0,"X","_")</f>
        <v>_</v>
      </c>
      <c r="C302" t="str">
        <f>IF(IFERROR(VLOOKUP(TRIM(A302),'Full Inventory'!F:F,1,0),0)=0,"X","_")</f>
        <v>_</v>
      </c>
      <c r="D302" t="str">
        <f t="shared" si="12"/>
        <v>X</v>
      </c>
      <c r="E302" t="str">
        <f ca="1">IFERROR(IF(AND(B302&amp;C302&amp;D302="___",INDIRECT("Inventory!A"&amp;MATCH(VLOOKUP(A302,Inventory!E:E,1,0),Inventory!E:E,0))&lt;&gt;INDIRECT("'Full Inventory'!B"&amp;MATCH(VLOOKUP(A302,'Full Inventory'!F:F,1,0),'Full Inventory'!F:F,0))),"X","_"),"_")</f>
        <v>_</v>
      </c>
      <c r="K302" t="str">
        <f t="shared" ca="1" si="13"/>
        <v>__X_</v>
      </c>
      <c r="L302" t="str">
        <f t="shared" ca="1" si="14"/>
        <v/>
      </c>
      <c r="M302" t="str">
        <f>IFERROR(INDEX(Inventory!A:A,MATCH(Scan!A302,Inventory!E:E,0)),"")</f>
        <v/>
      </c>
    </row>
    <row r="303" spans="2:13" x14ac:dyDescent="0.25">
      <c r="B303" t="str">
        <f>IF(IFERROR(VLOOKUP(TRIM(A303),Inventory!E:E,1,0),0)=0,"X","_")</f>
        <v>_</v>
      </c>
      <c r="C303" t="str">
        <f>IF(IFERROR(VLOOKUP(TRIM(A303),'Full Inventory'!F:F,1,0),0)=0,"X","_")</f>
        <v>_</v>
      </c>
      <c r="D303" t="str">
        <f t="shared" si="12"/>
        <v>X</v>
      </c>
      <c r="E303" t="str">
        <f ca="1">IFERROR(IF(AND(B303&amp;C303&amp;D303="___",INDIRECT("Inventory!A"&amp;MATCH(VLOOKUP(A303,Inventory!E:E,1,0),Inventory!E:E,0))&lt;&gt;INDIRECT("'Full Inventory'!B"&amp;MATCH(VLOOKUP(A303,'Full Inventory'!F:F,1,0),'Full Inventory'!F:F,0))),"X","_"),"_")</f>
        <v>_</v>
      </c>
      <c r="K303" t="str">
        <f t="shared" ca="1" si="13"/>
        <v>__X_</v>
      </c>
      <c r="L303" t="str">
        <f t="shared" ca="1" si="14"/>
        <v/>
      </c>
      <c r="M303" t="str">
        <f>IFERROR(INDEX(Inventory!A:A,MATCH(Scan!A303,Inventory!E:E,0)),"")</f>
        <v/>
      </c>
    </row>
    <row r="304" spans="2:13" x14ac:dyDescent="0.25">
      <c r="B304" t="str">
        <f>IF(IFERROR(VLOOKUP(TRIM(A304),Inventory!E:E,1,0),0)=0,"X","_")</f>
        <v>_</v>
      </c>
      <c r="C304" t="str">
        <f>IF(IFERROR(VLOOKUP(TRIM(A304),'Full Inventory'!F:F,1,0),0)=0,"X","_")</f>
        <v>_</v>
      </c>
      <c r="D304" t="str">
        <f t="shared" si="12"/>
        <v>X</v>
      </c>
      <c r="E304" t="str">
        <f ca="1">IFERROR(IF(AND(B304&amp;C304&amp;D304="___",INDIRECT("Inventory!A"&amp;MATCH(VLOOKUP(A304,Inventory!E:E,1,0),Inventory!E:E,0))&lt;&gt;INDIRECT("'Full Inventory'!B"&amp;MATCH(VLOOKUP(A304,'Full Inventory'!F:F,1,0),'Full Inventory'!F:F,0))),"X","_"),"_")</f>
        <v>_</v>
      </c>
      <c r="K304" t="str">
        <f t="shared" ca="1" si="13"/>
        <v>__X_</v>
      </c>
      <c r="L304" t="str">
        <f t="shared" ca="1" si="14"/>
        <v/>
      </c>
      <c r="M304" t="str">
        <f>IFERROR(INDEX(Inventory!A:A,MATCH(Scan!A304,Inventory!E:E,0)),"")</f>
        <v/>
      </c>
    </row>
    <row r="305" spans="2:13" x14ac:dyDescent="0.25">
      <c r="B305" t="str">
        <f>IF(IFERROR(VLOOKUP(TRIM(A305),Inventory!E:E,1,0),0)=0,"X","_")</f>
        <v>_</v>
      </c>
      <c r="C305" t="str">
        <f>IF(IFERROR(VLOOKUP(TRIM(A305),'Full Inventory'!F:F,1,0),0)=0,"X","_")</f>
        <v>_</v>
      </c>
      <c r="D305" t="str">
        <f t="shared" si="12"/>
        <v>X</v>
      </c>
      <c r="E305" t="str">
        <f ca="1">IFERROR(IF(AND(B305&amp;C305&amp;D305="___",INDIRECT("Inventory!A"&amp;MATCH(VLOOKUP(A305,Inventory!E:E,1,0),Inventory!E:E,0))&lt;&gt;INDIRECT("'Full Inventory'!B"&amp;MATCH(VLOOKUP(A305,'Full Inventory'!F:F,1,0),'Full Inventory'!F:F,0))),"X","_"),"_")</f>
        <v>_</v>
      </c>
      <c r="K305" t="str">
        <f t="shared" ca="1" si="13"/>
        <v>__X_</v>
      </c>
      <c r="L305" t="str">
        <f t="shared" ca="1" si="14"/>
        <v/>
      </c>
      <c r="M305" t="str">
        <f>IFERROR(INDEX(Inventory!A:A,MATCH(Scan!A305,Inventory!E:E,0)),"")</f>
        <v/>
      </c>
    </row>
    <row r="306" spans="2:13" x14ac:dyDescent="0.25">
      <c r="B306" t="str">
        <f>IF(IFERROR(VLOOKUP(TRIM(A306),Inventory!E:E,1,0),0)=0,"X","_")</f>
        <v>_</v>
      </c>
      <c r="C306" t="str">
        <f>IF(IFERROR(VLOOKUP(TRIM(A306),'Full Inventory'!F:F,1,0),0)=0,"X","_")</f>
        <v>_</v>
      </c>
      <c r="D306" t="str">
        <f t="shared" si="12"/>
        <v>X</v>
      </c>
      <c r="E306" t="str">
        <f ca="1">IFERROR(IF(AND(B306&amp;C306&amp;D306="___",INDIRECT("Inventory!A"&amp;MATCH(VLOOKUP(A306,Inventory!E:E,1,0),Inventory!E:E,0))&lt;&gt;INDIRECT("'Full Inventory'!B"&amp;MATCH(VLOOKUP(A306,'Full Inventory'!F:F,1,0),'Full Inventory'!F:F,0))),"X","_"),"_")</f>
        <v>_</v>
      </c>
      <c r="K306" t="str">
        <f t="shared" ca="1" si="13"/>
        <v>__X_</v>
      </c>
      <c r="L306" t="str">
        <f t="shared" ca="1" si="14"/>
        <v/>
      </c>
      <c r="M306" t="str">
        <f>IFERROR(INDEX(Inventory!A:A,MATCH(Scan!A306,Inventory!E:E,0)),"")</f>
        <v/>
      </c>
    </row>
    <row r="307" spans="2:13" x14ac:dyDescent="0.25">
      <c r="B307" t="str">
        <f>IF(IFERROR(VLOOKUP(TRIM(A307),Inventory!E:E,1,0),0)=0,"X","_")</f>
        <v>_</v>
      </c>
      <c r="C307" t="str">
        <f>IF(IFERROR(VLOOKUP(TRIM(A307),'Full Inventory'!F:F,1,0),0)=0,"X","_")</f>
        <v>_</v>
      </c>
      <c r="D307" t="str">
        <f t="shared" si="12"/>
        <v>X</v>
      </c>
      <c r="E307" t="str">
        <f ca="1">IFERROR(IF(AND(B307&amp;C307&amp;D307="___",INDIRECT("Inventory!A"&amp;MATCH(VLOOKUP(A307,Inventory!E:E,1,0),Inventory!E:E,0))&lt;&gt;INDIRECT("'Full Inventory'!B"&amp;MATCH(VLOOKUP(A307,'Full Inventory'!F:F,1,0),'Full Inventory'!F:F,0))),"X","_"),"_")</f>
        <v>_</v>
      </c>
      <c r="K307" t="str">
        <f t="shared" ca="1" si="13"/>
        <v>__X_</v>
      </c>
      <c r="L307" t="str">
        <f t="shared" ca="1" si="14"/>
        <v/>
      </c>
      <c r="M307" t="str">
        <f>IFERROR(INDEX(Inventory!A:A,MATCH(Scan!A307,Inventory!E:E,0)),"")</f>
        <v/>
      </c>
    </row>
    <row r="308" spans="2:13" x14ac:dyDescent="0.25">
      <c r="B308" t="str">
        <f>IF(IFERROR(VLOOKUP(TRIM(A308),Inventory!E:E,1,0),0)=0,"X","_")</f>
        <v>_</v>
      </c>
      <c r="C308" t="str">
        <f>IF(IFERROR(VLOOKUP(TRIM(A308),'Full Inventory'!F:F,1,0),0)=0,"X","_")</f>
        <v>_</v>
      </c>
      <c r="D308" t="str">
        <f t="shared" si="12"/>
        <v>X</v>
      </c>
      <c r="E308" t="str">
        <f ca="1">IFERROR(IF(AND(B308&amp;C308&amp;D308="___",INDIRECT("Inventory!A"&amp;MATCH(VLOOKUP(A308,Inventory!E:E,1,0),Inventory!E:E,0))&lt;&gt;INDIRECT("'Full Inventory'!B"&amp;MATCH(VLOOKUP(A308,'Full Inventory'!F:F,1,0),'Full Inventory'!F:F,0))),"X","_"),"_")</f>
        <v>_</v>
      </c>
      <c r="K308" t="str">
        <f t="shared" ca="1" si="13"/>
        <v>__X_</v>
      </c>
      <c r="L308" t="str">
        <f t="shared" ca="1" si="14"/>
        <v/>
      </c>
      <c r="M308" t="str">
        <f>IFERROR(INDEX(Inventory!A:A,MATCH(Scan!A308,Inventory!E:E,0)),"")</f>
        <v/>
      </c>
    </row>
    <row r="309" spans="2:13" x14ac:dyDescent="0.25">
      <c r="B309" t="str">
        <f>IF(IFERROR(VLOOKUP(TRIM(A309),Inventory!E:E,1,0),0)=0,"X","_")</f>
        <v>_</v>
      </c>
      <c r="C309" t="str">
        <f>IF(IFERROR(VLOOKUP(TRIM(A309),'Full Inventory'!F:F,1,0),0)=0,"X","_")</f>
        <v>_</v>
      </c>
      <c r="D309" t="str">
        <f t="shared" si="12"/>
        <v>X</v>
      </c>
      <c r="E309" t="str">
        <f ca="1">IFERROR(IF(AND(B309&amp;C309&amp;D309="___",INDIRECT("Inventory!A"&amp;MATCH(VLOOKUP(A309,Inventory!E:E,1,0),Inventory!E:E,0))&lt;&gt;INDIRECT("'Full Inventory'!B"&amp;MATCH(VLOOKUP(A309,'Full Inventory'!F:F,1,0),'Full Inventory'!F:F,0))),"X","_"),"_")</f>
        <v>_</v>
      </c>
      <c r="K309" t="str">
        <f t="shared" ca="1" si="13"/>
        <v>__X_</v>
      </c>
      <c r="L309" t="str">
        <f t="shared" ca="1" si="14"/>
        <v/>
      </c>
      <c r="M309" t="str">
        <f>IFERROR(INDEX(Inventory!A:A,MATCH(Scan!A309,Inventory!E:E,0)),"")</f>
        <v/>
      </c>
    </row>
    <row r="310" spans="2:13" x14ac:dyDescent="0.25">
      <c r="B310" t="str">
        <f>IF(IFERROR(VLOOKUP(TRIM(A310),Inventory!E:E,1,0),0)=0,"X","_")</f>
        <v>_</v>
      </c>
      <c r="C310" t="str">
        <f>IF(IFERROR(VLOOKUP(TRIM(A310),'Full Inventory'!F:F,1,0),0)=0,"X","_")</f>
        <v>_</v>
      </c>
      <c r="D310" t="str">
        <f t="shared" si="12"/>
        <v>X</v>
      </c>
      <c r="E310" t="str">
        <f ca="1">IFERROR(IF(AND(B310&amp;C310&amp;D310="___",INDIRECT("Inventory!A"&amp;MATCH(VLOOKUP(A310,Inventory!E:E,1,0),Inventory!E:E,0))&lt;&gt;INDIRECT("'Full Inventory'!B"&amp;MATCH(VLOOKUP(A310,'Full Inventory'!F:F,1,0),'Full Inventory'!F:F,0))),"X","_"),"_")</f>
        <v>_</v>
      </c>
      <c r="K310" t="str">
        <f t="shared" ca="1" si="13"/>
        <v>__X_</v>
      </c>
      <c r="L310" t="str">
        <f t="shared" ca="1" si="14"/>
        <v/>
      </c>
      <c r="M310" t="str">
        <f>IFERROR(INDEX(Inventory!A:A,MATCH(Scan!A310,Inventory!E:E,0)),"")</f>
        <v/>
      </c>
    </row>
    <row r="311" spans="2:13" x14ac:dyDescent="0.25">
      <c r="B311" t="str">
        <f>IF(IFERROR(VLOOKUP(TRIM(A311),Inventory!E:E,1,0),0)=0,"X","_")</f>
        <v>_</v>
      </c>
      <c r="C311" t="str">
        <f>IF(IFERROR(VLOOKUP(TRIM(A311),'Full Inventory'!F:F,1,0),0)=0,"X","_")</f>
        <v>_</v>
      </c>
      <c r="D311" t="str">
        <f t="shared" si="12"/>
        <v>X</v>
      </c>
      <c r="E311" t="str">
        <f ca="1">IFERROR(IF(AND(B311&amp;C311&amp;D311="___",INDIRECT("Inventory!A"&amp;MATCH(VLOOKUP(A311,Inventory!E:E,1,0),Inventory!E:E,0))&lt;&gt;INDIRECT("'Full Inventory'!B"&amp;MATCH(VLOOKUP(A311,'Full Inventory'!F:F,1,0),'Full Inventory'!F:F,0))),"X","_"),"_")</f>
        <v>_</v>
      </c>
      <c r="K311" t="str">
        <f t="shared" ca="1" si="13"/>
        <v>__X_</v>
      </c>
      <c r="L311" t="str">
        <f t="shared" ca="1" si="14"/>
        <v/>
      </c>
      <c r="M311" t="str">
        <f>IFERROR(INDEX(Inventory!A:A,MATCH(Scan!A311,Inventory!E:E,0)),"")</f>
        <v/>
      </c>
    </row>
    <row r="312" spans="2:13" x14ac:dyDescent="0.25">
      <c r="B312" t="str">
        <f>IF(IFERROR(VLOOKUP(TRIM(A312),Inventory!E:E,1,0),0)=0,"X","_")</f>
        <v>_</v>
      </c>
      <c r="C312" t="str">
        <f>IF(IFERROR(VLOOKUP(TRIM(A312),'Full Inventory'!F:F,1,0),0)=0,"X","_")</f>
        <v>_</v>
      </c>
      <c r="D312" t="str">
        <f t="shared" si="12"/>
        <v>X</v>
      </c>
      <c r="E312" t="str">
        <f ca="1">IFERROR(IF(AND(B312&amp;C312&amp;D312="___",INDIRECT("Inventory!A"&amp;MATCH(VLOOKUP(A312,Inventory!E:E,1,0),Inventory!E:E,0))&lt;&gt;INDIRECT("'Full Inventory'!B"&amp;MATCH(VLOOKUP(A312,'Full Inventory'!F:F,1,0),'Full Inventory'!F:F,0))),"X","_"),"_")</f>
        <v>_</v>
      </c>
      <c r="K312" t="str">
        <f t="shared" ca="1" si="13"/>
        <v>__X_</v>
      </c>
      <c r="L312" t="str">
        <f t="shared" ca="1" si="14"/>
        <v/>
      </c>
      <c r="M312" t="str">
        <f>IFERROR(INDEX(Inventory!A:A,MATCH(Scan!A312,Inventory!E:E,0)),"")</f>
        <v/>
      </c>
    </row>
    <row r="313" spans="2:13" x14ac:dyDescent="0.25">
      <c r="B313" t="str">
        <f>IF(IFERROR(VLOOKUP(TRIM(A313),Inventory!E:E,1,0),0)=0,"X","_")</f>
        <v>_</v>
      </c>
      <c r="C313" t="str">
        <f>IF(IFERROR(VLOOKUP(TRIM(A313),'Full Inventory'!F:F,1,0),0)=0,"X","_")</f>
        <v>_</v>
      </c>
      <c r="D313" t="str">
        <f t="shared" si="12"/>
        <v>X</v>
      </c>
      <c r="E313" t="str">
        <f ca="1">IFERROR(IF(AND(B313&amp;C313&amp;D313="___",INDIRECT("Inventory!A"&amp;MATCH(VLOOKUP(A313,Inventory!E:E,1,0),Inventory!E:E,0))&lt;&gt;INDIRECT("'Full Inventory'!B"&amp;MATCH(VLOOKUP(A313,'Full Inventory'!F:F,1,0),'Full Inventory'!F:F,0))),"X","_"),"_")</f>
        <v>_</v>
      </c>
      <c r="K313" t="str">
        <f t="shared" ca="1" si="13"/>
        <v>__X_</v>
      </c>
      <c r="L313" t="str">
        <f t="shared" ca="1" si="14"/>
        <v/>
      </c>
      <c r="M313" t="str">
        <f>IFERROR(INDEX(Inventory!A:A,MATCH(Scan!A313,Inventory!E:E,0)),"")</f>
        <v/>
      </c>
    </row>
    <row r="314" spans="2:13" x14ac:dyDescent="0.25">
      <c r="B314" t="str">
        <f>IF(IFERROR(VLOOKUP(TRIM(A314),Inventory!E:E,1,0),0)=0,"X","_")</f>
        <v>_</v>
      </c>
      <c r="C314" t="str">
        <f>IF(IFERROR(VLOOKUP(TRIM(A314),'Full Inventory'!F:F,1,0),0)=0,"X","_")</f>
        <v>_</v>
      </c>
      <c r="D314" t="str">
        <f t="shared" si="12"/>
        <v>X</v>
      </c>
      <c r="E314" t="str">
        <f ca="1">IFERROR(IF(AND(B314&amp;C314&amp;D314="___",INDIRECT("Inventory!A"&amp;MATCH(VLOOKUP(A314,Inventory!E:E,1,0),Inventory!E:E,0))&lt;&gt;INDIRECT("'Full Inventory'!B"&amp;MATCH(VLOOKUP(A314,'Full Inventory'!F:F,1,0),'Full Inventory'!F:F,0))),"X","_"),"_")</f>
        <v>_</v>
      </c>
      <c r="K314" t="str">
        <f t="shared" ca="1" si="13"/>
        <v>__X_</v>
      </c>
      <c r="L314" t="str">
        <f t="shared" ca="1" si="14"/>
        <v/>
      </c>
      <c r="M314" t="str">
        <f>IFERROR(INDEX(Inventory!A:A,MATCH(Scan!A314,Inventory!E:E,0)),"")</f>
        <v/>
      </c>
    </row>
    <row r="315" spans="2:13" x14ac:dyDescent="0.25">
      <c r="B315" t="str">
        <f>IF(IFERROR(VLOOKUP(TRIM(A315),Inventory!E:E,1,0),0)=0,"X","_")</f>
        <v>_</v>
      </c>
      <c r="C315" t="str">
        <f>IF(IFERROR(VLOOKUP(TRIM(A315),'Full Inventory'!F:F,1,0),0)=0,"X","_")</f>
        <v>_</v>
      </c>
      <c r="D315" t="str">
        <f t="shared" si="12"/>
        <v>X</v>
      </c>
      <c r="E315" t="str">
        <f ca="1">IFERROR(IF(AND(B315&amp;C315&amp;D315="___",INDIRECT("Inventory!A"&amp;MATCH(VLOOKUP(A315,Inventory!E:E,1,0),Inventory!E:E,0))&lt;&gt;INDIRECT("'Full Inventory'!B"&amp;MATCH(VLOOKUP(A315,'Full Inventory'!F:F,1,0),'Full Inventory'!F:F,0))),"X","_"),"_")</f>
        <v>_</v>
      </c>
      <c r="K315" t="str">
        <f t="shared" ca="1" si="13"/>
        <v>__X_</v>
      </c>
      <c r="L315" t="str">
        <f t="shared" ca="1" si="14"/>
        <v/>
      </c>
      <c r="M315" t="str">
        <f>IFERROR(INDEX(Inventory!A:A,MATCH(Scan!A315,Inventory!E:E,0)),"")</f>
        <v/>
      </c>
    </row>
    <row r="316" spans="2:13" x14ac:dyDescent="0.25">
      <c r="B316" t="str">
        <f>IF(IFERROR(VLOOKUP(TRIM(A316),Inventory!E:E,1,0),0)=0,"X","_")</f>
        <v>_</v>
      </c>
      <c r="C316" t="str">
        <f>IF(IFERROR(VLOOKUP(TRIM(A316),'Full Inventory'!F:F,1,0),0)=0,"X","_")</f>
        <v>_</v>
      </c>
      <c r="D316" t="str">
        <f t="shared" si="12"/>
        <v>X</v>
      </c>
      <c r="E316" t="str">
        <f ca="1">IFERROR(IF(AND(B316&amp;C316&amp;D316="___",INDIRECT("Inventory!A"&amp;MATCH(VLOOKUP(A316,Inventory!E:E,1,0),Inventory!E:E,0))&lt;&gt;INDIRECT("'Full Inventory'!B"&amp;MATCH(VLOOKUP(A316,'Full Inventory'!F:F,1,0),'Full Inventory'!F:F,0))),"X","_"),"_")</f>
        <v>_</v>
      </c>
      <c r="K316" t="str">
        <f t="shared" ca="1" si="13"/>
        <v>__X_</v>
      </c>
      <c r="L316" t="str">
        <f t="shared" ca="1" si="14"/>
        <v/>
      </c>
      <c r="M316" t="str">
        <f>IFERROR(INDEX(Inventory!A:A,MATCH(Scan!A316,Inventory!E:E,0)),"")</f>
        <v/>
      </c>
    </row>
    <row r="317" spans="2:13" x14ac:dyDescent="0.25">
      <c r="B317" t="str">
        <f>IF(IFERROR(VLOOKUP(TRIM(A317),Inventory!E:E,1,0),0)=0,"X","_")</f>
        <v>_</v>
      </c>
      <c r="C317" t="str">
        <f>IF(IFERROR(VLOOKUP(TRIM(A317),'Full Inventory'!F:F,1,0),0)=0,"X","_")</f>
        <v>_</v>
      </c>
      <c r="D317" t="str">
        <f t="shared" si="12"/>
        <v>X</v>
      </c>
      <c r="E317" t="str">
        <f ca="1">IFERROR(IF(AND(B317&amp;C317&amp;D317="___",INDIRECT("Inventory!A"&amp;MATCH(VLOOKUP(A317,Inventory!E:E,1,0),Inventory!E:E,0))&lt;&gt;INDIRECT("'Full Inventory'!B"&amp;MATCH(VLOOKUP(A317,'Full Inventory'!F:F,1,0),'Full Inventory'!F:F,0))),"X","_"),"_")</f>
        <v>_</v>
      </c>
      <c r="K317" t="str">
        <f t="shared" ca="1" si="13"/>
        <v>__X_</v>
      </c>
      <c r="L317" t="str">
        <f t="shared" ca="1" si="14"/>
        <v/>
      </c>
      <c r="M317" t="str">
        <f>IFERROR(INDEX(Inventory!A:A,MATCH(Scan!A317,Inventory!E:E,0)),"")</f>
        <v/>
      </c>
    </row>
    <row r="318" spans="2:13" x14ac:dyDescent="0.25">
      <c r="B318" t="str">
        <f>IF(IFERROR(VLOOKUP(TRIM(A318),Inventory!E:E,1,0),0)=0,"X","_")</f>
        <v>_</v>
      </c>
      <c r="C318" t="str">
        <f>IF(IFERROR(VLOOKUP(TRIM(A318),'Full Inventory'!F:F,1,0),0)=0,"X","_")</f>
        <v>_</v>
      </c>
      <c r="D318" t="str">
        <f t="shared" si="12"/>
        <v>X</v>
      </c>
      <c r="E318" t="str">
        <f ca="1">IFERROR(IF(AND(B318&amp;C318&amp;D318="___",INDIRECT("Inventory!A"&amp;MATCH(VLOOKUP(A318,Inventory!E:E,1,0),Inventory!E:E,0))&lt;&gt;INDIRECT("'Full Inventory'!B"&amp;MATCH(VLOOKUP(A318,'Full Inventory'!F:F,1,0),'Full Inventory'!F:F,0))),"X","_"),"_")</f>
        <v>_</v>
      </c>
      <c r="K318" t="str">
        <f t="shared" ca="1" si="13"/>
        <v>__X_</v>
      </c>
      <c r="L318" t="str">
        <f t="shared" ca="1" si="14"/>
        <v/>
      </c>
      <c r="M318" t="str">
        <f>IFERROR(INDEX(Inventory!A:A,MATCH(Scan!A318,Inventory!E:E,0)),"")</f>
        <v/>
      </c>
    </row>
    <row r="319" spans="2:13" x14ac:dyDescent="0.25">
      <c r="B319" t="str">
        <f>IF(IFERROR(VLOOKUP(TRIM(A319),Inventory!E:E,1,0),0)=0,"X","_")</f>
        <v>_</v>
      </c>
      <c r="C319" t="str">
        <f>IF(IFERROR(VLOOKUP(TRIM(A319),'Full Inventory'!F:F,1,0),0)=0,"X","_")</f>
        <v>_</v>
      </c>
      <c r="D319" t="str">
        <f t="shared" si="12"/>
        <v>X</v>
      </c>
      <c r="E319" t="str">
        <f ca="1">IFERROR(IF(AND(B319&amp;C319&amp;D319="___",INDIRECT("Inventory!A"&amp;MATCH(VLOOKUP(A319,Inventory!E:E,1,0),Inventory!E:E,0))&lt;&gt;INDIRECT("'Full Inventory'!B"&amp;MATCH(VLOOKUP(A319,'Full Inventory'!F:F,1,0),'Full Inventory'!F:F,0))),"X","_"),"_")</f>
        <v>_</v>
      </c>
      <c r="K319" t="str">
        <f t="shared" ca="1" si="13"/>
        <v>__X_</v>
      </c>
      <c r="L319" t="str">
        <f t="shared" ca="1" si="14"/>
        <v/>
      </c>
      <c r="M319" t="str">
        <f>IFERROR(INDEX(Inventory!A:A,MATCH(Scan!A319,Inventory!E:E,0)),"")</f>
        <v/>
      </c>
    </row>
    <row r="320" spans="2:13" x14ac:dyDescent="0.25">
      <c r="B320" t="str">
        <f>IF(IFERROR(VLOOKUP(TRIM(A320),Inventory!E:E,1,0),0)=0,"X","_")</f>
        <v>_</v>
      </c>
      <c r="C320" t="str">
        <f>IF(IFERROR(VLOOKUP(TRIM(A320),'Full Inventory'!F:F,1,0),0)=0,"X","_")</f>
        <v>_</v>
      </c>
      <c r="D320" t="str">
        <f t="shared" si="12"/>
        <v>X</v>
      </c>
      <c r="E320" t="str">
        <f ca="1">IFERROR(IF(AND(B320&amp;C320&amp;D320="___",INDIRECT("Inventory!A"&amp;MATCH(VLOOKUP(A320,Inventory!E:E,1,0),Inventory!E:E,0))&lt;&gt;INDIRECT("'Full Inventory'!B"&amp;MATCH(VLOOKUP(A320,'Full Inventory'!F:F,1,0),'Full Inventory'!F:F,0))),"X","_"),"_")</f>
        <v>_</v>
      </c>
      <c r="K320" t="str">
        <f t="shared" ca="1" si="13"/>
        <v>__X_</v>
      </c>
      <c r="L320" t="str">
        <f t="shared" ca="1" si="14"/>
        <v/>
      </c>
      <c r="M320" t="str">
        <f>IFERROR(INDEX(Inventory!A:A,MATCH(Scan!A320,Inventory!E:E,0)),"")</f>
        <v/>
      </c>
    </row>
    <row r="321" spans="2:13" x14ac:dyDescent="0.25">
      <c r="B321" t="str">
        <f>IF(IFERROR(VLOOKUP(TRIM(A321),Inventory!E:E,1,0),0)=0,"X","_")</f>
        <v>_</v>
      </c>
      <c r="C321" t="str">
        <f>IF(IFERROR(VLOOKUP(TRIM(A321),'Full Inventory'!F:F,1,0),0)=0,"X","_")</f>
        <v>_</v>
      </c>
      <c r="D321" t="str">
        <f t="shared" si="12"/>
        <v>X</v>
      </c>
      <c r="E321" t="str">
        <f ca="1">IFERROR(IF(AND(B321&amp;C321&amp;D321="___",INDIRECT("Inventory!A"&amp;MATCH(VLOOKUP(A321,Inventory!E:E,1,0),Inventory!E:E,0))&lt;&gt;INDIRECT("'Full Inventory'!B"&amp;MATCH(VLOOKUP(A321,'Full Inventory'!F:F,1,0),'Full Inventory'!F:F,0))),"X","_"),"_")</f>
        <v>_</v>
      </c>
      <c r="K321" t="str">
        <f t="shared" ca="1" si="13"/>
        <v>__X_</v>
      </c>
      <c r="L321" t="str">
        <f t="shared" ca="1" si="14"/>
        <v/>
      </c>
      <c r="M321" t="str">
        <f>IFERROR(INDEX(Inventory!A:A,MATCH(Scan!A321,Inventory!E:E,0)),"")</f>
        <v/>
      </c>
    </row>
    <row r="322" spans="2:13" x14ac:dyDescent="0.25">
      <c r="B322" t="str">
        <f>IF(IFERROR(VLOOKUP(TRIM(A322),Inventory!E:E,1,0),0)=0,"X","_")</f>
        <v>_</v>
      </c>
      <c r="C322" t="str">
        <f>IF(IFERROR(VLOOKUP(TRIM(A322),'Full Inventory'!F:F,1,0),0)=0,"X","_")</f>
        <v>_</v>
      </c>
      <c r="D322" t="str">
        <f t="shared" ref="D322:D385" si="15">IF(TRIM(A322)&lt;&gt;"","_","X")</f>
        <v>X</v>
      </c>
      <c r="E322" t="str">
        <f ca="1">IFERROR(IF(AND(B322&amp;C322&amp;D322="___",INDIRECT("Inventory!A"&amp;MATCH(VLOOKUP(A322,Inventory!E:E,1,0),Inventory!E:E,0))&lt;&gt;INDIRECT("'Full Inventory'!B"&amp;MATCH(VLOOKUP(A322,'Full Inventory'!F:F,1,0),'Full Inventory'!F:F,0))),"X","_"),"_")</f>
        <v>_</v>
      </c>
      <c r="K322" t="str">
        <f t="shared" ca="1" si="13"/>
        <v>__X_</v>
      </c>
      <c r="L322" t="str">
        <f t="shared" ca="1" si="14"/>
        <v/>
      </c>
      <c r="M322" t="str">
        <f>IFERROR(INDEX(Inventory!A:A,MATCH(Scan!A322,Inventory!E:E,0)),"")</f>
        <v/>
      </c>
    </row>
    <row r="323" spans="2:13" x14ac:dyDescent="0.25">
      <c r="B323" t="str">
        <f>IF(IFERROR(VLOOKUP(TRIM(A323),Inventory!E:E,1,0),0)=0,"X","_")</f>
        <v>_</v>
      </c>
      <c r="C323" t="str">
        <f>IF(IFERROR(VLOOKUP(TRIM(A323),'Full Inventory'!F:F,1,0),0)=0,"X","_")</f>
        <v>_</v>
      </c>
      <c r="D323" t="str">
        <f t="shared" si="15"/>
        <v>X</v>
      </c>
      <c r="E323" t="str">
        <f ca="1">IFERROR(IF(AND(B323&amp;C323&amp;D323="___",INDIRECT("Inventory!A"&amp;MATCH(VLOOKUP(A323,Inventory!E:E,1,0),Inventory!E:E,0))&lt;&gt;INDIRECT("'Full Inventory'!B"&amp;MATCH(VLOOKUP(A323,'Full Inventory'!F:F,1,0),'Full Inventory'!F:F,0))),"X","_"),"_")</f>
        <v>_</v>
      </c>
      <c r="K323" t="str">
        <f t="shared" ref="K323:K386" ca="1" si="16">B323&amp;C323&amp;D323&amp;E323</f>
        <v>__X_</v>
      </c>
      <c r="L323" t="str">
        <f t="shared" ref="L323:L386" ca="1" si="17">IF(K323="____","OK",IF(K323="_X__","NOT IN FULL INVENTORY",IF(K323="XX__","NOT IN FULL INVENTORY AND INVENTORY",IF(K323="X___","NOT IN INVENTORY",IF(K323="___X","DIFFERENT NAMES IN FULL INVENTORY AND INVENTORY","")))))</f>
        <v/>
      </c>
      <c r="M323" t="str">
        <f>IFERROR(INDEX(Inventory!A:A,MATCH(Scan!A323,Inventory!E:E,0)),"")</f>
        <v/>
      </c>
    </row>
    <row r="324" spans="2:13" x14ac:dyDescent="0.25">
      <c r="B324" t="str">
        <f>IF(IFERROR(VLOOKUP(TRIM(A324),Inventory!E:E,1,0),0)=0,"X","_")</f>
        <v>_</v>
      </c>
      <c r="C324" t="str">
        <f>IF(IFERROR(VLOOKUP(TRIM(A324),'Full Inventory'!F:F,1,0),0)=0,"X","_")</f>
        <v>_</v>
      </c>
      <c r="D324" t="str">
        <f t="shared" si="15"/>
        <v>X</v>
      </c>
      <c r="E324" t="str">
        <f ca="1">IFERROR(IF(AND(B324&amp;C324&amp;D324="___",INDIRECT("Inventory!A"&amp;MATCH(VLOOKUP(A324,Inventory!E:E,1,0),Inventory!E:E,0))&lt;&gt;INDIRECT("'Full Inventory'!B"&amp;MATCH(VLOOKUP(A324,'Full Inventory'!F:F,1,0),'Full Inventory'!F:F,0))),"X","_"),"_")</f>
        <v>_</v>
      </c>
      <c r="K324" t="str">
        <f t="shared" ca="1" si="16"/>
        <v>__X_</v>
      </c>
      <c r="L324" t="str">
        <f t="shared" ca="1" si="17"/>
        <v/>
      </c>
      <c r="M324" t="str">
        <f>IFERROR(INDEX(Inventory!A:A,MATCH(Scan!A324,Inventory!E:E,0)),"")</f>
        <v/>
      </c>
    </row>
    <row r="325" spans="2:13" x14ac:dyDescent="0.25">
      <c r="B325" t="str">
        <f>IF(IFERROR(VLOOKUP(TRIM(A325),Inventory!E:E,1,0),0)=0,"X","_")</f>
        <v>_</v>
      </c>
      <c r="C325" t="str">
        <f>IF(IFERROR(VLOOKUP(TRIM(A325),'Full Inventory'!F:F,1,0),0)=0,"X","_")</f>
        <v>_</v>
      </c>
      <c r="D325" t="str">
        <f t="shared" si="15"/>
        <v>X</v>
      </c>
      <c r="E325" t="str">
        <f ca="1">IFERROR(IF(AND(B325&amp;C325&amp;D325="___",INDIRECT("Inventory!A"&amp;MATCH(VLOOKUP(A325,Inventory!E:E,1,0),Inventory!E:E,0))&lt;&gt;INDIRECT("'Full Inventory'!B"&amp;MATCH(VLOOKUP(A325,'Full Inventory'!F:F,1,0),'Full Inventory'!F:F,0))),"X","_"),"_")</f>
        <v>_</v>
      </c>
      <c r="K325" t="str">
        <f t="shared" ca="1" si="16"/>
        <v>__X_</v>
      </c>
      <c r="L325" t="str">
        <f t="shared" ca="1" si="17"/>
        <v/>
      </c>
      <c r="M325" t="str">
        <f>IFERROR(INDEX(Inventory!A:A,MATCH(Scan!A325,Inventory!E:E,0)),"")</f>
        <v/>
      </c>
    </row>
    <row r="326" spans="2:13" x14ac:dyDescent="0.25">
      <c r="B326" t="str">
        <f>IF(IFERROR(VLOOKUP(TRIM(A326),Inventory!E:E,1,0),0)=0,"X","_")</f>
        <v>_</v>
      </c>
      <c r="C326" t="str">
        <f>IF(IFERROR(VLOOKUP(TRIM(A326),'Full Inventory'!F:F,1,0),0)=0,"X","_")</f>
        <v>_</v>
      </c>
      <c r="D326" t="str">
        <f t="shared" si="15"/>
        <v>X</v>
      </c>
      <c r="E326" t="str">
        <f ca="1">IFERROR(IF(AND(B326&amp;C326&amp;D326="___",INDIRECT("Inventory!A"&amp;MATCH(VLOOKUP(A326,Inventory!E:E,1,0),Inventory!E:E,0))&lt;&gt;INDIRECT("'Full Inventory'!B"&amp;MATCH(VLOOKUP(A326,'Full Inventory'!F:F,1,0),'Full Inventory'!F:F,0))),"X","_"),"_")</f>
        <v>_</v>
      </c>
      <c r="K326" t="str">
        <f t="shared" ca="1" si="16"/>
        <v>__X_</v>
      </c>
      <c r="L326" t="str">
        <f t="shared" ca="1" si="17"/>
        <v/>
      </c>
      <c r="M326" t="str">
        <f>IFERROR(INDEX(Inventory!A:A,MATCH(Scan!A326,Inventory!E:E,0)),"")</f>
        <v/>
      </c>
    </row>
    <row r="327" spans="2:13" x14ac:dyDescent="0.25">
      <c r="B327" t="str">
        <f>IF(IFERROR(VLOOKUP(TRIM(A327),Inventory!E:E,1,0),0)=0,"X","_")</f>
        <v>_</v>
      </c>
      <c r="C327" t="str">
        <f>IF(IFERROR(VLOOKUP(TRIM(A327),'Full Inventory'!F:F,1,0),0)=0,"X","_")</f>
        <v>_</v>
      </c>
      <c r="D327" t="str">
        <f t="shared" si="15"/>
        <v>X</v>
      </c>
      <c r="E327" t="str">
        <f ca="1">IFERROR(IF(AND(B327&amp;C327&amp;D327="___",INDIRECT("Inventory!A"&amp;MATCH(VLOOKUP(A327,Inventory!E:E,1,0),Inventory!E:E,0))&lt;&gt;INDIRECT("'Full Inventory'!B"&amp;MATCH(VLOOKUP(A327,'Full Inventory'!F:F,1,0),'Full Inventory'!F:F,0))),"X","_"),"_")</f>
        <v>_</v>
      </c>
      <c r="K327" t="str">
        <f t="shared" ca="1" si="16"/>
        <v>__X_</v>
      </c>
      <c r="L327" t="str">
        <f t="shared" ca="1" si="17"/>
        <v/>
      </c>
      <c r="M327" t="str">
        <f>IFERROR(INDEX(Inventory!A:A,MATCH(Scan!A327,Inventory!E:E,0)),"")</f>
        <v/>
      </c>
    </row>
    <row r="328" spans="2:13" x14ac:dyDescent="0.25">
      <c r="B328" t="str">
        <f>IF(IFERROR(VLOOKUP(TRIM(A328),Inventory!E:E,1,0),0)=0,"X","_")</f>
        <v>_</v>
      </c>
      <c r="C328" t="str">
        <f>IF(IFERROR(VLOOKUP(TRIM(A328),'Full Inventory'!F:F,1,0),0)=0,"X","_")</f>
        <v>_</v>
      </c>
      <c r="D328" t="str">
        <f t="shared" si="15"/>
        <v>X</v>
      </c>
      <c r="E328" t="str">
        <f ca="1">IFERROR(IF(AND(B328&amp;C328&amp;D328="___",INDIRECT("Inventory!A"&amp;MATCH(VLOOKUP(A328,Inventory!E:E,1,0),Inventory!E:E,0))&lt;&gt;INDIRECT("'Full Inventory'!B"&amp;MATCH(VLOOKUP(A328,'Full Inventory'!F:F,1,0),'Full Inventory'!F:F,0))),"X","_"),"_")</f>
        <v>_</v>
      </c>
      <c r="K328" t="str">
        <f t="shared" ca="1" si="16"/>
        <v>__X_</v>
      </c>
      <c r="L328" t="str">
        <f t="shared" ca="1" si="17"/>
        <v/>
      </c>
      <c r="M328" t="str">
        <f>IFERROR(INDEX(Inventory!A:A,MATCH(Scan!A328,Inventory!E:E,0)),"")</f>
        <v/>
      </c>
    </row>
    <row r="329" spans="2:13" x14ac:dyDescent="0.25">
      <c r="B329" t="str">
        <f>IF(IFERROR(VLOOKUP(TRIM(A329),Inventory!E:E,1,0),0)=0,"X","_")</f>
        <v>_</v>
      </c>
      <c r="C329" t="str">
        <f>IF(IFERROR(VLOOKUP(TRIM(A329),'Full Inventory'!F:F,1,0),0)=0,"X","_")</f>
        <v>_</v>
      </c>
      <c r="D329" t="str">
        <f t="shared" si="15"/>
        <v>X</v>
      </c>
      <c r="E329" t="str">
        <f ca="1">IFERROR(IF(AND(B329&amp;C329&amp;D329="___",INDIRECT("Inventory!A"&amp;MATCH(VLOOKUP(A329,Inventory!E:E,1,0),Inventory!E:E,0))&lt;&gt;INDIRECT("'Full Inventory'!B"&amp;MATCH(VLOOKUP(A329,'Full Inventory'!F:F,1,0),'Full Inventory'!F:F,0))),"X","_"),"_")</f>
        <v>_</v>
      </c>
      <c r="K329" t="str">
        <f t="shared" ca="1" si="16"/>
        <v>__X_</v>
      </c>
      <c r="L329" t="str">
        <f t="shared" ca="1" si="17"/>
        <v/>
      </c>
      <c r="M329" t="str">
        <f>IFERROR(INDEX(Inventory!A:A,MATCH(Scan!A329,Inventory!E:E,0)),"")</f>
        <v/>
      </c>
    </row>
    <row r="330" spans="2:13" x14ac:dyDescent="0.25">
      <c r="B330" t="str">
        <f>IF(IFERROR(VLOOKUP(TRIM(A330),Inventory!E:E,1,0),0)=0,"X","_")</f>
        <v>_</v>
      </c>
      <c r="C330" t="str">
        <f>IF(IFERROR(VLOOKUP(TRIM(A330),'Full Inventory'!F:F,1,0),0)=0,"X","_")</f>
        <v>_</v>
      </c>
      <c r="D330" t="str">
        <f t="shared" si="15"/>
        <v>X</v>
      </c>
      <c r="E330" t="str">
        <f ca="1">IFERROR(IF(AND(B330&amp;C330&amp;D330="___",INDIRECT("Inventory!A"&amp;MATCH(VLOOKUP(A330,Inventory!E:E,1,0),Inventory!E:E,0))&lt;&gt;INDIRECT("'Full Inventory'!B"&amp;MATCH(VLOOKUP(A330,'Full Inventory'!F:F,1,0),'Full Inventory'!F:F,0))),"X","_"),"_")</f>
        <v>_</v>
      </c>
      <c r="K330" t="str">
        <f t="shared" ca="1" si="16"/>
        <v>__X_</v>
      </c>
      <c r="L330" t="str">
        <f t="shared" ca="1" si="17"/>
        <v/>
      </c>
      <c r="M330" t="str">
        <f>IFERROR(INDEX(Inventory!A:A,MATCH(Scan!A330,Inventory!E:E,0)),"")</f>
        <v/>
      </c>
    </row>
    <row r="331" spans="2:13" x14ac:dyDescent="0.25">
      <c r="B331" t="str">
        <f>IF(IFERROR(VLOOKUP(TRIM(A331),Inventory!E:E,1,0),0)=0,"X","_")</f>
        <v>_</v>
      </c>
      <c r="C331" t="str">
        <f>IF(IFERROR(VLOOKUP(TRIM(A331),'Full Inventory'!F:F,1,0),0)=0,"X","_")</f>
        <v>_</v>
      </c>
      <c r="D331" t="str">
        <f t="shared" si="15"/>
        <v>X</v>
      </c>
      <c r="E331" t="str">
        <f ca="1">IFERROR(IF(AND(B331&amp;C331&amp;D331="___",INDIRECT("Inventory!A"&amp;MATCH(VLOOKUP(A331,Inventory!E:E,1,0),Inventory!E:E,0))&lt;&gt;INDIRECT("'Full Inventory'!B"&amp;MATCH(VLOOKUP(A331,'Full Inventory'!F:F,1,0),'Full Inventory'!F:F,0))),"X","_"),"_")</f>
        <v>_</v>
      </c>
      <c r="K331" t="str">
        <f t="shared" ca="1" si="16"/>
        <v>__X_</v>
      </c>
      <c r="L331" t="str">
        <f t="shared" ca="1" si="17"/>
        <v/>
      </c>
      <c r="M331" t="str">
        <f>IFERROR(INDEX(Inventory!A:A,MATCH(Scan!A331,Inventory!E:E,0)),"")</f>
        <v/>
      </c>
    </row>
    <row r="332" spans="2:13" x14ac:dyDescent="0.25">
      <c r="B332" t="str">
        <f>IF(IFERROR(VLOOKUP(TRIM(A332),Inventory!E:E,1,0),0)=0,"X","_")</f>
        <v>_</v>
      </c>
      <c r="C332" t="str">
        <f>IF(IFERROR(VLOOKUP(TRIM(A332),'Full Inventory'!F:F,1,0),0)=0,"X","_")</f>
        <v>_</v>
      </c>
      <c r="D332" t="str">
        <f t="shared" si="15"/>
        <v>X</v>
      </c>
      <c r="E332" t="str">
        <f ca="1">IFERROR(IF(AND(B332&amp;C332&amp;D332="___",INDIRECT("Inventory!A"&amp;MATCH(VLOOKUP(A332,Inventory!E:E,1,0),Inventory!E:E,0))&lt;&gt;INDIRECT("'Full Inventory'!B"&amp;MATCH(VLOOKUP(A332,'Full Inventory'!F:F,1,0),'Full Inventory'!F:F,0))),"X","_"),"_")</f>
        <v>_</v>
      </c>
      <c r="K332" t="str">
        <f t="shared" ca="1" si="16"/>
        <v>__X_</v>
      </c>
      <c r="L332" t="str">
        <f t="shared" ca="1" si="17"/>
        <v/>
      </c>
      <c r="M332" t="str">
        <f>IFERROR(INDEX(Inventory!A:A,MATCH(Scan!A332,Inventory!E:E,0)),"")</f>
        <v/>
      </c>
    </row>
    <row r="333" spans="2:13" x14ac:dyDescent="0.25">
      <c r="B333" t="str">
        <f>IF(IFERROR(VLOOKUP(TRIM(A333),Inventory!E:E,1,0),0)=0,"X","_")</f>
        <v>_</v>
      </c>
      <c r="C333" t="str">
        <f>IF(IFERROR(VLOOKUP(TRIM(A333),'Full Inventory'!F:F,1,0),0)=0,"X","_")</f>
        <v>_</v>
      </c>
      <c r="D333" t="str">
        <f t="shared" si="15"/>
        <v>X</v>
      </c>
      <c r="E333" t="str">
        <f ca="1">IFERROR(IF(AND(B333&amp;C333&amp;D333="___",INDIRECT("Inventory!A"&amp;MATCH(VLOOKUP(A333,Inventory!E:E,1,0),Inventory!E:E,0))&lt;&gt;INDIRECT("'Full Inventory'!B"&amp;MATCH(VLOOKUP(A333,'Full Inventory'!F:F,1,0),'Full Inventory'!F:F,0))),"X","_"),"_")</f>
        <v>_</v>
      </c>
      <c r="K333" t="str">
        <f t="shared" ca="1" si="16"/>
        <v>__X_</v>
      </c>
      <c r="L333" t="str">
        <f t="shared" ca="1" si="17"/>
        <v/>
      </c>
      <c r="M333" t="str">
        <f>IFERROR(INDEX(Inventory!A:A,MATCH(Scan!A333,Inventory!E:E,0)),"")</f>
        <v/>
      </c>
    </row>
    <row r="334" spans="2:13" x14ac:dyDescent="0.25">
      <c r="B334" t="str">
        <f>IF(IFERROR(VLOOKUP(TRIM(A334),Inventory!E:E,1,0),0)=0,"X","_")</f>
        <v>_</v>
      </c>
      <c r="C334" t="str">
        <f>IF(IFERROR(VLOOKUP(TRIM(A334),'Full Inventory'!F:F,1,0),0)=0,"X","_")</f>
        <v>_</v>
      </c>
      <c r="D334" t="str">
        <f t="shared" si="15"/>
        <v>X</v>
      </c>
      <c r="E334" t="str">
        <f ca="1">IFERROR(IF(AND(B334&amp;C334&amp;D334="___",INDIRECT("Inventory!A"&amp;MATCH(VLOOKUP(A334,Inventory!E:E,1,0),Inventory!E:E,0))&lt;&gt;INDIRECT("'Full Inventory'!B"&amp;MATCH(VLOOKUP(A334,'Full Inventory'!F:F,1,0),'Full Inventory'!F:F,0))),"X","_"),"_")</f>
        <v>_</v>
      </c>
      <c r="K334" t="str">
        <f t="shared" ca="1" si="16"/>
        <v>__X_</v>
      </c>
      <c r="L334" t="str">
        <f t="shared" ca="1" si="17"/>
        <v/>
      </c>
      <c r="M334" t="str">
        <f>IFERROR(INDEX(Inventory!A:A,MATCH(Scan!A334,Inventory!E:E,0)),"")</f>
        <v/>
      </c>
    </row>
    <row r="335" spans="2:13" x14ac:dyDescent="0.25">
      <c r="B335" t="str">
        <f>IF(IFERROR(VLOOKUP(TRIM(A335),Inventory!E:E,1,0),0)=0,"X","_")</f>
        <v>_</v>
      </c>
      <c r="C335" t="str">
        <f>IF(IFERROR(VLOOKUP(TRIM(A335),'Full Inventory'!F:F,1,0),0)=0,"X","_")</f>
        <v>_</v>
      </c>
      <c r="D335" t="str">
        <f t="shared" si="15"/>
        <v>X</v>
      </c>
      <c r="E335" t="str">
        <f ca="1">IFERROR(IF(AND(B335&amp;C335&amp;D335="___",INDIRECT("Inventory!A"&amp;MATCH(VLOOKUP(A335,Inventory!E:E,1,0),Inventory!E:E,0))&lt;&gt;INDIRECT("'Full Inventory'!B"&amp;MATCH(VLOOKUP(A335,'Full Inventory'!F:F,1,0),'Full Inventory'!F:F,0))),"X","_"),"_")</f>
        <v>_</v>
      </c>
      <c r="K335" t="str">
        <f t="shared" ca="1" si="16"/>
        <v>__X_</v>
      </c>
      <c r="L335" t="str">
        <f t="shared" ca="1" si="17"/>
        <v/>
      </c>
      <c r="M335" t="str">
        <f>IFERROR(INDEX(Inventory!A:A,MATCH(Scan!A335,Inventory!E:E,0)),"")</f>
        <v/>
      </c>
    </row>
    <row r="336" spans="2:13" x14ac:dyDescent="0.25">
      <c r="B336" t="str">
        <f>IF(IFERROR(VLOOKUP(TRIM(A336),Inventory!E:E,1,0),0)=0,"X","_")</f>
        <v>_</v>
      </c>
      <c r="C336" t="str">
        <f>IF(IFERROR(VLOOKUP(TRIM(A336),'Full Inventory'!F:F,1,0),0)=0,"X","_")</f>
        <v>_</v>
      </c>
      <c r="D336" t="str">
        <f t="shared" si="15"/>
        <v>X</v>
      </c>
      <c r="E336" t="str">
        <f ca="1">IFERROR(IF(AND(B336&amp;C336&amp;D336="___",INDIRECT("Inventory!A"&amp;MATCH(VLOOKUP(A336,Inventory!E:E,1,0),Inventory!E:E,0))&lt;&gt;INDIRECT("'Full Inventory'!B"&amp;MATCH(VLOOKUP(A336,'Full Inventory'!F:F,1,0),'Full Inventory'!F:F,0))),"X","_"),"_")</f>
        <v>_</v>
      </c>
      <c r="K336" t="str">
        <f t="shared" ca="1" si="16"/>
        <v>__X_</v>
      </c>
      <c r="L336" t="str">
        <f t="shared" ca="1" si="17"/>
        <v/>
      </c>
      <c r="M336" t="str">
        <f>IFERROR(INDEX(Inventory!A:A,MATCH(Scan!A336,Inventory!E:E,0)),"")</f>
        <v/>
      </c>
    </row>
    <row r="337" spans="2:13" x14ac:dyDescent="0.25">
      <c r="B337" t="str">
        <f>IF(IFERROR(VLOOKUP(TRIM(A337),Inventory!E:E,1,0),0)=0,"X","_")</f>
        <v>_</v>
      </c>
      <c r="C337" t="str">
        <f>IF(IFERROR(VLOOKUP(TRIM(A337),'Full Inventory'!F:F,1,0),0)=0,"X","_")</f>
        <v>_</v>
      </c>
      <c r="D337" t="str">
        <f t="shared" si="15"/>
        <v>X</v>
      </c>
      <c r="E337" t="str">
        <f ca="1">IFERROR(IF(AND(B337&amp;C337&amp;D337="___",INDIRECT("Inventory!A"&amp;MATCH(VLOOKUP(A337,Inventory!E:E,1,0),Inventory!E:E,0))&lt;&gt;INDIRECT("'Full Inventory'!B"&amp;MATCH(VLOOKUP(A337,'Full Inventory'!F:F,1,0),'Full Inventory'!F:F,0))),"X","_"),"_")</f>
        <v>_</v>
      </c>
      <c r="K337" t="str">
        <f t="shared" ca="1" si="16"/>
        <v>__X_</v>
      </c>
      <c r="L337" t="str">
        <f t="shared" ca="1" si="17"/>
        <v/>
      </c>
      <c r="M337" t="str">
        <f>IFERROR(INDEX(Inventory!A:A,MATCH(Scan!A337,Inventory!E:E,0)),"")</f>
        <v/>
      </c>
    </row>
    <row r="338" spans="2:13" x14ac:dyDescent="0.25">
      <c r="B338" t="str">
        <f>IF(IFERROR(VLOOKUP(TRIM(A338),Inventory!E:E,1,0),0)=0,"X","_")</f>
        <v>_</v>
      </c>
      <c r="C338" t="str">
        <f>IF(IFERROR(VLOOKUP(TRIM(A338),'Full Inventory'!F:F,1,0),0)=0,"X","_")</f>
        <v>_</v>
      </c>
      <c r="D338" t="str">
        <f t="shared" si="15"/>
        <v>X</v>
      </c>
      <c r="E338" t="str">
        <f ca="1">IFERROR(IF(AND(B338&amp;C338&amp;D338="___",INDIRECT("Inventory!A"&amp;MATCH(VLOOKUP(A338,Inventory!E:E,1,0),Inventory!E:E,0))&lt;&gt;INDIRECT("'Full Inventory'!B"&amp;MATCH(VLOOKUP(A338,'Full Inventory'!F:F,1,0),'Full Inventory'!F:F,0))),"X","_"),"_")</f>
        <v>_</v>
      </c>
      <c r="K338" t="str">
        <f t="shared" ca="1" si="16"/>
        <v>__X_</v>
      </c>
      <c r="L338" t="str">
        <f t="shared" ca="1" si="17"/>
        <v/>
      </c>
      <c r="M338" t="str">
        <f>IFERROR(INDEX(Inventory!A:A,MATCH(Scan!A338,Inventory!E:E,0)),"")</f>
        <v/>
      </c>
    </row>
    <row r="339" spans="2:13" x14ac:dyDescent="0.25">
      <c r="B339" t="str">
        <f>IF(IFERROR(VLOOKUP(TRIM(A339),Inventory!E:E,1,0),0)=0,"X","_")</f>
        <v>_</v>
      </c>
      <c r="C339" t="str">
        <f>IF(IFERROR(VLOOKUP(TRIM(A339),'Full Inventory'!F:F,1,0),0)=0,"X","_")</f>
        <v>_</v>
      </c>
      <c r="D339" t="str">
        <f t="shared" si="15"/>
        <v>X</v>
      </c>
      <c r="E339" t="str">
        <f ca="1">IFERROR(IF(AND(B339&amp;C339&amp;D339="___",INDIRECT("Inventory!A"&amp;MATCH(VLOOKUP(A339,Inventory!E:E,1,0),Inventory!E:E,0))&lt;&gt;INDIRECT("'Full Inventory'!B"&amp;MATCH(VLOOKUP(A339,'Full Inventory'!F:F,1,0),'Full Inventory'!F:F,0))),"X","_"),"_")</f>
        <v>_</v>
      </c>
      <c r="K339" t="str">
        <f t="shared" ca="1" si="16"/>
        <v>__X_</v>
      </c>
      <c r="L339" t="str">
        <f t="shared" ca="1" si="17"/>
        <v/>
      </c>
      <c r="M339" t="str">
        <f>IFERROR(INDEX(Inventory!A:A,MATCH(Scan!A339,Inventory!E:E,0)),"")</f>
        <v/>
      </c>
    </row>
    <row r="340" spans="2:13" x14ac:dyDescent="0.25">
      <c r="B340" t="str">
        <f>IF(IFERROR(VLOOKUP(TRIM(A340),Inventory!E:E,1,0),0)=0,"X","_")</f>
        <v>_</v>
      </c>
      <c r="C340" t="str">
        <f>IF(IFERROR(VLOOKUP(TRIM(A340),'Full Inventory'!F:F,1,0),0)=0,"X","_")</f>
        <v>_</v>
      </c>
      <c r="D340" t="str">
        <f t="shared" si="15"/>
        <v>X</v>
      </c>
      <c r="E340" t="str">
        <f ca="1">IFERROR(IF(AND(B340&amp;C340&amp;D340="___",INDIRECT("Inventory!A"&amp;MATCH(VLOOKUP(A340,Inventory!E:E,1,0),Inventory!E:E,0))&lt;&gt;INDIRECT("'Full Inventory'!B"&amp;MATCH(VLOOKUP(A340,'Full Inventory'!F:F,1,0),'Full Inventory'!F:F,0))),"X","_"),"_")</f>
        <v>_</v>
      </c>
      <c r="K340" t="str">
        <f t="shared" ca="1" si="16"/>
        <v>__X_</v>
      </c>
      <c r="L340" t="str">
        <f t="shared" ca="1" si="17"/>
        <v/>
      </c>
      <c r="M340" t="str">
        <f>IFERROR(INDEX(Inventory!A:A,MATCH(Scan!A340,Inventory!E:E,0)),"")</f>
        <v/>
      </c>
    </row>
    <row r="341" spans="2:13" x14ac:dyDescent="0.25">
      <c r="B341" t="str">
        <f>IF(IFERROR(VLOOKUP(TRIM(A341),Inventory!E:E,1,0),0)=0,"X","_")</f>
        <v>_</v>
      </c>
      <c r="C341" t="str">
        <f>IF(IFERROR(VLOOKUP(TRIM(A341),'Full Inventory'!F:F,1,0),0)=0,"X","_")</f>
        <v>_</v>
      </c>
      <c r="D341" t="str">
        <f t="shared" si="15"/>
        <v>X</v>
      </c>
      <c r="E341" t="str">
        <f ca="1">IFERROR(IF(AND(B341&amp;C341&amp;D341="___",INDIRECT("Inventory!A"&amp;MATCH(VLOOKUP(A341,Inventory!E:E,1,0),Inventory!E:E,0))&lt;&gt;INDIRECT("'Full Inventory'!B"&amp;MATCH(VLOOKUP(A341,'Full Inventory'!F:F,1,0),'Full Inventory'!F:F,0))),"X","_"),"_")</f>
        <v>_</v>
      </c>
      <c r="K341" t="str">
        <f t="shared" ca="1" si="16"/>
        <v>__X_</v>
      </c>
      <c r="L341" t="str">
        <f t="shared" ca="1" si="17"/>
        <v/>
      </c>
      <c r="M341" t="str">
        <f>IFERROR(INDEX(Inventory!A:A,MATCH(Scan!A341,Inventory!E:E,0)),"")</f>
        <v/>
      </c>
    </row>
    <row r="342" spans="2:13" x14ac:dyDescent="0.25">
      <c r="B342" t="str">
        <f>IF(IFERROR(VLOOKUP(TRIM(A342),Inventory!E:E,1,0),0)=0,"X","_")</f>
        <v>_</v>
      </c>
      <c r="C342" t="str">
        <f>IF(IFERROR(VLOOKUP(TRIM(A342),'Full Inventory'!F:F,1,0),0)=0,"X","_")</f>
        <v>_</v>
      </c>
      <c r="D342" t="str">
        <f t="shared" si="15"/>
        <v>X</v>
      </c>
      <c r="E342" t="str">
        <f ca="1">IFERROR(IF(AND(B342&amp;C342&amp;D342="___",INDIRECT("Inventory!A"&amp;MATCH(VLOOKUP(A342,Inventory!E:E,1,0),Inventory!E:E,0))&lt;&gt;INDIRECT("'Full Inventory'!B"&amp;MATCH(VLOOKUP(A342,'Full Inventory'!F:F,1,0),'Full Inventory'!F:F,0))),"X","_"),"_")</f>
        <v>_</v>
      </c>
      <c r="K342" t="str">
        <f t="shared" ca="1" si="16"/>
        <v>__X_</v>
      </c>
      <c r="L342" t="str">
        <f t="shared" ca="1" si="17"/>
        <v/>
      </c>
      <c r="M342" t="str">
        <f>IFERROR(INDEX(Inventory!A:A,MATCH(Scan!A342,Inventory!E:E,0)),"")</f>
        <v/>
      </c>
    </row>
    <row r="343" spans="2:13" x14ac:dyDescent="0.25">
      <c r="B343" t="str">
        <f>IF(IFERROR(VLOOKUP(TRIM(A343),Inventory!E:E,1,0),0)=0,"X","_")</f>
        <v>_</v>
      </c>
      <c r="C343" t="str">
        <f>IF(IFERROR(VLOOKUP(TRIM(A343),'Full Inventory'!F:F,1,0),0)=0,"X","_")</f>
        <v>_</v>
      </c>
      <c r="D343" t="str">
        <f t="shared" si="15"/>
        <v>X</v>
      </c>
      <c r="E343" t="str">
        <f ca="1">IFERROR(IF(AND(B343&amp;C343&amp;D343="___",INDIRECT("Inventory!A"&amp;MATCH(VLOOKUP(A343,Inventory!E:E,1,0),Inventory!E:E,0))&lt;&gt;INDIRECT("'Full Inventory'!B"&amp;MATCH(VLOOKUP(A343,'Full Inventory'!F:F,1,0),'Full Inventory'!F:F,0))),"X","_"),"_")</f>
        <v>_</v>
      </c>
      <c r="K343" t="str">
        <f t="shared" ca="1" si="16"/>
        <v>__X_</v>
      </c>
      <c r="L343" t="str">
        <f t="shared" ca="1" si="17"/>
        <v/>
      </c>
      <c r="M343" t="str">
        <f>IFERROR(INDEX(Inventory!A:A,MATCH(Scan!A343,Inventory!E:E,0)),"")</f>
        <v/>
      </c>
    </row>
    <row r="344" spans="2:13" x14ac:dyDescent="0.25">
      <c r="B344" t="str">
        <f>IF(IFERROR(VLOOKUP(TRIM(A344),Inventory!E:E,1,0),0)=0,"X","_")</f>
        <v>_</v>
      </c>
      <c r="C344" t="str">
        <f>IF(IFERROR(VLOOKUP(TRIM(A344),'Full Inventory'!F:F,1,0),0)=0,"X","_")</f>
        <v>_</v>
      </c>
      <c r="D344" t="str">
        <f t="shared" si="15"/>
        <v>X</v>
      </c>
      <c r="E344" t="str">
        <f ca="1">IFERROR(IF(AND(B344&amp;C344&amp;D344="___",INDIRECT("Inventory!A"&amp;MATCH(VLOOKUP(A344,Inventory!E:E,1,0),Inventory!E:E,0))&lt;&gt;INDIRECT("'Full Inventory'!B"&amp;MATCH(VLOOKUP(A344,'Full Inventory'!F:F,1,0),'Full Inventory'!F:F,0))),"X","_"),"_")</f>
        <v>_</v>
      </c>
      <c r="K344" t="str">
        <f t="shared" ca="1" si="16"/>
        <v>__X_</v>
      </c>
      <c r="L344" t="str">
        <f t="shared" ca="1" si="17"/>
        <v/>
      </c>
      <c r="M344" t="str">
        <f>IFERROR(INDEX(Inventory!A:A,MATCH(Scan!A344,Inventory!E:E,0)),"")</f>
        <v/>
      </c>
    </row>
    <row r="345" spans="2:13" x14ac:dyDescent="0.25">
      <c r="B345" t="str">
        <f>IF(IFERROR(VLOOKUP(TRIM(A345),Inventory!E:E,1,0),0)=0,"X","_")</f>
        <v>_</v>
      </c>
      <c r="C345" t="str">
        <f>IF(IFERROR(VLOOKUP(TRIM(A345),'Full Inventory'!F:F,1,0),0)=0,"X","_")</f>
        <v>_</v>
      </c>
      <c r="D345" t="str">
        <f t="shared" si="15"/>
        <v>X</v>
      </c>
      <c r="E345" t="str">
        <f ca="1">IFERROR(IF(AND(B345&amp;C345&amp;D345="___",INDIRECT("Inventory!A"&amp;MATCH(VLOOKUP(A345,Inventory!E:E,1,0),Inventory!E:E,0))&lt;&gt;INDIRECT("'Full Inventory'!B"&amp;MATCH(VLOOKUP(A345,'Full Inventory'!F:F,1,0),'Full Inventory'!F:F,0))),"X","_"),"_")</f>
        <v>_</v>
      </c>
      <c r="K345" t="str">
        <f t="shared" ca="1" si="16"/>
        <v>__X_</v>
      </c>
      <c r="L345" t="str">
        <f t="shared" ca="1" si="17"/>
        <v/>
      </c>
      <c r="M345" t="str">
        <f>IFERROR(INDEX(Inventory!A:A,MATCH(Scan!A345,Inventory!E:E,0)),"")</f>
        <v/>
      </c>
    </row>
    <row r="346" spans="2:13" x14ac:dyDescent="0.25">
      <c r="B346" t="str">
        <f>IF(IFERROR(VLOOKUP(TRIM(A346),Inventory!E:E,1,0),0)=0,"X","_")</f>
        <v>_</v>
      </c>
      <c r="C346" t="str">
        <f>IF(IFERROR(VLOOKUP(TRIM(A346),'Full Inventory'!F:F,1,0),0)=0,"X","_")</f>
        <v>_</v>
      </c>
      <c r="D346" t="str">
        <f t="shared" si="15"/>
        <v>X</v>
      </c>
      <c r="E346" t="str">
        <f ca="1">IFERROR(IF(AND(B346&amp;C346&amp;D346="___",INDIRECT("Inventory!A"&amp;MATCH(VLOOKUP(A346,Inventory!E:E,1,0),Inventory!E:E,0))&lt;&gt;INDIRECT("'Full Inventory'!B"&amp;MATCH(VLOOKUP(A346,'Full Inventory'!F:F,1,0),'Full Inventory'!F:F,0))),"X","_"),"_")</f>
        <v>_</v>
      </c>
      <c r="K346" t="str">
        <f t="shared" ca="1" si="16"/>
        <v>__X_</v>
      </c>
      <c r="L346" t="str">
        <f t="shared" ca="1" si="17"/>
        <v/>
      </c>
      <c r="M346" t="str">
        <f>IFERROR(INDEX(Inventory!A:A,MATCH(Scan!A346,Inventory!E:E,0)),"")</f>
        <v/>
      </c>
    </row>
    <row r="347" spans="2:13" x14ac:dyDescent="0.25">
      <c r="B347" t="str">
        <f>IF(IFERROR(VLOOKUP(TRIM(A347),Inventory!E:E,1,0),0)=0,"X","_")</f>
        <v>_</v>
      </c>
      <c r="C347" t="str">
        <f>IF(IFERROR(VLOOKUP(TRIM(A347),'Full Inventory'!F:F,1,0),0)=0,"X","_")</f>
        <v>_</v>
      </c>
      <c r="D347" t="str">
        <f t="shared" si="15"/>
        <v>X</v>
      </c>
      <c r="E347" t="str">
        <f ca="1">IFERROR(IF(AND(B347&amp;C347&amp;D347="___",INDIRECT("Inventory!A"&amp;MATCH(VLOOKUP(A347,Inventory!E:E,1,0),Inventory!E:E,0))&lt;&gt;INDIRECT("'Full Inventory'!B"&amp;MATCH(VLOOKUP(A347,'Full Inventory'!F:F,1,0),'Full Inventory'!F:F,0))),"X","_"),"_")</f>
        <v>_</v>
      </c>
      <c r="K347" t="str">
        <f t="shared" ca="1" si="16"/>
        <v>__X_</v>
      </c>
      <c r="L347" t="str">
        <f t="shared" ca="1" si="17"/>
        <v/>
      </c>
      <c r="M347" t="str">
        <f>IFERROR(INDEX(Inventory!A:A,MATCH(Scan!A347,Inventory!E:E,0)),"")</f>
        <v/>
      </c>
    </row>
    <row r="348" spans="2:13" x14ac:dyDescent="0.25">
      <c r="B348" t="str">
        <f>IF(IFERROR(VLOOKUP(TRIM(A348),Inventory!E:E,1,0),0)=0,"X","_")</f>
        <v>_</v>
      </c>
      <c r="C348" t="str">
        <f>IF(IFERROR(VLOOKUP(TRIM(A348),'Full Inventory'!F:F,1,0),0)=0,"X","_")</f>
        <v>_</v>
      </c>
      <c r="D348" t="str">
        <f t="shared" si="15"/>
        <v>X</v>
      </c>
      <c r="E348" t="str">
        <f ca="1">IFERROR(IF(AND(B348&amp;C348&amp;D348="___",INDIRECT("Inventory!A"&amp;MATCH(VLOOKUP(A348,Inventory!E:E,1,0),Inventory!E:E,0))&lt;&gt;INDIRECT("'Full Inventory'!B"&amp;MATCH(VLOOKUP(A348,'Full Inventory'!F:F,1,0),'Full Inventory'!F:F,0))),"X","_"),"_")</f>
        <v>_</v>
      </c>
      <c r="K348" t="str">
        <f t="shared" ca="1" si="16"/>
        <v>__X_</v>
      </c>
      <c r="L348" t="str">
        <f t="shared" ca="1" si="17"/>
        <v/>
      </c>
      <c r="M348" t="str">
        <f>IFERROR(INDEX(Inventory!A:A,MATCH(Scan!A348,Inventory!E:E,0)),"")</f>
        <v/>
      </c>
    </row>
    <row r="349" spans="2:13" x14ac:dyDescent="0.25">
      <c r="B349" t="str">
        <f>IF(IFERROR(VLOOKUP(TRIM(A349),Inventory!E:E,1,0),0)=0,"X","_")</f>
        <v>_</v>
      </c>
      <c r="C349" t="str">
        <f>IF(IFERROR(VLOOKUP(TRIM(A349),'Full Inventory'!F:F,1,0),0)=0,"X","_")</f>
        <v>_</v>
      </c>
      <c r="D349" t="str">
        <f t="shared" si="15"/>
        <v>X</v>
      </c>
      <c r="E349" t="str">
        <f ca="1">IFERROR(IF(AND(B349&amp;C349&amp;D349="___",INDIRECT("Inventory!A"&amp;MATCH(VLOOKUP(A349,Inventory!E:E,1,0),Inventory!E:E,0))&lt;&gt;INDIRECT("'Full Inventory'!B"&amp;MATCH(VLOOKUP(A349,'Full Inventory'!F:F,1,0),'Full Inventory'!F:F,0))),"X","_"),"_")</f>
        <v>_</v>
      </c>
      <c r="K349" t="str">
        <f t="shared" ca="1" si="16"/>
        <v>__X_</v>
      </c>
      <c r="L349" t="str">
        <f t="shared" ca="1" si="17"/>
        <v/>
      </c>
      <c r="M349" t="str">
        <f>IFERROR(INDEX(Inventory!A:A,MATCH(Scan!A349,Inventory!E:E,0)),"")</f>
        <v/>
      </c>
    </row>
    <row r="350" spans="2:13" x14ac:dyDescent="0.25">
      <c r="B350" t="str">
        <f>IF(IFERROR(VLOOKUP(TRIM(A350),Inventory!E:E,1,0),0)=0,"X","_")</f>
        <v>_</v>
      </c>
      <c r="C350" t="str">
        <f>IF(IFERROR(VLOOKUP(TRIM(A350),'Full Inventory'!F:F,1,0),0)=0,"X","_")</f>
        <v>_</v>
      </c>
      <c r="D350" t="str">
        <f t="shared" si="15"/>
        <v>X</v>
      </c>
      <c r="E350" t="str">
        <f ca="1">IFERROR(IF(AND(B350&amp;C350&amp;D350="___",INDIRECT("Inventory!A"&amp;MATCH(VLOOKUP(A350,Inventory!E:E,1,0),Inventory!E:E,0))&lt;&gt;INDIRECT("'Full Inventory'!B"&amp;MATCH(VLOOKUP(A350,'Full Inventory'!F:F,1,0),'Full Inventory'!F:F,0))),"X","_"),"_")</f>
        <v>_</v>
      </c>
      <c r="K350" t="str">
        <f t="shared" ca="1" si="16"/>
        <v>__X_</v>
      </c>
      <c r="L350" t="str">
        <f t="shared" ca="1" si="17"/>
        <v/>
      </c>
      <c r="M350" t="str">
        <f>IFERROR(INDEX(Inventory!A:A,MATCH(Scan!A350,Inventory!E:E,0)),"")</f>
        <v/>
      </c>
    </row>
    <row r="351" spans="2:13" x14ac:dyDescent="0.25">
      <c r="B351" t="str">
        <f>IF(IFERROR(VLOOKUP(TRIM(A351),Inventory!E:E,1,0),0)=0,"X","_")</f>
        <v>_</v>
      </c>
      <c r="C351" t="str">
        <f>IF(IFERROR(VLOOKUP(TRIM(A351),'Full Inventory'!F:F,1,0),0)=0,"X","_")</f>
        <v>_</v>
      </c>
      <c r="D351" t="str">
        <f t="shared" si="15"/>
        <v>X</v>
      </c>
      <c r="E351" t="str">
        <f ca="1">IFERROR(IF(AND(B351&amp;C351&amp;D351="___",INDIRECT("Inventory!A"&amp;MATCH(VLOOKUP(A351,Inventory!E:E,1,0),Inventory!E:E,0))&lt;&gt;INDIRECT("'Full Inventory'!B"&amp;MATCH(VLOOKUP(A351,'Full Inventory'!F:F,1,0),'Full Inventory'!F:F,0))),"X","_"),"_")</f>
        <v>_</v>
      </c>
      <c r="K351" t="str">
        <f t="shared" ca="1" si="16"/>
        <v>__X_</v>
      </c>
      <c r="L351" t="str">
        <f t="shared" ca="1" si="17"/>
        <v/>
      </c>
      <c r="M351" t="str">
        <f>IFERROR(INDEX(Inventory!A:A,MATCH(Scan!A351,Inventory!E:E,0)),"")</f>
        <v/>
      </c>
    </row>
    <row r="352" spans="2:13" x14ac:dyDescent="0.25">
      <c r="B352" t="str">
        <f>IF(IFERROR(VLOOKUP(TRIM(A352),Inventory!E:E,1,0),0)=0,"X","_")</f>
        <v>_</v>
      </c>
      <c r="C352" t="str">
        <f>IF(IFERROR(VLOOKUP(TRIM(A352),'Full Inventory'!F:F,1,0),0)=0,"X","_")</f>
        <v>_</v>
      </c>
      <c r="D352" t="str">
        <f t="shared" si="15"/>
        <v>X</v>
      </c>
      <c r="E352" t="str">
        <f ca="1">IFERROR(IF(AND(B352&amp;C352&amp;D352="___",INDIRECT("Inventory!A"&amp;MATCH(VLOOKUP(A352,Inventory!E:E,1,0),Inventory!E:E,0))&lt;&gt;INDIRECT("'Full Inventory'!B"&amp;MATCH(VLOOKUP(A352,'Full Inventory'!F:F,1,0),'Full Inventory'!F:F,0))),"X","_"),"_")</f>
        <v>_</v>
      </c>
      <c r="K352" t="str">
        <f t="shared" ca="1" si="16"/>
        <v>__X_</v>
      </c>
      <c r="L352" t="str">
        <f t="shared" ca="1" si="17"/>
        <v/>
      </c>
      <c r="M352" t="str">
        <f>IFERROR(INDEX(Inventory!A:A,MATCH(Scan!A352,Inventory!E:E,0)),"")</f>
        <v/>
      </c>
    </row>
    <row r="353" spans="2:13" x14ac:dyDescent="0.25">
      <c r="B353" t="str">
        <f>IF(IFERROR(VLOOKUP(TRIM(A353),Inventory!E:E,1,0),0)=0,"X","_")</f>
        <v>_</v>
      </c>
      <c r="C353" t="str">
        <f>IF(IFERROR(VLOOKUP(TRIM(A353),'Full Inventory'!F:F,1,0),0)=0,"X","_")</f>
        <v>_</v>
      </c>
      <c r="D353" t="str">
        <f t="shared" si="15"/>
        <v>X</v>
      </c>
      <c r="E353" t="str">
        <f ca="1">IFERROR(IF(AND(B353&amp;C353&amp;D353="___",INDIRECT("Inventory!A"&amp;MATCH(VLOOKUP(A353,Inventory!E:E,1,0),Inventory!E:E,0))&lt;&gt;INDIRECT("'Full Inventory'!B"&amp;MATCH(VLOOKUP(A353,'Full Inventory'!F:F,1,0),'Full Inventory'!F:F,0))),"X","_"),"_")</f>
        <v>_</v>
      </c>
      <c r="K353" t="str">
        <f t="shared" ca="1" si="16"/>
        <v>__X_</v>
      </c>
      <c r="L353" t="str">
        <f t="shared" ca="1" si="17"/>
        <v/>
      </c>
      <c r="M353" t="str">
        <f>IFERROR(INDEX(Inventory!A:A,MATCH(Scan!A353,Inventory!E:E,0)),"")</f>
        <v/>
      </c>
    </row>
    <row r="354" spans="2:13" x14ac:dyDescent="0.25">
      <c r="B354" t="str">
        <f>IF(IFERROR(VLOOKUP(TRIM(A354),Inventory!E:E,1,0),0)=0,"X","_")</f>
        <v>_</v>
      </c>
      <c r="C354" t="str">
        <f>IF(IFERROR(VLOOKUP(TRIM(A354),'Full Inventory'!F:F,1,0),0)=0,"X","_")</f>
        <v>_</v>
      </c>
      <c r="D354" t="str">
        <f t="shared" si="15"/>
        <v>X</v>
      </c>
      <c r="E354" t="str">
        <f ca="1">IFERROR(IF(AND(B354&amp;C354&amp;D354="___",INDIRECT("Inventory!A"&amp;MATCH(VLOOKUP(A354,Inventory!E:E,1,0),Inventory!E:E,0))&lt;&gt;INDIRECT("'Full Inventory'!B"&amp;MATCH(VLOOKUP(A354,'Full Inventory'!F:F,1,0),'Full Inventory'!F:F,0))),"X","_"),"_")</f>
        <v>_</v>
      </c>
      <c r="K354" t="str">
        <f t="shared" ca="1" si="16"/>
        <v>__X_</v>
      </c>
      <c r="L354" t="str">
        <f t="shared" ca="1" si="17"/>
        <v/>
      </c>
      <c r="M354" t="str">
        <f>IFERROR(INDEX(Inventory!A:A,MATCH(Scan!A354,Inventory!E:E,0)),"")</f>
        <v/>
      </c>
    </row>
    <row r="355" spans="2:13" x14ac:dyDescent="0.25">
      <c r="B355" t="str">
        <f>IF(IFERROR(VLOOKUP(TRIM(A355),Inventory!E:E,1,0),0)=0,"X","_")</f>
        <v>_</v>
      </c>
      <c r="C355" t="str">
        <f>IF(IFERROR(VLOOKUP(TRIM(A355),'Full Inventory'!F:F,1,0),0)=0,"X","_")</f>
        <v>_</v>
      </c>
      <c r="D355" t="str">
        <f t="shared" si="15"/>
        <v>X</v>
      </c>
      <c r="E355" t="str">
        <f ca="1">IFERROR(IF(AND(B355&amp;C355&amp;D355="___",INDIRECT("Inventory!A"&amp;MATCH(VLOOKUP(A355,Inventory!E:E,1,0),Inventory!E:E,0))&lt;&gt;INDIRECT("'Full Inventory'!B"&amp;MATCH(VLOOKUP(A355,'Full Inventory'!F:F,1,0),'Full Inventory'!F:F,0))),"X","_"),"_")</f>
        <v>_</v>
      </c>
      <c r="K355" t="str">
        <f t="shared" ca="1" si="16"/>
        <v>__X_</v>
      </c>
      <c r="L355" t="str">
        <f t="shared" ca="1" si="17"/>
        <v/>
      </c>
      <c r="M355" t="str">
        <f>IFERROR(INDEX(Inventory!A:A,MATCH(Scan!A355,Inventory!E:E,0)),"")</f>
        <v/>
      </c>
    </row>
    <row r="356" spans="2:13" x14ac:dyDescent="0.25">
      <c r="B356" t="str">
        <f>IF(IFERROR(VLOOKUP(TRIM(A356),Inventory!E:E,1,0),0)=0,"X","_")</f>
        <v>_</v>
      </c>
      <c r="C356" t="str">
        <f>IF(IFERROR(VLOOKUP(TRIM(A356),'Full Inventory'!F:F,1,0),0)=0,"X","_")</f>
        <v>_</v>
      </c>
      <c r="D356" t="str">
        <f t="shared" si="15"/>
        <v>X</v>
      </c>
      <c r="E356" t="str">
        <f ca="1">IFERROR(IF(AND(B356&amp;C356&amp;D356="___",INDIRECT("Inventory!A"&amp;MATCH(VLOOKUP(A356,Inventory!E:E,1,0),Inventory!E:E,0))&lt;&gt;INDIRECT("'Full Inventory'!B"&amp;MATCH(VLOOKUP(A356,'Full Inventory'!F:F,1,0),'Full Inventory'!F:F,0))),"X","_"),"_")</f>
        <v>_</v>
      </c>
      <c r="K356" t="str">
        <f t="shared" ca="1" si="16"/>
        <v>__X_</v>
      </c>
      <c r="L356" t="str">
        <f t="shared" ca="1" si="17"/>
        <v/>
      </c>
      <c r="M356" t="str">
        <f>IFERROR(INDEX(Inventory!A:A,MATCH(Scan!A356,Inventory!E:E,0)),"")</f>
        <v/>
      </c>
    </row>
    <row r="357" spans="2:13" x14ac:dyDescent="0.25">
      <c r="B357" t="str">
        <f>IF(IFERROR(VLOOKUP(TRIM(A357),Inventory!E:E,1,0),0)=0,"X","_")</f>
        <v>_</v>
      </c>
      <c r="C357" t="str">
        <f>IF(IFERROR(VLOOKUP(TRIM(A357),'Full Inventory'!F:F,1,0),0)=0,"X","_")</f>
        <v>_</v>
      </c>
      <c r="D357" t="str">
        <f t="shared" si="15"/>
        <v>X</v>
      </c>
      <c r="E357" t="str">
        <f ca="1">IFERROR(IF(AND(B357&amp;C357&amp;D357="___",INDIRECT("Inventory!A"&amp;MATCH(VLOOKUP(A357,Inventory!E:E,1,0),Inventory!E:E,0))&lt;&gt;INDIRECT("'Full Inventory'!B"&amp;MATCH(VLOOKUP(A357,'Full Inventory'!F:F,1,0),'Full Inventory'!F:F,0))),"X","_"),"_")</f>
        <v>_</v>
      </c>
      <c r="K357" t="str">
        <f t="shared" ca="1" si="16"/>
        <v>__X_</v>
      </c>
      <c r="L357" t="str">
        <f t="shared" ca="1" si="17"/>
        <v/>
      </c>
      <c r="M357" t="str">
        <f>IFERROR(INDEX(Inventory!A:A,MATCH(Scan!A357,Inventory!E:E,0)),"")</f>
        <v/>
      </c>
    </row>
    <row r="358" spans="2:13" x14ac:dyDescent="0.25">
      <c r="B358" t="str">
        <f>IF(IFERROR(VLOOKUP(TRIM(A358),Inventory!E:E,1,0),0)=0,"X","_")</f>
        <v>_</v>
      </c>
      <c r="C358" t="str">
        <f>IF(IFERROR(VLOOKUP(TRIM(A358),'Full Inventory'!F:F,1,0),0)=0,"X","_")</f>
        <v>_</v>
      </c>
      <c r="D358" t="str">
        <f t="shared" si="15"/>
        <v>X</v>
      </c>
      <c r="E358" t="str">
        <f ca="1">IFERROR(IF(AND(B358&amp;C358&amp;D358="___",INDIRECT("Inventory!A"&amp;MATCH(VLOOKUP(A358,Inventory!E:E,1,0),Inventory!E:E,0))&lt;&gt;INDIRECT("'Full Inventory'!B"&amp;MATCH(VLOOKUP(A358,'Full Inventory'!F:F,1,0),'Full Inventory'!F:F,0))),"X","_"),"_")</f>
        <v>_</v>
      </c>
      <c r="K358" t="str">
        <f t="shared" ca="1" si="16"/>
        <v>__X_</v>
      </c>
      <c r="L358" t="str">
        <f t="shared" ca="1" si="17"/>
        <v/>
      </c>
      <c r="M358" t="str">
        <f>IFERROR(INDEX(Inventory!A:A,MATCH(Scan!A358,Inventory!E:E,0)),"")</f>
        <v/>
      </c>
    </row>
    <row r="359" spans="2:13" x14ac:dyDescent="0.25">
      <c r="B359" t="str">
        <f>IF(IFERROR(VLOOKUP(TRIM(A359),Inventory!E:E,1,0),0)=0,"X","_")</f>
        <v>_</v>
      </c>
      <c r="C359" t="str">
        <f>IF(IFERROR(VLOOKUP(TRIM(A359),'Full Inventory'!F:F,1,0),0)=0,"X","_")</f>
        <v>_</v>
      </c>
      <c r="D359" t="str">
        <f t="shared" si="15"/>
        <v>X</v>
      </c>
      <c r="E359" t="str">
        <f ca="1">IFERROR(IF(AND(B359&amp;C359&amp;D359="___",INDIRECT("Inventory!A"&amp;MATCH(VLOOKUP(A359,Inventory!E:E,1,0),Inventory!E:E,0))&lt;&gt;INDIRECT("'Full Inventory'!B"&amp;MATCH(VLOOKUP(A359,'Full Inventory'!F:F,1,0),'Full Inventory'!F:F,0))),"X","_"),"_")</f>
        <v>_</v>
      </c>
      <c r="K359" t="str">
        <f t="shared" ca="1" si="16"/>
        <v>__X_</v>
      </c>
      <c r="L359" t="str">
        <f t="shared" ca="1" si="17"/>
        <v/>
      </c>
      <c r="M359" t="str">
        <f>IFERROR(INDEX(Inventory!A:A,MATCH(Scan!A359,Inventory!E:E,0)),"")</f>
        <v/>
      </c>
    </row>
    <row r="360" spans="2:13" x14ac:dyDescent="0.25">
      <c r="B360" t="str">
        <f>IF(IFERROR(VLOOKUP(TRIM(A360),Inventory!E:E,1,0),0)=0,"X","_")</f>
        <v>_</v>
      </c>
      <c r="C360" t="str">
        <f>IF(IFERROR(VLOOKUP(TRIM(A360),'Full Inventory'!F:F,1,0),0)=0,"X","_")</f>
        <v>_</v>
      </c>
      <c r="D360" t="str">
        <f t="shared" si="15"/>
        <v>X</v>
      </c>
      <c r="E360" t="str">
        <f ca="1">IFERROR(IF(AND(B360&amp;C360&amp;D360="___",INDIRECT("Inventory!A"&amp;MATCH(VLOOKUP(A360,Inventory!E:E,1,0),Inventory!E:E,0))&lt;&gt;INDIRECT("'Full Inventory'!B"&amp;MATCH(VLOOKUP(A360,'Full Inventory'!F:F,1,0),'Full Inventory'!F:F,0))),"X","_"),"_")</f>
        <v>_</v>
      </c>
      <c r="K360" t="str">
        <f t="shared" ca="1" si="16"/>
        <v>__X_</v>
      </c>
      <c r="L360" t="str">
        <f t="shared" ca="1" si="17"/>
        <v/>
      </c>
      <c r="M360" t="str">
        <f>IFERROR(INDEX(Inventory!A:A,MATCH(Scan!A360,Inventory!E:E,0)),"")</f>
        <v/>
      </c>
    </row>
    <row r="361" spans="2:13" x14ac:dyDescent="0.25">
      <c r="B361" t="str">
        <f>IF(IFERROR(VLOOKUP(TRIM(A361),Inventory!E:E,1,0),0)=0,"X","_")</f>
        <v>_</v>
      </c>
      <c r="C361" t="str">
        <f>IF(IFERROR(VLOOKUP(TRIM(A361),'Full Inventory'!F:F,1,0),0)=0,"X","_")</f>
        <v>_</v>
      </c>
      <c r="D361" t="str">
        <f t="shared" si="15"/>
        <v>X</v>
      </c>
      <c r="E361" t="str">
        <f ca="1">IFERROR(IF(AND(B361&amp;C361&amp;D361="___",INDIRECT("Inventory!A"&amp;MATCH(VLOOKUP(A361,Inventory!E:E,1,0),Inventory!E:E,0))&lt;&gt;INDIRECT("'Full Inventory'!B"&amp;MATCH(VLOOKUP(A361,'Full Inventory'!F:F,1,0),'Full Inventory'!F:F,0))),"X","_"),"_")</f>
        <v>_</v>
      </c>
      <c r="K361" t="str">
        <f t="shared" ca="1" si="16"/>
        <v>__X_</v>
      </c>
      <c r="L361" t="str">
        <f t="shared" ca="1" si="17"/>
        <v/>
      </c>
      <c r="M361" t="str">
        <f>IFERROR(INDEX(Inventory!A:A,MATCH(Scan!A361,Inventory!E:E,0)),"")</f>
        <v/>
      </c>
    </row>
    <row r="362" spans="2:13" x14ac:dyDescent="0.25">
      <c r="B362" t="str">
        <f>IF(IFERROR(VLOOKUP(TRIM(A362),Inventory!E:E,1,0),0)=0,"X","_")</f>
        <v>_</v>
      </c>
      <c r="C362" t="str">
        <f>IF(IFERROR(VLOOKUP(TRIM(A362),'Full Inventory'!F:F,1,0),0)=0,"X","_")</f>
        <v>_</v>
      </c>
      <c r="D362" t="str">
        <f t="shared" si="15"/>
        <v>X</v>
      </c>
      <c r="E362" t="str">
        <f ca="1">IFERROR(IF(AND(B362&amp;C362&amp;D362="___",INDIRECT("Inventory!A"&amp;MATCH(VLOOKUP(A362,Inventory!E:E,1,0),Inventory!E:E,0))&lt;&gt;INDIRECT("'Full Inventory'!B"&amp;MATCH(VLOOKUP(A362,'Full Inventory'!F:F,1,0),'Full Inventory'!F:F,0))),"X","_"),"_")</f>
        <v>_</v>
      </c>
      <c r="K362" t="str">
        <f t="shared" ca="1" si="16"/>
        <v>__X_</v>
      </c>
      <c r="L362" t="str">
        <f t="shared" ca="1" si="17"/>
        <v/>
      </c>
      <c r="M362" t="str">
        <f>IFERROR(INDEX(Inventory!A:A,MATCH(Scan!A362,Inventory!E:E,0)),"")</f>
        <v/>
      </c>
    </row>
    <row r="363" spans="2:13" x14ac:dyDescent="0.25">
      <c r="B363" t="str">
        <f>IF(IFERROR(VLOOKUP(TRIM(A363),Inventory!E:E,1,0),0)=0,"X","_")</f>
        <v>_</v>
      </c>
      <c r="C363" t="str">
        <f>IF(IFERROR(VLOOKUP(TRIM(A363),'Full Inventory'!F:F,1,0),0)=0,"X","_")</f>
        <v>_</v>
      </c>
      <c r="D363" t="str">
        <f t="shared" si="15"/>
        <v>X</v>
      </c>
      <c r="E363" t="str">
        <f ca="1">IFERROR(IF(AND(B363&amp;C363&amp;D363="___",INDIRECT("Inventory!A"&amp;MATCH(VLOOKUP(A363,Inventory!E:E,1,0),Inventory!E:E,0))&lt;&gt;INDIRECT("'Full Inventory'!B"&amp;MATCH(VLOOKUP(A363,'Full Inventory'!F:F,1,0),'Full Inventory'!F:F,0))),"X","_"),"_")</f>
        <v>_</v>
      </c>
      <c r="K363" t="str">
        <f t="shared" ca="1" si="16"/>
        <v>__X_</v>
      </c>
      <c r="L363" t="str">
        <f t="shared" ca="1" si="17"/>
        <v/>
      </c>
      <c r="M363" t="str">
        <f>IFERROR(INDEX(Inventory!A:A,MATCH(Scan!A363,Inventory!E:E,0)),"")</f>
        <v/>
      </c>
    </row>
    <row r="364" spans="2:13" x14ac:dyDescent="0.25">
      <c r="B364" t="str">
        <f>IF(IFERROR(VLOOKUP(TRIM(A364),Inventory!E:E,1,0),0)=0,"X","_")</f>
        <v>_</v>
      </c>
      <c r="C364" t="str">
        <f>IF(IFERROR(VLOOKUP(TRIM(A364),'Full Inventory'!F:F,1,0),0)=0,"X","_")</f>
        <v>_</v>
      </c>
      <c r="D364" t="str">
        <f t="shared" si="15"/>
        <v>X</v>
      </c>
      <c r="E364" t="str">
        <f ca="1">IFERROR(IF(AND(B364&amp;C364&amp;D364="___",INDIRECT("Inventory!A"&amp;MATCH(VLOOKUP(A364,Inventory!E:E,1,0),Inventory!E:E,0))&lt;&gt;INDIRECT("'Full Inventory'!B"&amp;MATCH(VLOOKUP(A364,'Full Inventory'!F:F,1,0),'Full Inventory'!F:F,0))),"X","_"),"_")</f>
        <v>_</v>
      </c>
      <c r="K364" t="str">
        <f t="shared" ca="1" si="16"/>
        <v>__X_</v>
      </c>
      <c r="L364" t="str">
        <f t="shared" ca="1" si="17"/>
        <v/>
      </c>
      <c r="M364" t="str">
        <f>IFERROR(INDEX(Inventory!A:A,MATCH(Scan!A364,Inventory!E:E,0)),"")</f>
        <v/>
      </c>
    </row>
    <row r="365" spans="2:13" x14ac:dyDescent="0.25">
      <c r="B365" t="str">
        <f>IF(IFERROR(VLOOKUP(TRIM(A365),Inventory!E:E,1,0),0)=0,"X","_")</f>
        <v>_</v>
      </c>
      <c r="C365" t="str">
        <f>IF(IFERROR(VLOOKUP(TRIM(A365),'Full Inventory'!F:F,1,0),0)=0,"X","_")</f>
        <v>_</v>
      </c>
      <c r="D365" t="str">
        <f t="shared" si="15"/>
        <v>X</v>
      </c>
      <c r="E365" t="str">
        <f ca="1">IFERROR(IF(AND(B365&amp;C365&amp;D365="___",INDIRECT("Inventory!A"&amp;MATCH(VLOOKUP(A365,Inventory!E:E,1,0),Inventory!E:E,0))&lt;&gt;INDIRECT("'Full Inventory'!B"&amp;MATCH(VLOOKUP(A365,'Full Inventory'!F:F,1,0),'Full Inventory'!F:F,0))),"X","_"),"_")</f>
        <v>_</v>
      </c>
      <c r="K365" t="str">
        <f t="shared" ca="1" si="16"/>
        <v>__X_</v>
      </c>
      <c r="L365" t="str">
        <f t="shared" ca="1" si="17"/>
        <v/>
      </c>
      <c r="M365" t="str">
        <f>IFERROR(INDEX(Inventory!A:A,MATCH(Scan!A365,Inventory!E:E,0)),"")</f>
        <v/>
      </c>
    </row>
    <row r="366" spans="2:13" x14ac:dyDescent="0.25">
      <c r="B366" t="str">
        <f>IF(IFERROR(VLOOKUP(TRIM(A366),Inventory!E:E,1,0),0)=0,"X","_")</f>
        <v>_</v>
      </c>
      <c r="C366" t="str">
        <f>IF(IFERROR(VLOOKUP(TRIM(A366),'Full Inventory'!F:F,1,0),0)=0,"X","_")</f>
        <v>_</v>
      </c>
      <c r="D366" t="str">
        <f t="shared" si="15"/>
        <v>X</v>
      </c>
      <c r="E366" t="str">
        <f ca="1">IFERROR(IF(AND(B366&amp;C366&amp;D366="___",INDIRECT("Inventory!A"&amp;MATCH(VLOOKUP(A366,Inventory!E:E,1,0),Inventory!E:E,0))&lt;&gt;INDIRECT("'Full Inventory'!B"&amp;MATCH(VLOOKUP(A366,'Full Inventory'!F:F,1,0),'Full Inventory'!F:F,0))),"X","_"),"_")</f>
        <v>_</v>
      </c>
      <c r="K366" t="str">
        <f t="shared" ca="1" si="16"/>
        <v>__X_</v>
      </c>
      <c r="L366" t="str">
        <f t="shared" ca="1" si="17"/>
        <v/>
      </c>
      <c r="M366" t="str">
        <f>IFERROR(INDEX(Inventory!A:A,MATCH(Scan!A366,Inventory!E:E,0)),"")</f>
        <v/>
      </c>
    </row>
    <row r="367" spans="2:13" x14ac:dyDescent="0.25">
      <c r="B367" t="str">
        <f>IF(IFERROR(VLOOKUP(TRIM(A367),Inventory!E:E,1,0),0)=0,"X","_")</f>
        <v>_</v>
      </c>
      <c r="C367" t="str">
        <f>IF(IFERROR(VLOOKUP(TRIM(A367),'Full Inventory'!F:F,1,0),0)=0,"X","_")</f>
        <v>_</v>
      </c>
      <c r="D367" t="str">
        <f t="shared" si="15"/>
        <v>X</v>
      </c>
      <c r="E367" t="str">
        <f ca="1">IFERROR(IF(AND(B367&amp;C367&amp;D367="___",INDIRECT("Inventory!A"&amp;MATCH(VLOOKUP(A367,Inventory!E:E,1,0),Inventory!E:E,0))&lt;&gt;INDIRECT("'Full Inventory'!B"&amp;MATCH(VLOOKUP(A367,'Full Inventory'!F:F,1,0),'Full Inventory'!F:F,0))),"X","_"),"_")</f>
        <v>_</v>
      </c>
      <c r="K367" t="str">
        <f t="shared" ca="1" si="16"/>
        <v>__X_</v>
      </c>
      <c r="L367" t="str">
        <f t="shared" ca="1" si="17"/>
        <v/>
      </c>
      <c r="M367" t="str">
        <f>IFERROR(INDEX(Inventory!A:A,MATCH(Scan!A367,Inventory!E:E,0)),"")</f>
        <v/>
      </c>
    </row>
    <row r="368" spans="2:13" x14ac:dyDescent="0.25">
      <c r="B368" t="str">
        <f>IF(IFERROR(VLOOKUP(TRIM(A368),Inventory!E:E,1,0),0)=0,"X","_")</f>
        <v>_</v>
      </c>
      <c r="C368" t="str">
        <f>IF(IFERROR(VLOOKUP(TRIM(A368),'Full Inventory'!F:F,1,0),0)=0,"X","_")</f>
        <v>_</v>
      </c>
      <c r="D368" t="str">
        <f t="shared" si="15"/>
        <v>X</v>
      </c>
      <c r="E368" t="str">
        <f ca="1">IFERROR(IF(AND(B368&amp;C368&amp;D368="___",INDIRECT("Inventory!A"&amp;MATCH(VLOOKUP(A368,Inventory!E:E,1,0),Inventory!E:E,0))&lt;&gt;INDIRECT("'Full Inventory'!B"&amp;MATCH(VLOOKUP(A368,'Full Inventory'!F:F,1,0),'Full Inventory'!F:F,0))),"X","_"),"_")</f>
        <v>_</v>
      </c>
      <c r="K368" t="str">
        <f t="shared" ca="1" si="16"/>
        <v>__X_</v>
      </c>
      <c r="L368" t="str">
        <f t="shared" ca="1" si="17"/>
        <v/>
      </c>
      <c r="M368" t="str">
        <f>IFERROR(INDEX(Inventory!A:A,MATCH(Scan!A368,Inventory!E:E,0)),"")</f>
        <v/>
      </c>
    </row>
    <row r="369" spans="2:13" x14ac:dyDescent="0.25">
      <c r="B369" t="str">
        <f>IF(IFERROR(VLOOKUP(TRIM(A369),Inventory!E:E,1,0),0)=0,"X","_")</f>
        <v>_</v>
      </c>
      <c r="C369" t="str">
        <f>IF(IFERROR(VLOOKUP(TRIM(A369),'Full Inventory'!F:F,1,0),0)=0,"X","_")</f>
        <v>_</v>
      </c>
      <c r="D369" t="str">
        <f t="shared" si="15"/>
        <v>X</v>
      </c>
      <c r="E369" t="str">
        <f ca="1">IFERROR(IF(AND(B369&amp;C369&amp;D369="___",INDIRECT("Inventory!A"&amp;MATCH(VLOOKUP(A369,Inventory!E:E,1,0),Inventory!E:E,0))&lt;&gt;INDIRECT("'Full Inventory'!B"&amp;MATCH(VLOOKUP(A369,'Full Inventory'!F:F,1,0),'Full Inventory'!F:F,0))),"X","_"),"_")</f>
        <v>_</v>
      </c>
      <c r="K369" t="str">
        <f t="shared" ca="1" si="16"/>
        <v>__X_</v>
      </c>
      <c r="L369" t="str">
        <f t="shared" ca="1" si="17"/>
        <v/>
      </c>
      <c r="M369" t="str">
        <f>IFERROR(INDEX(Inventory!A:A,MATCH(Scan!A369,Inventory!E:E,0)),"")</f>
        <v/>
      </c>
    </row>
    <row r="370" spans="2:13" x14ac:dyDescent="0.25">
      <c r="B370" t="str">
        <f>IF(IFERROR(VLOOKUP(TRIM(A370),Inventory!E:E,1,0),0)=0,"X","_")</f>
        <v>_</v>
      </c>
      <c r="C370" t="str">
        <f>IF(IFERROR(VLOOKUP(TRIM(A370),'Full Inventory'!F:F,1,0),0)=0,"X","_")</f>
        <v>_</v>
      </c>
      <c r="D370" t="str">
        <f t="shared" si="15"/>
        <v>X</v>
      </c>
      <c r="E370" t="str">
        <f ca="1">IFERROR(IF(AND(B370&amp;C370&amp;D370="___",INDIRECT("Inventory!A"&amp;MATCH(VLOOKUP(A370,Inventory!E:E,1,0),Inventory!E:E,0))&lt;&gt;INDIRECT("'Full Inventory'!B"&amp;MATCH(VLOOKUP(A370,'Full Inventory'!F:F,1,0),'Full Inventory'!F:F,0))),"X","_"),"_")</f>
        <v>_</v>
      </c>
      <c r="K370" t="str">
        <f t="shared" ca="1" si="16"/>
        <v>__X_</v>
      </c>
      <c r="L370" t="str">
        <f t="shared" ca="1" si="17"/>
        <v/>
      </c>
      <c r="M370" t="str">
        <f>IFERROR(INDEX(Inventory!A:A,MATCH(Scan!A370,Inventory!E:E,0)),"")</f>
        <v/>
      </c>
    </row>
    <row r="371" spans="2:13" x14ac:dyDescent="0.25">
      <c r="B371" t="str">
        <f>IF(IFERROR(VLOOKUP(TRIM(A371),Inventory!E:E,1,0),0)=0,"X","_")</f>
        <v>_</v>
      </c>
      <c r="C371" t="str">
        <f>IF(IFERROR(VLOOKUP(TRIM(A371),'Full Inventory'!F:F,1,0),0)=0,"X","_")</f>
        <v>_</v>
      </c>
      <c r="D371" t="str">
        <f t="shared" si="15"/>
        <v>X</v>
      </c>
      <c r="E371" t="str">
        <f ca="1">IFERROR(IF(AND(B371&amp;C371&amp;D371="___",INDIRECT("Inventory!A"&amp;MATCH(VLOOKUP(A371,Inventory!E:E,1,0),Inventory!E:E,0))&lt;&gt;INDIRECT("'Full Inventory'!B"&amp;MATCH(VLOOKUP(A371,'Full Inventory'!F:F,1,0),'Full Inventory'!F:F,0))),"X","_"),"_")</f>
        <v>_</v>
      </c>
      <c r="K371" t="str">
        <f t="shared" ca="1" si="16"/>
        <v>__X_</v>
      </c>
      <c r="L371" t="str">
        <f t="shared" ca="1" si="17"/>
        <v/>
      </c>
      <c r="M371" t="str">
        <f>IFERROR(INDEX(Inventory!A:A,MATCH(Scan!A371,Inventory!E:E,0)),"")</f>
        <v/>
      </c>
    </row>
    <row r="372" spans="2:13" x14ac:dyDescent="0.25">
      <c r="B372" t="str">
        <f>IF(IFERROR(VLOOKUP(TRIM(A372),Inventory!E:E,1,0),0)=0,"X","_")</f>
        <v>_</v>
      </c>
      <c r="C372" t="str">
        <f>IF(IFERROR(VLOOKUP(TRIM(A372),'Full Inventory'!F:F,1,0),0)=0,"X","_")</f>
        <v>_</v>
      </c>
      <c r="D372" t="str">
        <f t="shared" si="15"/>
        <v>X</v>
      </c>
      <c r="E372" t="str">
        <f ca="1">IFERROR(IF(AND(B372&amp;C372&amp;D372="___",INDIRECT("Inventory!A"&amp;MATCH(VLOOKUP(A372,Inventory!E:E,1,0),Inventory!E:E,0))&lt;&gt;INDIRECT("'Full Inventory'!B"&amp;MATCH(VLOOKUP(A372,'Full Inventory'!F:F,1,0),'Full Inventory'!F:F,0))),"X","_"),"_")</f>
        <v>_</v>
      </c>
      <c r="K372" t="str">
        <f t="shared" ca="1" si="16"/>
        <v>__X_</v>
      </c>
      <c r="L372" t="str">
        <f t="shared" ca="1" si="17"/>
        <v/>
      </c>
      <c r="M372" t="str">
        <f>IFERROR(INDEX(Inventory!A:A,MATCH(Scan!A372,Inventory!E:E,0)),"")</f>
        <v/>
      </c>
    </row>
    <row r="373" spans="2:13" x14ac:dyDescent="0.25">
      <c r="B373" t="str">
        <f>IF(IFERROR(VLOOKUP(TRIM(A373),Inventory!E:E,1,0),0)=0,"X","_")</f>
        <v>_</v>
      </c>
      <c r="C373" t="str">
        <f>IF(IFERROR(VLOOKUP(TRIM(A373),'Full Inventory'!F:F,1,0),0)=0,"X","_")</f>
        <v>_</v>
      </c>
      <c r="D373" t="str">
        <f t="shared" si="15"/>
        <v>X</v>
      </c>
      <c r="E373" t="str">
        <f ca="1">IFERROR(IF(AND(B373&amp;C373&amp;D373="___",INDIRECT("Inventory!A"&amp;MATCH(VLOOKUP(A373,Inventory!E:E,1,0),Inventory!E:E,0))&lt;&gt;INDIRECT("'Full Inventory'!B"&amp;MATCH(VLOOKUP(A373,'Full Inventory'!F:F,1,0),'Full Inventory'!F:F,0))),"X","_"),"_")</f>
        <v>_</v>
      </c>
      <c r="K373" t="str">
        <f t="shared" ca="1" si="16"/>
        <v>__X_</v>
      </c>
      <c r="L373" t="str">
        <f t="shared" ca="1" si="17"/>
        <v/>
      </c>
      <c r="M373" t="str">
        <f>IFERROR(INDEX(Inventory!A:A,MATCH(Scan!A373,Inventory!E:E,0)),"")</f>
        <v/>
      </c>
    </row>
    <row r="374" spans="2:13" x14ac:dyDescent="0.25">
      <c r="B374" t="str">
        <f>IF(IFERROR(VLOOKUP(TRIM(A374),Inventory!E:E,1,0),0)=0,"X","_")</f>
        <v>_</v>
      </c>
      <c r="C374" t="str">
        <f>IF(IFERROR(VLOOKUP(TRIM(A374),'Full Inventory'!F:F,1,0),0)=0,"X","_")</f>
        <v>_</v>
      </c>
      <c r="D374" t="str">
        <f t="shared" si="15"/>
        <v>X</v>
      </c>
      <c r="E374" t="str">
        <f ca="1">IFERROR(IF(AND(B374&amp;C374&amp;D374="___",INDIRECT("Inventory!A"&amp;MATCH(VLOOKUP(A374,Inventory!E:E,1,0),Inventory!E:E,0))&lt;&gt;INDIRECT("'Full Inventory'!B"&amp;MATCH(VLOOKUP(A374,'Full Inventory'!F:F,1,0),'Full Inventory'!F:F,0))),"X","_"),"_")</f>
        <v>_</v>
      </c>
      <c r="K374" t="str">
        <f t="shared" ca="1" si="16"/>
        <v>__X_</v>
      </c>
      <c r="L374" t="str">
        <f t="shared" ca="1" si="17"/>
        <v/>
      </c>
      <c r="M374" t="str">
        <f>IFERROR(INDEX(Inventory!A:A,MATCH(Scan!A374,Inventory!E:E,0)),"")</f>
        <v/>
      </c>
    </row>
    <row r="375" spans="2:13" x14ac:dyDescent="0.25">
      <c r="B375" t="str">
        <f>IF(IFERROR(VLOOKUP(TRIM(A375),Inventory!E:E,1,0),0)=0,"X","_")</f>
        <v>_</v>
      </c>
      <c r="C375" t="str">
        <f>IF(IFERROR(VLOOKUP(TRIM(A375),'Full Inventory'!F:F,1,0),0)=0,"X","_")</f>
        <v>_</v>
      </c>
      <c r="D375" t="str">
        <f t="shared" si="15"/>
        <v>X</v>
      </c>
      <c r="E375" t="str">
        <f ca="1">IFERROR(IF(AND(B375&amp;C375&amp;D375="___",INDIRECT("Inventory!A"&amp;MATCH(VLOOKUP(A375,Inventory!E:E,1,0),Inventory!E:E,0))&lt;&gt;INDIRECT("'Full Inventory'!B"&amp;MATCH(VLOOKUP(A375,'Full Inventory'!F:F,1,0),'Full Inventory'!F:F,0))),"X","_"),"_")</f>
        <v>_</v>
      </c>
      <c r="K375" t="str">
        <f t="shared" ca="1" si="16"/>
        <v>__X_</v>
      </c>
      <c r="L375" t="str">
        <f t="shared" ca="1" si="17"/>
        <v/>
      </c>
      <c r="M375" t="str">
        <f>IFERROR(INDEX(Inventory!A:A,MATCH(Scan!A375,Inventory!E:E,0)),"")</f>
        <v/>
      </c>
    </row>
    <row r="376" spans="2:13" x14ac:dyDescent="0.25">
      <c r="B376" t="str">
        <f>IF(IFERROR(VLOOKUP(TRIM(A376),Inventory!E:E,1,0),0)=0,"X","_")</f>
        <v>_</v>
      </c>
      <c r="C376" t="str">
        <f>IF(IFERROR(VLOOKUP(TRIM(A376),'Full Inventory'!F:F,1,0),0)=0,"X","_")</f>
        <v>_</v>
      </c>
      <c r="D376" t="str">
        <f t="shared" si="15"/>
        <v>X</v>
      </c>
      <c r="E376" t="str">
        <f ca="1">IFERROR(IF(AND(B376&amp;C376&amp;D376="___",INDIRECT("Inventory!A"&amp;MATCH(VLOOKUP(A376,Inventory!E:E,1,0),Inventory!E:E,0))&lt;&gt;INDIRECT("'Full Inventory'!B"&amp;MATCH(VLOOKUP(A376,'Full Inventory'!F:F,1,0),'Full Inventory'!F:F,0))),"X","_"),"_")</f>
        <v>_</v>
      </c>
      <c r="K376" t="str">
        <f t="shared" ca="1" si="16"/>
        <v>__X_</v>
      </c>
      <c r="L376" t="str">
        <f t="shared" ca="1" si="17"/>
        <v/>
      </c>
      <c r="M376" t="str">
        <f>IFERROR(INDEX(Inventory!A:A,MATCH(Scan!A376,Inventory!E:E,0)),"")</f>
        <v/>
      </c>
    </row>
    <row r="377" spans="2:13" x14ac:dyDescent="0.25">
      <c r="B377" t="str">
        <f>IF(IFERROR(VLOOKUP(TRIM(A377),Inventory!E:E,1,0),0)=0,"X","_")</f>
        <v>_</v>
      </c>
      <c r="C377" t="str">
        <f>IF(IFERROR(VLOOKUP(TRIM(A377),'Full Inventory'!F:F,1,0),0)=0,"X","_")</f>
        <v>_</v>
      </c>
      <c r="D377" t="str">
        <f t="shared" si="15"/>
        <v>X</v>
      </c>
      <c r="E377" t="str">
        <f ca="1">IFERROR(IF(AND(B377&amp;C377&amp;D377="___",INDIRECT("Inventory!A"&amp;MATCH(VLOOKUP(A377,Inventory!E:E,1,0),Inventory!E:E,0))&lt;&gt;INDIRECT("'Full Inventory'!B"&amp;MATCH(VLOOKUP(A377,'Full Inventory'!F:F,1,0),'Full Inventory'!F:F,0))),"X","_"),"_")</f>
        <v>_</v>
      </c>
      <c r="K377" t="str">
        <f t="shared" ca="1" si="16"/>
        <v>__X_</v>
      </c>
      <c r="L377" t="str">
        <f t="shared" ca="1" si="17"/>
        <v/>
      </c>
      <c r="M377" t="str">
        <f>IFERROR(INDEX(Inventory!A:A,MATCH(Scan!A377,Inventory!E:E,0)),"")</f>
        <v/>
      </c>
    </row>
    <row r="378" spans="2:13" x14ac:dyDescent="0.25">
      <c r="B378" t="str">
        <f>IF(IFERROR(VLOOKUP(TRIM(A378),Inventory!E:E,1,0),0)=0,"X","_")</f>
        <v>_</v>
      </c>
      <c r="C378" t="str">
        <f>IF(IFERROR(VLOOKUP(TRIM(A378),'Full Inventory'!F:F,1,0),0)=0,"X","_")</f>
        <v>_</v>
      </c>
      <c r="D378" t="str">
        <f t="shared" si="15"/>
        <v>X</v>
      </c>
      <c r="E378" t="str">
        <f ca="1">IFERROR(IF(AND(B378&amp;C378&amp;D378="___",INDIRECT("Inventory!A"&amp;MATCH(VLOOKUP(A378,Inventory!E:E,1,0),Inventory!E:E,0))&lt;&gt;INDIRECT("'Full Inventory'!B"&amp;MATCH(VLOOKUP(A378,'Full Inventory'!F:F,1,0),'Full Inventory'!F:F,0))),"X","_"),"_")</f>
        <v>_</v>
      </c>
      <c r="K378" t="str">
        <f t="shared" ca="1" si="16"/>
        <v>__X_</v>
      </c>
      <c r="L378" t="str">
        <f t="shared" ca="1" si="17"/>
        <v/>
      </c>
      <c r="M378" t="str">
        <f>IFERROR(INDEX(Inventory!A:A,MATCH(Scan!A378,Inventory!E:E,0)),"")</f>
        <v/>
      </c>
    </row>
    <row r="379" spans="2:13" x14ac:dyDescent="0.25">
      <c r="B379" t="str">
        <f>IF(IFERROR(VLOOKUP(TRIM(A379),Inventory!E:E,1,0),0)=0,"X","_")</f>
        <v>_</v>
      </c>
      <c r="C379" t="str">
        <f>IF(IFERROR(VLOOKUP(TRIM(A379),'Full Inventory'!F:F,1,0),0)=0,"X","_")</f>
        <v>_</v>
      </c>
      <c r="D379" t="str">
        <f t="shared" si="15"/>
        <v>X</v>
      </c>
      <c r="E379" t="str">
        <f ca="1">IFERROR(IF(AND(B379&amp;C379&amp;D379="___",INDIRECT("Inventory!A"&amp;MATCH(VLOOKUP(A379,Inventory!E:E,1,0),Inventory!E:E,0))&lt;&gt;INDIRECT("'Full Inventory'!B"&amp;MATCH(VLOOKUP(A379,'Full Inventory'!F:F,1,0),'Full Inventory'!F:F,0))),"X","_"),"_")</f>
        <v>_</v>
      </c>
      <c r="K379" t="str">
        <f t="shared" ca="1" si="16"/>
        <v>__X_</v>
      </c>
      <c r="L379" t="str">
        <f t="shared" ca="1" si="17"/>
        <v/>
      </c>
      <c r="M379" t="str">
        <f>IFERROR(INDEX(Inventory!A:A,MATCH(Scan!A379,Inventory!E:E,0)),"")</f>
        <v/>
      </c>
    </row>
    <row r="380" spans="2:13" x14ac:dyDescent="0.25">
      <c r="B380" t="str">
        <f>IF(IFERROR(VLOOKUP(TRIM(A380),Inventory!E:E,1,0),0)=0,"X","_")</f>
        <v>_</v>
      </c>
      <c r="C380" t="str">
        <f>IF(IFERROR(VLOOKUP(TRIM(A380),'Full Inventory'!F:F,1,0),0)=0,"X","_")</f>
        <v>_</v>
      </c>
      <c r="D380" t="str">
        <f t="shared" si="15"/>
        <v>X</v>
      </c>
      <c r="E380" t="str">
        <f ca="1">IFERROR(IF(AND(B380&amp;C380&amp;D380="___",INDIRECT("Inventory!A"&amp;MATCH(VLOOKUP(A380,Inventory!E:E,1,0),Inventory!E:E,0))&lt;&gt;INDIRECT("'Full Inventory'!B"&amp;MATCH(VLOOKUP(A380,'Full Inventory'!F:F,1,0),'Full Inventory'!F:F,0))),"X","_"),"_")</f>
        <v>_</v>
      </c>
      <c r="K380" t="str">
        <f t="shared" ca="1" si="16"/>
        <v>__X_</v>
      </c>
      <c r="L380" t="str">
        <f t="shared" ca="1" si="17"/>
        <v/>
      </c>
      <c r="M380" t="str">
        <f>IFERROR(INDEX(Inventory!A:A,MATCH(Scan!A380,Inventory!E:E,0)),"")</f>
        <v/>
      </c>
    </row>
    <row r="381" spans="2:13" x14ac:dyDescent="0.25">
      <c r="B381" t="str">
        <f>IF(IFERROR(VLOOKUP(TRIM(A381),Inventory!E:E,1,0),0)=0,"X","_")</f>
        <v>_</v>
      </c>
      <c r="C381" t="str">
        <f>IF(IFERROR(VLOOKUP(TRIM(A381),'Full Inventory'!F:F,1,0),0)=0,"X","_")</f>
        <v>_</v>
      </c>
      <c r="D381" t="str">
        <f t="shared" si="15"/>
        <v>X</v>
      </c>
      <c r="E381" t="str">
        <f ca="1">IFERROR(IF(AND(B381&amp;C381&amp;D381="___",INDIRECT("Inventory!A"&amp;MATCH(VLOOKUP(A381,Inventory!E:E,1,0),Inventory!E:E,0))&lt;&gt;INDIRECT("'Full Inventory'!B"&amp;MATCH(VLOOKUP(A381,'Full Inventory'!F:F,1,0),'Full Inventory'!F:F,0))),"X","_"),"_")</f>
        <v>_</v>
      </c>
      <c r="K381" t="str">
        <f t="shared" ca="1" si="16"/>
        <v>__X_</v>
      </c>
      <c r="L381" t="str">
        <f t="shared" ca="1" si="17"/>
        <v/>
      </c>
      <c r="M381" t="str">
        <f>IFERROR(INDEX(Inventory!A:A,MATCH(Scan!A381,Inventory!E:E,0)),"")</f>
        <v/>
      </c>
    </row>
    <row r="382" spans="2:13" x14ac:dyDescent="0.25">
      <c r="B382" t="str">
        <f>IF(IFERROR(VLOOKUP(TRIM(A382),Inventory!E:E,1,0),0)=0,"X","_")</f>
        <v>_</v>
      </c>
      <c r="C382" t="str">
        <f>IF(IFERROR(VLOOKUP(TRIM(A382),'Full Inventory'!F:F,1,0),0)=0,"X","_")</f>
        <v>_</v>
      </c>
      <c r="D382" t="str">
        <f t="shared" si="15"/>
        <v>X</v>
      </c>
      <c r="E382" t="str">
        <f ca="1">IFERROR(IF(AND(B382&amp;C382&amp;D382="___",INDIRECT("Inventory!A"&amp;MATCH(VLOOKUP(A382,Inventory!E:E,1,0),Inventory!E:E,0))&lt;&gt;INDIRECT("'Full Inventory'!B"&amp;MATCH(VLOOKUP(A382,'Full Inventory'!F:F,1,0),'Full Inventory'!F:F,0))),"X","_"),"_")</f>
        <v>_</v>
      </c>
      <c r="K382" t="str">
        <f t="shared" ca="1" si="16"/>
        <v>__X_</v>
      </c>
      <c r="L382" t="str">
        <f t="shared" ca="1" si="17"/>
        <v/>
      </c>
      <c r="M382" t="str">
        <f>IFERROR(INDEX(Inventory!A:A,MATCH(Scan!A382,Inventory!E:E,0)),"")</f>
        <v/>
      </c>
    </row>
    <row r="383" spans="2:13" x14ac:dyDescent="0.25">
      <c r="B383" t="str">
        <f>IF(IFERROR(VLOOKUP(TRIM(A383),Inventory!E:E,1,0),0)=0,"X","_")</f>
        <v>_</v>
      </c>
      <c r="C383" t="str">
        <f>IF(IFERROR(VLOOKUP(TRIM(A383),'Full Inventory'!F:F,1,0),0)=0,"X","_")</f>
        <v>_</v>
      </c>
      <c r="D383" t="str">
        <f t="shared" si="15"/>
        <v>X</v>
      </c>
      <c r="E383" t="str">
        <f ca="1">IFERROR(IF(AND(B383&amp;C383&amp;D383="___",INDIRECT("Inventory!A"&amp;MATCH(VLOOKUP(A383,Inventory!E:E,1,0),Inventory!E:E,0))&lt;&gt;INDIRECT("'Full Inventory'!B"&amp;MATCH(VLOOKUP(A383,'Full Inventory'!F:F,1,0),'Full Inventory'!F:F,0))),"X","_"),"_")</f>
        <v>_</v>
      </c>
      <c r="K383" t="str">
        <f t="shared" ca="1" si="16"/>
        <v>__X_</v>
      </c>
      <c r="L383" t="str">
        <f t="shared" ca="1" si="17"/>
        <v/>
      </c>
      <c r="M383" t="str">
        <f>IFERROR(INDEX(Inventory!A:A,MATCH(Scan!A383,Inventory!E:E,0)),"")</f>
        <v/>
      </c>
    </row>
    <row r="384" spans="2:13" x14ac:dyDescent="0.25">
      <c r="B384" t="str">
        <f>IF(IFERROR(VLOOKUP(TRIM(A384),Inventory!E:E,1,0),0)=0,"X","_")</f>
        <v>_</v>
      </c>
      <c r="C384" t="str">
        <f>IF(IFERROR(VLOOKUP(TRIM(A384),'Full Inventory'!F:F,1,0),0)=0,"X","_")</f>
        <v>_</v>
      </c>
      <c r="D384" t="str">
        <f t="shared" si="15"/>
        <v>X</v>
      </c>
      <c r="E384" t="str">
        <f ca="1">IFERROR(IF(AND(B384&amp;C384&amp;D384="___",INDIRECT("Inventory!A"&amp;MATCH(VLOOKUP(A384,Inventory!E:E,1,0),Inventory!E:E,0))&lt;&gt;INDIRECT("'Full Inventory'!B"&amp;MATCH(VLOOKUP(A384,'Full Inventory'!F:F,1,0),'Full Inventory'!F:F,0))),"X","_"),"_")</f>
        <v>_</v>
      </c>
      <c r="K384" t="str">
        <f t="shared" ca="1" si="16"/>
        <v>__X_</v>
      </c>
      <c r="L384" t="str">
        <f t="shared" ca="1" si="17"/>
        <v/>
      </c>
      <c r="M384" t="str">
        <f>IFERROR(INDEX(Inventory!A:A,MATCH(Scan!A384,Inventory!E:E,0)),"")</f>
        <v/>
      </c>
    </row>
    <row r="385" spans="2:13" x14ac:dyDescent="0.25">
      <c r="B385" t="str">
        <f>IF(IFERROR(VLOOKUP(TRIM(A385),Inventory!E:E,1,0),0)=0,"X","_")</f>
        <v>_</v>
      </c>
      <c r="C385" t="str">
        <f>IF(IFERROR(VLOOKUP(TRIM(A385),'Full Inventory'!F:F,1,0),0)=0,"X","_")</f>
        <v>_</v>
      </c>
      <c r="D385" t="str">
        <f t="shared" si="15"/>
        <v>X</v>
      </c>
      <c r="E385" t="str">
        <f ca="1">IFERROR(IF(AND(B385&amp;C385&amp;D385="___",INDIRECT("Inventory!A"&amp;MATCH(VLOOKUP(A385,Inventory!E:E,1,0),Inventory!E:E,0))&lt;&gt;INDIRECT("'Full Inventory'!B"&amp;MATCH(VLOOKUP(A385,'Full Inventory'!F:F,1,0),'Full Inventory'!F:F,0))),"X","_"),"_")</f>
        <v>_</v>
      </c>
      <c r="K385" t="str">
        <f t="shared" ca="1" si="16"/>
        <v>__X_</v>
      </c>
      <c r="L385" t="str">
        <f t="shared" ca="1" si="17"/>
        <v/>
      </c>
      <c r="M385" t="str">
        <f>IFERROR(INDEX(Inventory!A:A,MATCH(Scan!A385,Inventory!E:E,0)),"")</f>
        <v/>
      </c>
    </row>
    <row r="386" spans="2:13" x14ac:dyDescent="0.25">
      <c r="B386" t="str">
        <f>IF(IFERROR(VLOOKUP(TRIM(A386),Inventory!E:E,1,0),0)=0,"X","_")</f>
        <v>_</v>
      </c>
      <c r="C386" t="str">
        <f>IF(IFERROR(VLOOKUP(TRIM(A386),'Full Inventory'!F:F,1,0),0)=0,"X","_")</f>
        <v>_</v>
      </c>
      <c r="D386" t="str">
        <f t="shared" ref="D386:D449" si="18">IF(TRIM(A386)&lt;&gt;"","_","X")</f>
        <v>X</v>
      </c>
      <c r="E386" t="str">
        <f ca="1">IFERROR(IF(AND(B386&amp;C386&amp;D386="___",INDIRECT("Inventory!A"&amp;MATCH(VLOOKUP(A386,Inventory!E:E,1,0),Inventory!E:E,0))&lt;&gt;INDIRECT("'Full Inventory'!B"&amp;MATCH(VLOOKUP(A386,'Full Inventory'!F:F,1,0),'Full Inventory'!F:F,0))),"X","_"),"_")</f>
        <v>_</v>
      </c>
      <c r="K386" t="str">
        <f t="shared" ca="1" si="16"/>
        <v>__X_</v>
      </c>
      <c r="L386" t="str">
        <f t="shared" ca="1" si="17"/>
        <v/>
      </c>
      <c r="M386" t="str">
        <f>IFERROR(INDEX(Inventory!A:A,MATCH(Scan!A386,Inventory!E:E,0)),"")</f>
        <v/>
      </c>
    </row>
    <row r="387" spans="2:13" x14ac:dyDescent="0.25">
      <c r="B387" t="str">
        <f>IF(IFERROR(VLOOKUP(TRIM(A387),Inventory!E:E,1,0),0)=0,"X","_")</f>
        <v>_</v>
      </c>
      <c r="C387" t="str">
        <f>IF(IFERROR(VLOOKUP(TRIM(A387),'Full Inventory'!F:F,1,0),0)=0,"X","_")</f>
        <v>_</v>
      </c>
      <c r="D387" t="str">
        <f t="shared" si="18"/>
        <v>X</v>
      </c>
      <c r="E387" t="str">
        <f ca="1">IFERROR(IF(AND(B387&amp;C387&amp;D387="___",INDIRECT("Inventory!A"&amp;MATCH(VLOOKUP(A387,Inventory!E:E,1,0),Inventory!E:E,0))&lt;&gt;INDIRECT("'Full Inventory'!B"&amp;MATCH(VLOOKUP(A387,'Full Inventory'!F:F,1,0),'Full Inventory'!F:F,0))),"X","_"),"_")</f>
        <v>_</v>
      </c>
      <c r="K387" t="str">
        <f t="shared" ref="K387:K450" ca="1" si="19">B387&amp;C387&amp;D387&amp;E387</f>
        <v>__X_</v>
      </c>
      <c r="L387" t="str">
        <f t="shared" ref="L387:L450" ca="1" si="20">IF(K387="____","OK",IF(K387="_X__","NOT IN FULL INVENTORY",IF(K387="XX__","NOT IN FULL INVENTORY AND INVENTORY",IF(K387="X___","NOT IN INVENTORY",IF(K387="___X","DIFFERENT NAMES IN FULL INVENTORY AND INVENTORY","")))))</f>
        <v/>
      </c>
      <c r="M387" t="str">
        <f>IFERROR(INDEX(Inventory!A:A,MATCH(Scan!A387,Inventory!E:E,0)),"")</f>
        <v/>
      </c>
    </row>
    <row r="388" spans="2:13" x14ac:dyDescent="0.25">
      <c r="B388" t="str">
        <f>IF(IFERROR(VLOOKUP(TRIM(A388),Inventory!E:E,1,0),0)=0,"X","_")</f>
        <v>_</v>
      </c>
      <c r="C388" t="str">
        <f>IF(IFERROR(VLOOKUP(TRIM(A388),'Full Inventory'!F:F,1,0),0)=0,"X","_")</f>
        <v>_</v>
      </c>
      <c r="D388" t="str">
        <f t="shared" si="18"/>
        <v>X</v>
      </c>
      <c r="E388" t="str">
        <f ca="1">IFERROR(IF(AND(B388&amp;C388&amp;D388="___",INDIRECT("Inventory!A"&amp;MATCH(VLOOKUP(A388,Inventory!E:E,1,0),Inventory!E:E,0))&lt;&gt;INDIRECT("'Full Inventory'!B"&amp;MATCH(VLOOKUP(A388,'Full Inventory'!F:F,1,0),'Full Inventory'!F:F,0))),"X","_"),"_")</f>
        <v>_</v>
      </c>
      <c r="K388" t="str">
        <f t="shared" ca="1" si="19"/>
        <v>__X_</v>
      </c>
      <c r="L388" t="str">
        <f t="shared" ca="1" si="20"/>
        <v/>
      </c>
      <c r="M388" t="str">
        <f>IFERROR(INDEX(Inventory!A:A,MATCH(Scan!A388,Inventory!E:E,0)),"")</f>
        <v/>
      </c>
    </row>
    <row r="389" spans="2:13" x14ac:dyDescent="0.25">
      <c r="B389" t="str">
        <f>IF(IFERROR(VLOOKUP(TRIM(A389),Inventory!E:E,1,0),0)=0,"X","_")</f>
        <v>_</v>
      </c>
      <c r="C389" t="str">
        <f>IF(IFERROR(VLOOKUP(TRIM(A389),'Full Inventory'!F:F,1,0),0)=0,"X","_")</f>
        <v>_</v>
      </c>
      <c r="D389" t="str">
        <f t="shared" si="18"/>
        <v>X</v>
      </c>
      <c r="E389" t="str">
        <f ca="1">IFERROR(IF(AND(B389&amp;C389&amp;D389="___",INDIRECT("Inventory!A"&amp;MATCH(VLOOKUP(A389,Inventory!E:E,1,0),Inventory!E:E,0))&lt;&gt;INDIRECT("'Full Inventory'!B"&amp;MATCH(VLOOKUP(A389,'Full Inventory'!F:F,1,0),'Full Inventory'!F:F,0))),"X","_"),"_")</f>
        <v>_</v>
      </c>
      <c r="K389" t="str">
        <f t="shared" ca="1" si="19"/>
        <v>__X_</v>
      </c>
      <c r="L389" t="str">
        <f t="shared" ca="1" si="20"/>
        <v/>
      </c>
      <c r="M389" t="str">
        <f>IFERROR(INDEX(Inventory!A:A,MATCH(Scan!A389,Inventory!E:E,0)),"")</f>
        <v/>
      </c>
    </row>
    <row r="390" spans="2:13" x14ac:dyDescent="0.25">
      <c r="B390" t="str">
        <f>IF(IFERROR(VLOOKUP(TRIM(A390),Inventory!E:E,1,0),0)=0,"X","_")</f>
        <v>_</v>
      </c>
      <c r="C390" t="str">
        <f>IF(IFERROR(VLOOKUP(TRIM(A390),'Full Inventory'!F:F,1,0),0)=0,"X","_")</f>
        <v>_</v>
      </c>
      <c r="D390" t="str">
        <f t="shared" si="18"/>
        <v>X</v>
      </c>
      <c r="E390" t="str">
        <f ca="1">IFERROR(IF(AND(B390&amp;C390&amp;D390="___",INDIRECT("Inventory!A"&amp;MATCH(VLOOKUP(A390,Inventory!E:E,1,0),Inventory!E:E,0))&lt;&gt;INDIRECT("'Full Inventory'!B"&amp;MATCH(VLOOKUP(A390,'Full Inventory'!F:F,1,0),'Full Inventory'!F:F,0))),"X","_"),"_")</f>
        <v>_</v>
      </c>
      <c r="K390" t="str">
        <f t="shared" ca="1" si="19"/>
        <v>__X_</v>
      </c>
      <c r="L390" t="str">
        <f t="shared" ca="1" si="20"/>
        <v/>
      </c>
      <c r="M390" t="str">
        <f>IFERROR(INDEX(Inventory!A:A,MATCH(Scan!A390,Inventory!E:E,0)),"")</f>
        <v/>
      </c>
    </row>
    <row r="391" spans="2:13" x14ac:dyDescent="0.25">
      <c r="B391" t="str">
        <f>IF(IFERROR(VLOOKUP(TRIM(A391),Inventory!E:E,1,0),0)=0,"X","_")</f>
        <v>_</v>
      </c>
      <c r="C391" t="str">
        <f>IF(IFERROR(VLOOKUP(TRIM(A391),'Full Inventory'!F:F,1,0),0)=0,"X","_")</f>
        <v>_</v>
      </c>
      <c r="D391" t="str">
        <f t="shared" si="18"/>
        <v>X</v>
      </c>
      <c r="E391" t="str">
        <f ca="1">IFERROR(IF(AND(B391&amp;C391&amp;D391="___",INDIRECT("Inventory!A"&amp;MATCH(VLOOKUP(A391,Inventory!E:E,1,0),Inventory!E:E,0))&lt;&gt;INDIRECT("'Full Inventory'!B"&amp;MATCH(VLOOKUP(A391,'Full Inventory'!F:F,1,0),'Full Inventory'!F:F,0))),"X","_"),"_")</f>
        <v>_</v>
      </c>
      <c r="K391" t="str">
        <f t="shared" ca="1" si="19"/>
        <v>__X_</v>
      </c>
      <c r="L391" t="str">
        <f t="shared" ca="1" si="20"/>
        <v/>
      </c>
      <c r="M391" t="str">
        <f>IFERROR(INDEX(Inventory!A:A,MATCH(Scan!A391,Inventory!E:E,0)),"")</f>
        <v/>
      </c>
    </row>
    <row r="392" spans="2:13" x14ac:dyDescent="0.25">
      <c r="B392" t="str">
        <f>IF(IFERROR(VLOOKUP(TRIM(A392),Inventory!E:E,1,0),0)=0,"X","_")</f>
        <v>_</v>
      </c>
      <c r="C392" t="str">
        <f>IF(IFERROR(VLOOKUP(TRIM(A392),'Full Inventory'!F:F,1,0),0)=0,"X","_")</f>
        <v>_</v>
      </c>
      <c r="D392" t="str">
        <f t="shared" si="18"/>
        <v>X</v>
      </c>
      <c r="E392" t="str">
        <f ca="1">IFERROR(IF(AND(B392&amp;C392&amp;D392="___",INDIRECT("Inventory!A"&amp;MATCH(VLOOKUP(A392,Inventory!E:E,1,0),Inventory!E:E,0))&lt;&gt;INDIRECT("'Full Inventory'!B"&amp;MATCH(VLOOKUP(A392,'Full Inventory'!F:F,1,0),'Full Inventory'!F:F,0))),"X","_"),"_")</f>
        <v>_</v>
      </c>
      <c r="K392" t="str">
        <f t="shared" ca="1" si="19"/>
        <v>__X_</v>
      </c>
      <c r="L392" t="str">
        <f t="shared" ca="1" si="20"/>
        <v/>
      </c>
      <c r="M392" t="str">
        <f>IFERROR(INDEX(Inventory!A:A,MATCH(Scan!A392,Inventory!E:E,0)),"")</f>
        <v/>
      </c>
    </row>
    <row r="393" spans="2:13" x14ac:dyDescent="0.25">
      <c r="B393" t="str">
        <f>IF(IFERROR(VLOOKUP(TRIM(A393),Inventory!E:E,1,0),0)=0,"X","_")</f>
        <v>_</v>
      </c>
      <c r="C393" t="str">
        <f>IF(IFERROR(VLOOKUP(TRIM(A393),'Full Inventory'!F:F,1,0),0)=0,"X","_")</f>
        <v>_</v>
      </c>
      <c r="D393" t="str">
        <f t="shared" si="18"/>
        <v>X</v>
      </c>
      <c r="E393" t="str">
        <f ca="1">IFERROR(IF(AND(B393&amp;C393&amp;D393="___",INDIRECT("Inventory!A"&amp;MATCH(VLOOKUP(A393,Inventory!E:E,1,0),Inventory!E:E,0))&lt;&gt;INDIRECT("'Full Inventory'!B"&amp;MATCH(VLOOKUP(A393,'Full Inventory'!F:F,1,0),'Full Inventory'!F:F,0))),"X","_"),"_")</f>
        <v>_</v>
      </c>
      <c r="K393" t="str">
        <f t="shared" ca="1" si="19"/>
        <v>__X_</v>
      </c>
      <c r="L393" t="str">
        <f t="shared" ca="1" si="20"/>
        <v/>
      </c>
      <c r="M393" t="str">
        <f>IFERROR(INDEX(Inventory!A:A,MATCH(Scan!A393,Inventory!E:E,0)),"")</f>
        <v/>
      </c>
    </row>
    <row r="394" spans="2:13" x14ac:dyDescent="0.25">
      <c r="B394" t="str">
        <f>IF(IFERROR(VLOOKUP(TRIM(A394),Inventory!E:E,1,0),0)=0,"X","_")</f>
        <v>_</v>
      </c>
      <c r="C394" t="str">
        <f>IF(IFERROR(VLOOKUP(TRIM(A394),'Full Inventory'!F:F,1,0),0)=0,"X","_")</f>
        <v>_</v>
      </c>
      <c r="D394" t="str">
        <f t="shared" si="18"/>
        <v>X</v>
      </c>
      <c r="E394" t="str">
        <f ca="1">IFERROR(IF(AND(B394&amp;C394&amp;D394="___",INDIRECT("Inventory!A"&amp;MATCH(VLOOKUP(A394,Inventory!E:E,1,0),Inventory!E:E,0))&lt;&gt;INDIRECT("'Full Inventory'!B"&amp;MATCH(VLOOKUP(A394,'Full Inventory'!F:F,1,0),'Full Inventory'!F:F,0))),"X","_"),"_")</f>
        <v>_</v>
      </c>
      <c r="K394" t="str">
        <f t="shared" ca="1" si="19"/>
        <v>__X_</v>
      </c>
      <c r="L394" t="str">
        <f t="shared" ca="1" si="20"/>
        <v/>
      </c>
      <c r="M394" t="str">
        <f>IFERROR(INDEX(Inventory!A:A,MATCH(Scan!A394,Inventory!E:E,0)),"")</f>
        <v/>
      </c>
    </row>
    <row r="395" spans="2:13" x14ac:dyDescent="0.25">
      <c r="B395" t="str">
        <f>IF(IFERROR(VLOOKUP(TRIM(A395),Inventory!E:E,1,0),0)=0,"X","_")</f>
        <v>_</v>
      </c>
      <c r="C395" t="str">
        <f>IF(IFERROR(VLOOKUP(TRIM(A395),'Full Inventory'!F:F,1,0),0)=0,"X","_")</f>
        <v>_</v>
      </c>
      <c r="D395" t="str">
        <f t="shared" si="18"/>
        <v>X</v>
      </c>
      <c r="E395" t="str">
        <f ca="1">IFERROR(IF(AND(B395&amp;C395&amp;D395="___",INDIRECT("Inventory!A"&amp;MATCH(VLOOKUP(A395,Inventory!E:E,1,0),Inventory!E:E,0))&lt;&gt;INDIRECT("'Full Inventory'!B"&amp;MATCH(VLOOKUP(A395,'Full Inventory'!F:F,1,0),'Full Inventory'!F:F,0))),"X","_"),"_")</f>
        <v>_</v>
      </c>
      <c r="K395" t="str">
        <f t="shared" ca="1" si="19"/>
        <v>__X_</v>
      </c>
      <c r="L395" t="str">
        <f t="shared" ca="1" si="20"/>
        <v/>
      </c>
      <c r="M395" t="str">
        <f>IFERROR(INDEX(Inventory!A:A,MATCH(Scan!A395,Inventory!E:E,0)),"")</f>
        <v/>
      </c>
    </row>
    <row r="396" spans="2:13" x14ac:dyDescent="0.25">
      <c r="B396" t="str">
        <f>IF(IFERROR(VLOOKUP(TRIM(A396),Inventory!E:E,1,0),0)=0,"X","_")</f>
        <v>_</v>
      </c>
      <c r="C396" t="str">
        <f>IF(IFERROR(VLOOKUP(TRIM(A396),'Full Inventory'!F:F,1,0),0)=0,"X","_")</f>
        <v>_</v>
      </c>
      <c r="D396" t="str">
        <f t="shared" si="18"/>
        <v>X</v>
      </c>
      <c r="E396" t="str">
        <f ca="1">IFERROR(IF(AND(B396&amp;C396&amp;D396="___",INDIRECT("Inventory!A"&amp;MATCH(VLOOKUP(A396,Inventory!E:E,1,0),Inventory!E:E,0))&lt;&gt;INDIRECT("'Full Inventory'!B"&amp;MATCH(VLOOKUP(A396,'Full Inventory'!F:F,1,0),'Full Inventory'!F:F,0))),"X","_"),"_")</f>
        <v>_</v>
      </c>
      <c r="K396" t="str">
        <f t="shared" ca="1" si="19"/>
        <v>__X_</v>
      </c>
      <c r="L396" t="str">
        <f t="shared" ca="1" si="20"/>
        <v/>
      </c>
      <c r="M396" t="str">
        <f>IFERROR(INDEX(Inventory!A:A,MATCH(Scan!A396,Inventory!E:E,0)),"")</f>
        <v/>
      </c>
    </row>
    <row r="397" spans="2:13" x14ac:dyDescent="0.25">
      <c r="B397" t="str">
        <f>IF(IFERROR(VLOOKUP(TRIM(A397),Inventory!E:E,1,0),0)=0,"X","_")</f>
        <v>_</v>
      </c>
      <c r="C397" t="str">
        <f>IF(IFERROR(VLOOKUP(TRIM(A397),'Full Inventory'!F:F,1,0),0)=0,"X","_")</f>
        <v>_</v>
      </c>
      <c r="D397" t="str">
        <f t="shared" si="18"/>
        <v>X</v>
      </c>
      <c r="E397" t="str">
        <f ca="1">IFERROR(IF(AND(B397&amp;C397&amp;D397="___",INDIRECT("Inventory!A"&amp;MATCH(VLOOKUP(A397,Inventory!E:E,1,0),Inventory!E:E,0))&lt;&gt;INDIRECT("'Full Inventory'!B"&amp;MATCH(VLOOKUP(A397,'Full Inventory'!F:F,1,0),'Full Inventory'!F:F,0))),"X","_"),"_")</f>
        <v>_</v>
      </c>
      <c r="K397" t="str">
        <f t="shared" ca="1" si="19"/>
        <v>__X_</v>
      </c>
      <c r="L397" t="str">
        <f t="shared" ca="1" si="20"/>
        <v/>
      </c>
      <c r="M397" t="str">
        <f>IFERROR(INDEX(Inventory!A:A,MATCH(Scan!A397,Inventory!E:E,0)),"")</f>
        <v/>
      </c>
    </row>
    <row r="398" spans="2:13" x14ac:dyDescent="0.25">
      <c r="B398" t="str">
        <f>IF(IFERROR(VLOOKUP(TRIM(A398),Inventory!E:E,1,0),0)=0,"X","_")</f>
        <v>_</v>
      </c>
      <c r="C398" t="str">
        <f>IF(IFERROR(VLOOKUP(TRIM(A398),'Full Inventory'!F:F,1,0),0)=0,"X","_")</f>
        <v>_</v>
      </c>
      <c r="D398" t="str">
        <f t="shared" si="18"/>
        <v>X</v>
      </c>
      <c r="E398" t="str">
        <f ca="1">IFERROR(IF(AND(B398&amp;C398&amp;D398="___",INDIRECT("Inventory!A"&amp;MATCH(VLOOKUP(A398,Inventory!E:E,1,0),Inventory!E:E,0))&lt;&gt;INDIRECT("'Full Inventory'!B"&amp;MATCH(VLOOKUP(A398,'Full Inventory'!F:F,1,0),'Full Inventory'!F:F,0))),"X","_"),"_")</f>
        <v>_</v>
      </c>
      <c r="K398" t="str">
        <f t="shared" ca="1" si="19"/>
        <v>__X_</v>
      </c>
      <c r="L398" t="str">
        <f t="shared" ca="1" si="20"/>
        <v/>
      </c>
      <c r="M398" t="str">
        <f>IFERROR(INDEX(Inventory!A:A,MATCH(Scan!A398,Inventory!E:E,0)),"")</f>
        <v/>
      </c>
    </row>
    <row r="399" spans="2:13" x14ac:dyDescent="0.25">
      <c r="B399" t="str">
        <f>IF(IFERROR(VLOOKUP(TRIM(A399),Inventory!E:E,1,0),0)=0,"X","_")</f>
        <v>_</v>
      </c>
      <c r="C399" t="str">
        <f>IF(IFERROR(VLOOKUP(TRIM(A399),'Full Inventory'!F:F,1,0),0)=0,"X","_")</f>
        <v>_</v>
      </c>
      <c r="D399" t="str">
        <f t="shared" si="18"/>
        <v>X</v>
      </c>
      <c r="E399" t="str">
        <f ca="1">IFERROR(IF(AND(B399&amp;C399&amp;D399="___",INDIRECT("Inventory!A"&amp;MATCH(VLOOKUP(A399,Inventory!E:E,1,0),Inventory!E:E,0))&lt;&gt;INDIRECT("'Full Inventory'!B"&amp;MATCH(VLOOKUP(A399,'Full Inventory'!F:F,1,0),'Full Inventory'!F:F,0))),"X","_"),"_")</f>
        <v>_</v>
      </c>
      <c r="K399" t="str">
        <f t="shared" ca="1" si="19"/>
        <v>__X_</v>
      </c>
      <c r="L399" t="str">
        <f t="shared" ca="1" si="20"/>
        <v/>
      </c>
      <c r="M399" t="str">
        <f>IFERROR(INDEX(Inventory!A:A,MATCH(Scan!A399,Inventory!E:E,0)),"")</f>
        <v/>
      </c>
    </row>
    <row r="400" spans="2:13" x14ac:dyDescent="0.25">
      <c r="B400" t="str">
        <f>IF(IFERROR(VLOOKUP(TRIM(A400),Inventory!E:E,1,0),0)=0,"X","_")</f>
        <v>_</v>
      </c>
      <c r="C400" t="str">
        <f>IF(IFERROR(VLOOKUP(TRIM(A400),'Full Inventory'!F:F,1,0),0)=0,"X","_")</f>
        <v>_</v>
      </c>
      <c r="D400" t="str">
        <f t="shared" si="18"/>
        <v>X</v>
      </c>
      <c r="E400" t="str">
        <f ca="1">IFERROR(IF(AND(B400&amp;C400&amp;D400="___",INDIRECT("Inventory!A"&amp;MATCH(VLOOKUP(A400,Inventory!E:E,1,0),Inventory!E:E,0))&lt;&gt;INDIRECT("'Full Inventory'!B"&amp;MATCH(VLOOKUP(A400,'Full Inventory'!F:F,1,0),'Full Inventory'!F:F,0))),"X","_"),"_")</f>
        <v>_</v>
      </c>
      <c r="K400" t="str">
        <f t="shared" ca="1" si="19"/>
        <v>__X_</v>
      </c>
      <c r="L400" t="str">
        <f t="shared" ca="1" si="20"/>
        <v/>
      </c>
      <c r="M400" t="str">
        <f>IFERROR(INDEX(Inventory!A:A,MATCH(Scan!A400,Inventory!E:E,0)),"")</f>
        <v/>
      </c>
    </row>
    <row r="401" spans="2:13" x14ac:dyDescent="0.25">
      <c r="B401" t="str">
        <f>IF(IFERROR(VLOOKUP(TRIM(A401),Inventory!E:E,1,0),0)=0,"X","_")</f>
        <v>_</v>
      </c>
      <c r="C401" t="str">
        <f>IF(IFERROR(VLOOKUP(TRIM(A401),'Full Inventory'!F:F,1,0),0)=0,"X","_")</f>
        <v>_</v>
      </c>
      <c r="D401" t="str">
        <f t="shared" si="18"/>
        <v>X</v>
      </c>
      <c r="E401" t="str">
        <f ca="1">IFERROR(IF(AND(B401&amp;C401&amp;D401="___",INDIRECT("Inventory!A"&amp;MATCH(VLOOKUP(A401,Inventory!E:E,1,0),Inventory!E:E,0))&lt;&gt;INDIRECT("'Full Inventory'!B"&amp;MATCH(VLOOKUP(A401,'Full Inventory'!F:F,1,0),'Full Inventory'!F:F,0))),"X","_"),"_")</f>
        <v>_</v>
      </c>
      <c r="K401" t="str">
        <f t="shared" ca="1" si="19"/>
        <v>__X_</v>
      </c>
      <c r="L401" t="str">
        <f t="shared" ca="1" si="20"/>
        <v/>
      </c>
      <c r="M401" t="str">
        <f>IFERROR(INDEX(Inventory!A:A,MATCH(Scan!A401,Inventory!E:E,0)),"")</f>
        <v/>
      </c>
    </row>
    <row r="402" spans="2:13" x14ac:dyDescent="0.25">
      <c r="B402" t="str">
        <f>IF(IFERROR(VLOOKUP(TRIM(A402),Inventory!E:E,1,0),0)=0,"X","_")</f>
        <v>_</v>
      </c>
      <c r="C402" t="str">
        <f>IF(IFERROR(VLOOKUP(TRIM(A402),'Full Inventory'!F:F,1,0),0)=0,"X","_")</f>
        <v>_</v>
      </c>
      <c r="D402" t="str">
        <f t="shared" si="18"/>
        <v>X</v>
      </c>
      <c r="E402" t="str">
        <f ca="1">IFERROR(IF(AND(B402&amp;C402&amp;D402="___",INDIRECT("Inventory!A"&amp;MATCH(VLOOKUP(A402,Inventory!E:E,1,0),Inventory!E:E,0))&lt;&gt;INDIRECT("'Full Inventory'!B"&amp;MATCH(VLOOKUP(A402,'Full Inventory'!F:F,1,0),'Full Inventory'!F:F,0))),"X","_"),"_")</f>
        <v>_</v>
      </c>
      <c r="K402" t="str">
        <f t="shared" ca="1" si="19"/>
        <v>__X_</v>
      </c>
      <c r="L402" t="str">
        <f t="shared" ca="1" si="20"/>
        <v/>
      </c>
      <c r="M402" t="str">
        <f>IFERROR(INDEX(Inventory!A:A,MATCH(Scan!A402,Inventory!E:E,0)),"")</f>
        <v/>
      </c>
    </row>
    <row r="403" spans="2:13" x14ac:dyDescent="0.25">
      <c r="B403" t="str">
        <f>IF(IFERROR(VLOOKUP(TRIM(A403),Inventory!E:E,1,0),0)=0,"X","_")</f>
        <v>_</v>
      </c>
      <c r="C403" t="str">
        <f>IF(IFERROR(VLOOKUP(TRIM(A403),'Full Inventory'!F:F,1,0),0)=0,"X","_")</f>
        <v>_</v>
      </c>
      <c r="D403" t="str">
        <f t="shared" si="18"/>
        <v>X</v>
      </c>
      <c r="E403" t="str">
        <f ca="1">IFERROR(IF(AND(B403&amp;C403&amp;D403="___",INDIRECT("Inventory!A"&amp;MATCH(VLOOKUP(A403,Inventory!E:E,1,0),Inventory!E:E,0))&lt;&gt;INDIRECT("'Full Inventory'!B"&amp;MATCH(VLOOKUP(A403,'Full Inventory'!F:F,1,0),'Full Inventory'!F:F,0))),"X","_"),"_")</f>
        <v>_</v>
      </c>
      <c r="K403" t="str">
        <f t="shared" ca="1" si="19"/>
        <v>__X_</v>
      </c>
      <c r="L403" t="str">
        <f t="shared" ca="1" si="20"/>
        <v/>
      </c>
      <c r="M403" t="str">
        <f>IFERROR(INDEX(Inventory!A:A,MATCH(Scan!A403,Inventory!E:E,0)),"")</f>
        <v/>
      </c>
    </row>
    <row r="404" spans="2:13" x14ac:dyDescent="0.25">
      <c r="B404" t="str">
        <f>IF(IFERROR(VLOOKUP(TRIM(A404),Inventory!E:E,1,0),0)=0,"X","_")</f>
        <v>_</v>
      </c>
      <c r="C404" t="str">
        <f>IF(IFERROR(VLOOKUP(TRIM(A404),'Full Inventory'!F:F,1,0),0)=0,"X","_")</f>
        <v>_</v>
      </c>
      <c r="D404" t="str">
        <f t="shared" si="18"/>
        <v>X</v>
      </c>
      <c r="E404" t="str">
        <f ca="1">IFERROR(IF(AND(B404&amp;C404&amp;D404="___",INDIRECT("Inventory!A"&amp;MATCH(VLOOKUP(A404,Inventory!E:E,1,0),Inventory!E:E,0))&lt;&gt;INDIRECT("'Full Inventory'!B"&amp;MATCH(VLOOKUP(A404,'Full Inventory'!F:F,1,0),'Full Inventory'!F:F,0))),"X","_"),"_")</f>
        <v>_</v>
      </c>
      <c r="K404" t="str">
        <f t="shared" ca="1" si="19"/>
        <v>__X_</v>
      </c>
      <c r="L404" t="str">
        <f t="shared" ca="1" si="20"/>
        <v/>
      </c>
      <c r="M404" t="str">
        <f>IFERROR(INDEX(Inventory!A:A,MATCH(Scan!A404,Inventory!E:E,0)),"")</f>
        <v/>
      </c>
    </row>
    <row r="405" spans="2:13" x14ac:dyDescent="0.25">
      <c r="B405" t="str">
        <f>IF(IFERROR(VLOOKUP(TRIM(A405),Inventory!E:E,1,0),0)=0,"X","_")</f>
        <v>_</v>
      </c>
      <c r="C405" t="str">
        <f>IF(IFERROR(VLOOKUP(TRIM(A405),'Full Inventory'!F:F,1,0),0)=0,"X","_")</f>
        <v>_</v>
      </c>
      <c r="D405" t="str">
        <f t="shared" si="18"/>
        <v>X</v>
      </c>
      <c r="E405" t="str">
        <f ca="1">IFERROR(IF(AND(B405&amp;C405&amp;D405="___",INDIRECT("Inventory!A"&amp;MATCH(VLOOKUP(A405,Inventory!E:E,1,0),Inventory!E:E,0))&lt;&gt;INDIRECT("'Full Inventory'!B"&amp;MATCH(VLOOKUP(A405,'Full Inventory'!F:F,1,0),'Full Inventory'!F:F,0))),"X","_"),"_")</f>
        <v>_</v>
      </c>
      <c r="K405" t="str">
        <f t="shared" ca="1" si="19"/>
        <v>__X_</v>
      </c>
      <c r="L405" t="str">
        <f t="shared" ca="1" si="20"/>
        <v/>
      </c>
      <c r="M405" t="str">
        <f>IFERROR(INDEX(Inventory!A:A,MATCH(Scan!A405,Inventory!E:E,0)),"")</f>
        <v/>
      </c>
    </row>
    <row r="406" spans="2:13" x14ac:dyDescent="0.25">
      <c r="B406" t="str">
        <f>IF(IFERROR(VLOOKUP(TRIM(A406),Inventory!E:E,1,0),0)=0,"X","_")</f>
        <v>_</v>
      </c>
      <c r="C406" t="str">
        <f>IF(IFERROR(VLOOKUP(TRIM(A406),'Full Inventory'!F:F,1,0),0)=0,"X","_")</f>
        <v>_</v>
      </c>
      <c r="D406" t="str">
        <f t="shared" si="18"/>
        <v>X</v>
      </c>
      <c r="E406" t="str">
        <f ca="1">IFERROR(IF(AND(B406&amp;C406&amp;D406="___",INDIRECT("Inventory!A"&amp;MATCH(VLOOKUP(A406,Inventory!E:E,1,0),Inventory!E:E,0))&lt;&gt;INDIRECT("'Full Inventory'!B"&amp;MATCH(VLOOKUP(A406,'Full Inventory'!F:F,1,0),'Full Inventory'!F:F,0))),"X","_"),"_")</f>
        <v>_</v>
      </c>
      <c r="K406" t="str">
        <f t="shared" ca="1" si="19"/>
        <v>__X_</v>
      </c>
      <c r="L406" t="str">
        <f t="shared" ca="1" si="20"/>
        <v/>
      </c>
      <c r="M406" t="str">
        <f>IFERROR(INDEX(Inventory!A:A,MATCH(Scan!A406,Inventory!E:E,0)),"")</f>
        <v/>
      </c>
    </row>
    <row r="407" spans="2:13" x14ac:dyDescent="0.25">
      <c r="B407" t="str">
        <f>IF(IFERROR(VLOOKUP(TRIM(A407),Inventory!E:E,1,0),0)=0,"X","_")</f>
        <v>_</v>
      </c>
      <c r="C407" t="str">
        <f>IF(IFERROR(VLOOKUP(TRIM(A407),'Full Inventory'!F:F,1,0),0)=0,"X","_")</f>
        <v>_</v>
      </c>
      <c r="D407" t="str">
        <f t="shared" si="18"/>
        <v>X</v>
      </c>
      <c r="E407" t="str">
        <f ca="1">IFERROR(IF(AND(B407&amp;C407&amp;D407="___",INDIRECT("Inventory!A"&amp;MATCH(VLOOKUP(A407,Inventory!E:E,1,0),Inventory!E:E,0))&lt;&gt;INDIRECT("'Full Inventory'!B"&amp;MATCH(VLOOKUP(A407,'Full Inventory'!F:F,1,0),'Full Inventory'!F:F,0))),"X","_"),"_")</f>
        <v>_</v>
      </c>
      <c r="K407" t="str">
        <f t="shared" ca="1" si="19"/>
        <v>__X_</v>
      </c>
      <c r="L407" t="str">
        <f t="shared" ca="1" si="20"/>
        <v/>
      </c>
      <c r="M407" t="str">
        <f>IFERROR(INDEX(Inventory!A:A,MATCH(Scan!A407,Inventory!E:E,0)),"")</f>
        <v/>
      </c>
    </row>
    <row r="408" spans="2:13" x14ac:dyDescent="0.25">
      <c r="B408" t="str">
        <f>IF(IFERROR(VLOOKUP(TRIM(A408),Inventory!E:E,1,0),0)=0,"X","_")</f>
        <v>_</v>
      </c>
      <c r="C408" t="str">
        <f>IF(IFERROR(VLOOKUP(TRIM(A408),'Full Inventory'!F:F,1,0),0)=0,"X","_")</f>
        <v>_</v>
      </c>
      <c r="D408" t="str">
        <f t="shared" si="18"/>
        <v>X</v>
      </c>
      <c r="E408" t="str">
        <f ca="1">IFERROR(IF(AND(B408&amp;C408&amp;D408="___",INDIRECT("Inventory!A"&amp;MATCH(VLOOKUP(A408,Inventory!E:E,1,0),Inventory!E:E,0))&lt;&gt;INDIRECT("'Full Inventory'!B"&amp;MATCH(VLOOKUP(A408,'Full Inventory'!F:F,1,0),'Full Inventory'!F:F,0))),"X","_"),"_")</f>
        <v>_</v>
      </c>
      <c r="K408" t="str">
        <f t="shared" ca="1" si="19"/>
        <v>__X_</v>
      </c>
      <c r="L408" t="str">
        <f t="shared" ca="1" si="20"/>
        <v/>
      </c>
      <c r="M408" t="str">
        <f>IFERROR(INDEX(Inventory!A:A,MATCH(Scan!A408,Inventory!E:E,0)),"")</f>
        <v/>
      </c>
    </row>
    <row r="409" spans="2:13" x14ac:dyDescent="0.25">
      <c r="B409" t="str">
        <f>IF(IFERROR(VLOOKUP(TRIM(A409),Inventory!E:E,1,0),0)=0,"X","_")</f>
        <v>_</v>
      </c>
      <c r="C409" t="str">
        <f>IF(IFERROR(VLOOKUP(TRIM(A409),'Full Inventory'!F:F,1,0),0)=0,"X","_")</f>
        <v>_</v>
      </c>
      <c r="D409" t="str">
        <f t="shared" si="18"/>
        <v>X</v>
      </c>
      <c r="E409" t="str">
        <f ca="1">IFERROR(IF(AND(B409&amp;C409&amp;D409="___",INDIRECT("Inventory!A"&amp;MATCH(VLOOKUP(A409,Inventory!E:E,1,0),Inventory!E:E,0))&lt;&gt;INDIRECT("'Full Inventory'!B"&amp;MATCH(VLOOKUP(A409,'Full Inventory'!F:F,1,0),'Full Inventory'!F:F,0))),"X","_"),"_")</f>
        <v>_</v>
      </c>
      <c r="K409" t="str">
        <f t="shared" ca="1" si="19"/>
        <v>__X_</v>
      </c>
      <c r="L409" t="str">
        <f t="shared" ca="1" si="20"/>
        <v/>
      </c>
      <c r="M409" t="str">
        <f>IFERROR(INDEX(Inventory!A:A,MATCH(Scan!A409,Inventory!E:E,0)),"")</f>
        <v/>
      </c>
    </row>
    <row r="410" spans="2:13" x14ac:dyDescent="0.25">
      <c r="B410" t="str">
        <f>IF(IFERROR(VLOOKUP(TRIM(A410),Inventory!E:E,1,0),0)=0,"X","_")</f>
        <v>_</v>
      </c>
      <c r="C410" t="str">
        <f>IF(IFERROR(VLOOKUP(TRIM(A410),'Full Inventory'!F:F,1,0),0)=0,"X","_")</f>
        <v>_</v>
      </c>
      <c r="D410" t="str">
        <f t="shared" si="18"/>
        <v>X</v>
      </c>
      <c r="E410" t="str">
        <f ca="1">IFERROR(IF(AND(B410&amp;C410&amp;D410="___",INDIRECT("Inventory!A"&amp;MATCH(VLOOKUP(A410,Inventory!E:E,1,0),Inventory!E:E,0))&lt;&gt;INDIRECT("'Full Inventory'!B"&amp;MATCH(VLOOKUP(A410,'Full Inventory'!F:F,1,0),'Full Inventory'!F:F,0))),"X","_"),"_")</f>
        <v>_</v>
      </c>
      <c r="K410" t="str">
        <f t="shared" ca="1" si="19"/>
        <v>__X_</v>
      </c>
      <c r="L410" t="str">
        <f t="shared" ca="1" si="20"/>
        <v/>
      </c>
      <c r="M410" t="str">
        <f>IFERROR(INDEX(Inventory!A:A,MATCH(Scan!A410,Inventory!E:E,0)),"")</f>
        <v/>
      </c>
    </row>
    <row r="411" spans="2:13" x14ac:dyDescent="0.25">
      <c r="B411" t="str">
        <f>IF(IFERROR(VLOOKUP(TRIM(A411),Inventory!E:E,1,0),0)=0,"X","_")</f>
        <v>_</v>
      </c>
      <c r="C411" t="str">
        <f>IF(IFERROR(VLOOKUP(TRIM(A411),'Full Inventory'!F:F,1,0),0)=0,"X","_")</f>
        <v>_</v>
      </c>
      <c r="D411" t="str">
        <f t="shared" si="18"/>
        <v>X</v>
      </c>
      <c r="E411" t="str">
        <f ca="1">IFERROR(IF(AND(B411&amp;C411&amp;D411="___",INDIRECT("Inventory!A"&amp;MATCH(VLOOKUP(A411,Inventory!E:E,1,0),Inventory!E:E,0))&lt;&gt;INDIRECT("'Full Inventory'!B"&amp;MATCH(VLOOKUP(A411,'Full Inventory'!F:F,1,0),'Full Inventory'!F:F,0))),"X","_"),"_")</f>
        <v>_</v>
      </c>
      <c r="K411" t="str">
        <f t="shared" ca="1" si="19"/>
        <v>__X_</v>
      </c>
      <c r="L411" t="str">
        <f t="shared" ca="1" si="20"/>
        <v/>
      </c>
      <c r="M411" t="str">
        <f>IFERROR(INDEX(Inventory!A:A,MATCH(Scan!A411,Inventory!E:E,0)),"")</f>
        <v/>
      </c>
    </row>
    <row r="412" spans="2:13" x14ac:dyDescent="0.25">
      <c r="B412" t="str">
        <f>IF(IFERROR(VLOOKUP(TRIM(A412),Inventory!E:E,1,0),0)=0,"X","_")</f>
        <v>_</v>
      </c>
      <c r="C412" t="str">
        <f>IF(IFERROR(VLOOKUP(TRIM(A412),'Full Inventory'!F:F,1,0),0)=0,"X","_")</f>
        <v>_</v>
      </c>
      <c r="D412" t="str">
        <f t="shared" si="18"/>
        <v>X</v>
      </c>
      <c r="E412" t="str">
        <f ca="1">IFERROR(IF(AND(B412&amp;C412&amp;D412="___",INDIRECT("Inventory!A"&amp;MATCH(VLOOKUP(A412,Inventory!E:E,1,0),Inventory!E:E,0))&lt;&gt;INDIRECT("'Full Inventory'!B"&amp;MATCH(VLOOKUP(A412,'Full Inventory'!F:F,1,0),'Full Inventory'!F:F,0))),"X","_"),"_")</f>
        <v>_</v>
      </c>
      <c r="K412" t="str">
        <f t="shared" ca="1" si="19"/>
        <v>__X_</v>
      </c>
      <c r="L412" t="str">
        <f t="shared" ca="1" si="20"/>
        <v/>
      </c>
      <c r="M412" t="str">
        <f>IFERROR(INDEX(Inventory!A:A,MATCH(Scan!A412,Inventory!E:E,0)),"")</f>
        <v/>
      </c>
    </row>
    <row r="413" spans="2:13" x14ac:dyDescent="0.25">
      <c r="B413" t="str">
        <f>IF(IFERROR(VLOOKUP(TRIM(A413),Inventory!E:E,1,0),0)=0,"X","_")</f>
        <v>_</v>
      </c>
      <c r="C413" t="str">
        <f>IF(IFERROR(VLOOKUP(TRIM(A413),'Full Inventory'!F:F,1,0),0)=0,"X","_")</f>
        <v>_</v>
      </c>
      <c r="D413" t="str">
        <f t="shared" si="18"/>
        <v>X</v>
      </c>
      <c r="E413" t="str">
        <f ca="1">IFERROR(IF(AND(B413&amp;C413&amp;D413="___",INDIRECT("Inventory!A"&amp;MATCH(VLOOKUP(A413,Inventory!E:E,1,0),Inventory!E:E,0))&lt;&gt;INDIRECT("'Full Inventory'!B"&amp;MATCH(VLOOKUP(A413,'Full Inventory'!F:F,1,0),'Full Inventory'!F:F,0))),"X","_"),"_")</f>
        <v>_</v>
      </c>
      <c r="K413" t="str">
        <f t="shared" ca="1" si="19"/>
        <v>__X_</v>
      </c>
      <c r="L413" t="str">
        <f t="shared" ca="1" si="20"/>
        <v/>
      </c>
      <c r="M413" t="str">
        <f>IFERROR(INDEX(Inventory!A:A,MATCH(Scan!A413,Inventory!E:E,0)),"")</f>
        <v/>
      </c>
    </row>
    <row r="414" spans="2:13" x14ac:dyDescent="0.25">
      <c r="B414" t="str">
        <f>IF(IFERROR(VLOOKUP(TRIM(A414),Inventory!E:E,1,0),0)=0,"X","_")</f>
        <v>_</v>
      </c>
      <c r="C414" t="str">
        <f>IF(IFERROR(VLOOKUP(TRIM(A414),'Full Inventory'!F:F,1,0),0)=0,"X","_")</f>
        <v>_</v>
      </c>
      <c r="D414" t="str">
        <f t="shared" si="18"/>
        <v>X</v>
      </c>
      <c r="E414" t="str">
        <f ca="1">IFERROR(IF(AND(B414&amp;C414&amp;D414="___",INDIRECT("Inventory!A"&amp;MATCH(VLOOKUP(A414,Inventory!E:E,1,0),Inventory!E:E,0))&lt;&gt;INDIRECT("'Full Inventory'!B"&amp;MATCH(VLOOKUP(A414,'Full Inventory'!F:F,1,0),'Full Inventory'!F:F,0))),"X","_"),"_")</f>
        <v>_</v>
      </c>
      <c r="K414" t="str">
        <f t="shared" ca="1" si="19"/>
        <v>__X_</v>
      </c>
      <c r="L414" t="str">
        <f t="shared" ca="1" si="20"/>
        <v/>
      </c>
      <c r="M414" t="str">
        <f>IFERROR(INDEX(Inventory!A:A,MATCH(Scan!A414,Inventory!E:E,0)),"")</f>
        <v/>
      </c>
    </row>
    <row r="415" spans="2:13" x14ac:dyDescent="0.25">
      <c r="B415" t="str">
        <f>IF(IFERROR(VLOOKUP(TRIM(A415),Inventory!E:E,1,0),0)=0,"X","_")</f>
        <v>_</v>
      </c>
      <c r="C415" t="str">
        <f>IF(IFERROR(VLOOKUP(TRIM(A415),'Full Inventory'!F:F,1,0),0)=0,"X","_")</f>
        <v>_</v>
      </c>
      <c r="D415" t="str">
        <f t="shared" si="18"/>
        <v>X</v>
      </c>
      <c r="E415" t="str">
        <f ca="1">IFERROR(IF(AND(B415&amp;C415&amp;D415="___",INDIRECT("Inventory!A"&amp;MATCH(VLOOKUP(A415,Inventory!E:E,1,0),Inventory!E:E,0))&lt;&gt;INDIRECT("'Full Inventory'!B"&amp;MATCH(VLOOKUP(A415,'Full Inventory'!F:F,1,0),'Full Inventory'!F:F,0))),"X","_"),"_")</f>
        <v>_</v>
      </c>
      <c r="K415" t="str">
        <f t="shared" ca="1" si="19"/>
        <v>__X_</v>
      </c>
      <c r="L415" t="str">
        <f t="shared" ca="1" si="20"/>
        <v/>
      </c>
      <c r="M415" t="str">
        <f>IFERROR(INDEX(Inventory!A:A,MATCH(Scan!A415,Inventory!E:E,0)),"")</f>
        <v/>
      </c>
    </row>
    <row r="416" spans="2:13" x14ac:dyDescent="0.25">
      <c r="B416" t="str">
        <f>IF(IFERROR(VLOOKUP(TRIM(A416),Inventory!E:E,1,0),0)=0,"X","_")</f>
        <v>_</v>
      </c>
      <c r="C416" t="str">
        <f>IF(IFERROR(VLOOKUP(TRIM(A416),'Full Inventory'!F:F,1,0),0)=0,"X","_")</f>
        <v>_</v>
      </c>
      <c r="D416" t="str">
        <f t="shared" si="18"/>
        <v>X</v>
      </c>
      <c r="E416" t="str">
        <f ca="1">IFERROR(IF(AND(B416&amp;C416&amp;D416="___",INDIRECT("Inventory!A"&amp;MATCH(VLOOKUP(A416,Inventory!E:E,1,0),Inventory!E:E,0))&lt;&gt;INDIRECT("'Full Inventory'!B"&amp;MATCH(VLOOKUP(A416,'Full Inventory'!F:F,1,0),'Full Inventory'!F:F,0))),"X","_"),"_")</f>
        <v>_</v>
      </c>
      <c r="K416" t="str">
        <f t="shared" ca="1" si="19"/>
        <v>__X_</v>
      </c>
      <c r="L416" t="str">
        <f t="shared" ca="1" si="20"/>
        <v/>
      </c>
      <c r="M416" t="str">
        <f>IFERROR(INDEX(Inventory!A:A,MATCH(Scan!A416,Inventory!E:E,0)),"")</f>
        <v/>
      </c>
    </row>
    <row r="417" spans="2:13" x14ac:dyDescent="0.25">
      <c r="B417" t="str">
        <f>IF(IFERROR(VLOOKUP(TRIM(A417),Inventory!E:E,1,0),0)=0,"X","_")</f>
        <v>_</v>
      </c>
      <c r="C417" t="str">
        <f>IF(IFERROR(VLOOKUP(TRIM(A417),'Full Inventory'!F:F,1,0),0)=0,"X","_")</f>
        <v>_</v>
      </c>
      <c r="D417" t="str">
        <f t="shared" si="18"/>
        <v>X</v>
      </c>
      <c r="E417" t="str">
        <f ca="1">IFERROR(IF(AND(B417&amp;C417&amp;D417="___",INDIRECT("Inventory!A"&amp;MATCH(VLOOKUP(A417,Inventory!E:E,1,0),Inventory!E:E,0))&lt;&gt;INDIRECT("'Full Inventory'!B"&amp;MATCH(VLOOKUP(A417,'Full Inventory'!F:F,1,0),'Full Inventory'!F:F,0))),"X","_"),"_")</f>
        <v>_</v>
      </c>
      <c r="K417" t="str">
        <f t="shared" ca="1" si="19"/>
        <v>__X_</v>
      </c>
      <c r="L417" t="str">
        <f t="shared" ca="1" si="20"/>
        <v/>
      </c>
      <c r="M417" t="str">
        <f>IFERROR(INDEX(Inventory!A:A,MATCH(Scan!A417,Inventory!E:E,0)),"")</f>
        <v/>
      </c>
    </row>
    <row r="418" spans="2:13" x14ac:dyDescent="0.25">
      <c r="B418" t="str">
        <f>IF(IFERROR(VLOOKUP(TRIM(A418),Inventory!E:E,1,0),0)=0,"X","_")</f>
        <v>_</v>
      </c>
      <c r="C418" t="str">
        <f>IF(IFERROR(VLOOKUP(TRIM(A418),'Full Inventory'!F:F,1,0),0)=0,"X","_")</f>
        <v>_</v>
      </c>
      <c r="D418" t="str">
        <f t="shared" si="18"/>
        <v>X</v>
      </c>
      <c r="E418" t="str">
        <f ca="1">IFERROR(IF(AND(B418&amp;C418&amp;D418="___",INDIRECT("Inventory!A"&amp;MATCH(VLOOKUP(A418,Inventory!E:E,1,0),Inventory!E:E,0))&lt;&gt;INDIRECT("'Full Inventory'!B"&amp;MATCH(VLOOKUP(A418,'Full Inventory'!F:F,1,0),'Full Inventory'!F:F,0))),"X","_"),"_")</f>
        <v>_</v>
      </c>
      <c r="K418" t="str">
        <f t="shared" ca="1" si="19"/>
        <v>__X_</v>
      </c>
      <c r="L418" t="str">
        <f t="shared" ca="1" si="20"/>
        <v/>
      </c>
      <c r="M418" t="str">
        <f>IFERROR(INDEX(Inventory!A:A,MATCH(Scan!A418,Inventory!E:E,0)),"")</f>
        <v/>
      </c>
    </row>
    <row r="419" spans="2:13" x14ac:dyDescent="0.25">
      <c r="B419" t="str">
        <f>IF(IFERROR(VLOOKUP(TRIM(A419),Inventory!E:E,1,0),0)=0,"X","_")</f>
        <v>_</v>
      </c>
      <c r="C419" t="str">
        <f>IF(IFERROR(VLOOKUP(TRIM(A419),'Full Inventory'!F:F,1,0),0)=0,"X","_")</f>
        <v>_</v>
      </c>
      <c r="D419" t="str">
        <f t="shared" si="18"/>
        <v>X</v>
      </c>
      <c r="E419" t="str">
        <f ca="1">IFERROR(IF(AND(B419&amp;C419&amp;D419="___",INDIRECT("Inventory!A"&amp;MATCH(VLOOKUP(A419,Inventory!E:E,1,0),Inventory!E:E,0))&lt;&gt;INDIRECT("'Full Inventory'!B"&amp;MATCH(VLOOKUP(A419,'Full Inventory'!F:F,1,0),'Full Inventory'!F:F,0))),"X","_"),"_")</f>
        <v>_</v>
      </c>
      <c r="K419" t="str">
        <f t="shared" ca="1" si="19"/>
        <v>__X_</v>
      </c>
      <c r="L419" t="str">
        <f t="shared" ca="1" si="20"/>
        <v/>
      </c>
      <c r="M419" t="str">
        <f>IFERROR(INDEX(Inventory!A:A,MATCH(Scan!A419,Inventory!E:E,0)),"")</f>
        <v/>
      </c>
    </row>
    <row r="420" spans="2:13" x14ac:dyDescent="0.25">
      <c r="B420" t="str">
        <f>IF(IFERROR(VLOOKUP(TRIM(A420),Inventory!E:E,1,0),0)=0,"X","_")</f>
        <v>_</v>
      </c>
      <c r="C420" t="str">
        <f>IF(IFERROR(VLOOKUP(TRIM(A420),'Full Inventory'!F:F,1,0),0)=0,"X","_")</f>
        <v>_</v>
      </c>
      <c r="D420" t="str">
        <f t="shared" si="18"/>
        <v>X</v>
      </c>
      <c r="E420" t="str">
        <f ca="1">IFERROR(IF(AND(B420&amp;C420&amp;D420="___",INDIRECT("Inventory!A"&amp;MATCH(VLOOKUP(A420,Inventory!E:E,1,0),Inventory!E:E,0))&lt;&gt;INDIRECT("'Full Inventory'!B"&amp;MATCH(VLOOKUP(A420,'Full Inventory'!F:F,1,0),'Full Inventory'!F:F,0))),"X","_"),"_")</f>
        <v>_</v>
      </c>
      <c r="K420" t="str">
        <f t="shared" ca="1" si="19"/>
        <v>__X_</v>
      </c>
      <c r="L420" t="str">
        <f t="shared" ca="1" si="20"/>
        <v/>
      </c>
      <c r="M420" t="str">
        <f>IFERROR(INDEX(Inventory!A:A,MATCH(Scan!A420,Inventory!E:E,0)),"")</f>
        <v/>
      </c>
    </row>
    <row r="421" spans="2:13" x14ac:dyDescent="0.25">
      <c r="B421" t="str">
        <f>IF(IFERROR(VLOOKUP(TRIM(A421),Inventory!E:E,1,0),0)=0,"X","_")</f>
        <v>_</v>
      </c>
      <c r="C421" t="str">
        <f>IF(IFERROR(VLOOKUP(TRIM(A421),'Full Inventory'!F:F,1,0),0)=0,"X","_")</f>
        <v>_</v>
      </c>
      <c r="D421" t="str">
        <f t="shared" si="18"/>
        <v>X</v>
      </c>
      <c r="E421" t="str">
        <f ca="1">IFERROR(IF(AND(B421&amp;C421&amp;D421="___",INDIRECT("Inventory!A"&amp;MATCH(VLOOKUP(A421,Inventory!E:E,1,0),Inventory!E:E,0))&lt;&gt;INDIRECT("'Full Inventory'!B"&amp;MATCH(VLOOKUP(A421,'Full Inventory'!F:F,1,0),'Full Inventory'!F:F,0))),"X","_"),"_")</f>
        <v>_</v>
      </c>
      <c r="K421" t="str">
        <f t="shared" ca="1" si="19"/>
        <v>__X_</v>
      </c>
      <c r="L421" t="str">
        <f t="shared" ca="1" si="20"/>
        <v/>
      </c>
      <c r="M421" t="str">
        <f>IFERROR(INDEX(Inventory!A:A,MATCH(Scan!A421,Inventory!E:E,0)),"")</f>
        <v/>
      </c>
    </row>
    <row r="422" spans="2:13" x14ac:dyDescent="0.25">
      <c r="B422" t="str">
        <f>IF(IFERROR(VLOOKUP(TRIM(A422),Inventory!E:E,1,0),0)=0,"X","_")</f>
        <v>_</v>
      </c>
      <c r="C422" t="str">
        <f>IF(IFERROR(VLOOKUP(TRIM(A422),'Full Inventory'!F:F,1,0),0)=0,"X","_")</f>
        <v>_</v>
      </c>
      <c r="D422" t="str">
        <f t="shared" si="18"/>
        <v>X</v>
      </c>
      <c r="E422" t="str">
        <f ca="1">IFERROR(IF(AND(B422&amp;C422&amp;D422="___",INDIRECT("Inventory!A"&amp;MATCH(VLOOKUP(A422,Inventory!E:E,1,0),Inventory!E:E,0))&lt;&gt;INDIRECT("'Full Inventory'!B"&amp;MATCH(VLOOKUP(A422,'Full Inventory'!F:F,1,0),'Full Inventory'!F:F,0))),"X","_"),"_")</f>
        <v>_</v>
      </c>
      <c r="K422" t="str">
        <f t="shared" ca="1" si="19"/>
        <v>__X_</v>
      </c>
      <c r="L422" t="str">
        <f t="shared" ca="1" si="20"/>
        <v/>
      </c>
      <c r="M422" t="str">
        <f>IFERROR(INDEX(Inventory!A:A,MATCH(Scan!A422,Inventory!E:E,0)),"")</f>
        <v/>
      </c>
    </row>
    <row r="423" spans="2:13" x14ac:dyDescent="0.25">
      <c r="B423" t="str">
        <f>IF(IFERROR(VLOOKUP(TRIM(A423),Inventory!E:E,1,0),0)=0,"X","_")</f>
        <v>_</v>
      </c>
      <c r="C423" t="str">
        <f>IF(IFERROR(VLOOKUP(TRIM(A423),'Full Inventory'!F:F,1,0),0)=0,"X","_")</f>
        <v>_</v>
      </c>
      <c r="D423" t="str">
        <f t="shared" si="18"/>
        <v>X</v>
      </c>
      <c r="E423" t="str">
        <f ca="1">IFERROR(IF(AND(B423&amp;C423&amp;D423="___",INDIRECT("Inventory!A"&amp;MATCH(VLOOKUP(A423,Inventory!E:E,1,0),Inventory!E:E,0))&lt;&gt;INDIRECT("'Full Inventory'!B"&amp;MATCH(VLOOKUP(A423,'Full Inventory'!F:F,1,0),'Full Inventory'!F:F,0))),"X","_"),"_")</f>
        <v>_</v>
      </c>
      <c r="K423" t="str">
        <f t="shared" ca="1" si="19"/>
        <v>__X_</v>
      </c>
      <c r="L423" t="str">
        <f t="shared" ca="1" si="20"/>
        <v/>
      </c>
      <c r="M423" t="str">
        <f>IFERROR(INDEX(Inventory!A:A,MATCH(Scan!A423,Inventory!E:E,0)),"")</f>
        <v/>
      </c>
    </row>
    <row r="424" spans="2:13" x14ac:dyDescent="0.25">
      <c r="B424" t="str">
        <f>IF(IFERROR(VLOOKUP(TRIM(A424),Inventory!E:E,1,0),0)=0,"X","_")</f>
        <v>_</v>
      </c>
      <c r="C424" t="str">
        <f>IF(IFERROR(VLOOKUP(TRIM(A424),'Full Inventory'!F:F,1,0),0)=0,"X","_")</f>
        <v>_</v>
      </c>
      <c r="D424" t="str">
        <f t="shared" si="18"/>
        <v>X</v>
      </c>
      <c r="E424" t="str">
        <f ca="1">IFERROR(IF(AND(B424&amp;C424&amp;D424="___",INDIRECT("Inventory!A"&amp;MATCH(VLOOKUP(A424,Inventory!E:E,1,0),Inventory!E:E,0))&lt;&gt;INDIRECT("'Full Inventory'!B"&amp;MATCH(VLOOKUP(A424,'Full Inventory'!F:F,1,0),'Full Inventory'!F:F,0))),"X","_"),"_")</f>
        <v>_</v>
      </c>
      <c r="K424" t="str">
        <f t="shared" ca="1" si="19"/>
        <v>__X_</v>
      </c>
      <c r="L424" t="str">
        <f t="shared" ca="1" si="20"/>
        <v/>
      </c>
      <c r="M424" t="str">
        <f>IFERROR(INDEX(Inventory!A:A,MATCH(Scan!A424,Inventory!E:E,0)),"")</f>
        <v/>
      </c>
    </row>
    <row r="425" spans="2:13" x14ac:dyDescent="0.25">
      <c r="B425" t="str">
        <f>IF(IFERROR(VLOOKUP(TRIM(A425),Inventory!E:E,1,0),0)=0,"X","_")</f>
        <v>_</v>
      </c>
      <c r="C425" t="str">
        <f>IF(IFERROR(VLOOKUP(TRIM(A425),'Full Inventory'!F:F,1,0),0)=0,"X","_")</f>
        <v>_</v>
      </c>
      <c r="D425" t="str">
        <f t="shared" si="18"/>
        <v>X</v>
      </c>
      <c r="E425" t="str">
        <f ca="1">IFERROR(IF(AND(B425&amp;C425&amp;D425="___",INDIRECT("Inventory!A"&amp;MATCH(VLOOKUP(A425,Inventory!E:E,1,0),Inventory!E:E,0))&lt;&gt;INDIRECT("'Full Inventory'!B"&amp;MATCH(VLOOKUP(A425,'Full Inventory'!F:F,1,0),'Full Inventory'!F:F,0))),"X","_"),"_")</f>
        <v>_</v>
      </c>
      <c r="K425" t="str">
        <f t="shared" ca="1" si="19"/>
        <v>__X_</v>
      </c>
      <c r="L425" t="str">
        <f t="shared" ca="1" si="20"/>
        <v/>
      </c>
      <c r="M425" t="str">
        <f>IFERROR(INDEX(Inventory!A:A,MATCH(Scan!A425,Inventory!E:E,0)),"")</f>
        <v/>
      </c>
    </row>
    <row r="426" spans="2:13" x14ac:dyDescent="0.25">
      <c r="B426" t="str">
        <f>IF(IFERROR(VLOOKUP(TRIM(A426),Inventory!E:E,1,0),0)=0,"X","_")</f>
        <v>_</v>
      </c>
      <c r="C426" t="str">
        <f>IF(IFERROR(VLOOKUP(TRIM(A426),'Full Inventory'!F:F,1,0),0)=0,"X","_")</f>
        <v>_</v>
      </c>
      <c r="D426" t="str">
        <f t="shared" si="18"/>
        <v>X</v>
      </c>
      <c r="E426" t="str">
        <f ca="1">IFERROR(IF(AND(B426&amp;C426&amp;D426="___",INDIRECT("Inventory!A"&amp;MATCH(VLOOKUP(A426,Inventory!E:E,1,0),Inventory!E:E,0))&lt;&gt;INDIRECT("'Full Inventory'!B"&amp;MATCH(VLOOKUP(A426,'Full Inventory'!F:F,1,0),'Full Inventory'!F:F,0))),"X","_"),"_")</f>
        <v>_</v>
      </c>
      <c r="K426" t="str">
        <f t="shared" ca="1" si="19"/>
        <v>__X_</v>
      </c>
      <c r="L426" t="str">
        <f t="shared" ca="1" si="20"/>
        <v/>
      </c>
      <c r="M426" t="str">
        <f>IFERROR(INDEX(Inventory!A:A,MATCH(Scan!A426,Inventory!E:E,0)),"")</f>
        <v/>
      </c>
    </row>
    <row r="427" spans="2:13" x14ac:dyDescent="0.25">
      <c r="B427" t="str">
        <f>IF(IFERROR(VLOOKUP(TRIM(A427),Inventory!E:E,1,0),0)=0,"X","_")</f>
        <v>_</v>
      </c>
      <c r="C427" t="str">
        <f>IF(IFERROR(VLOOKUP(TRIM(A427),'Full Inventory'!F:F,1,0),0)=0,"X","_")</f>
        <v>_</v>
      </c>
      <c r="D427" t="str">
        <f t="shared" si="18"/>
        <v>X</v>
      </c>
      <c r="E427" t="str">
        <f ca="1">IFERROR(IF(AND(B427&amp;C427&amp;D427="___",INDIRECT("Inventory!A"&amp;MATCH(VLOOKUP(A427,Inventory!E:E,1,0),Inventory!E:E,0))&lt;&gt;INDIRECT("'Full Inventory'!B"&amp;MATCH(VLOOKUP(A427,'Full Inventory'!F:F,1,0),'Full Inventory'!F:F,0))),"X","_"),"_")</f>
        <v>_</v>
      </c>
      <c r="K427" t="str">
        <f t="shared" ca="1" si="19"/>
        <v>__X_</v>
      </c>
      <c r="L427" t="str">
        <f t="shared" ca="1" si="20"/>
        <v/>
      </c>
      <c r="M427" t="str">
        <f>IFERROR(INDEX(Inventory!A:A,MATCH(Scan!A427,Inventory!E:E,0)),"")</f>
        <v/>
      </c>
    </row>
    <row r="428" spans="2:13" x14ac:dyDescent="0.25">
      <c r="B428" t="str">
        <f>IF(IFERROR(VLOOKUP(TRIM(A428),Inventory!E:E,1,0),0)=0,"X","_")</f>
        <v>_</v>
      </c>
      <c r="C428" t="str">
        <f>IF(IFERROR(VLOOKUP(TRIM(A428),'Full Inventory'!F:F,1,0),0)=0,"X","_")</f>
        <v>_</v>
      </c>
      <c r="D428" t="str">
        <f t="shared" si="18"/>
        <v>X</v>
      </c>
      <c r="E428" t="str">
        <f ca="1">IFERROR(IF(AND(B428&amp;C428&amp;D428="___",INDIRECT("Inventory!A"&amp;MATCH(VLOOKUP(A428,Inventory!E:E,1,0),Inventory!E:E,0))&lt;&gt;INDIRECT("'Full Inventory'!B"&amp;MATCH(VLOOKUP(A428,'Full Inventory'!F:F,1,0),'Full Inventory'!F:F,0))),"X","_"),"_")</f>
        <v>_</v>
      </c>
      <c r="K428" t="str">
        <f t="shared" ca="1" si="19"/>
        <v>__X_</v>
      </c>
      <c r="L428" t="str">
        <f t="shared" ca="1" si="20"/>
        <v/>
      </c>
      <c r="M428" t="str">
        <f>IFERROR(INDEX(Inventory!A:A,MATCH(Scan!A428,Inventory!E:E,0)),"")</f>
        <v/>
      </c>
    </row>
    <row r="429" spans="2:13" x14ac:dyDescent="0.25">
      <c r="B429" t="str">
        <f>IF(IFERROR(VLOOKUP(TRIM(A429),Inventory!E:E,1,0),0)=0,"X","_")</f>
        <v>_</v>
      </c>
      <c r="C429" t="str">
        <f>IF(IFERROR(VLOOKUP(TRIM(A429),'Full Inventory'!F:F,1,0),0)=0,"X","_")</f>
        <v>_</v>
      </c>
      <c r="D429" t="str">
        <f t="shared" si="18"/>
        <v>X</v>
      </c>
      <c r="E429" t="str">
        <f ca="1">IFERROR(IF(AND(B429&amp;C429&amp;D429="___",INDIRECT("Inventory!A"&amp;MATCH(VLOOKUP(A429,Inventory!E:E,1,0),Inventory!E:E,0))&lt;&gt;INDIRECT("'Full Inventory'!B"&amp;MATCH(VLOOKUP(A429,'Full Inventory'!F:F,1,0),'Full Inventory'!F:F,0))),"X","_"),"_")</f>
        <v>_</v>
      </c>
      <c r="K429" t="str">
        <f t="shared" ca="1" si="19"/>
        <v>__X_</v>
      </c>
      <c r="L429" t="str">
        <f t="shared" ca="1" si="20"/>
        <v/>
      </c>
      <c r="M429" t="str">
        <f>IFERROR(INDEX(Inventory!A:A,MATCH(Scan!A429,Inventory!E:E,0)),"")</f>
        <v/>
      </c>
    </row>
    <row r="430" spans="2:13" x14ac:dyDescent="0.25">
      <c r="B430" t="str">
        <f>IF(IFERROR(VLOOKUP(TRIM(A430),Inventory!E:E,1,0),0)=0,"X","_")</f>
        <v>_</v>
      </c>
      <c r="C430" t="str">
        <f>IF(IFERROR(VLOOKUP(TRIM(A430),'Full Inventory'!F:F,1,0),0)=0,"X","_")</f>
        <v>_</v>
      </c>
      <c r="D430" t="str">
        <f t="shared" si="18"/>
        <v>X</v>
      </c>
      <c r="E430" t="str">
        <f ca="1">IFERROR(IF(AND(B430&amp;C430&amp;D430="___",INDIRECT("Inventory!A"&amp;MATCH(VLOOKUP(A430,Inventory!E:E,1,0),Inventory!E:E,0))&lt;&gt;INDIRECT("'Full Inventory'!B"&amp;MATCH(VLOOKUP(A430,'Full Inventory'!F:F,1,0),'Full Inventory'!F:F,0))),"X","_"),"_")</f>
        <v>_</v>
      </c>
      <c r="K430" t="str">
        <f t="shared" ca="1" si="19"/>
        <v>__X_</v>
      </c>
      <c r="L430" t="str">
        <f t="shared" ca="1" si="20"/>
        <v/>
      </c>
      <c r="M430" t="str">
        <f>IFERROR(INDEX(Inventory!A:A,MATCH(Scan!A430,Inventory!E:E,0)),"")</f>
        <v/>
      </c>
    </row>
    <row r="431" spans="2:13" x14ac:dyDescent="0.25">
      <c r="B431" t="str">
        <f>IF(IFERROR(VLOOKUP(TRIM(A431),Inventory!E:E,1,0),0)=0,"X","_")</f>
        <v>_</v>
      </c>
      <c r="C431" t="str">
        <f>IF(IFERROR(VLOOKUP(TRIM(A431),'Full Inventory'!F:F,1,0),0)=0,"X","_")</f>
        <v>_</v>
      </c>
      <c r="D431" t="str">
        <f t="shared" si="18"/>
        <v>X</v>
      </c>
      <c r="E431" t="str">
        <f ca="1">IFERROR(IF(AND(B431&amp;C431&amp;D431="___",INDIRECT("Inventory!A"&amp;MATCH(VLOOKUP(A431,Inventory!E:E,1,0),Inventory!E:E,0))&lt;&gt;INDIRECT("'Full Inventory'!B"&amp;MATCH(VLOOKUP(A431,'Full Inventory'!F:F,1,0),'Full Inventory'!F:F,0))),"X","_"),"_")</f>
        <v>_</v>
      </c>
      <c r="K431" t="str">
        <f t="shared" ca="1" si="19"/>
        <v>__X_</v>
      </c>
      <c r="L431" t="str">
        <f t="shared" ca="1" si="20"/>
        <v/>
      </c>
      <c r="M431" t="str">
        <f>IFERROR(INDEX(Inventory!A:A,MATCH(Scan!A431,Inventory!E:E,0)),"")</f>
        <v/>
      </c>
    </row>
    <row r="432" spans="2:13" x14ac:dyDescent="0.25">
      <c r="B432" t="str">
        <f>IF(IFERROR(VLOOKUP(TRIM(A432),Inventory!E:E,1,0),0)=0,"X","_")</f>
        <v>_</v>
      </c>
      <c r="C432" t="str">
        <f>IF(IFERROR(VLOOKUP(TRIM(A432),'Full Inventory'!F:F,1,0),0)=0,"X","_")</f>
        <v>_</v>
      </c>
      <c r="D432" t="str">
        <f t="shared" si="18"/>
        <v>X</v>
      </c>
      <c r="E432" t="str">
        <f ca="1">IFERROR(IF(AND(B432&amp;C432&amp;D432="___",INDIRECT("Inventory!A"&amp;MATCH(VLOOKUP(A432,Inventory!E:E,1,0),Inventory!E:E,0))&lt;&gt;INDIRECT("'Full Inventory'!B"&amp;MATCH(VLOOKUP(A432,'Full Inventory'!F:F,1,0),'Full Inventory'!F:F,0))),"X","_"),"_")</f>
        <v>_</v>
      </c>
      <c r="K432" t="str">
        <f t="shared" ca="1" si="19"/>
        <v>__X_</v>
      </c>
      <c r="L432" t="str">
        <f t="shared" ca="1" si="20"/>
        <v/>
      </c>
      <c r="M432" t="str">
        <f>IFERROR(INDEX(Inventory!A:A,MATCH(Scan!A432,Inventory!E:E,0)),"")</f>
        <v/>
      </c>
    </row>
    <row r="433" spans="2:13" x14ac:dyDescent="0.25">
      <c r="B433" t="str">
        <f>IF(IFERROR(VLOOKUP(TRIM(A433),Inventory!E:E,1,0),0)=0,"X","_")</f>
        <v>_</v>
      </c>
      <c r="C433" t="str">
        <f>IF(IFERROR(VLOOKUP(TRIM(A433),'Full Inventory'!F:F,1,0),0)=0,"X","_")</f>
        <v>_</v>
      </c>
      <c r="D433" t="str">
        <f t="shared" si="18"/>
        <v>X</v>
      </c>
      <c r="E433" t="str">
        <f ca="1">IFERROR(IF(AND(B433&amp;C433&amp;D433="___",INDIRECT("Inventory!A"&amp;MATCH(VLOOKUP(A433,Inventory!E:E,1,0),Inventory!E:E,0))&lt;&gt;INDIRECT("'Full Inventory'!B"&amp;MATCH(VLOOKUP(A433,'Full Inventory'!F:F,1,0),'Full Inventory'!F:F,0))),"X","_"),"_")</f>
        <v>_</v>
      </c>
      <c r="K433" t="str">
        <f t="shared" ca="1" si="19"/>
        <v>__X_</v>
      </c>
      <c r="L433" t="str">
        <f t="shared" ca="1" si="20"/>
        <v/>
      </c>
      <c r="M433" t="str">
        <f>IFERROR(INDEX(Inventory!A:A,MATCH(Scan!A433,Inventory!E:E,0)),"")</f>
        <v/>
      </c>
    </row>
    <row r="434" spans="2:13" x14ac:dyDescent="0.25">
      <c r="B434" t="str">
        <f>IF(IFERROR(VLOOKUP(TRIM(A434),Inventory!E:E,1,0),0)=0,"X","_")</f>
        <v>_</v>
      </c>
      <c r="C434" t="str">
        <f>IF(IFERROR(VLOOKUP(TRIM(A434),'Full Inventory'!F:F,1,0),0)=0,"X","_")</f>
        <v>_</v>
      </c>
      <c r="D434" t="str">
        <f t="shared" si="18"/>
        <v>X</v>
      </c>
      <c r="E434" t="str">
        <f ca="1">IFERROR(IF(AND(B434&amp;C434&amp;D434="___",INDIRECT("Inventory!A"&amp;MATCH(VLOOKUP(A434,Inventory!E:E,1,0),Inventory!E:E,0))&lt;&gt;INDIRECT("'Full Inventory'!B"&amp;MATCH(VLOOKUP(A434,'Full Inventory'!F:F,1,0),'Full Inventory'!F:F,0))),"X","_"),"_")</f>
        <v>_</v>
      </c>
      <c r="K434" t="str">
        <f t="shared" ca="1" si="19"/>
        <v>__X_</v>
      </c>
      <c r="L434" t="str">
        <f t="shared" ca="1" si="20"/>
        <v/>
      </c>
      <c r="M434" t="str">
        <f>IFERROR(INDEX(Inventory!A:A,MATCH(Scan!A434,Inventory!E:E,0)),"")</f>
        <v/>
      </c>
    </row>
    <row r="435" spans="2:13" x14ac:dyDescent="0.25">
      <c r="B435" t="str">
        <f>IF(IFERROR(VLOOKUP(TRIM(A435),Inventory!E:E,1,0),0)=0,"X","_")</f>
        <v>_</v>
      </c>
      <c r="C435" t="str">
        <f>IF(IFERROR(VLOOKUP(TRIM(A435),'Full Inventory'!F:F,1,0),0)=0,"X","_")</f>
        <v>_</v>
      </c>
      <c r="D435" t="str">
        <f t="shared" si="18"/>
        <v>X</v>
      </c>
      <c r="E435" t="str">
        <f ca="1">IFERROR(IF(AND(B435&amp;C435&amp;D435="___",INDIRECT("Inventory!A"&amp;MATCH(VLOOKUP(A435,Inventory!E:E,1,0),Inventory!E:E,0))&lt;&gt;INDIRECT("'Full Inventory'!B"&amp;MATCH(VLOOKUP(A435,'Full Inventory'!F:F,1,0),'Full Inventory'!F:F,0))),"X","_"),"_")</f>
        <v>_</v>
      </c>
      <c r="K435" t="str">
        <f t="shared" ca="1" si="19"/>
        <v>__X_</v>
      </c>
      <c r="L435" t="str">
        <f t="shared" ca="1" si="20"/>
        <v/>
      </c>
      <c r="M435" t="str">
        <f>IFERROR(INDEX(Inventory!A:A,MATCH(Scan!A435,Inventory!E:E,0)),"")</f>
        <v/>
      </c>
    </row>
    <row r="436" spans="2:13" x14ac:dyDescent="0.25">
      <c r="B436" t="str">
        <f>IF(IFERROR(VLOOKUP(TRIM(A436),Inventory!E:E,1,0),0)=0,"X","_")</f>
        <v>_</v>
      </c>
      <c r="C436" t="str">
        <f>IF(IFERROR(VLOOKUP(TRIM(A436),'Full Inventory'!F:F,1,0),0)=0,"X","_")</f>
        <v>_</v>
      </c>
      <c r="D436" t="str">
        <f t="shared" si="18"/>
        <v>X</v>
      </c>
      <c r="E436" t="str">
        <f ca="1">IFERROR(IF(AND(B436&amp;C436&amp;D436="___",INDIRECT("Inventory!A"&amp;MATCH(VLOOKUP(A436,Inventory!E:E,1,0),Inventory!E:E,0))&lt;&gt;INDIRECT("'Full Inventory'!B"&amp;MATCH(VLOOKUP(A436,'Full Inventory'!F:F,1,0),'Full Inventory'!F:F,0))),"X","_"),"_")</f>
        <v>_</v>
      </c>
      <c r="K436" t="str">
        <f t="shared" ca="1" si="19"/>
        <v>__X_</v>
      </c>
      <c r="L436" t="str">
        <f t="shared" ca="1" si="20"/>
        <v/>
      </c>
      <c r="M436" t="str">
        <f>IFERROR(INDEX(Inventory!A:A,MATCH(Scan!A436,Inventory!E:E,0)),"")</f>
        <v/>
      </c>
    </row>
    <row r="437" spans="2:13" x14ac:dyDescent="0.25">
      <c r="B437" t="str">
        <f>IF(IFERROR(VLOOKUP(TRIM(A437),Inventory!E:E,1,0),0)=0,"X","_")</f>
        <v>_</v>
      </c>
      <c r="C437" t="str">
        <f>IF(IFERROR(VLOOKUP(TRIM(A437),'Full Inventory'!F:F,1,0),0)=0,"X","_")</f>
        <v>_</v>
      </c>
      <c r="D437" t="str">
        <f t="shared" si="18"/>
        <v>X</v>
      </c>
      <c r="E437" t="str">
        <f ca="1">IFERROR(IF(AND(B437&amp;C437&amp;D437="___",INDIRECT("Inventory!A"&amp;MATCH(VLOOKUP(A437,Inventory!E:E,1,0),Inventory!E:E,0))&lt;&gt;INDIRECT("'Full Inventory'!B"&amp;MATCH(VLOOKUP(A437,'Full Inventory'!F:F,1,0),'Full Inventory'!F:F,0))),"X","_"),"_")</f>
        <v>_</v>
      </c>
      <c r="K437" t="str">
        <f t="shared" ca="1" si="19"/>
        <v>__X_</v>
      </c>
      <c r="L437" t="str">
        <f t="shared" ca="1" si="20"/>
        <v/>
      </c>
      <c r="M437" t="str">
        <f>IFERROR(INDEX(Inventory!A:A,MATCH(Scan!A437,Inventory!E:E,0)),"")</f>
        <v/>
      </c>
    </row>
    <row r="438" spans="2:13" x14ac:dyDescent="0.25">
      <c r="B438" t="str">
        <f>IF(IFERROR(VLOOKUP(TRIM(A438),Inventory!E:E,1,0),0)=0,"X","_")</f>
        <v>_</v>
      </c>
      <c r="C438" t="str">
        <f>IF(IFERROR(VLOOKUP(TRIM(A438),'Full Inventory'!F:F,1,0),0)=0,"X","_")</f>
        <v>_</v>
      </c>
      <c r="D438" t="str">
        <f t="shared" si="18"/>
        <v>X</v>
      </c>
      <c r="E438" t="str">
        <f ca="1">IFERROR(IF(AND(B438&amp;C438&amp;D438="___",INDIRECT("Inventory!A"&amp;MATCH(VLOOKUP(A438,Inventory!E:E,1,0),Inventory!E:E,0))&lt;&gt;INDIRECT("'Full Inventory'!B"&amp;MATCH(VLOOKUP(A438,'Full Inventory'!F:F,1,0),'Full Inventory'!F:F,0))),"X","_"),"_")</f>
        <v>_</v>
      </c>
      <c r="K438" t="str">
        <f t="shared" ca="1" si="19"/>
        <v>__X_</v>
      </c>
      <c r="L438" t="str">
        <f t="shared" ca="1" si="20"/>
        <v/>
      </c>
      <c r="M438" t="str">
        <f>IFERROR(INDEX(Inventory!A:A,MATCH(Scan!A438,Inventory!E:E,0)),"")</f>
        <v/>
      </c>
    </row>
    <row r="439" spans="2:13" x14ac:dyDescent="0.25">
      <c r="B439" t="str">
        <f>IF(IFERROR(VLOOKUP(TRIM(A439),Inventory!E:E,1,0),0)=0,"X","_")</f>
        <v>_</v>
      </c>
      <c r="C439" t="str">
        <f>IF(IFERROR(VLOOKUP(TRIM(A439),'Full Inventory'!F:F,1,0),0)=0,"X","_")</f>
        <v>_</v>
      </c>
      <c r="D439" t="str">
        <f t="shared" si="18"/>
        <v>X</v>
      </c>
      <c r="E439" t="str">
        <f ca="1">IFERROR(IF(AND(B439&amp;C439&amp;D439="___",INDIRECT("Inventory!A"&amp;MATCH(VLOOKUP(A439,Inventory!E:E,1,0),Inventory!E:E,0))&lt;&gt;INDIRECT("'Full Inventory'!B"&amp;MATCH(VLOOKUP(A439,'Full Inventory'!F:F,1,0),'Full Inventory'!F:F,0))),"X","_"),"_")</f>
        <v>_</v>
      </c>
      <c r="K439" t="str">
        <f t="shared" ca="1" si="19"/>
        <v>__X_</v>
      </c>
      <c r="L439" t="str">
        <f t="shared" ca="1" si="20"/>
        <v/>
      </c>
      <c r="M439" t="str">
        <f>IFERROR(INDEX(Inventory!A:A,MATCH(Scan!A439,Inventory!E:E,0)),"")</f>
        <v/>
      </c>
    </row>
    <row r="440" spans="2:13" x14ac:dyDescent="0.25">
      <c r="B440" t="str">
        <f>IF(IFERROR(VLOOKUP(TRIM(A440),Inventory!E:E,1,0),0)=0,"X","_")</f>
        <v>_</v>
      </c>
      <c r="C440" t="str">
        <f>IF(IFERROR(VLOOKUP(TRIM(A440),'Full Inventory'!F:F,1,0),0)=0,"X","_")</f>
        <v>_</v>
      </c>
      <c r="D440" t="str">
        <f t="shared" si="18"/>
        <v>X</v>
      </c>
      <c r="E440" t="str">
        <f ca="1">IFERROR(IF(AND(B440&amp;C440&amp;D440="___",INDIRECT("Inventory!A"&amp;MATCH(VLOOKUP(A440,Inventory!E:E,1,0),Inventory!E:E,0))&lt;&gt;INDIRECT("'Full Inventory'!B"&amp;MATCH(VLOOKUP(A440,'Full Inventory'!F:F,1,0),'Full Inventory'!F:F,0))),"X","_"),"_")</f>
        <v>_</v>
      </c>
      <c r="K440" t="str">
        <f t="shared" ca="1" si="19"/>
        <v>__X_</v>
      </c>
      <c r="L440" t="str">
        <f t="shared" ca="1" si="20"/>
        <v/>
      </c>
      <c r="M440" t="str">
        <f>IFERROR(INDEX(Inventory!A:A,MATCH(Scan!A440,Inventory!E:E,0)),"")</f>
        <v/>
      </c>
    </row>
    <row r="441" spans="2:13" x14ac:dyDescent="0.25">
      <c r="B441" t="str">
        <f>IF(IFERROR(VLOOKUP(TRIM(A441),Inventory!E:E,1,0),0)=0,"X","_")</f>
        <v>_</v>
      </c>
      <c r="C441" t="str">
        <f>IF(IFERROR(VLOOKUP(TRIM(A441),'Full Inventory'!F:F,1,0),0)=0,"X","_")</f>
        <v>_</v>
      </c>
      <c r="D441" t="str">
        <f t="shared" si="18"/>
        <v>X</v>
      </c>
      <c r="E441" t="str">
        <f ca="1">IFERROR(IF(AND(B441&amp;C441&amp;D441="___",INDIRECT("Inventory!A"&amp;MATCH(VLOOKUP(A441,Inventory!E:E,1,0),Inventory!E:E,0))&lt;&gt;INDIRECT("'Full Inventory'!B"&amp;MATCH(VLOOKUP(A441,'Full Inventory'!F:F,1,0),'Full Inventory'!F:F,0))),"X","_"),"_")</f>
        <v>_</v>
      </c>
      <c r="K441" t="str">
        <f t="shared" ca="1" si="19"/>
        <v>__X_</v>
      </c>
      <c r="L441" t="str">
        <f t="shared" ca="1" si="20"/>
        <v/>
      </c>
      <c r="M441" t="str">
        <f>IFERROR(INDEX(Inventory!A:A,MATCH(Scan!A441,Inventory!E:E,0)),"")</f>
        <v/>
      </c>
    </row>
    <row r="442" spans="2:13" x14ac:dyDescent="0.25">
      <c r="B442" t="str">
        <f>IF(IFERROR(VLOOKUP(TRIM(A442),Inventory!E:E,1,0),0)=0,"X","_")</f>
        <v>_</v>
      </c>
      <c r="C442" t="str">
        <f>IF(IFERROR(VLOOKUP(TRIM(A442),'Full Inventory'!F:F,1,0),0)=0,"X","_")</f>
        <v>_</v>
      </c>
      <c r="D442" t="str">
        <f t="shared" si="18"/>
        <v>X</v>
      </c>
      <c r="E442" t="str">
        <f ca="1">IFERROR(IF(AND(B442&amp;C442&amp;D442="___",INDIRECT("Inventory!A"&amp;MATCH(VLOOKUP(A442,Inventory!E:E,1,0),Inventory!E:E,0))&lt;&gt;INDIRECT("'Full Inventory'!B"&amp;MATCH(VLOOKUP(A442,'Full Inventory'!F:F,1,0),'Full Inventory'!F:F,0))),"X","_"),"_")</f>
        <v>_</v>
      </c>
      <c r="K442" t="str">
        <f t="shared" ca="1" si="19"/>
        <v>__X_</v>
      </c>
      <c r="L442" t="str">
        <f t="shared" ca="1" si="20"/>
        <v/>
      </c>
      <c r="M442" t="str">
        <f>IFERROR(INDEX(Inventory!A:A,MATCH(Scan!A442,Inventory!E:E,0)),"")</f>
        <v/>
      </c>
    </row>
    <row r="443" spans="2:13" x14ac:dyDescent="0.25">
      <c r="B443" t="str">
        <f>IF(IFERROR(VLOOKUP(TRIM(A443),Inventory!E:E,1,0),0)=0,"X","_")</f>
        <v>_</v>
      </c>
      <c r="C443" t="str">
        <f>IF(IFERROR(VLOOKUP(TRIM(A443),'Full Inventory'!F:F,1,0),0)=0,"X","_")</f>
        <v>_</v>
      </c>
      <c r="D443" t="str">
        <f t="shared" si="18"/>
        <v>X</v>
      </c>
      <c r="E443" t="str">
        <f ca="1">IFERROR(IF(AND(B443&amp;C443&amp;D443="___",INDIRECT("Inventory!A"&amp;MATCH(VLOOKUP(A443,Inventory!E:E,1,0),Inventory!E:E,0))&lt;&gt;INDIRECT("'Full Inventory'!B"&amp;MATCH(VLOOKUP(A443,'Full Inventory'!F:F,1,0),'Full Inventory'!F:F,0))),"X","_"),"_")</f>
        <v>_</v>
      </c>
      <c r="K443" t="str">
        <f t="shared" ca="1" si="19"/>
        <v>__X_</v>
      </c>
      <c r="L443" t="str">
        <f t="shared" ca="1" si="20"/>
        <v/>
      </c>
      <c r="M443" t="str">
        <f>IFERROR(INDEX(Inventory!A:A,MATCH(Scan!A443,Inventory!E:E,0)),"")</f>
        <v/>
      </c>
    </row>
    <row r="444" spans="2:13" x14ac:dyDescent="0.25">
      <c r="B444" t="str">
        <f>IF(IFERROR(VLOOKUP(TRIM(A444),Inventory!E:E,1,0),0)=0,"X","_")</f>
        <v>_</v>
      </c>
      <c r="C444" t="str">
        <f>IF(IFERROR(VLOOKUP(TRIM(A444),'Full Inventory'!F:F,1,0),0)=0,"X","_")</f>
        <v>_</v>
      </c>
      <c r="D444" t="str">
        <f t="shared" si="18"/>
        <v>X</v>
      </c>
      <c r="E444" t="str">
        <f ca="1">IFERROR(IF(AND(B444&amp;C444&amp;D444="___",INDIRECT("Inventory!A"&amp;MATCH(VLOOKUP(A444,Inventory!E:E,1,0),Inventory!E:E,0))&lt;&gt;INDIRECT("'Full Inventory'!B"&amp;MATCH(VLOOKUP(A444,'Full Inventory'!F:F,1,0),'Full Inventory'!F:F,0))),"X","_"),"_")</f>
        <v>_</v>
      </c>
      <c r="K444" t="str">
        <f t="shared" ca="1" si="19"/>
        <v>__X_</v>
      </c>
      <c r="L444" t="str">
        <f t="shared" ca="1" si="20"/>
        <v/>
      </c>
      <c r="M444" t="str">
        <f>IFERROR(INDEX(Inventory!A:A,MATCH(Scan!A444,Inventory!E:E,0)),"")</f>
        <v/>
      </c>
    </row>
    <row r="445" spans="2:13" x14ac:dyDescent="0.25">
      <c r="B445" t="str">
        <f>IF(IFERROR(VLOOKUP(TRIM(A445),Inventory!E:E,1,0),0)=0,"X","_")</f>
        <v>_</v>
      </c>
      <c r="C445" t="str">
        <f>IF(IFERROR(VLOOKUP(TRIM(A445),'Full Inventory'!F:F,1,0),0)=0,"X","_")</f>
        <v>_</v>
      </c>
      <c r="D445" t="str">
        <f t="shared" si="18"/>
        <v>X</v>
      </c>
      <c r="E445" t="str">
        <f ca="1">IFERROR(IF(AND(B445&amp;C445&amp;D445="___",INDIRECT("Inventory!A"&amp;MATCH(VLOOKUP(A445,Inventory!E:E,1,0),Inventory!E:E,0))&lt;&gt;INDIRECT("'Full Inventory'!B"&amp;MATCH(VLOOKUP(A445,'Full Inventory'!F:F,1,0),'Full Inventory'!F:F,0))),"X","_"),"_")</f>
        <v>_</v>
      </c>
      <c r="K445" t="str">
        <f t="shared" ca="1" si="19"/>
        <v>__X_</v>
      </c>
      <c r="L445" t="str">
        <f t="shared" ca="1" si="20"/>
        <v/>
      </c>
      <c r="M445" t="str">
        <f>IFERROR(INDEX(Inventory!A:A,MATCH(Scan!A445,Inventory!E:E,0)),"")</f>
        <v/>
      </c>
    </row>
    <row r="446" spans="2:13" x14ac:dyDescent="0.25">
      <c r="B446" t="str">
        <f>IF(IFERROR(VLOOKUP(TRIM(A446),Inventory!E:E,1,0),0)=0,"X","_")</f>
        <v>_</v>
      </c>
      <c r="C446" t="str">
        <f>IF(IFERROR(VLOOKUP(TRIM(A446),'Full Inventory'!F:F,1,0),0)=0,"X","_")</f>
        <v>_</v>
      </c>
      <c r="D446" t="str">
        <f t="shared" si="18"/>
        <v>X</v>
      </c>
      <c r="E446" t="str">
        <f ca="1">IFERROR(IF(AND(B446&amp;C446&amp;D446="___",INDIRECT("Inventory!A"&amp;MATCH(VLOOKUP(A446,Inventory!E:E,1,0),Inventory!E:E,0))&lt;&gt;INDIRECT("'Full Inventory'!B"&amp;MATCH(VLOOKUP(A446,'Full Inventory'!F:F,1,0),'Full Inventory'!F:F,0))),"X","_"),"_")</f>
        <v>_</v>
      </c>
      <c r="K446" t="str">
        <f t="shared" ca="1" si="19"/>
        <v>__X_</v>
      </c>
      <c r="L446" t="str">
        <f t="shared" ca="1" si="20"/>
        <v/>
      </c>
      <c r="M446" t="str">
        <f>IFERROR(INDEX(Inventory!A:A,MATCH(Scan!A446,Inventory!E:E,0)),"")</f>
        <v/>
      </c>
    </row>
    <row r="447" spans="2:13" x14ac:dyDescent="0.25">
      <c r="B447" t="str">
        <f>IF(IFERROR(VLOOKUP(TRIM(A447),Inventory!E:E,1,0),0)=0,"X","_")</f>
        <v>_</v>
      </c>
      <c r="C447" t="str">
        <f>IF(IFERROR(VLOOKUP(TRIM(A447),'Full Inventory'!F:F,1,0),0)=0,"X","_")</f>
        <v>_</v>
      </c>
      <c r="D447" t="str">
        <f t="shared" si="18"/>
        <v>X</v>
      </c>
      <c r="E447" t="str">
        <f ca="1">IFERROR(IF(AND(B447&amp;C447&amp;D447="___",INDIRECT("Inventory!A"&amp;MATCH(VLOOKUP(A447,Inventory!E:E,1,0),Inventory!E:E,0))&lt;&gt;INDIRECT("'Full Inventory'!B"&amp;MATCH(VLOOKUP(A447,'Full Inventory'!F:F,1,0),'Full Inventory'!F:F,0))),"X","_"),"_")</f>
        <v>_</v>
      </c>
      <c r="K447" t="str">
        <f t="shared" ca="1" si="19"/>
        <v>__X_</v>
      </c>
      <c r="L447" t="str">
        <f t="shared" ca="1" si="20"/>
        <v/>
      </c>
      <c r="M447" t="str">
        <f>IFERROR(INDEX(Inventory!A:A,MATCH(Scan!A447,Inventory!E:E,0)),"")</f>
        <v/>
      </c>
    </row>
    <row r="448" spans="2:13" x14ac:dyDescent="0.25">
      <c r="B448" t="str">
        <f>IF(IFERROR(VLOOKUP(TRIM(A448),Inventory!E:E,1,0),0)=0,"X","_")</f>
        <v>_</v>
      </c>
      <c r="C448" t="str">
        <f>IF(IFERROR(VLOOKUP(TRIM(A448),'Full Inventory'!F:F,1,0),0)=0,"X","_")</f>
        <v>_</v>
      </c>
      <c r="D448" t="str">
        <f t="shared" si="18"/>
        <v>X</v>
      </c>
      <c r="E448" t="str">
        <f ca="1">IFERROR(IF(AND(B448&amp;C448&amp;D448="___",INDIRECT("Inventory!A"&amp;MATCH(VLOOKUP(A448,Inventory!E:E,1,0),Inventory!E:E,0))&lt;&gt;INDIRECT("'Full Inventory'!B"&amp;MATCH(VLOOKUP(A448,'Full Inventory'!F:F,1,0),'Full Inventory'!F:F,0))),"X","_"),"_")</f>
        <v>_</v>
      </c>
      <c r="K448" t="str">
        <f t="shared" ca="1" si="19"/>
        <v>__X_</v>
      </c>
      <c r="L448" t="str">
        <f t="shared" ca="1" si="20"/>
        <v/>
      </c>
      <c r="M448" t="str">
        <f>IFERROR(INDEX(Inventory!A:A,MATCH(Scan!A448,Inventory!E:E,0)),"")</f>
        <v/>
      </c>
    </row>
    <row r="449" spans="2:13" x14ac:dyDescent="0.25">
      <c r="B449" t="str">
        <f>IF(IFERROR(VLOOKUP(TRIM(A449),Inventory!E:E,1,0),0)=0,"X","_")</f>
        <v>_</v>
      </c>
      <c r="C449" t="str">
        <f>IF(IFERROR(VLOOKUP(TRIM(A449),'Full Inventory'!F:F,1,0),0)=0,"X","_")</f>
        <v>_</v>
      </c>
      <c r="D449" t="str">
        <f t="shared" si="18"/>
        <v>X</v>
      </c>
      <c r="E449" t="str">
        <f ca="1">IFERROR(IF(AND(B449&amp;C449&amp;D449="___",INDIRECT("Inventory!A"&amp;MATCH(VLOOKUP(A449,Inventory!E:E,1,0),Inventory!E:E,0))&lt;&gt;INDIRECT("'Full Inventory'!B"&amp;MATCH(VLOOKUP(A449,'Full Inventory'!F:F,1,0),'Full Inventory'!F:F,0))),"X","_"),"_")</f>
        <v>_</v>
      </c>
      <c r="K449" t="str">
        <f t="shared" ca="1" si="19"/>
        <v>__X_</v>
      </c>
      <c r="L449" t="str">
        <f t="shared" ca="1" si="20"/>
        <v/>
      </c>
      <c r="M449" t="str">
        <f>IFERROR(INDEX(Inventory!A:A,MATCH(Scan!A449,Inventory!E:E,0)),"")</f>
        <v/>
      </c>
    </row>
    <row r="450" spans="2:13" x14ac:dyDescent="0.25">
      <c r="B450" t="str">
        <f>IF(IFERROR(VLOOKUP(TRIM(A450),Inventory!E:E,1,0),0)=0,"X","_")</f>
        <v>_</v>
      </c>
      <c r="C450" t="str">
        <f>IF(IFERROR(VLOOKUP(TRIM(A450),'Full Inventory'!F:F,1,0),0)=0,"X","_")</f>
        <v>_</v>
      </c>
      <c r="D450" t="str">
        <f t="shared" ref="D450:D513" si="21">IF(TRIM(A450)&lt;&gt;"","_","X")</f>
        <v>X</v>
      </c>
      <c r="E450" t="str">
        <f ca="1">IFERROR(IF(AND(B450&amp;C450&amp;D450="___",INDIRECT("Inventory!A"&amp;MATCH(VLOOKUP(A450,Inventory!E:E,1,0),Inventory!E:E,0))&lt;&gt;INDIRECT("'Full Inventory'!B"&amp;MATCH(VLOOKUP(A450,'Full Inventory'!F:F,1,0),'Full Inventory'!F:F,0))),"X","_"),"_")</f>
        <v>_</v>
      </c>
      <c r="K450" t="str">
        <f t="shared" ca="1" si="19"/>
        <v>__X_</v>
      </c>
      <c r="L450" t="str">
        <f t="shared" ca="1" si="20"/>
        <v/>
      </c>
      <c r="M450" t="str">
        <f>IFERROR(INDEX(Inventory!A:A,MATCH(Scan!A450,Inventory!E:E,0)),"")</f>
        <v/>
      </c>
    </row>
    <row r="451" spans="2:13" x14ac:dyDescent="0.25">
      <c r="B451" t="str">
        <f>IF(IFERROR(VLOOKUP(TRIM(A451),Inventory!E:E,1,0),0)=0,"X","_")</f>
        <v>_</v>
      </c>
      <c r="C451" t="str">
        <f>IF(IFERROR(VLOOKUP(TRIM(A451),'Full Inventory'!F:F,1,0),0)=0,"X","_")</f>
        <v>_</v>
      </c>
      <c r="D451" t="str">
        <f t="shared" si="21"/>
        <v>X</v>
      </c>
      <c r="E451" t="str">
        <f ca="1">IFERROR(IF(AND(B451&amp;C451&amp;D451="___",INDIRECT("Inventory!A"&amp;MATCH(VLOOKUP(A451,Inventory!E:E,1,0),Inventory!E:E,0))&lt;&gt;INDIRECT("'Full Inventory'!B"&amp;MATCH(VLOOKUP(A451,'Full Inventory'!F:F,1,0),'Full Inventory'!F:F,0))),"X","_"),"_")</f>
        <v>_</v>
      </c>
      <c r="K451" t="str">
        <f t="shared" ref="K451:K514" ca="1" si="22">B451&amp;C451&amp;D451&amp;E451</f>
        <v>__X_</v>
      </c>
      <c r="L451" t="str">
        <f t="shared" ref="L451:L514" ca="1" si="23">IF(K451="____","OK",IF(K451="_X__","NOT IN FULL INVENTORY",IF(K451="XX__","NOT IN FULL INVENTORY AND INVENTORY",IF(K451="X___","NOT IN INVENTORY",IF(K451="___X","DIFFERENT NAMES IN FULL INVENTORY AND INVENTORY","")))))</f>
        <v/>
      </c>
      <c r="M451" t="str">
        <f>IFERROR(INDEX(Inventory!A:A,MATCH(Scan!A451,Inventory!E:E,0)),"")</f>
        <v/>
      </c>
    </row>
    <row r="452" spans="2:13" x14ac:dyDescent="0.25">
      <c r="B452" t="str">
        <f>IF(IFERROR(VLOOKUP(TRIM(A452),Inventory!E:E,1,0),0)=0,"X","_")</f>
        <v>_</v>
      </c>
      <c r="C452" t="str">
        <f>IF(IFERROR(VLOOKUP(TRIM(A452),'Full Inventory'!F:F,1,0),0)=0,"X","_")</f>
        <v>_</v>
      </c>
      <c r="D452" t="str">
        <f t="shared" si="21"/>
        <v>X</v>
      </c>
      <c r="E452" t="str">
        <f ca="1">IFERROR(IF(AND(B452&amp;C452&amp;D452="___",INDIRECT("Inventory!A"&amp;MATCH(VLOOKUP(A452,Inventory!E:E,1,0),Inventory!E:E,0))&lt;&gt;INDIRECT("'Full Inventory'!B"&amp;MATCH(VLOOKUP(A452,'Full Inventory'!F:F,1,0),'Full Inventory'!F:F,0))),"X","_"),"_")</f>
        <v>_</v>
      </c>
      <c r="K452" t="str">
        <f t="shared" ca="1" si="22"/>
        <v>__X_</v>
      </c>
      <c r="L452" t="str">
        <f t="shared" ca="1" si="23"/>
        <v/>
      </c>
      <c r="M452" t="str">
        <f>IFERROR(INDEX(Inventory!A:A,MATCH(Scan!A452,Inventory!E:E,0)),"")</f>
        <v/>
      </c>
    </row>
    <row r="453" spans="2:13" x14ac:dyDescent="0.25">
      <c r="B453" t="str">
        <f>IF(IFERROR(VLOOKUP(TRIM(A453),Inventory!E:E,1,0),0)=0,"X","_")</f>
        <v>_</v>
      </c>
      <c r="C453" t="str">
        <f>IF(IFERROR(VLOOKUP(TRIM(A453),'Full Inventory'!F:F,1,0),0)=0,"X","_")</f>
        <v>_</v>
      </c>
      <c r="D453" t="str">
        <f t="shared" si="21"/>
        <v>X</v>
      </c>
      <c r="E453" t="str">
        <f ca="1">IFERROR(IF(AND(B453&amp;C453&amp;D453="___",INDIRECT("Inventory!A"&amp;MATCH(VLOOKUP(A453,Inventory!E:E,1,0),Inventory!E:E,0))&lt;&gt;INDIRECT("'Full Inventory'!B"&amp;MATCH(VLOOKUP(A453,'Full Inventory'!F:F,1,0),'Full Inventory'!F:F,0))),"X","_"),"_")</f>
        <v>_</v>
      </c>
      <c r="K453" t="str">
        <f t="shared" ca="1" si="22"/>
        <v>__X_</v>
      </c>
      <c r="L453" t="str">
        <f t="shared" ca="1" si="23"/>
        <v/>
      </c>
      <c r="M453" t="str">
        <f>IFERROR(INDEX(Inventory!A:A,MATCH(Scan!A453,Inventory!E:E,0)),"")</f>
        <v/>
      </c>
    </row>
    <row r="454" spans="2:13" x14ac:dyDescent="0.25">
      <c r="B454" t="str">
        <f>IF(IFERROR(VLOOKUP(TRIM(A454),Inventory!E:E,1,0),0)=0,"X","_")</f>
        <v>_</v>
      </c>
      <c r="C454" t="str">
        <f>IF(IFERROR(VLOOKUP(TRIM(A454),'Full Inventory'!F:F,1,0),0)=0,"X","_")</f>
        <v>_</v>
      </c>
      <c r="D454" t="str">
        <f t="shared" si="21"/>
        <v>X</v>
      </c>
      <c r="E454" t="str">
        <f ca="1">IFERROR(IF(AND(B454&amp;C454&amp;D454="___",INDIRECT("Inventory!A"&amp;MATCH(VLOOKUP(A454,Inventory!E:E,1,0),Inventory!E:E,0))&lt;&gt;INDIRECT("'Full Inventory'!B"&amp;MATCH(VLOOKUP(A454,'Full Inventory'!F:F,1,0),'Full Inventory'!F:F,0))),"X","_"),"_")</f>
        <v>_</v>
      </c>
      <c r="K454" t="str">
        <f t="shared" ca="1" si="22"/>
        <v>__X_</v>
      </c>
      <c r="L454" t="str">
        <f t="shared" ca="1" si="23"/>
        <v/>
      </c>
      <c r="M454" t="str">
        <f>IFERROR(INDEX(Inventory!A:A,MATCH(Scan!A454,Inventory!E:E,0)),"")</f>
        <v/>
      </c>
    </row>
    <row r="455" spans="2:13" x14ac:dyDescent="0.25">
      <c r="B455" t="str">
        <f>IF(IFERROR(VLOOKUP(TRIM(A455),Inventory!E:E,1,0),0)=0,"X","_")</f>
        <v>_</v>
      </c>
      <c r="C455" t="str">
        <f>IF(IFERROR(VLOOKUP(TRIM(A455),'Full Inventory'!F:F,1,0),0)=0,"X","_")</f>
        <v>_</v>
      </c>
      <c r="D455" t="str">
        <f t="shared" si="21"/>
        <v>X</v>
      </c>
      <c r="E455" t="str">
        <f ca="1">IFERROR(IF(AND(B455&amp;C455&amp;D455="___",INDIRECT("Inventory!A"&amp;MATCH(VLOOKUP(A455,Inventory!E:E,1,0),Inventory!E:E,0))&lt;&gt;INDIRECT("'Full Inventory'!B"&amp;MATCH(VLOOKUP(A455,'Full Inventory'!F:F,1,0),'Full Inventory'!F:F,0))),"X","_"),"_")</f>
        <v>_</v>
      </c>
      <c r="K455" t="str">
        <f t="shared" ca="1" si="22"/>
        <v>__X_</v>
      </c>
      <c r="L455" t="str">
        <f t="shared" ca="1" si="23"/>
        <v/>
      </c>
      <c r="M455" t="str">
        <f>IFERROR(INDEX(Inventory!A:A,MATCH(Scan!A455,Inventory!E:E,0)),"")</f>
        <v/>
      </c>
    </row>
    <row r="456" spans="2:13" x14ac:dyDescent="0.25">
      <c r="B456" t="str">
        <f>IF(IFERROR(VLOOKUP(TRIM(A456),Inventory!E:E,1,0),0)=0,"X","_")</f>
        <v>_</v>
      </c>
      <c r="C456" t="str">
        <f>IF(IFERROR(VLOOKUP(TRIM(A456),'Full Inventory'!F:F,1,0),0)=0,"X","_")</f>
        <v>_</v>
      </c>
      <c r="D456" t="str">
        <f t="shared" si="21"/>
        <v>X</v>
      </c>
      <c r="E456" t="str">
        <f ca="1">IFERROR(IF(AND(B456&amp;C456&amp;D456="___",INDIRECT("Inventory!A"&amp;MATCH(VLOOKUP(A456,Inventory!E:E,1,0),Inventory!E:E,0))&lt;&gt;INDIRECT("'Full Inventory'!B"&amp;MATCH(VLOOKUP(A456,'Full Inventory'!F:F,1,0),'Full Inventory'!F:F,0))),"X","_"),"_")</f>
        <v>_</v>
      </c>
      <c r="K456" t="str">
        <f t="shared" ca="1" si="22"/>
        <v>__X_</v>
      </c>
      <c r="L456" t="str">
        <f t="shared" ca="1" si="23"/>
        <v/>
      </c>
      <c r="M456" t="str">
        <f>IFERROR(INDEX(Inventory!A:A,MATCH(Scan!A456,Inventory!E:E,0)),"")</f>
        <v/>
      </c>
    </row>
    <row r="457" spans="2:13" x14ac:dyDescent="0.25">
      <c r="B457" t="str">
        <f>IF(IFERROR(VLOOKUP(TRIM(A457),Inventory!E:E,1,0),0)=0,"X","_")</f>
        <v>_</v>
      </c>
      <c r="C457" t="str">
        <f>IF(IFERROR(VLOOKUP(TRIM(A457),'Full Inventory'!F:F,1,0),0)=0,"X","_")</f>
        <v>_</v>
      </c>
      <c r="D457" t="str">
        <f t="shared" si="21"/>
        <v>X</v>
      </c>
      <c r="E457" t="str">
        <f ca="1">IFERROR(IF(AND(B457&amp;C457&amp;D457="___",INDIRECT("Inventory!A"&amp;MATCH(VLOOKUP(A457,Inventory!E:E,1,0),Inventory!E:E,0))&lt;&gt;INDIRECT("'Full Inventory'!B"&amp;MATCH(VLOOKUP(A457,'Full Inventory'!F:F,1,0),'Full Inventory'!F:F,0))),"X","_"),"_")</f>
        <v>_</v>
      </c>
      <c r="K457" t="str">
        <f t="shared" ca="1" si="22"/>
        <v>__X_</v>
      </c>
      <c r="L457" t="str">
        <f t="shared" ca="1" si="23"/>
        <v/>
      </c>
      <c r="M457" t="str">
        <f>IFERROR(INDEX(Inventory!A:A,MATCH(Scan!A457,Inventory!E:E,0)),"")</f>
        <v/>
      </c>
    </row>
    <row r="458" spans="2:13" x14ac:dyDescent="0.25">
      <c r="B458" t="str">
        <f>IF(IFERROR(VLOOKUP(TRIM(A458),Inventory!E:E,1,0),0)=0,"X","_")</f>
        <v>_</v>
      </c>
      <c r="C458" t="str">
        <f>IF(IFERROR(VLOOKUP(TRIM(A458),'Full Inventory'!F:F,1,0),0)=0,"X","_")</f>
        <v>_</v>
      </c>
      <c r="D458" t="str">
        <f t="shared" si="21"/>
        <v>X</v>
      </c>
      <c r="E458" t="str">
        <f ca="1">IFERROR(IF(AND(B458&amp;C458&amp;D458="___",INDIRECT("Inventory!A"&amp;MATCH(VLOOKUP(A458,Inventory!E:E,1,0),Inventory!E:E,0))&lt;&gt;INDIRECT("'Full Inventory'!B"&amp;MATCH(VLOOKUP(A458,'Full Inventory'!F:F,1,0),'Full Inventory'!F:F,0))),"X","_"),"_")</f>
        <v>_</v>
      </c>
      <c r="K458" t="str">
        <f t="shared" ca="1" si="22"/>
        <v>__X_</v>
      </c>
      <c r="L458" t="str">
        <f t="shared" ca="1" si="23"/>
        <v/>
      </c>
      <c r="M458" t="str">
        <f>IFERROR(INDEX(Inventory!A:A,MATCH(Scan!A458,Inventory!E:E,0)),"")</f>
        <v/>
      </c>
    </row>
    <row r="459" spans="2:13" x14ac:dyDescent="0.25">
      <c r="B459" t="str">
        <f>IF(IFERROR(VLOOKUP(TRIM(A459),Inventory!E:E,1,0),0)=0,"X","_")</f>
        <v>_</v>
      </c>
      <c r="C459" t="str">
        <f>IF(IFERROR(VLOOKUP(TRIM(A459),'Full Inventory'!F:F,1,0),0)=0,"X","_")</f>
        <v>_</v>
      </c>
      <c r="D459" t="str">
        <f t="shared" si="21"/>
        <v>X</v>
      </c>
      <c r="E459" t="str">
        <f ca="1">IFERROR(IF(AND(B459&amp;C459&amp;D459="___",INDIRECT("Inventory!A"&amp;MATCH(VLOOKUP(A459,Inventory!E:E,1,0),Inventory!E:E,0))&lt;&gt;INDIRECT("'Full Inventory'!B"&amp;MATCH(VLOOKUP(A459,'Full Inventory'!F:F,1,0),'Full Inventory'!F:F,0))),"X","_"),"_")</f>
        <v>_</v>
      </c>
      <c r="K459" t="str">
        <f t="shared" ca="1" si="22"/>
        <v>__X_</v>
      </c>
      <c r="L459" t="str">
        <f t="shared" ca="1" si="23"/>
        <v/>
      </c>
      <c r="M459" t="str">
        <f>IFERROR(INDEX(Inventory!A:A,MATCH(Scan!A459,Inventory!E:E,0)),"")</f>
        <v/>
      </c>
    </row>
    <row r="460" spans="2:13" x14ac:dyDescent="0.25">
      <c r="B460" t="str">
        <f>IF(IFERROR(VLOOKUP(TRIM(A460),Inventory!E:E,1,0),0)=0,"X","_")</f>
        <v>_</v>
      </c>
      <c r="C460" t="str">
        <f>IF(IFERROR(VLOOKUP(TRIM(A460),'Full Inventory'!F:F,1,0),0)=0,"X","_")</f>
        <v>_</v>
      </c>
      <c r="D460" t="str">
        <f t="shared" si="21"/>
        <v>X</v>
      </c>
      <c r="E460" t="str">
        <f ca="1">IFERROR(IF(AND(B460&amp;C460&amp;D460="___",INDIRECT("Inventory!A"&amp;MATCH(VLOOKUP(A460,Inventory!E:E,1,0),Inventory!E:E,0))&lt;&gt;INDIRECT("'Full Inventory'!B"&amp;MATCH(VLOOKUP(A460,'Full Inventory'!F:F,1,0),'Full Inventory'!F:F,0))),"X","_"),"_")</f>
        <v>_</v>
      </c>
      <c r="K460" t="str">
        <f t="shared" ca="1" si="22"/>
        <v>__X_</v>
      </c>
      <c r="L460" t="str">
        <f t="shared" ca="1" si="23"/>
        <v/>
      </c>
      <c r="M460" t="str">
        <f>IFERROR(INDEX(Inventory!A:A,MATCH(Scan!A460,Inventory!E:E,0)),"")</f>
        <v/>
      </c>
    </row>
    <row r="461" spans="2:13" x14ac:dyDescent="0.25">
      <c r="B461" t="str">
        <f>IF(IFERROR(VLOOKUP(TRIM(A461),Inventory!E:E,1,0),0)=0,"X","_")</f>
        <v>_</v>
      </c>
      <c r="C461" t="str">
        <f>IF(IFERROR(VLOOKUP(TRIM(A461),'Full Inventory'!F:F,1,0),0)=0,"X","_")</f>
        <v>_</v>
      </c>
      <c r="D461" t="str">
        <f t="shared" si="21"/>
        <v>X</v>
      </c>
      <c r="E461" t="str">
        <f ca="1">IFERROR(IF(AND(B461&amp;C461&amp;D461="___",INDIRECT("Inventory!A"&amp;MATCH(VLOOKUP(A461,Inventory!E:E,1,0),Inventory!E:E,0))&lt;&gt;INDIRECT("'Full Inventory'!B"&amp;MATCH(VLOOKUP(A461,'Full Inventory'!F:F,1,0),'Full Inventory'!F:F,0))),"X","_"),"_")</f>
        <v>_</v>
      </c>
      <c r="K461" t="str">
        <f t="shared" ca="1" si="22"/>
        <v>__X_</v>
      </c>
      <c r="L461" t="str">
        <f t="shared" ca="1" si="23"/>
        <v/>
      </c>
      <c r="M461" t="str">
        <f>IFERROR(INDEX(Inventory!A:A,MATCH(Scan!A461,Inventory!E:E,0)),"")</f>
        <v/>
      </c>
    </row>
    <row r="462" spans="2:13" x14ac:dyDescent="0.25">
      <c r="B462" t="str">
        <f>IF(IFERROR(VLOOKUP(TRIM(A462),Inventory!E:E,1,0),0)=0,"X","_")</f>
        <v>_</v>
      </c>
      <c r="C462" t="str">
        <f>IF(IFERROR(VLOOKUP(TRIM(A462),'Full Inventory'!F:F,1,0),0)=0,"X","_")</f>
        <v>_</v>
      </c>
      <c r="D462" t="str">
        <f t="shared" si="21"/>
        <v>X</v>
      </c>
      <c r="E462" t="str">
        <f ca="1">IFERROR(IF(AND(B462&amp;C462&amp;D462="___",INDIRECT("Inventory!A"&amp;MATCH(VLOOKUP(A462,Inventory!E:E,1,0),Inventory!E:E,0))&lt;&gt;INDIRECT("'Full Inventory'!B"&amp;MATCH(VLOOKUP(A462,'Full Inventory'!F:F,1,0),'Full Inventory'!F:F,0))),"X","_"),"_")</f>
        <v>_</v>
      </c>
      <c r="K462" t="str">
        <f t="shared" ca="1" si="22"/>
        <v>__X_</v>
      </c>
      <c r="L462" t="str">
        <f t="shared" ca="1" si="23"/>
        <v/>
      </c>
      <c r="M462" t="str">
        <f>IFERROR(INDEX(Inventory!A:A,MATCH(Scan!A462,Inventory!E:E,0)),"")</f>
        <v/>
      </c>
    </row>
    <row r="463" spans="2:13" x14ac:dyDescent="0.25">
      <c r="B463" t="str">
        <f>IF(IFERROR(VLOOKUP(TRIM(A463),Inventory!E:E,1,0),0)=0,"X","_")</f>
        <v>_</v>
      </c>
      <c r="C463" t="str">
        <f>IF(IFERROR(VLOOKUP(TRIM(A463),'Full Inventory'!F:F,1,0),0)=0,"X","_")</f>
        <v>_</v>
      </c>
      <c r="D463" t="str">
        <f t="shared" si="21"/>
        <v>X</v>
      </c>
      <c r="E463" t="str">
        <f ca="1">IFERROR(IF(AND(B463&amp;C463&amp;D463="___",INDIRECT("Inventory!A"&amp;MATCH(VLOOKUP(A463,Inventory!E:E,1,0),Inventory!E:E,0))&lt;&gt;INDIRECT("'Full Inventory'!B"&amp;MATCH(VLOOKUP(A463,'Full Inventory'!F:F,1,0),'Full Inventory'!F:F,0))),"X","_"),"_")</f>
        <v>_</v>
      </c>
      <c r="K463" t="str">
        <f t="shared" ca="1" si="22"/>
        <v>__X_</v>
      </c>
      <c r="L463" t="str">
        <f t="shared" ca="1" si="23"/>
        <v/>
      </c>
      <c r="M463" t="str">
        <f>IFERROR(INDEX(Inventory!A:A,MATCH(Scan!A463,Inventory!E:E,0)),"")</f>
        <v/>
      </c>
    </row>
    <row r="464" spans="2:13" x14ac:dyDescent="0.25">
      <c r="B464" t="str">
        <f>IF(IFERROR(VLOOKUP(TRIM(A464),Inventory!E:E,1,0),0)=0,"X","_")</f>
        <v>_</v>
      </c>
      <c r="C464" t="str">
        <f>IF(IFERROR(VLOOKUP(TRIM(A464),'Full Inventory'!F:F,1,0),0)=0,"X","_")</f>
        <v>_</v>
      </c>
      <c r="D464" t="str">
        <f t="shared" si="21"/>
        <v>X</v>
      </c>
      <c r="E464" t="str">
        <f ca="1">IFERROR(IF(AND(B464&amp;C464&amp;D464="___",INDIRECT("Inventory!A"&amp;MATCH(VLOOKUP(A464,Inventory!E:E,1,0),Inventory!E:E,0))&lt;&gt;INDIRECT("'Full Inventory'!B"&amp;MATCH(VLOOKUP(A464,'Full Inventory'!F:F,1,0),'Full Inventory'!F:F,0))),"X","_"),"_")</f>
        <v>_</v>
      </c>
      <c r="K464" t="str">
        <f t="shared" ca="1" si="22"/>
        <v>__X_</v>
      </c>
      <c r="L464" t="str">
        <f t="shared" ca="1" si="23"/>
        <v/>
      </c>
      <c r="M464" t="str">
        <f>IFERROR(INDEX(Inventory!A:A,MATCH(Scan!A464,Inventory!E:E,0)),"")</f>
        <v/>
      </c>
    </row>
    <row r="465" spans="2:13" x14ac:dyDescent="0.25">
      <c r="B465" t="str">
        <f>IF(IFERROR(VLOOKUP(TRIM(A465),Inventory!E:E,1,0),0)=0,"X","_")</f>
        <v>_</v>
      </c>
      <c r="C465" t="str">
        <f>IF(IFERROR(VLOOKUP(TRIM(A465),'Full Inventory'!F:F,1,0),0)=0,"X","_")</f>
        <v>_</v>
      </c>
      <c r="D465" t="str">
        <f t="shared" si="21"/>
        <v>X</v>
      </c>
      <c r="E465" t="str">
        <f ca="1">IFERROR(IF(AND(B465&amp;C465&amp;D465="___",INDIRECT("Inventory!A"&amp;MATCH(VLOOKUP(A465,Inventory!E:E,1,0),Inventory!E:E,0))&lt;&gt;INDIRECT("'Full Inventory'!B"&amp;MATCH(VLOOKUP(A465,'Full Inventory'!F:F,1,0),'Full Inventory'!F:F,0))),"X","_"),"_")</f>
        <v>_</v>
      </c>
      <c r="K465" t="str">
        <f t="shared" ca="1" si="22"/>
        <v>__X_</v>
      </c>
      <c r="L465" t="str">
        <f t="shared" ca="1" si="23"/>
        <v/>
      </c>
      <c r="M465" t="str">
        <f>IFERROR(INDEX(Inventory!A:A,MATCH(Scan!A465,Inventory!E:E,0)),"")</f>
        <v/>
      </c>
    </row>
    <row r="466" spans="2:13" x14ac:dyDescent="0.25">
      <c r="B466" t="str">
        <f>IF(IFERROR(VLOOKUP(TRIM(A466),Inventory!E:E,1,0),0)=0,"X","_")</f>
        <v>_</v>
      </c>
      <c r="C466" t="str">
        <f>IF(IFERROR(VLOOKUP(TRIM(A466),'Full Inventory'!F:F,1,0),0)=0,"X","_")</f>
        <v>_</v>
      </c>
      <c r="D466" t="str">
        <f t="shared" si="21"/>
        <v>X</v>
      </c>
      <c r="E466" t="str">
        <f ca="1">IFERROR(IF(AND(B466&amp;C466&amp;D466="___",INDIRECT("Inventory!A"&amp;MATCH(VLOOKUP(A466,Inventory!E:E,1,0),Inventory!E:E,0))&lt;&gt;INDIRECT("'Full Inventory'!B"&amp;MATCH(VLOOKUP(A466,'Full Inventory'!F:F,1,0),'Full Inventory'!F:F,0))),"X","_"),"_")</f>
        <v>_</v>
      </c>
      <c r="K466" t="str">
        <f t="shared" ca="1" si="22"/>
        <v>__X_</v>
      </c>
      <c r="L466" t="str">
        <f t="shared" ca="1" si="23"/>
        <v/>
      </c>
      <c r="M466" t="str">
        <f>IFERROR(INDEX(Inventory!A:A,MATCH(Scan!A466,Inventory!E:E,0)),"")</f>
        <v/>
      </c>
    </row>
    <row r="467" spans="2:13" x14ac:dyDescent="0.25">
      <c r="B467" t="str">
        <f>IF(IFERROR(VLOOKUP(TRIM(A467),Inventory!E:E,1,0),0)=0,"X","_")</f>
        <v>_</v>
      </c>
      <c r="C467" t="str">
        <f>IF(IFERROR(VLOOKUP(TRIM(A467),'Full Inventory'!F:F,1,0),0)=0,"X","_")</f>
        <v>_</v>
      </c>
      <c r="D467" t="str">
        <f t="shared" si="21"/>
        <v>X</v>
      </c>
      <c r="E467" t="str">
        <f ca="1">IFERROR(IF(AND(B467&amp;C467&amp;D467="___",INDIRECT("Inventory!A"&amp;MATCH(VLOOKUP(A467,Inventory!E:E,1,0),Inventory!E:E,0))&lt;&gt;INDIRECT("'Full Inventory'!B"&amp;MATCH(VLOOKUP(A467,'Full Inventory'!F:F,1,0),'Full Inventory'!F:F,0))),"X","_"),"_")</f>
        <v>_</v>
      </c>
      <c r="K467" t="str">
        <f t="shared" ca="1" si="22"/>
        <v>__X_</v>
      </c>
      <c r="L467" t="str">
        <f t="shared" ca="1" si="23"/>
        <v/>
      </c>
      <c r="M467" t="str">
        <f>IFERROR(INDEX(Inventory!A:A,MATCH(Scan!A467,Inventory!E:E,0)),"")</f>
        <v/>
      </c>
    </row>
    <row r="468" spans="2:13" x14ac:dyDescent="0.25">
      <c r="B468" t="str">
        <f>IF(IFERROR(VLOOKUP(TRIM(A468),Inventory!E:E,1,0),0)=0,"X","_")</f>
        <v>_</v>
      </c>
      <c r="C468" t="str">
        <f>IF(IFERROR(VLOOKUP(TRIM(A468),'Full Inventory'!F:F,1,0),0)=0,"X","_")</f>
        <v>_</v>
      </c>
      <c r="D468" t="str">
        <f t="shared" si="21"/>
        <v>X</v>
      </c>
      <c r="E468" t="str">
        <f ca="1">IFERROR(IF(AND(B468&amp;C468&amp;D468="___",INDIRECT("Inventory!A"&amp;MATCH(VLOOKUP(A468,Inventory!E:E,1,0),Inventory!E:E,0))&lt;&gt;INDIRECT("'Full Inventory'!B"&amp;MATCH(VLOOKUP(A468,'Full Inventory'!F:F,1,0),'Full Inventory'!F:F,0))),"X","_"),"_")</f>
        <v>_</v>
      </c>
      <c r="K468" t="str">
        <f t="shared" ca="1" si="22"/>
        <v>__X_</v>
      </c>
      <c r="L468" t="str">
        <f t="shared" ca="1" si="23"/>
        <v/>
      </c>
      <c r="M468" t="str">
        <f>IFERROR(INDEX(Inventory!A:A,MATCH(Scan!A468,Inventory!E:E,0)),"")</f>
        <v/>
      </c>
    </row>
    <row r="469" spans="2:13" x14ac:dyDescent="0.25">
      <c r="B469" t="str">
        <f>IF(IFERROR(VLOOKUP(TRIM(A469),Inventory!E:E,1,0),0)=0,"X","_")</f>
        <v>_</v>
      </c>
      <c r="C469" t="str">
        <f>IF(IFERROR(VLOOKUP(TRIM(A469),'Full Inventory'!F:F,1,0),0)=0,"X","_")</f>
        <v>_</v>
      </c>
      <c r="D469" t="str">
        <f t="shared" si="21"/>
        <v>X</v>
      </c>
      <c r="E469" t="str">
        <f ca="1">IFERROR(IF(AND(B469&amp;C469&amp;D469="___",INDIRECT("Inventory!A"&amp;MATCH(VLOOKUP(A469,Inventory!E:E,1,0),Inventory!E:E,0))&lt;&gt;INDIRECT("'Full Inventory'!B"&amp;MATCH(VLOOKUP(A469,'Full Inventory'!F:F,1,0),'Full Inventory'!F:F,0))),"X","_"),"_")</f>
        <v>_</v>
      </c>
      <c r="K469" t="str">
        <f t="shared" ca="1" si="22"/>
        <v>__X_</v>
      </c>
      <c r="L469" t="str">
        <f t="shared" ca="1" si="23"/>
        <v/>
      </c>
      <c r="M469" t="str">
        <f>IFERROR(INDEX(Inventory!A:A,MATCH(Scan!A469,Inventory!E:E,0)),"")</f>
        <v/>
      </c>
    </row>
    <row r="470" spans="2:13" x14ac:dyDescent="0.25">
      <c r="B470" t="str">
        <f>IF(IFERROR(VLOOKUP(TRIM(A470),Inventory!E:E,1,0),0)=0,"X","_")</f>
        <v>_</v>
      </c>
      <c r="C470" t="str">
        <f>IF(IFERROR(VLOOKUP(TRIM(A470),'Full Inventory'!F:F,1,0),0)=0,"X","_")</f>
        <v>_</v>
      </c>
      <c r="D470" t="str">
        <f t="shared" si="21"/>
        <v>X</v>
      </c>
      <c r="E470" t="str">
        <f ca="1">IFERROR(IF(AND(B470&amp;C470&amp;D470="___",INDIRECT("Inventory!A"&amp;MATCH(VLOOKUP(A470,Inventory!E:E,1,0),Inventory!E:E,0))&lt;&gt;INDIRECT("'Full Inventory'!B"&amp;MATCH(VLOOKUP(A470,'Full Inventory'!F:F,1,0),'Full Inventory'!F:F,0))),"X","_"),"_")</f>
        <v>_</v>
      </c>
      <c r="K470" t="str">
        <f t="shared" ca="1" si="22"/>
        <v>__X_</v>
      </c>
      <c r="L470" t="str">
        <f t="shared" ca="1" si="23"/>
        <v/>
      </c>
      <c r="M470" t="str">
        <f>IFERROR(INDEX(Inventory!A:A,MATCH(Scan!A470,Inventory!E:E,0)),"")</f>
        <v/>
      </c>
    </row>
    <row r="471" spans="2:13" x14ac:dyDescent="0.25">
      <c r="B471" t="str">
        <f>IF(IFERROR(VLOOKUP(TRIM(A471),Inventory!E:E,1,0),0)=0,"X","_")</f>
        <v>_</v>
      </c>
      <c r="C471" t="str">
        <f>IF(IFERROR(VLOOKUP(TRIM(A471),'Full Inventory'!F:F,1,0),0)=0,"X","_")</f>
        <v>_</v>
      </c>
      <c r="D471" t="str">
        <f t="shared" si="21"/>
        <v>X</v>
      </c>
      <c r="E471" t="str">
        <f ca="1">IFERROR(IF(AND(B471&amp;C471&amp;D471="___",INDIRECT("Inventory!A"&amp;MATCH(VLOOKUP(A471,Inventory!E:E,1,0),Inventory!E:E,0))&lt;&gt;INDIRECT("'Full Inventory'!B"&amp;MATCH(VLOOKUP(A471,'Full Inventory'!F:F,1,0),'Full Inventory'!F:F,0))),"X","_"),"_")</f>
        <v>_</v>
      </c>
      <c r="K471" t="str">
        <f t="shared" ca="1" si="22"/>
        <v>__X_</v>
      </c>
      <c r="L471" t="str">
        <f t="shared" ca="1" si="23"/>
        <v/>
      </c>
      <c r="M471" t="str">
        <f>IFERROR(INDEX(Inventory!A:A,MATCH(Scan!A471,Inventory!E:E,0)),"")</f>
        <v/>
      </c>
    </row>
    <row r="472" spans="2:13" x14ac:dyDescent="0.25">
      <c r="B472" t="str">
        <f>IF(IFERROR(VLOOKUP(TRIM(A472),Inventory!E:E,1,0),0)=0,"X","_")</f>
        <v>_</v>
      </c>
      <c r="C472" t="str">
        <f>IF(IFERROR(VLOOKUP(TRIM(A472),'Full Inventory'!F:F,1,0),0)=0,"X","_")</f>
        <v>_</v>
      </c>
      <c r="D472" t="str">
        <f t="shared" si="21"/>
        <v>X</v>
      </c>
      <c r="E472" t="str">
        <f ca="1">IFERROR(IF(AND(B472&amp;C472&amp;D472="___",INDIRECT("Inventory!A"&amp;MATCH(VLOOKUP(A472,Inventory!E:E,1,0),Inventory!E:E,0))&lt;&gt;INDIRECT("'Full Inventory'!B"&amp;MATCH(VLOOKUP(A472,'Full Inventory'!F:F,1,0),'Full Inventory'!F:F,0))),"X","_"),"_")</f>
        <v>_</v>
      </c>
      <c r="K472" t="str">
        <f t="shared" ca="1" si="22"/>
        <v>__X_</v>
      </c>
      <c r="L472" t="str">
        <f t="shared" ca="1" si="23"/>
        <v/>
      </c>
      <c r="M472" t="str">
        <f>IFERROR(INDEX(Inventory!A:A,MATCH(Scan!A472,Inventory!E:E,0)),"")</f>
        <v/>
      </c>
    </row>
    <row r="473" spans="2:13" x14ac:dyDescent="0.25">
      <c r="B473" t="str">
        <f>IF(IFERROR(VLOOKUP(TRIM(A473),Inventory!E:E,1,0),0)=0,"X","_")</f>
        <v>_</v>
      </c>
      <c r="C473" t="str">
        <f>IF(IFERROR(VLOOKUP(TRIM(A473),'Full Inventory'!F:F,1,0),0)=0,"X","_")</f>
        <v>_</v>
      </c>
      <c r="D473" t="str">
        <f t="shared" si="21"/>
        <v>X</v>
      </c>
      <c r="E473" t="str">
        <f ca="1">IFERROR(IF(AND(B473&amp;C473&amp;D473="___",INDIRECT("Inventory!A"&amp;MATCH(VLOOKUP(A473,Inventory!E:E,1,0),Inventory!E:E,0))&lt;&gt;INDIRECT("'Full Inventory'!B"&amp;MATCH(VLOOKUP(A473,'Full Inventory'!F:F,1,0),'Full Inventory'!F:F,0))),"X","_"),"_")</f>
        <v>_</v>
      </c>
      <c r="K473" t="str">
        <f t="shared" ca="1" si="22"/>
        <v>__X_</v>
      </c>
      <c r="L473" t="str">
        <f t="shared" ca="1" si="23"/>
        <v/>
      </c>
      <c r="M473" t="str">
        <f>IFERROR(INDEX(Inventory!A:A,MATCH(Scan!A473,Inventory!E:E,0)),"")</f>
        <v/>
      </c>
    </row>
    <row r="474" spans="2:13" x14ac:dyDescent="0.25">
      <c r="B474" t="str">
        <f>IF(IFERROR(VLOOKUP(TRIM(A474),Inventory!E:E,1,0),0)=0,"X","_")</f>
        <v>_</v>
      </c>
      <c r="C474" t="str">
        <f>IF(IFERROR(VLOOKUP(TRIM(A474),'Full Inventory'!F:F,1,0),0)=0,"X","_")</f>
        <v>_</v>
      </c>
      <c r="D474" t="str">
        <f t="shared" si="21"/>
        <v>X</v>
      </c>
      <c r="E474" t="str">
        <f ca="1">IFERROR(IF(AND(B474&amp;C474&amp;D474="___",INDIRECT("Inventory!A"&amp;MATCH(VLOOKUP(A474,Inventory!E:E,1,0),Inventory!E:E,0))&lt;&gt;INDIRECT("'Full Inventory'!B"&amp;MATCH(VLOOKUP(A474,'Full Inventory'!F:F,1,0),'Full Inventory'!F:F,0))),"X","_"),"_")</f>
        <v>_</v>
      </c>
      <c r="K474" t="str">
        <f t="shared" ca="1" si="22"/>
        <v>__X_</v>
      </c>
      <c r="L474" t="str">
        <f t="shared" ca="1" si="23"/>
        <v/>
      </c>
      <c r="M474" t="str">
        <f>IFERROR(INDEX(Inventory!A:A,MATCH(Scan!A474,Inventory!E:E,0)),"")</f>
        <v/>
      </c>
    </row>
    <row r="475" spans="2:13" x14ac:dyDescent="0.25">
      <c r="B475" t="str">
        <f>IF(IFERROR(VLOOKUP(TRIM(A475),Inventory!E:E,1,0),0)=0,"X","_")</f>
        <v>_</v>
      </c>
      <c r="C475" t="str">
        <f>IF(IFERROR(VLOOKUP(TRIM(A475),'Full Inventory'!F:F,1,0),0)=0,"X","_")</f>
        <v>_</v>
      </c>
      <c r="D475" t="str">
        <f t="shared" si="21"/>
        <v>X</v>
      </c>
      <c r="E475" t="str">
        <f ca="1">IFERROR(IF(AND(B475&amp;C475&amp;D475="___",INDIRECT("Inventory!A"&amp;MATCH(VLOOKUP(A475,Inventory!E:E,1,0),Inventory!E:E,0))&lt;&gt;INDIRECT("'Full Inventory'!B"&amp;MATCH(VLOOKUP(A475,'Full Inventory'!F:F,1,0),'Full Inventory'!F:F,0))),"X","_"),"_")</f>
        <v>_</v>
      </c>
      <c r="K475" t="str">
        <f t="shared" ca="1" si="22"/>
        <v>__X_</v>
      </c>
      <c r="L475" t="str">
        <f t="shared" ca="1" si="23"/>
        <v/>
      </c>
      <c r="M475" t="str">
        <f>IFERROR(INDEX(Inventory!A:A,MATCH(Scan!A475,Inventory!E:E,0)),"")</f>
        <v/>
      </c>
    </row>
    <row r="476" spans="2:13" x14ac:dyDescent="0.25">
      <c r="B476" t="str">
        <f>IF(IFERROR(VLOOKUP(TRIM(A476),Inventory!E:E,1,0),0)=0,"X","_")</f>
        <v>_</v>
      </c>
      <c r="C476" t="str">
        <f>IF(IFERROR(VLOOKUP(TRIM(A476),'Full Inventory'!F:F,1,0),0)=0,"X","_")</f>
        <v>_</v>
      </c>
      <c r="D476" t="str">
        <f t="shared" si="21"/>
        <v>X</v>
      </c>
      <c r="E476" t="str">
        <f ca="1">IFERROR(IF(AND(B476&amp;C476&amp;D476="___",INDIRECT("Inventory!A"&amp;MATCH(VLOOKUP(A476,Inventory!E:E,1,0),Inventory!E:E,0))&lt;&gt;INDIRECT("'Full Inventory'!B"&amp;MATCH(VLOOKUP(A476,'Full Inventory'!F:F,1,0),'Full Inventory'!F:F,0))),"X","_"),"_")</f>
        <v>_</v>
      </c>
      <c r="K476" t="str">
        <f t="shared" ca="1" si="22"/>
        <v>__X_</v>
      </c>
      <c r="L476" t="str">
        <f t="shared" ca="1" si="23"/>
        <v/>
      </c>
      <c r="M476" t="str">
        <f>IFERROR(INDEX(Inventory!A:A,MATCH(Scan!A476,Inventory!E:E,0)),"")</f>
        <v/>
      </c>
    </row>
    <row r="477" spans="2:13" x14ac:dyDescent="0.25">
      <c r="B477" t="str">
        <f>IF(IFERROR(VLOOKUP(TRIM(A477),Inventory!E:E,1,0),0)=0,"X","_")</f>
        <v>_</v>
      </c>
      <c r="C477" t="str">
        <f>IF(IFERROR(VLOOKUP(TRIM(A477),'Full Inventory'!F:F,1,0),0)=0,"X","_")</f>
        <v>_</v>
      </c>
      <c r="D477" t="str">
        <f t="shared" si="21"/>
        <v>X</v>
      </c>
      <c r="E477" t="str">
        <f ca="1">IFERROR(IF(AND(B477&amp;C477&amp;D477="___",INDIRECT("Inventory!A"&amp;MATCH(VLOOKUP(A477,Inventory!E:E,1,0),Inventory!E:E,0))&lt;&gt;INDIRECT("'Full Inventory'!B"&amp;MATCH(VLOOKUP(A477,'Full Inventory'!F:F,1,0),'Full Inventory'!F:F,0))),"X","_"),"_")</f>
        <v>_</v>
      </c>
      <c r="K477" t="str">
        <f t="shared" ca="1" si="22"/>
        <v>__X_</v>
      </c>
      <c r="L477" t="str">
        <f t="shared" ca="1" si="23"/>
        <v/>
      </c>
      <c r="M477" t="str">
        <f>IFERROR(INDEX(Inventory!A:A,MATCH(Scan!A477,Inventory!E:E,0)),"")</f>
        <v/>
      </c>
    </row>
    <row r="478" spans="2:13" x14ac:dyDescent="0.25">
      <c r="B478" t="str">
        <f>IF(IFERROR(VLOOKUP(TRIM(A478),Inventory!E:E,1,0),0)=0,"X","_")</f>
        <v>_</v>
      </c>
      <c r="C478" t="str">
        <f>IF(IFERROR(VLOOKUP(TRIM(A478),'Full Inventory'!F:F,1,0),0)=0,"X","_")</f>
        <v>_</v>
      </c>
      <c r="D478" t="str">
        <f t="shared" si="21"/>
        <v>X</v>
      </c>
      <c r="E478" t="str">
        <f ca="1">IFERROR(IF(AND(B478&amp;C478&amp;D478="___",INDIRECT("Inventory!A"&amp;MATCH(VLOOKUP(A478,Inventory!E:E,1,0),Inventory!E:E,0))&lt;&gt;INDIRECT("'Full Inventory'!B"&amp;MATCH(VLOOKUP(A478,'Full Inventory'!F:F,1,0),'Full Inventory'!F:F,0))),"X","_"),"_")</f>
        <v>_</v>
      </c>
      <c r="K478" t="str">
        <f t="shared" ca="1" si="22"/>
        <v>__X_</v>
      </c>
      <c r="L478" t="str">
        <f t="shared" ca="1" si="23"/>
        <v/>
      </c>
      <c r="M478" t="str">
        <f>IFERROR(INDEX(Inventory!A:A,MATCH(Scan!A478,Inventory!E:E,0)),"")</f>
        <v/>
      </c>
    </row>
    <row r="479" spans="2:13" x14ac:dyDescent="0.25">
      <c r="B479" t="str">
        <f>IF(IFERROR(VLOOKUP(TRIM(A479),Inventory!E:E,1,0),0)=0,"X","_")</f>
        <v>_</v>
      </c>
      <c r="C479" t="str">
        <f>IF(IFERROR(VLOOKUP(TRIM(A479),'Full Inventory'!F:F,1,0),0)=0,"X","_")</f>
        <v>_</v>
      </c>
      <c r="D479" t="str">
        <f t="shared" si="21"/>
        <v>X</v>
      </c>
      <c r="E479" t="str">
        <f ca="1">IFERROR(IF(AND(B479&amp;C479&amp;D479="___",INDIRECT("Inventory!A"&amp;MATCH(VLOOKUP(A479,Inventory!E:E,1,0),Inventory!E:E,0))&lt;&gt;INDIRECT("'Full Inventory'!B"&amp;MATCH(VLOOKUP(A479,'Full Inventory'!F:F,1,0),'Full Inventory'!F:F,0))),"X","_"),"_")</f>
        <v>_</v>
      </c>
      <c r="K479" t="str">
        <f t="shared" ca="1" si="22"/>
        <v>__X_</v>
      </c>
      <c r="L479" t="str">
        <f t="shared" ca="1" si="23"/>
        <v/>
      </c>
      <c r="M479" t="str">
        <f>IFERROR(INDEX(Inventory!A:A,MATCH(Scan!A479,Inventory!E:E,0)),"")</f>
        <v/>
      </c>
    </row>
    <row r="480" spans="2:13" x14ac:dyDescent="0.25">
      <c r="B480" t="str">
        <f>IF(IFERROR(VLOOKUP(TRIM(A480),Inventory!E:E,1,0),0)=0,"X","_")</f>
        <v>_</v>
      </c>
      <c r="C480" t="str">
        <f>IF(IFERROR(VLOOKUP(TRIM(A480),'Full Inventory'!F:F,1,0),0)=0,"X","_")</f>
        <v>_</v>
      </c>
      <c r="D480" t="str">
        <f t="shared" si="21"/>
        <v>X</v>
      </c>
      <c r="E480" t="str">
        <f ca="1">IFERROR(IF(AND(B480&amp;C480&amp;D480="___",INDIRECT("Inventory!A"&amp;MATCH(VLOOKUP(A480,Inventory!E:E,1,0),Inventory!E:E,0))&lt;&gt;INDIRECT("'Full Inventory'!B"&amp;MATCH(VLOOKUP(A480,'Full Inventory'!F:F,1,0),'Full Inventory'!F:F,0))),"X","_"),"_")</f>
        <v>_</v>
      </c>
      <c r="K480" t="str">
        <f t="shared" ca="1" si="22"/>
        <v>__X_</v>
      </c>
      <c r="L480" t="str">
        <f t="shared" ca="1" si="23"/>
        <v/>
      </c>
      <c r="M480" t="str">
        <f>IFERROR(INDEX(Inventory!A:A,MATCH(Scan!A480,Inventory!E:E,0)),"")</f>
        <v/>
      </c>
    </row>
    <row r="481" spans="2:13" x14ac:dyDescent="0.25">
      <c r="B481" t="str">
        <f>IF(IFERROR(VLOOKUP(TRIM(A481),Inventory!E:E,1,0),0)=0,"X","_")</f>
        <v>_</v>
      </c>
      <c r="C481" t="str">
        <f>IF(IFERROR(VLOOKUP(TRIM(A481),'Full Inventory'!F:F,1,0),0)=0,"X","_")</f>
        <v>_</v>
      </c>
      <c r="D481" t="str">
        <f t="shared" si="21"/>
        <v>X</v>
      </c>
      <c r="E481" t="str">
        <f ca="1">IFERROR(IF(AND(B481&amp;C481&amp;D481="___",INDIRECT("Inventory!A"&amp;MATCH(VLOOKUP(A481,Inventory!E:E,1,0),Inventory!E:E,0))&lt;&gt;INDIRECT("'Full Inventory'!B"&amp;MATCH(VLOOKUP(A481,'Full Inventory'!F:F,1,0),'Full Inventory'!F:F,0))),"X","_"),"_")</f>
        <v>_</v>
      </c>
      <c r="K481" t="str">
        <f t="shared" ca="1" si="22"/>
        <v>__X_</v>
      </c>
      <c r="L481" t="str">
        <f t="shared" ca="1" si="23"/>
        <v/>
      </c>
      <c r="M481" t="str">
        <f>IFERROR(INDEX(Inventory!A:A,MATCH(Scan!A481,Inventory!E:E,0)),"")</f>
        <v/>
      </c>
    </row>
    <row r="482" spans="2:13" x14ac:dyDescent="0.25">
      <c r="B482" t="str">
        <f>IF(IFERROR(VLOOKUP(TRIM(A482),Inventory!E:E,1,0),0)=0,"X","_")</f>
        <v>_</v>
      </c>
      <c r="C482" t="str">
        <f>IF(IFERROR(VLOOKUP(TRIM(A482),'Full Inventory'!F:F,1,0),0)=0,"X","_")</f>
        <v>_</v>
      </c>
      <c r="D482" t="str">
        <f t="shared" si="21"/>
        <v>X</v>
      </c>
      <c r="E482" t="str">
        <f ca="1">IFERROR(IF(AND(B482&amp;C482&amp;D482="___",INDIRECT("Inventory!A"&amp;MATCH(VLOOKUP(A482,Inventory!E:E,1,0),Inventory!E:E,0))&lt;&gt;INDIRECT("'Full Inventory'!B"&amp;MATCH(VLOOKUP(A482,'Full Inventory'!F:F,1,0),'Full Inventory'!F:F,0))),"X","_"),"_")</f>
        <v>_</v>
      </c>
      <c r="K482" t="str">
        <f t="shared" ca="1" si="22"/>
        <v>__X_</v>
      </c>
      <c r="L482" t="str">
        <f t="shared" ca="1" si="23"/>
        <v/>
      </c>
      <c r="M482" t="str">
        <f>IFERROR(INDEX(Inventory!A:A,MATCH(Scan!A482,Inventory!E:E,0)),"")</f>
        <v/>
      </c>
    </row>
    <row r="483" spans="2:13" x14ac:dyDescent="0.25">
      <c r="B483" t="str">
        <f>IF(IFERROR(VLOOKUP(TRIM(A483),Inventory!E:E,1,0),0)=0,"X","_")</f>
        <v>_</v>
      </c>
      <c r="C483" t="str">
        <f>IF(IFERROR(VLOOKUP(TRIM(A483),'Full Inventory'!F:F,1,0),0)=0,"X","_")</f>
        <v>_</v>
      </c>
      <c r="D483" t="str">
        <f t="shared" si="21"/>
        <v>X</v>
      </c>
      <c r="E483" t="str">
        <f ca="1">IFERROR(IF(AND(B483&amp;C483&amp;D483="___",INDIRECT("Inventory!A"&amp;MATCH(VLOOKUP(A483,Inventory!E:E,1,0),Inventory!E:E,0))&lt;&gt;INDIRECT("'Full Inventory'!B"&amp;MATCH(VLOOKUP(A483,'Full Inventory'!F:F,1,0),'Full Inventory'!F:F,0))),"X","_"),"_")</f>
        <v>_</v>
      </c>
      <c r="K483" t="str">
        <f t="shared" ca="1" si="22"/>
        <v>__X_</v>
      </c>
      <c r="L483" t="str">
        <f t="shared" ca="1" si="23"/>
        <v/>
      </c>
      <c r="M483" t="str">
        <f>IFERROR(INDEX(Inventory!A:A,MATCH(Scan!A483,Inventory!E:E,0)),"")</f>
        <v/>
      </c>
    </row>
    <row r="484" spans="2:13" x14ac:dyDescent="0.25">
      <c r="B484" t="str">
        <f>IF(IFERROR(VLOOKUP(TRIM(A484),Inventory!E:E,1,0),0)=0,"X","_")</f>
        <v>_</v>
      </c>
      <c r="C484" t="str">
        <f>IF(IFERROR(VLOOKUP(TRIM(A484),'Full Inventory'!F:F,1,0),0)=0,"X","_")</f>
        <v>_</v>
      </c>
      <c r="D484" t="str">
        <f t="shared" si="21"/>
        <v>X</v>
      </c>
      <c r="E484" t="str">
        <f ca="1">IFERROR(IF(AND(B484&amp;C484&amp;D484="___",INDIRECT("Inventory!A"&amp;MATCH(VLOOKUP(A484,Inventory!E:E,1,0),Inventory!E:E,0))&lt;&gt;INDIRECT("'Full Inventory'!B"&amp;MATCH(VLOOKUP(A484,'Full Inventory'!F:F,1,0),'Full Inventory'!F:F,0))),"X","_"),"_")</f>
        <v>_</v>
      </c>
      <c r="K484" t="str">
        <f t="shared" ca="1" si="22"/>
        <v>__X_</v>
      </c>
      <c r="L484" t="str">
        <f t="shared" ca="1" si="23"/>
        <v/>
      </c>
      <c r="M484" t="str">
        <f>IFERROR(INDEX(Inventory!A:A,MATCH(Scan!A484,Inventory!E:E,0)),"")</f>
        <v/>
      </c>
    </row>
    <row r="485" spans="2:13" x14ac:dyDescent="0.25">
      <c r="B485" t="str">
        <f>IF(IFERROR(VLOOKUP(TRIM(A485),Inventory!E:E,1,0),0)=0,"X","_")</f>
        <v>_</v>
      </c>
      <c r="C485" t="str">
        <f>IF(IFERROR(VLOOKUP(TRIM(A485),'Full Inventory'!F:F,1,0),0)=0,"X","_")</f>
        <v>_</v>
      </c>
      <c r="D485" t="str">
        <f t="shared" si="21"/>
        <v>X</v>
      </c>
      <c r="E485" t="str">
        <f ca="1">IFERROR(IF(AND(B485&amp;C485&amp;D485="___",INDIRECT("Inventory!A"&amp;MATCH(VLOOKUP(A485,Inventory!E:E,1,0),Inventory!E:E,0))&lt;&gt;INDIRECT("'Full Inventory'!B"&amp;MATCH(VLOOKUP(A485,'Full Inventory'!F:F,1,0),'Full Inventory'!F:F,0))),"X","_"),"_")</f>
        <v>_</v>
      </c>
      <c r="K485" t="str">
        <f t="shared" ca="1" si="22"/>
        <v>__X_</v>
      </c>
      <c r="L485" t="str">
        <f t="shared" ca="1" si="23"/>
        <v/>
      </c>
      <c r="M485" t="str">
        <f>IFERROR(INDEX(Inventory!A:A,MATCH(Scan!A485,Inventory!E:E,0)),"")</f>
        <v/>
      </c>
    </row>
    <row r="486" spans="2:13" x14ac:dyDescent="0.25">
      <c r="B486" t="str">
        <f>IF(IFERROR(VLOOKUP(TRIM(A486),Inventory!E:E,1,0),0)=0,"X","_")</f>
        <v>_</v>
      </c>
      <c r="C486" t="str">
        <f>IF(IFERROR(VLOOKUP(TRIM(A486),'Full Inventory'!F:F,1,0),0)=0,"X","_")</f>
        <v>_</v>
      </c>
      <c r="D486" t="str">
        <f t="shared" si="21"/>
        <v>X</v>
      </c>
      <c r="E486" t="str">
        <f ca="1">IFERROR(IF(AND(B486&amp;C486&amp;D486="___",INDIRECT("Inventory!A"&amp;MATCH(VLOOKUP(A486,Inventory!E:E,1,0),Inventory!E:E,0))&lt;&gt;INDIRECT("'Full Inventory'!B"&amp;MATCH(VLOOKUP(A486,'Full Inventory'!F:F,1,0),'Full Inventory'!F:F,0))),"X","_"),"_")</f>
        <v>_</v>
      </c>
      <c r="K486" t="str">
        <f t="shared" ca="1" si="22"/>
        <v>__X_</v>
      </c>
      <c r="L486" t="str">
        <f t="shared" ca="1" si="23"/>
        <v/>
      </c>
      <c r="M486" t="str">
        <f>IFERROR(INDEX(Inventory!A:A,MATCH(Scan!A486,Inventory!E:E,0)),"")</f>
        <v/>
      </c>
    </row>
    <row r="487" spans="2:13" x14ac:dyDescent="0.25">
      <c r="B487" t="str">
        <f>IF(IFERROR(VLOOKUP(TRIM(A487),Inventory!E:E,1,0),0)=0,"X","_")</f>
        <v>_</v>
      </c>
      <c r="C487" t="str">
        <f>IF(IFERROR(VLOOKUP(TRIM(A487),'Full Inventory'!F:F,1,0),0)=0,"X","_")</f>
        <v>_</v>
      </c>
      <c r="D487" t="str">
        <f t="shared" si="21"/>
        <v>X</v>
      </c>
      <c r="E487" t="str">
        <f ca="1">IFERROR(IF(AND(B487&amp;C487&amp;D487="___",INDIRECT("Inventory!A"&amp;MATCH(VLOOKUP(A487,Inventory!E:E,1,0),Inventory!E:E,0))&lt;&gt;INDIRECT("'Full Inventory'!B"&amp;MATCH(VLOOKUP(A487,'Full Inventory'!F:F,1,0),'Full Inventory'!F:F,0))),"X","_"),"_")</f>
        <v>_</v>
      </c>
      <c r="K487" t="str">
        <f t="shared" ca="1" si="22"/>
        <v>__X_</v>
      </c>
      <c r="L487" t="str">
        <f t="shared" ca="1" si="23"/>
        <v/>
      </c>
      <c r="M487" t="str">
        <f>IFERROR(INDEX(Inventory!A:A,MATCH(Scan!A487,Inventory!E:E,0)),"")</f>
        <v/>
      </c>
    </row>
    <row r="488" spans="2:13" x14ac:dyDescent="0.25">
      <c r="B488" t="str">
        <f>IF(IFERROR(VLOOKUP(TRIM(A488),Inventory!E:E,1,0),0)=0,"X","_")</f>
        <v>_</v>
      </c>
      <c r="C488" t="str">
        <f>IF(IFERROR(VLOOKUP(TRIM(A488),'Full Inventory'!F:F,1,0),0)=0,"X","_")</f>
        <v>_</v>
      </c>
      <c r="D488" t="str">
        <f t="shared" si="21"/>
        <v>X</v>
      </c>
      <c r="E488" t="str">
        <f ca="1">IFERROR(IF(AND(B488&amp;C488&amp;D488="___",INDIRECT("Inventory!A"&amp;MATCH(VLOOKUP(A488,Inventory!E:E,1,0),Inventory!E:E,0))&lt;&gt;INDIRECT("'Full Inventory'!B"&amp;MATCH(VLOOKUP(A488,'Full Inventory'!F:F,1,0),'Full Inventory'!F:F,0))),"X","_"),"_")</f>
        <v>_</v>
      </c>
      <c r="K488" t="str">
        <f t="shared" ca="1" si="22"/>
        <v>__X_</v>
      </c>
      <c r="L488" t="str">
        <f t="shared" ca="1" si="23"/>
        <v/>
      </c>
      <c r="M488" t="str">
        <f>IFERROR(INDEX(Inventory!A:A,MATCH(Scan!A488,Inventory!E:E,0)),"")</f>
        <v/>
      </c>
    </row>
    <row r="489" spans="2:13" x14ac:dyDescent="0.25">
      <c r="B489" t="str">
        <f>IF(IFERROR(VLOOKUP(TRIM(A489),Inventory!E:E,1,0),0)=0,"X","_")</f>
        <v>_</v>
      </c>
      <c r="C489" t="str">
        <f>IF(IFERROR(VLOOKUP(TRIM(A489),'Full Inventory'!F:F,1,0),0)=0,"X","_")</f>
        <v>_</v>
      </c>
      <c r="D489" t="str">
        <f t="shared" si="21"/>
        <v>X</v>
      </c>
      <c r="E489" t="str">
        <f ca="1">IFERROR(IF(AND(B489&amp;C489&amp;D489="___",INDIRECT("Inventory!A"&amp;MATCH(VLOOKUP(A489,Inventory!E:E,1,0),Inventory!E:E,0))&lt;&gt;INDIRECT("'Full Inventory'!B"&amp;MATCH(VLOOKUP(A489,'Full Inventory'!F:F,1,0),'Full Inventory'!F:F,0))),"X","_"),"_")</f>
        <v>_</v>
      </c>
      <c r="K489" t="str">
        <f t="shared" ca="1" si="22"/>
        <v>__X_</v>
      </c>
      <c r="L489" t="str">
        <f t="shared" ca="1" si="23"/>
        <v/>
      </c>
      <c r="M489" t="str">
        <f>IFERROR(INDEX(Inventory!A:A,MATCH(Scan!A489,Inventory!E:E,0)),"")</f>
        <v/>
      </c>
    </row>
    <row r="490" spans="2:13" x14ac:dyDescent="0.25">
      <c r="B490" t="str">
        <f>IF(IFERROR(VLOOKUP(TRIM(A490),Inventory!E:E,1,0),0)=0,"X","_")</f>
        <v>_</v>
      </c>
      <c r="C490" t="str">
        <f>IF(IFERROR(VLOOKUP(TRIM(A490),'Full Inventory'!F:F,1,0),0)=0,"X","_")</f>
        <v>_</v>
      </c>
      <c r="D490" t="str">
        <f t="shared" si="21"/>
        <v>X</v>
      </c>
      <c r="E490" t="str">
        <f ca="1">IFERROR(IF(AND(B490&amp;C490&amp;D490="___",INDIRECT("Inventory!A"&amp;MATCH(VLOOKUP(A490,Inventory!E:E,1,0),Inventory!E:E,0))&lt;&gt;INDIRECT("'Full Inventory'!B"&amp;MATCH(VLOOKUP(A490,'Full Inventory'!F:F,1,0),'Full Inventory'!F:F,0))),"X","_"),"_")</f>
        <v>_</v>
      </c>
      <c r="K490" t="str">
        <f t="shared" ca="1" si="22"/>
        <v>__X_</v>
      </c>
      <c r="L490" t="str">
        <f t="shared" ca="1" si="23"/>
        <v/>
      </c>
      <c r="M490" t="str">
        <f>IFERROR(INDEX(Inventory!A:A,MATCH(Scan!A490,Inventory!E:E,0)),"")</f>
        <v/>
      </c>
    </row>
    <row r="491" spans="2:13" x14ac:dyDescent="0.25">
      <c r="B491" t="str">
        <f>IF(IFERROR(VLOOKUP(TRIM(A491),Inventory!E:E,1,0),0)=0,"X","_")</f>
        <v>_</v>
      </c>
      <c r="C491" t="str">
        <f>IF(IFERROR(VLOOKUP(TRIM(A491),'Full Inventory'!F:F,1,0),0)=0,"X","_")</f>
        <v>_</v>
      </c>
      <c r="D491" t="str">
        <f t="shared" si="21"/>
        <v>X</v>
      </c>
      <c r="E491" t="str">
        <f ca="1">IFERROR(IF(AND(B491&amp;C491&amp;D491="___",INDIRECT("Inventory!A"&amp;MATCH(VLOOKUP(A491,Inventory!E:E,1,0),Inventory!E:E,0))&lt;&gt;INDIRECT("'Full Inventory'!B"&amp;MATCH(VLOOKUP(A491,'Full Inventory'!F:F,1,0),'Full Inventory'!F:F,0))),"X","_"),"_")</f>
        <v>_</v>
      </c>
      <c r="K491" t="str">
        <f t="shared" ca="1" si="22"/>
        <v>__X_</v>
      </c>
      <c r="L491" t="str">
        <f t="shared" ca="1" si="23"/>
        <v/>
      </c>
      <c r="M491" t="str">
        <f>IFERROR(INDEX(Inventory!A:A,MATCH(Scan!A491,Inventory!E:E,0)),"")</f>
        <v/>
      </c>
    </row>
    <row r="492" spans="2:13" x14ac:dyDescent="0.25">
      <c r="B492" t="str">
        <f>IF(IFERROR(VLOOKUP(TRIM(A492),Inventory!E:E,1,0),0)=0,"X","_")</f>
        <v>_</v>
      </c>
      <c r="C492" t="str">
        <f>IF(IFERROR(VLOOKUP(TRIM(A492),'Full Inventory'!F:F,1,0),0)=0,"X","_")</f>
        <v>_</v>
      </c>
      <c r="D492" t="str">
        <f t="shared" si="21"/>
        <v>X</v>
      </c>
      <c r="E492" t="str">
        <f ca="1">IFERROR(IF(AND(B492&amp;C492&amp;D492="___",INDIRECT("Inventory!A"&amp;MATCH(VLOOKUP(A492,Inventory!E:E,1,0),Inventory!E:E,0))&lt;&gt;INDIRECT("'Full Inventory'!B"&amp;MATCH(VLOOKUP(A492,'Full Inventory'!F:F,1,0),'Full Inventory'!F:F,0))),"X","_"),"_")</f>
        <v>_</v>
      </c>
      <c r="K492" t="str">
        <f t="shared" ca="1" si="22"/>
        <v>__X_</v>
      </c>
      <c r="L492" t="str">
        <f t="shared" ca="1" si="23"/>
        <v/>
      </c>
      <c r="M492" t="str">
        <f>IFERROR(INDEX(Inventory!A:A,MATCH(Scan!A492,Inventory!E:E,0)),"")</f>
        <v/>
      </c>
    </row>
    <row r="493" spans="2:13" x14ac:dyDescent="0.25">
      <c r="B493" t="str">
        <f>IF(IFERROR(VLOOKUP(TRIM(A493),Inventory!E:E,1,0),0)=0,"X","_")</f>
        <v>_</v>
      </c>
      <c r="C493" t="str">
        <f>IF(IFERROR(VLOOKUP(TRIM(A493),'Full Inventory'!F:F,1,0),0)=0,"X","_")</f>
        <v>_</v>
      </c>
      <c r="D493" t="str">
        <f t="shared" si="21"/>
        <v>X</v>
      </c>
      <c r="E493" t="str">
        <f ca="1">IFERROR(IF(AND(B493&amp;C493&amp;D493="___",INDIRECT("Inventory!A"&amp;MATCH(VLOOKUP(A493,Inventory!E:E,1,0),Inventory!E:E,0))&lt;&gt;INDIRECT("'Full Inventory'!B"&amp;MATCH(VLOOKUP(A493,'Full Inventory'!F:F,1,0),'Full Inventory'!F:F,0))),"X","_"),"_")</f>
        <v>_</v>
      </c>
      <c r="K493" t="str">
        <f t="shared" ca="1" si="22"/>
        <v>__X_</v>
      </c>
      <c r="L493" t="str">
        <f t="shared" ca="1" si="23"/>
        <v/>
      </c>
      <c r="M493" t="str">
        <f>IFERROR(INDEX(Inventory!A:A,MATCH(Scan!A493,Inventory!E:E,0)),"")</f>
        <v/>
      </c>
    </row>
    <row r="494" spans="2:13" x14ac:dyDescent="0.25">
      <c r="B494" t="str">
        <f>IF(IFERROR(VLOOKUP(TRIM(A494),Inventory!E:E,1,0),0)=0,"X","_")</f>
        <v>_</v>
      </c>
      <c r="C494" t="str">
        <f>IF(IFERROR(VLOOKUP(TRIM(A494),'Full Inventory'!F:F,1,0),0)=0,"X","_")</f>
        <v>_</v>
      </c>
      <c r="D494" t="str">
        <f t="shared" si="21"/>
        <v>X</v>
      </c>
      <c r="E494" t="str">
        <f ca="1">IFERROR(IF(AND(B494&amp;C494&amp;D494="___",INDIRECT("Inventory!A"&amp;MATCH(VLOOKUP(A494,Inventory!E:E,1,0),Inventory!E:E,0))&lt;&gt;INDIRECT("'Full Inventory'!B"&amp;MATCH(VLOOKUP(A494,'Full Inventory'!F:F,1,0),'Full Inventory'!F:F,0))),"X","_"),"_")</f>
        <v>_</v>
      </c>
      <c r="K494" t="str">
        <f t="shared" ca="1" si="22"/>
        <v>__X_</v>
      </c>
      <c r="L494" t="str">
        <f t="shared" ca="1" si="23"/>
        <v/>
      </c>
      <c r="M494" t="str">
        <f>IFERROR(INDEX(Inventory!A:A,MATCH(Scan!A494,Inventory!E:E,0)),"")</f>
        <v/>
      </c>
    </row>
    <row r="495" spans="2:13" x14ac:dyDescent="0.25">
      <c r="B495" t="str">
        <f>IF(IFERROR(VLOOKUP(TRIM(A495),Inventory!E:E,1,0),0)=0,"X","_")</f>
        <v>_</v>
      </c>
      <c r="C495" t="str">
        <f>IF(IFERROR(VLOOKUP(TRIM(A495),'Full Inventory'!F:F,1,0),0)=0,"X","_")</f>
        <v>_</v>
      </c>
      <c r="D495" t="str">
        <f t="shared" si="21"/>
        <v>X</v>
      </c>
      <c r="E495" t="str">
        <f ca="1">IFERROR(IF(AND(B495&amp;C495&amp;D495="___",INDIRECT("Inventory!A"&amp;MATCH(VLOOKUP(A495,Inventory!E:E,1,0),Inventory!E:E,0))&lt;&gt;INDIRECT("'Full Inventory'!B"&amp;MATCH(VLOOKUP(A495,'Full Inventory'!F:F,1,0),'Full Inventory'!F:F,0))),"X","_"),"_")</f>
        <v>_</v>
      </c>
      <c r="K495" t="str">
        <f t="shared" ca="1" si="22"/>
        <v>__X_</v>
      </c>
      <c r="L495" t="str">
        <f t="shared" ca="1" si="23"/>
        <v/>
      </c>
      <c r="M495" t="str">
        <f>IFERROR(INDEX(Inventory!A:A,MATCH(Scan!A495,Inventory!E:E,0)),"")</f>
        <v/>
      </c>
    </row>
    <row r="496" spans="2:13" x14ac:dyDescent="0.25">
      <c r="B496" t="str">
        <f>IF(IFERROR(VLOOKUP(TRIM(A496),Inventory!E:E,1,0),0)=0,"X","_")</f>
        <v>_</v>
      </c>
      <c r="C496" t="str">
        <f>IF(IFERROR(VLOOKUP(TRIM(A496),'Full Inventory'!F:F,1,0),0)=0,"X","_")</f>
        <v>_</v>
      </c>
      <c r="D496" t="str">
        <f t="shared" si="21"/>
        <v>X</v>
      </c>
      <c r="E496" t="str">
        <f ca="1">IFERROR(IF(AND(B496&amp;C496&amp;D496="___",INDIRECT("Inventory!A"&amp;MATCH(VLOOKUP(A496,Inventory!E:E,1,0),Inventory!E:E,0))&lt;&gt;INDIRECT("'Full Inventory'!B"&amp;MATCH(VLOOKUP(A496,'Full Inventory'!F:F,1,0),'Full Inventory'!F:F,0))),"X","_"),"_")</f>
        <v>_</v>
      </c>
      <c r="K496" t="str">
        <f t="shared" ca="1" si="22"/>
        <v>__X_</v>
      </c>
      <c r="L496" t="str">
        <f t="shared" ca="1" si="23"/>
        <v/>
      </c>
      <c r="M496" t="str">
        <f>IFERROR(INDEX(Inventory!A:A,MATCH(Scan!A496,Inventory!E:E,0)),"")</f>
        <v/>
      </c>
    </row>
    <row r="497" spans="2:13" x14ac:dyDescent="0.25">
      <c r="B497" t="str">
        <f>IF(IFERROR(VLOOKUP(TRIM(A497),Inventory!E:E,1,0),0)=0,"X","_")</f>
        <v>_</v>
      </c>
      <c r="C497" t="str">
        <f>IF(IFERROR(VLOOKUP(TRIM(A497),'Full Inventory'!F:F,1,0),0)=0,"X","_")</f>
        <v>_</v>
      </c>
      <c r="D497" t="str">
        <f t="shared" si="21"/>
        <v>X</v>
      </c>
      <c r="E497" t="str">
        <f ca="1">IFERROR(IF(AND(B497&amp;C497&amp;D497="___",INDIRECT("Inventory!A"&amp;MATCH(VLOOKUP(A497,Inventory!E:E,1,0),Inventory!E:E,0))&lt;&gt;INDIRECT("'Full Inventory'!B"&amp;MATCH(VLOOKUP(A497,'Full Inventory'!F:F,1,0),'Full Inventory'!F:F,0))),"X","_"),"_")</f>
        <v>_</v>
      </c>
      <c r="K497" t="str">
        <f t="shared" ca="1" si="22"/>
        <v>__X_</v>
      </c>
      <c r="L497" t="str">
        <f t="shared" ca="1" si="23"/>
        <v/>
      </c>
      <c r="M497" t="str">
        <f>IFERROR(INDEX(Inventory!A:A,MATCH(Scan!A497,Inventory!E:E,0)),"")</f>
        <v/>
      </c>
    </row>
    <row r="498" spans="2:13" x14ac:dyDescent="0.25">
      <c r="B498" t="str">
        <f>IF(IFERROR(VLOOKUP(TRIM(A498),Inventory!E:E,1,0),0)=0,"X","_")</f>
        <v>_</v>
      </c>
      <c r="C498" t="str">
        <f>IF(IFERROR(VLOOKUP(TRIM(A498),'Full Inventory'!F:F,1,0),0)=0,"X","_")</f>
        <v>_</v>
      </c>
      <c r="D498" t="str">
        <f t="shared" si="21"/>
        <v>X</v>
      </c>
      <c r="E498" t="str">
        <f ca="1">IFERROR(IF(AND(B498&amp;C498&amp;D498="___",INDIRECT("Inventory!A"&amp;MATCH(VLOOKUP(A498,Inventory!E:E,1,0),Inventory!E:E,0))&lt;&gt;INDIRECT("'Full Inventory'!B"&amp;MATCH(VLOOKUP(A498,'Full Inventory'!F:F,1,0),'Full Inventory'!F:F,0))),"X","_"),"_")</f>
        <v>_</v>
      </c>
      <c r="K498" t="str">
        <f t="shared" ca="1" si="22"/>
        <v>__X_</v>
      </c>
      <c r="L498" t="str">
        <f t="shared" ca="1" si="23"/>
        <v/>
      </c>
      <c r="M498" t="str">
        <f>IFERROR(INDEX(Inventory!A:A,MATCH(Scan!A498,Inventory!E:E,0)),"")</f>
        <v/>
      </c>
    </row>
    <row r="499" spans="2:13" x14ac:dyDescent="0.25">
      <c r="B499" t="str">
        <f>IF(IFERROR(VLOOKUP(TRIM(A499),Inventory!E:E,1,0),0)=0,"X","_")</f>
        <v>_</v>
      </c>
      <c r="C499" t="str">
        <f>IF(IFERROR(VLOOKUP(TRIM(A499),'Full Inventory'!F:F,1,0),0)=0,"X","_")</f>
        <v>_</v>
      </c>
      <c r="D499" t="str">
        <f t="shared" si="21"/>
        <v>X</v>
      </c>
      <c r="E499" t="str">
        <f ca="1">IFERROR(IF(AND(B499&amp;C499&amp;D499="___",INDIRECT("Inventory!A"&amp;MATCH(VLOOKUP(A499,Inventory!E:E,1,0),Inventory!E:E,0))&lt;&gt;INDIRECT("'Full Inventory'!B"&amp;MATCH(VLOOKUP(A499,'Full Inventory'!F:F,1,0),'Full Inventory'!F:F,0))),"X","_"),"_")</f>
        <v>_</v>
      </c>
      <c r="K499" t="str">
        <f t="shared" ca="1" si="22"/>
        <v>__X_</v>
      </c>
      <c r="L499" t="str">
        <f t="shared" ca="1" si="23"/>
        <v/>
      </c>
      <c r="M499" t="str">
        <f>IFERROR(INDEX(Inventory!A:A,MATCH(Scan!A499,Inventory!E:E,0)),"")</f>
        <v/>
      </c>
    </row>
    <row r="500" spans="2:13" x14ac:dyDescent="0.25">
      <c r="B500" t="str">
        <f>IF(IFERROR(VLOOKUP(TRIM(A500),Inventory!E:E,1,0),0)=0,"X","_")</f>
        <v>_</v>
      </c>
      <c r="C500" t="str">
        <f>IF(IFERROR(VLOOKUP(TRIM(A500),'Full Inventory'!F:F,1,0),0)=0,"X","_")</f>
        <v>_</v>
      </c>
      <c r="D500" t="str">
        <f t="shared" si="21"/>
        <v>X</v>
      </c>
      <c r="E500" t="str">
        <f ca="1">IFERROR(IF(AND(B500&amp;C500&amp;D500="___",INDIRECT("Inventory!A"&amp;MATCH(VLOOKUP(A500,Inventory!E:E,1,0),Inventory!E:E,0))&lt;&gt;INDIRECT("'Full Inventory'!B"&amp;MATCH(VLOOKUP(A500,'Full Inventory'!F:F,1,0),'Full Inventory'!F:F,0))),"X","_"),"_")</f>
        <v>_</v>
      </c>
      <c r="K500" t="str">
        <f t="shared" ca="1" si="22"/>
        <v>__X_</v>
      </c>
      <c r="L500" t="str">
        <f t="shared" ca="1" si="23"/>
        <v/>
      </c>
      <c r="M500" t="str">
        <f>IFERROR(INDEX(Inventory!A:A,MATCH(Scan!A500,Inventory!E:E,0)),"")</f>
        <v/>
      </c>
    </row>
    <row r="501" spans="2:13" x14ac:dyDescent="0.25">
      <c r="B501" t="str">
        <f>IF(IFERROR(VLOOKUP(TRIM(A501),Inventory!E:E,1,0),0)=0,"X","_")</f>
        <v>_</v>
      </c>
      <c r="C501" t="str">
        <f>IF(IFERROR(VLOOKUP(TRIM(A501),'Full Inventory'!F:F,1,0),0)=0,"X","_")</f>
        <v>_</v>
      </c>
      <c r="D501" t="str">
        <f t="shared" si="21"/>
        <v>X</v>
      </c>
      <c r="E501" t="str">
        <f ca="1">IFERROR(IF(AND(B501&amp;C501&amp;D501="___",INDIRECT("Inventory!A"&amp;MATCH(VLOOKUP(A501,Inventory!E:E,1,0),Inventory!E:E,0))&lt;&gt;INDIRECT("'Full Inventory'!B"&amp;MATCH(VLOOKUP(A501,'Full Inventory'!F:F,1,0),'Full Inventory'!F:F,0))),"X","_"),"_")</f>
        <v>_</v>
      </c>
      <c r="K501" t="str">
        <f t="shared" ca="1" si="22"/>
        <v>__X_</v>
      </c>
      <c r="L501" t="str">
        <f t="shared" ca="1" si="23"/>
        <v/>
      </c>
      <c r="M501" t="str">
        <f>IFERROR(INDEX(Inventory!A:A,MATCH(Scan!A501,Inventory!E:E,0)),"")</f>
        <v/>
      </c>
    </row>
    <row r="502" spans="2:13" x14ac:dyDescent="0.25">
      <c r="B502" t="str">
        <f>IF(IFERROR(VLOOKUP(TRIM(A502),Inventory!E:E,1,0),0)=0,"X","_")</f>
        <v>_</v>
      </c>
      <c r="C502" t="str">
        <f>IF(IFERROR(VLOOKUP(TRIM(A502),'Full Inventory'!F:F,1,0),0)=0,"X","_")</f>
        <v>_</v>
      </c>
      <c r="D502" t="str">
        <f t="shared" si="21"/>
        <v>X</v>
      </c>
      <c r="E502" t="str">
        <f ca="1">IFERROR(IF(AND(B502&amp;C502&amp;D502="___",INDIRECT("Inventory!A"&amp;MATCH(VLOOKUP(A502,Inventory!E:E,1,0),Inventory!E:E,0))&lt;&gt;INDIRECT("'Full Inventory'!B"&amp;MATCH(VLOOKUP(A502,'Full Inventory'!F:F,1,0),'Full Inventory'!F:F,0))),"X","_"),"_")</f>
        <v>_</v>
      </c>
      <c r="K502" t="str">
        <f t="shared" ca="1" si="22"/>
        <v>__X_</v>
      </c>
      <c r="L502" t="str">
        <f t="shared" ca="1" si="23"/>
        <v/>
      </c>
      <c r="M502" t="str">
        <f>IFERROR(INDEX(Inventory!A:A,MATCH(Scan!A502,Inventory!E:E,0)),"")</f>
        <v/>
      </c>
    </row>
    <row r="503" spans="2:13" x14ac:dyDescent="0.25">
      <c r="B503" t="str">
        <f>IF(IFERROR(VLOOKUP(TRIM(A503),Inventory!E:E,1,0),0)=0,"X","_")</f>
        <v>_</v>
      </c>
      <c r="C503" t="str">
        <f>IF(IFERROR(VLOOKUP(TRIM(A503),'Full Inventory'!F:F,1,0),0)=0,"X","_")</f>
        <v>_</v>
      </c>
      <c r="D503" t="str">
        <f t="shared" si="21"/>
        <v>X</v>
      </c>
      <c r="E503" t="str">
        <f ca="1">IFERROR(IF(AND(B503&amp;C503&amp;D503="___",INDIRECT("Inventory!A"&amp;MATCH(VLOOKUP(A503,Inventory!E:E,1,0),Inventory!E:E,0))&lt;&gt;INDIRECT("'Full Inventory'!B"&amp;MATCH(VLOOKUP(A503,'Full Inventory'!F:F,1,0),'Full Inventory'!F:F,0))),"X","_"),"_")</f>
        <v>_</v>
      </c>
      <c r="K503" t="str">
        <f t="shared" ca="1" si="22"/>
        <v>__X_</v>
      </c>
      <c r="L503" t="str">
        <f t="shared" ca="1" si="23"/>
        <v/>
      </c>
      <c r="M503" t="str">
        <f>IFERROR(INDEX(Inventory!A:A,MATCH(Scan!A503,Inventory!E:E,0)),"")</f>
        <v/>
      </c>
    </row>
    <row r="504" spans="2:13" x14ac:dyDescent="0.25">
      <c r="B504" t="str">
        <f>IF(IFERROR(VLOOKUP(TRIM(A504),Inventory!E:E,1,0),0)=0,"X","_")</f>
        <v>_</v>
      </c>
      <c r="C504" t="str">
        <f>IF(IFERROR(VLOOKUP(TRIM(A504),'Full Inventory'!F:F,1,0),0)=0,"X","_")</f>
        <v>_</v>
      </c>
      <c r="D504" t="str">
        <f t="shared" si="21"/>
        <v>X</v>
      </c>
      <c r="E504" t="str">
        <f ca="1">IFERROR(IF(AND(B504&amp;C504&amp;D504="___",INDIRECT("Inventory!A"&amp;MATCH(VLOOKUP(A504,Inventory!E:E,1,0),Inventory!E:E,0))&lt;&gt;INDIRECT("'Full Inventory'!B"&amp;MATCH(VLOOKUP(A504,'Full Inventory'!F:F,1,0),'Full Inventory'!F:F,0))),"X","_"),"_")</f>
        <v>_</v>
      </c>
      <c r="K504" t="str">
        <f t="shared" ca="1" si="22"/>
        <v>__X_</v>
      </c>
      <c r="L504" t="str">
        <f t="shared" ca="1" si="23"/>
        <v/>
      </c>
      <c r="M504" t="str">
        <f>IFERROR(INDEX(Inventory!A:A,MATCH(Scan!A504,Inventory!E:E,0)),"")</f>
        <v/>
      </c>
    </row>
    <row r="505" spans="2:13" x14ac:dyDescent="0.25">
      <c r="B505" t="str">
        <f>IF(IFERROR(VLOOKUP(TRIM(A505),Inventory!E:E,1,0),0)=0,"X","_")</f>
        <v>_</v>
      </c>
      <c r="C505" t="str">
        <f>IF(IFERROR(VLOOKUP(TRIM(A505),'Full Inventory'!F:F,1,0),0)=0,"X","_")</f>
        <v>_</v>
      </c>
      <c r="D505" t="str">
        <f t="shared" si="21"/>
        <v>X</v>
      </c>
      <c r="E505" t="str">
        <f ca="1">IFERROR(IF(AND(B505&amp;C505&amp;D505="___",INDIRECT("Inventory!A"&amp;MATCH(VLOOKUP(A505,Inventory!E:E,1,0),Inventory!E:E,0))&lt;&gt;INDIRECT("'Full Inventory'!B"&amp;MATCH(VLOOKUP(A505,'Full Inventory'!F:F,1,0),'Full Inventory'!F:F,0))),"X","_"),"_")</f>
        <v>_</v>
      </c>
      <c r="K505" t="str">
        <f t="shared" ca="1" si="22"/>
        <v>__X_</v>
      </c>
      <c r="L505" t="str">
        <f t="shared" ca="1" si="23"/>
        <v/>
      </c>
      <c r="M505" t="str">
        <f>IFERROR(INDEX(Inventory!A:A,MATCH(Scan!A505,Inventory!E:E,0)),"")</f>
        <v/>
      </c>
    </row>
    <row r="506" spans="2:13" x14ac:dyDescent="0.25">
      <c r="B506" t="str">
        <f>IF(IFERROR(VLOOKUP(TRIM(A506),Inventory!E:E,1,0),0)=0,"X","_")</f>
        <v>_</v>
      </c>
      <c r="C506" t="str">
        <f>IF(IFERROR(VLOOKUP(TRIM(A506),'Full Inventory'!F:F,1,0),0)=0,"X","_")</f>
        <v>_</v>
      </c>
      <c r="D506" t="str">
        <f t="shared" si="21"/>
        <v>X</v>
      </c>
      <c r="E506" t="str">
        <f ca="1">IFERROR(IF(AND(B506&amp;C506&amp;D506="___",INDIRECT("Inventory!A"&amp;MATCH(VLOOKUP(A506,Inventory!E:E,1,0),Inventory!E:E,0))&lt;&gt;INDIRECT("'Full Inventory'!B"&amp;MATCH(VLOOKUP(A506,'Full Inventory'!F:F,1,0),'Full Inventory'!F:F,0))),"X","_"),"_")</f>
        <v>_</v>
      </c>
      <c r="K506" t="str">
        <f t="shared" ca="1" si="22"/>
        <v>__X_</v>
      </c>
      <c r="L506" t="str">
        <f t="shared" ca="1" si="23"/>
        <v/>
      </c>
      <c r="M506" t="str">
        <f>IFERROR(INDEX(Inventory!A:A,MATCH(Scan!A506,Inventory!E:E,0)),"")</f>
        <v/>
      </c>
    </row>
    <row r="507" spans="2:13" x14ac:dyDescent="0.25">
      <c r="B507" t="str">
        <f>IF(IFERROR(VLOOKUP(TRIM(A507),Inventory!E:E,1,0),0)=0,"X","_")</f>
        <v>_</v>
      </c>
      <c r="C507" t="str">
        <f>IF(IFERROR(VLOOKUP(TRIM(A507),'Full Inventory'!F:F,1,0),0)=0,"X","_")</f>
        <v>_</v>
      </c>
      <c r="D507" t="str">
        <f t="shared" si="21"/>
        <v>X</v>
      </c>
      <c r="E507" t="str">
        <f ca="1">IFERROR(IF(AND(B507&amp;C507&amp;D507="___",INDIRECT("Inventory!A"&amp;MATCH(VLOOKUP(A507,Inventory!E:E,1,0),Inventory!E:E,0))&lt;&gt;INDIRECT("'Full Inventory'!B"&amp;MATCH(VLOOKUP(A507,'Full Inventory'!F:F,1,0),'Full Inventory'!F:F,0))),"X","_"),"_")</f>
        <v>_</v>
      </c>
      <c r="K507" t="str">
        <f t="shared" ca="1" si="22"/>
        <v>__X_</v>
      </c>
      <c r="L507" t="str">
        <f t="shared" ca="1" si="23"/>
        <v/>
      </c>
      <c r="M507" t="str">
        <f>IFERROR(INDEX(Inventory!A:A,MATCH(Scan!A507,Inventory!E:E,0)),"")</f>
        <v/>
      </c>
    </row>
    <row r="508" spans="2:13" x14ac:dyDescent="0.25">
      <c r="B508" t="str">
        <f>IF(IFERROR(VLOOKUP(TRIM(A508),Inventory!E:E,1,0),0)=0,"X","_")</f>
        <v>_</v>
      </c>
      <c r="C508" t="str">
        <f>IF(IFERROR(VLOOKUP(TRIM(A508),'Full Inventory'!F:F,1,0),0)=0,"X","_")</f>
        <v>_</v>
      </c>
      <c r="D508" t="str">
        <f t="shared" si="21"/>
        <v>X</v>
      </c>
      <c r="E508" t="str">
        <f ca="1">IFERROR(IF(AND(B508&amp;C508&amp;D508="___",INDIRECT("Inventory!A"&amp;MATCH(VLOOKUP(A508,Inventory!E:E,1,0),Inventory!E:E,0))&lt;&gt;INDIRECT("'Full Inventory'!B"&amp;MATCH(VLOOKUP(A508,'Full Inventory'!F:F,1,0),'Full Inventory'!F:F,0))),"X","_"),"_")</f>
        <v>_</v>
      </c>
      <c r="K508" t="str">
        <f t="shared" ca="1" si="22"/>
        <v>__X_</v>
      </c>
      <c r="L508" t="str">
        <f t="shared" ca="1" si="23"/>
        <v/>
      </c>
      <c r="M508" t="str">
        <f>IFERROR(INDEX(Inventory!A:A,MATCH(Scan!A508,Inventory!E:E,0)),"")</f>
        <v/>
      </c>
    </row>
    <row r="509" spans="2:13" x14ac:dyDescent="0.25">
      <c r="B509" t="str">
        <f>IF(IFERROR(VLOOKUP(TRIM(A509),Inventory!E:E,1,0),0)=0,"X","_")</f>
        <v>_</v>
      </c>
      <c r="C509" t="str">
        <f>IF(IFERROR(VLOOKUP(TRIM(A509),'Full Inventory'!F:F,1,0),0)=0,"X","_")</f>
        <v>_</v>
      </c>
      <c r="D509" t="str">
        <f t="shared" si="21"/>
        <v>X</v>
      </c>
      <c r="E509" t="str">
        <f ca="1">IFERROR(IF(AND(B509&amp;C509&amp;D509="___",INDIRECT("Inventory!A"&amp;MATCH(VLOOKUP(A509,Inventory!E:E,1,0),Inventory!E:E,0))&lt;&gt;INDIRECT("'Full Inventory'!B"&amp;MATCH(VLOOKUP(A509,'Full Inventory'!F:F,1,0),'Full Inventory'!F:F,0))),"X","_"),"_")</f>
        <v>_</v>
      </c>
      <c r="K509" t="str">
        <f t="shared" ca="1" si="22"/>
        <v>__X_</v>
      </c>
      <c r="L509" t="str">
        <f t="shared" ca="1" si="23"/>
        <v/>
      </c>
      <c r="M509" t="str">
        <f>IFERROR(INDEX(Inventory!A:A,MATCH(Scan!A509,Inventory!E:E,0)),"")</f>
        <v/>
      </c>
    </row>
    <row r="510" spans="2:13" x14ac:dyDescent="0.25">
      <c r="B510" t="str">
        <f>IF(IFERROR(VLOOKUP(TRIM(A510),Inventory!E:E,1,0),0)=0,"X","_")</f>
        <v>_</v>
      </c>
      <c r="C510" t="str">
        <f>IF(IFERROR(VLOOKUP(TRIM(A510),'Full Inventory'!F:F,1,0),0)=0,"X","_")</f>
        <v>_</v>
      </c>
      <c r="D510" t="str">
        <f t="shared" si="21"/>
        <v>X</v>
      </c>
      <c r="E510" t="str">
        <f ca="1">IFERROR(IF(AND(B510&amp;C510&amp;D510="___",INDIRECT("Inventory!A"&amp;MATCH(VLOOKUP(A510,Inventory!E:E,1,0),Inventory!E:E,0))&lt;&gt;INDIRECT("'Full Inventory'!B"&amp;MATCH(VLOOKUP(A510,'Full Inventory'!F:F,1,0),'Full Inventory'!F:F,0))),"X","_"),"_")</f>
        <v>_</v>
      </c>
      <c r="K510" t="str">
        <f t="shared" ca="1" si="22"/>
        <v>__X_</v>
      </c>
      <c r="L510" t="str">
        <f t="shared" ca="1" si="23"/>
        <v/>
      </c>
      <c r="M510" t="str">
        <f>IFERROR(INDEX(Inventory!A:A,MATCH(Scan!A510,Inventory!E:E,0)),"")</f>
        <v/>
      </c>
    </row>
    <row r="511" spans="2:13" x14ac:dyDescent="0.25">
      <c r="B511" t="str">
        <f>IF(IFERROR(VLOOKUP(TRIM(A511),Inventory!E:E,1,0),0)=0,"X","_")</f>
        <v>_</v>
      </c>
      <c r="C511" t="str">
        <f>IF(IFERROR(VLOOKUP(TRIM(A511),'Full Inventory'!F:F,1,0),0)=0,"X","_")</f>
        <v>_</v>
      </c>
      <c r="D511" t="str">
        <f t="shared" si="21"/>
        <v>X</v>
      </c>
      <c r="E511" t="str">
        <f ca="1">IFERROR(IF(AND(B511&amp;C511&amp;D511="___",INDIRECT("Inventory!A"&amp;MATCH(VLOOKUP(A511,Inventory!E:E,1,0),Inventory!E:E,0))&lt;&gt;INDIRECT("'Full Inventory'!B"&amp;MATCH(VLOOKUP(A511,'Full Inventory'!F:F,1,0),'Full Inventory'!F:F,0))),"X","_"),"_")</f>
        <v>_</v>
      </c>
      <c r="K511" t="str">
        <f t="shared" ca="1" si="22"/>
        <v>__X_</v>
      </c>
      <c r="L511" t="str">
        <f t="shared" ca="1" si="23"/>
        <v/>
      </c>
      <c r="M511" t="str">
        <f>IFERROR(INDEX(Inventory!A:A,MATCH(Scan!A511,Inventory!E:E,0)),"")</f>
        <v/>
      </c>
    </row>
    <row r="512" spans="2:13" x14ac:dyDescent="0.25">
      <c r="B512" t="str">
        <f>IF(IFERROR(VLOOKUP(TRIM(A512),Inventory!E:E,1,0),0)=0,"X","_")</f>
        <v>_</v>
      </c>
      <c r="C512" t="str">
        <f>IF(IFERROR(VLOOKUP(TRIM(A512),'Full Inventory'!F:F,1,0),0)=0,"X","_")</f>
        <v>_</v>
      </c>
      <c r="D512" t="str">
        <f t="shared" si="21"/>
        <v>X</v>
      </c>
      <c r="E512" t="str">
        <f ca="1">IFERROR(IF(AND(B512&amp;C512&amp;D512="___",INDIRECT("Inventory!A"&amp;MATCH(VLOOKUP(A512,Inventory!E:E,1,0),Inventory!E:E,0))&lt;&gt;INDIRECT("'Full Inventory'!B"&amp;MATCH(VLOOKUP(A512,'Full Inventory'!F:F,1,0),'Full Inventory'!F:F,0))),"X","_"),"_")</f>
        <v>_</v>
      </c>
      <c r="K512" t="str">
        <f t="shared" ca="1" si="22"/>
        <v>__X_</v>
      </c>
      <c r="L512" t="str">
        <f t="shared" ca="1" si="23"/>
        <v/>
      </c>
      <c r="M512" t="str">
        <f>IFERROR(INDEX(Inventory!A:A,MATCH(Scan!A512,Inventory!E:E,0)),"")</f>
        <v/>
      </c>
    </row>
    <row r="513" spans="2:13" x14ac:dyDescent="0.25">
      <c r="B513" t="str">
        <f>IF(IFERROR(VLOOKUP(TRIM(A513),Inventory!E:E,1,0),0)=0,"X","_")</f>
        <v>_</v>
      </c>
      <c r="C513" t="str">
        <f>IF(IFERROR(VLOOKUP(TRIM(A513),'Full Inventory'!F:F,1,0),0)=0,"X","_")</f>
        <v>_</v>
      </c>
      <c r="D513" t="str">
        <f t="shared" si="21"/>
        <v>X</v>
      </c>
      <c r="E513" t="str">
        <f ca="1">IFERROR(IF(AND(B513&amp;C513&amp;D513="___",INDIRECT("Inventory!A"&amp;MATCH(VLOOKUP(A513,Inventory!E:E,1,0),Inventory!E:E,0))&lt;&gt;INDIRECT("'Full Inventory'!B"&amp;MATCH(VLOOKUP(A513,'Full Inventory'!F:F,1,0),'Full Inventory'!F:F,0))),"X","_"),"_")</f>
        <v>_</v>
      </c>
      <c r="K513" t="str">
        <f t="shared" ca="1" si="22"/>
        <v>__X_</v>
      </c>
      <c r="L513" t="str">
        <f t="shared" ca="1" si="23"/>
        <v/>
      </c>
      <c r="M513" t="str">
        <f>IFERROR(INDEX(Inventory!A:A,MATCH(Scan!A513,Inventory!E:E,0)),"")</f>
        <v/>
      </c>
    </row>
    <row r="514" spans="2:13" x14ac:dyDescent="0.25">
      <c r="B514" t="str">
        <f>IF(IFERROR(VLOOKUP(TRIM(A514),Inventory!E:E,1,0),0)=0,"X","_")</f>
        <v>_</v>
      </c>
      <c r="C514" t="str">
        <f>IF(IFERROR(VLOOKUP(TRIM(A514),'Full Inventory'!F:F,1,0),0)=0,"X","_")</f>
        <v>_</v>
      </c>
      <c r="D514" t="str">
        <f t="shared" ref="D514:D577" si="24">IF(TRIM(A514)&lt;&gt;"","_","X")</f>
        <v>X</v>
      </c>
      <c r="E514" t="str">
        <f ca="1">IFERROR(IF(AND(B514&amp;C514&amp;D514="___",INDIRECT("Inventory!A"&amp;MATCH(VLOOKUP(A514,Inventory!E:E,1,0),Inventory!E:E,0))&lt;&gt;INDIRECT("'Full Inventory'!B"&amp;MATCH(VLOOKUP(A514,'Full Inventory'!F:F,1,0),'Full Inventory'!F:F,0))),"X","_"),"_")</f>
        <v>_</v>
      </c>
      <c r="K514" t="str">
        <f t="shared" ca="1" si="22"/>
        <v>__X_</v>
      </c>
      <c r="L514" t="str">
        <f t="shared" ca="1" si="23"/>
        <v/>
      </c>
      <c r="M514" t="str">
        <f>IFERROR(INDEX(Inventory!A:A,MATCH(Scan!A514,Inventory!E:E,0)),"")</f>
        <v/>
      </c>
    </row>
    <row r="515" spans="2:13" x14ac:dyDescent="0.25">
      <c r="B515" t="str">
        <f>IF(IFERROR(VLOOKUP(TRIM(A515),Inventory!E:E,1,0),0)=0,"X","_")</f>
        <v>_</v>
      </c>
      <c r="C515" t="str">
        <f>IF(IFERROR(VLOOKUP(TRIM(A515),'Full Inventory'!F:F,1,0),0)=0,"X","_")</f>
        <v>_</v>
      </c>
      <c r="D515" t="str">
        <f t="shared" si="24"/>
        <v>X</v>
      </c>
      <c r="E515" t="str">
        <f ca="1">IFERROR(IF(AND(B515&amp;C515&amp;D515="___",INDIRECT("Inventory!A"&amp;MATCH(VLOOKUP(A515,Inventory!E:E,1,0),Inventory!E:E,0))&lt;&gt;INDIRECT("'Full Inventory'!B"&amp;MATCH(VLOOKUP(A515,'Full Inventory'!F:F,1,0),'Full Inventory'!F:F,0))),"X","_"),"_")</f>
        <v>_</v>
      </c>
      <c r="K515" t="str">
        <f t="shared" ref="K515:K578" ca="1" si="25">B515&amp;C515&amp;D515&amp;E515</f>
        <v>__X_</v>
      </c>
      <c r="L515" t="str">
        <f t="shared" ref="L515:L578" ca="1" si="26">IF(K515="____","OK",IF(K515="_X__","NOT IN FULL INVENTORY",IF(K515="XX__","NOT IN FULL INVENTORY AND INVENTORY",IF(K515="X___","NOT IN INVENTORY",IF(K515="___X","DIFFERENT NAMES IN FULL INVENTORY AND INVENTORY","")))))</f>
        <v/>
      </c>
      <c r="M515" t="str">
        <f>IFERROR(INDEX(Inventory!A:A,MATCH(Scan!A515,Inventory!E:E,0)),"")</f>
        <v/>
      </c>
    </row>
    <row r="516" spans="2:13" x14ac:dyDescent="0.25">
      <c r="B516" t="str">
        <f>IF(IFERROR(VLOOKUP(TRIM(A516),Inventory!E:E,1,0),0)=0,"X","_")</f>
        <v>_</v>
      </c>
      <c r="C516" t="str">
        <f>IF(IFERROR(VLOOKUP(TRIM(A516),'Full Inventory'!F:F,1,0),0)=0,"X","_")</f>
        <v>_</v>
      </c>
      <c r="D516" t="str">
        <f t="shared" si="24"/>
        <v>X</v>
      </c>
      <c r="E516" t="str">
        <f ca="1">IFERROR(IF(AND(B516&amp;C516&amp;D516="___",INDIRECT("Inventory!A"&amp;MATCH(VLOOKUP(A516,Inventory!E:E,1,0),Inventory!E:E,0))&lt;&gt;INDIRECT("'Full Inventory'!B"&amp;MATCH(VLOOKUP(A516,'Full Inventory'!F:F,1,0),'Full Inventory'!F:F,0))),"X","_"),"_")</f>
        <v>_</v>
      </c>
      <c r="K516" t="str">
        <f t="shared" ca="1" si="25"/>
        <v>__X_</v>
      </c>
      <c r="L516" t="str">
        <f t="shared" ca="1" si="26"/>
        <v/>
      </c>
      <c r="M516" t="str">
        <f>IFERROR(INDEX(Inventory!A:A,MATCH(Scan!A516,Inventory!E:E,0)),"")</f>
        <v/>
      </c>
    </row>
    <row r="517" spans="2:13" x14ac:dyDescent="0.25">
      <c r="B517" t="str">
        <f>IF(IFERROR(VLOOKUP(TRIM(A517),Inventory!E:E,1,0),0)=0,"X","_")</f>
        <v>_</v>
      </c>
      <c r="C517" t="str">
        <f>IF(IFERROR(VLOOKUP(TRIM(A517),'Full Inventory'!F:F,1,0),0)=0,"X","_")</f>
        <v>_</v>
      </c>
      <c r="D517" t="str">
        <f t="shared" si="24"/>
        <v>X</v>
      </c>
      <c r="E517" t="str">
        <f ca="1">IFERROR(IF(AND(B517&amp;C517&amp;D517="___",INDIRECT("Inventory!A"&amp;MATCH(VLOOKUP(A517,Inventory!E:E,1,0),Inventory!E:E,0))&lt;&gt;INDIRECT("'Full Inventory'!B"&amp;MATCH(VLOOKUP(A517,'Full Inventory'!F:F,1,0),'Full Inventory'!F:F,0))),"X","_"),"_")</f>
        <v>_</v>
      </c>
      <c r="K517" t="str">
        <f t="shared" ca="1" si="25"/>
        <v>__X_</v>
      </c>
      <c r="L517" t="str">
        <f t="shared" ca="1" si="26"/>
        <v/>
      </c>
      <c r="M517" t="str">
        <f>IFERROR(INDEX(Inventory!A:A,MATCH(Scan!A517,Inventory!E:E,0)),"")</f>
        <v/>
      </c>
    </row>
    <row r="518" spans="2:13" x14ac:dyDescent="0.25">
      <c r="B518" t="str">
        <f>IF(IFERROR(VLOOKUP(TRIM(A518),Inventory!E:E,1,0),0)=0,"X","_")</f>
        <v>_</v>
      </c>
      <c r="C518" t="str">
        <f>IF(IFERROR(VLOOKUP(TRIM(A518),'Full Inventory'!F:F,1,0),0)=0,"X","_")</f>
        <v>_</v>
      </c>
      <c r="D518" t="str">
        <f t="shared" si="24"/>
        <v>X</v>
      </c>
      <c r="E518" t="str">
        <f ca="1">IFERROR(IF(AND(B518&amp;C518&amp;D518="___",INDIRECT("Inventory!A"&amp;MATCH(VLOOKUP(A518,Inventory!E:E,1,0),Inventory!E:E,0))&lt;&gt;INDIRECT("'Full Inventory'!B"&amp;MATCH(VLOOKUP(A518,'Full Inventory'!F:F,1,0),'Full Inventory'!F:F,0))),"X","_"),"_")</f>
        <v>_</v>
      </c>
      <c r="K518" t="str">
        <f t="shared" ca="1" si="25"/>
        <v>__X_</v>
      </c>
      <c r="L518" t="str">
        <f t="shared" ca="1" si="26"/>
        <v/>
      </c>
      <c r="M518" t="str">
        <f>IFERROR(INDEX(Inventory!A:A,MATCH(Scan!A518,Inventory!E:E,0)),"")</f>
        <v/>
      </c>
    </row>
    <row r="519" spans="2:13" x14ac:dyDescent="0.25">
      <c r="B519" t="str">
        <f>IF(IFERROR(VLOOKUP(TRIM(A519),Inventory!E:E,1,0),0)=0,"X","_")</f>
        <v>_</v>
      </c>
      <c r="C519" t="str">
        <f>IF(IFERROR(VLOOKUP(TRIM(A519),'Full Inventory'!F:F,1,0),0)=0,"X","_")</f>
        <v>_</v>
      </c>
      <c r="D519" t="str">
        <f t="shared" si="24"/>
        <v>X</v>
      </c>
      <c r="E519" t="str">
        <f ca="1">IFERROR(IF(AND(B519&amp;C519&amp;D519="___",INDIRECT("Inventory!A"&amp;MATCH(VLOOKUP(A519,Inventory!E:E,1,0),Inventory!E:E,0))&lt;&gt;INDIRECT("'Full Inventory'!B"&amp;MATCH(VLOOKUP(A519,'Full Inventory'!F:F,1,0),'Full Inventory'!F:F,0))),"X","_"),"_")</f>
        <v>_</v>
      </c>
      <c r="K519" t="str">
        <f t="shared" ca="1" si="25"/>
        <v>__X_</v>
      </c>
      <c r="L519" t="str">
        <f t="shared" ca="1" si="26"/>
        <v/>
      </c>
      <c r="M519" t="str">
        <f>IFERROR(INDEX(Inventory!A:A,MATCH(Scan!A519,Inventory!E:E,0)),"")</f>
        <v/>
      </c>
    </row>
    <row r="520" spans="2:13" x14ac:dyDescent="0.25">
      <c r="B520" t="str">
        <f>IF(IFERROR(VLOOKUP(TRIM(A520),Inventory!E:E,1,0),0)=0,"X","_")</f>
        <v>_</v>
      </c>
      <c r="C520" t="str">
        <f>IF(IFERROR(VLOOKUP(TRIM(A520),'Full Inventory'!F:F,1,0),0)=0,"X","_")</f>
        <v>_</v>
      </c>
      <c r="D520" t="str">
        <f t="shared" si="24"/>
        <v>X</v>
      </c>
      <c r="E520" t="str">
        <f ca="1">IFERROR(IF(AND(B520&amp;C520&amp;D520="___",INDIRECT("Inventory!A"&amp;MATCH(VLOOKUP(A520,Inventory!E:E,1,0),Inventory!E:E,0))&lt;&gt;INDIRECT("'Full Inventory'!B"&amp;MATCH(VLOOKUP(A520,'Full Inventory'!F:F,1,0),'Full Inventory'!F:F,0))),"X","_"),"_")</f>
        <v>_</v>
      </c>
      <c r="K520" t="str">
        <f t="shared" ca="1" si="25"/>
        <v>__X_</v>
      </c>
      <c r="L520" t="str">
        <f t="shared" ca="1" si="26"/>
        <v/>
      </c>
      <c r="M520" t="str">
        <f>IFERROR(INDEX(Inventory!A:A,MATCH(Scan!A520,Inventory!E:E,0)),"")</f>
        <v/>
      </c>
    </row>
    <row r="521" spans="2:13" x14ac:dyDescent="0.25">
      <c r="B521" t="str">
        <f>IF(IFERROR(VLOOKUP(TRIM(A521),Inventory!E:E,1,0),0)=0,"X","_")</f>
        <v>_</v>
      </c>
      <c r="C521" t="str">
        <f>IF(IFERROR(VLOOKUP(TRIM(A521),'Full Inventory'!F:F,1,0),0)=0,"X","_")</f>
        <v>_</v>
      </c>
      <c r="D521" t="str">
        <f t="shared" si="24"/>
        <v>X</v>
      </c>
      <c r="E521" t="str">
        <f ca="1">IFERROR(IF(AND(B521&amp;C521&amp;D521="___",INDIRECT("Inventory!A"&amp;MATCH(VLOOKUP(A521,Inventory!E:E,1,0),Inventory!E:E,0))&lt;&gt;INDIRECT("'Full Inventory'!B"&amp;MATCH(VLOOKUP(A521,'Full Inventory'!F:F,1,0),'Full Inventory'!F:F,0))),"X","_"),"_")</f>
        <v>_</v>
      </c>
      <c r="K521" t="str">
        <f t="shared" ca="1" si="25"/>
        <v>__X_</v>
      </c>
      <c r="L521" t="str">
        <f t="shared" ca="1" si="26"/>
        <v/>
      </c>
      <c r="M521" t="str">
        <f>IFERROR(INDEX(Inventory!A:A,MATCH(Scan!A521,Inventory!E:E,0)),"")</f>
        <v/>
      </c>
    </row>
    <row r="522" spans="2:13" x14ac:dyDescent="0.25">
      <c r="B522" t="str">
        <f>IF(IFERROR(VLOOKUP(TRIM(A522),Inventory!E:E,1,0),0)=0,"X","_")</f>
        <v>_</v>
      </c>
      <c r="C522" t="str">
        <f>IF(IFERROR(VLOOKUP(TRIM(A522),'Full Inventory'!F:F,1,0),0)=0,"X","_")</f>
        <v>_</v>
      </c>
      <c r="D522" t="str">
        <f t="shared" si="24"/>
        <v>X</v>
      </c>
      <c r="E522" t="str">
        <f ca="1">IFERROR(IF(AND(B522&amp;C522&amp;D522="___",INDIRECT("Inventory!A"&amp;MATCH(VLOOKUP(A522,Inventory!E:E,1,0),Inventory!E:E,0))&lt;&gt;INDIRECT("'Full Inventory'!B"&amp;MATCH(VLOOKUP(A522,'Full Inventory'!F:F,1,0),'Full Inventory'!F:F,0))),"X","_"),"_")</f>
        <v>_</v>
      </c>
      <c r="K522" t="str">
        <f t="shared" ca="1" si="25"/>
        <v>__X_</v>
      </c>
      <c r="L522" t="str">
        <f t="shared" ca="1" si="26"/>
        <v/>
      </c>
      <c r="M522" t="str">
        <f>IFERROR(INDEX(Inventory!A:A,MATCH(Scan!A522,Inventory!E:E,0)),"")</f>
        <v/>
      </c>
    </row>
    <row r="523" spans="2:13" x14ac:dyDescent="0.25">
      <c r="B523" t="str">
        <f>IF(IFERROR(VLOOKUP(TRIM(A523),Inventory!E:E,1,0),0)=0,"X","_")</f>
        <v>_</v>
      </c>
      <c r="C523" t="str">
        <f>IF(IFERROR(VLOOKUP(TRIM(A523),'Full Inventory'!F:F,1,0),0)=0,"X","_")</f>
        <v>_</v>
      </c>
      <c r="D523" t="str">
        <f t="shared" si="24"/>
        <v>X</v>
      </c>
      <c r="E523" t="str">
        <f ca="1">IFERROR(IF(AND(B523&amp;C523&amp;D523="___",INDIRECT("Inventory!A"&amp;MATCH(VLOOKUP(A523,Inventory!E:E,1,0),Inventory!E:E,0))&lt;&gt;INDIRECT("'Full Inventory'!B"&amp;MATCH(VLOOKUP(A523,'Full Inventory'!F:F,1,0),'Full Inventory'!F:F,0))),"X","_"),"_")</f>
        <v>_</v>
      </c>
      <c r="K523" t="str">
        <f t="shared" ca="1" si="25"/>
        <v>__X_</v>
      </c>
      <c r="L523" t="str">
        <f t="shared" ca="1" si="26"/>
        <v/>
      </c>
      <c r="M523" t="str">
        <f>IFERROR(INDEX(Inventory!A:A,MATCH(Scan!A523,Inventory!E:E,0)),"")</f>
        <v/>
      </c>
    </row>
    <row r="524" spans="2:13" x14ac:dyDescent="0.25">
      <c r="B524" t="str">
        <f>IF(IFERROR(VLOOKUP(TRIM(A524),Inventory!E:E,1,0),0)=0,"X","_")</f>
        <v>_</v>
      </c>
      <c r="C524" t="str">
        <f>IF(IFERROR(VLOOKUP(TRIM(A524),'Full Inventory'!F:F,1,0),0)=0,"X","_")</f>
        <v>_</v>
      </c>
      <c r="D524" t="str">
        <f t="shared" si="24"/>
        <v>X</v>
      </c>
      <c r="E524" t="str">
        <f ca="1">IFERROR(IF(AND(B524&amp;C524&amp;D524="___",INDIRECT("Inventory!A"&amp;MATCH(VLOOKUP(A524,Inventory!E:E,1,0),Inventory!E:E,0))&lt;&gt;INDIRECT("'Full Inventory'!B"&amp;MATCH(VLOOKUP(A524,'Full Inventory'!F:F,1,0),'Full Inventory'!F:F,0))),"X","_"),"_")</f>
        <v>_</v>
      </c>
      <c r="K524" t="str">
        <f t="shared" ca="1" si="25"/>
        <v>__X_</v>
      </c>
      <c r="L524" t="str">
        <f t="shared" ca="1" si="26"/>
        <v/>
      </c>
      <c r="M524" t="str">
        <f>IFERROR(INDEX(Inventory!A:A,MATCH(Scan!A524,Inventory!E:E,0)),"")</f>
        <v/>
      </c>
    </row>
    <row r="525" spans="2:13" x14ac:dyDescent="0.25">
      <c r="B525" t="str">
        <f>IF(IFERROR(VLOOKUP(TRIM(A525),Inventory!E:E,1,0),0)=0,"X","_")</f>
        <v>_</v>
      </c>
      <c r="C525" t="str">
        <f>IF(IFERROR(VLOOKUP(TRIM(A525),'Full Inventory'!F:F,1,0),0)=0,"X","_")</f>
        <v>_</v>
      </c>
      <c r="D525" t="str">
        <f t="shared" si="24"/>
        <v>X</v>
      </c>
      <c r="E525" t="str">
        <f ca="1">IFERROR(IF(AND(B525&amp;C525&amp;D525="___",INDIRECT("Inventory!A"&amp;MATCH(VLOOKUP(A525,Inventory!E:E,1,0),Inventory!E:E,0))&lt;&gt;INDIRECT("'Full Inventory'!B"&amp;MATCH(VLOOKUP(A525,'Full Inventory'!F:F,1,0),'Full Inventory'!F:F,0))),"X","_"),"_")</f>
        <v>_</v>
      </c>
      <c r="K525" t="str">
        <f t="shared" ca="1" si="25"/>
        <v>__X_</v>
      </c>
      <c r="L525" t="str">
        <f t="shared" ca="1" si="26"/>
        <v/>
      </c>
      <c r="M525" t="str">
        <f>IFERROR(INDEX(Inventory!A:A,MATCH(Scan!A525,Inventory!E:E,0)),"")</f>
        <v/>
      </c>
    </row>
    <row r="526" spans="2:13" x14ac:dyDescent="0.25">
      <c r="B526" t="str">
        <f>IF(IFERROR(VLOOKUP(TRIM(A526),Inventory!E:E,1,0),0)=0,"X","_")</f>
        <v>_</v>
      </c>
      <c r="C526" t="str">
        <f>IF(IFERROR(VLOOKUP(TRIM(A526),'Full Inventory'!F:F,1,0),0)=0,"X","_")</f>
        <v>_</v>
      </c>
      <c r="D526" t="str">
        <f t="shared" si="24"/>
        <v>X</v>
      </c>
      <c r="E526" t="str">
        <f ca="1">IFERROR(IF(AND(B526&amp;C526&amp;D526="___",INDIRECT("Inventory!A"&amp;MATCH(VLOOKUP(A526,Inventory!E:E,1,0),Inventory!E:E,0))&lt;&gt;INDIRECT("'Full Inventory'!B"&amp;MATCH(VLOOKUP(A526,'Full Inventory'!F:F,1,0),'Full Inventory'!F:F,0))),"X","_"),"_")</f>
        <v>_</v>
      </c>
      <c r="K526" t="str">
        <f t="shared" ca="1" si="25"/>
        <v>__X_</v>
      </c>
      <c r="L526" t="str">
        <f t="shared" ca="1" si="26"/>
        <v/>
      </c>
      <c r="M526" t="str">
        <f>IFERROR(INDEX(Inventory!A:A,MATCH(Scan!A526,Inventory!E:E,0)),"")</f>
        <v/>
      </c>
    </row>
    <row r="527" spans="2:13" x14ac:dyDescent="0.25">
      <c r="B527" t="str">
        <f>IF(IFERROR(VLOOKUP(TRIM(A527),Inventory!E:E,1,0),0)=0,"X","_")</f>
        <v>_</v>
      </c>
      <c r="C527" t="str">
        <f>IF(IFERROR(VLOOKUP(TRIM(A527),'Full Inventory'!F:F,1,0),0)=0,"X","_")</f>
        <v>_</v>
      </c>
      <c r="D527" t="str">
        <f t="shared" si="24"/>
        <v>X</v>
      </c>
      <c r="E527" t="str">
        <f ca="1">IFERROR(IF(AND(B527&amp;C527&amp;D527="___",INDIRECT("Inventory!A"&amp;MATCH(VLOOKUP(A527,Inventory!E:E,1,0),Inventory!E:E,0))&lt;&gt;INDIRECT("'Full Inventory'!B"&amp;MATCH(VLOOKUP(A527,'Full Inventory'!F:F,1,0),'Full Inventory'!F:F,0))),"X","_"),"_")</f>
        <v>_</v>
      </c>
      <c r="K527" t="str">
        <f t="shared" ca="1" si="25"/>
        <v>__X_</v>
      </c>
      <c r="L527" t="str">
        <f t="shared" ca="1" si="26"/>
        <v/>
      </c>
      <c r="M527" t="str">
        <f>IFERROR(INDEX(Inventory!A:A,MATCH(Scan!A527,Inventory!E:E,0)),"")</f>
        <v/>
      </c>
    </row>
    <row r="528" spans="2:13" x14ac:dyDescent="0.25">
      <c r="B528" t="str">
        <f>IF(IFERROR(VLOOKUP(TRIM(A528),Inventory!E:E,1,0),0)=0,"X","_")</f>
        <v>_</v>
      </c>
      <c r="C528" t="str">
        <f>IF(IFERROR(VLOOKUP(TRIM(A528),'Full Inventory'!F:F,1,0),0)=0,"X","_")</f>
        <v>_</v>
      </c>
      <c r="D528" t="str">
        <f t="shared" si="24"/>
        <v>X</v>
      </c>
      <c r="E528" t="str">
        <f ca="1">IFERROR(IF(AND(B528&amp;C528&amp;D528="___",INDIRECT("Inventory!A"&amp;MATCH(VLOOKUP(A528,Inventory!E:E,1,0),Inventory!E:E,0))&lt;&gt;INDIRECT("'Full Inventory'!B"&amp;MATCH(VLOOKUP(A528,'Full Inventory'!F:F,1,0),'Full Inventory'!F:F,0))),"X","_"),"_")</f>
        <v>_</v>
      </c>
      <c r="K528" t="str">
        <f t="shared" ca="1" si="25"/>
        <v>__X_</v>
      </c>
      <c r="L528" t="str">
        <f t="shared" ca="1" si="26"/>
        <v/>
      </c>
      <c r="M528" t="str">
        <f>IFERROR(INDEX(Inventory!A:A,MATCH(Scan!A528,Inventory!E:E,0)),"")</f>
        <v/>
      </c>
    </row>
    <row r="529" spans="2:13" x14ac:dyDescent="0.25">
      <c r="B529" t="str">
        <f>IF(IFERROR(VLOOKUP(TRIM(A529),Inventory!E:E,1,0),0)=0,"X","_")</f>
        <v>_</v>
      </c>
      <c r="C529" t="str">
        <f>IF(IFERROR(VLOOKUP(TRIM(A529),'Full Inventory'!F:F,1,0),0)=0,"X","_")</f>
        <v>_</v>
      </c>
      <c r="D529" t="str">
        <f t="shared" si="24"/>
        <v>X</v>
      </c>
      <c r="E529" t="str">
        <f ca="1">IFERROR(IF(AND(B529&amp;C529&amp;D529="___",INDIRECT("Inventory!A"&amp;MATCH(VLOOKUP(A529,Inventory!E:E,1,0),Inventory!E:E,0))&lt;&gt;INDIRECT("'Full Inventory'!B"&amp;MATCH(VLOOKUP(A529,'Full Inventory'!F:F,1,0),'Full Inventory'!F:F,0))),"X","_"),"_")</f>
        <v>_</v>
      </c>
      <c r="K529" t="str">
        <f t="shared" ca="1" si="25"/>
        <v>__X_</v>
      </c>
      <c r="L529" t="str">
        <f t="shared" ca="1" si="26"/>
        <v/>
      </c>
      <c r="M529" t="str">
        <f>IFERROR(INDEX(Inventory!A:A,MATCH(Scan!A529,Inventory!E:E,0)),"")</f>
        <v/>
      </c>
    </row>
    <row r="530" spans="2:13" x14ac:dyDescent="0.25">
      <c r="B530" t="str">
        <f>IF(IFERROR(VLOOKUP(TRIM(A530),Inventory!E:E,1,0),0)=0,"X","_")</f>
        <v>_</v>
      </c>
      <c r="C530" t="str">
        <f>IF(IFERROR(VLOOKUP(TRIM(A530),'Full Inventory'!F:F,1,0),0)=0,"X","_")</f>
        <v>_</v>
      </c>
      <c r="D530" t="str">
        <f t="shared" si="24"/>
        <v>X</v>
      </c>
      <c r="E530" t="str">
        <f ca="1">IFERROR(IF(AND(B530&amp;C530&amp;D530="___",INDIRECT("Inventory!A"&amp;MATCH(VLOOKUP(A530,Inventory!E:E,1,0),Inventory!E:E,0))&lt;&gt;INDIRECT("'Full Inventory'!B"&amp;MATCH(VLOOKUP(A530,'Full Inventory'!F:F,1,0),'Full Inventory'!F:F,0))),"X","_"),"_")</f>
        <v>_</v>
      </c>
      <c r="K530" t="str">
        <f t="shared" ca="1" si="25"/>
        <v>__X_</v>
      </c>
      <c r="L530" t="str">
        <f t="shared" ca="1" si="26"/>
        <v/>
      </c>
      <c r="M530" t="str">
        <f>IFERROR(INDEX(Inventory!A:A,MATCH(Scan!A530,Inventory!E:E,0)),"")</f>
        <v/>
      </c>
    </row>
    <row r="531" spans="2:13" x14ac:dyDescent="0.25">
      <c r="B531" t="str">
        <f>IF(IFERROR(VLOOKUP(TRIM(A531),Inventory!E:E,1,0),0)=0,"X","_")</f>
        <v>_</v>
      </c>
      <c r="C531" t="str">
        <f>IF(IFERROR(VLOOKUP(TRIM(A531),'Full Inventory'!F:F,1,0),0)=0,"X","_")</f>
        <v>_</v>
      </c>
      <c r="D531" t="str">
        <f t="shared" si="24"/>
        <v>X</v>
      </c>
      <c r="E531" t="str">
        <f ca="1">IFERROR(IF(AND(B531&amp;C531&amp;D531="___",INDIRECT("Inventory!A"&amp;MATCH(VLOOKUP(A531,Inventory!E:E,1,0),Inventory!E:E,0))&lt;&gt;INDIRECT("'Full Inventory'!B"&amp;MATCH(VLOOKUP(A531,'Full Inventory'!F:F,1,0),'Full Inventory'!F:F,0))),"X","_"),"_")</f>
        <v>_</v>
      </c>
      <c r="K531" t="str">
        <f t="shared" ca="1" si="25"/>
        <v>__X_</v>
      </c>
      <c r="L531" t="str">
        <f t="shared" ca="1" si="26"/>
        <v/>
      </c>
      <c r="M531" t="str">
        <f>IFERROR(INDEX(Inventory!A:A,MATCH(Scan!A531,Inventory!E:E,0)),"")</f>
        <v/>
      </c>
    </row>
    <row r="532" spans="2:13" x14ac:dyDescent="0.25">
      <c r="B532" t="str">
        <f>IF(IFERROR(VLOOKUP(TRIM(A532),Inventory!E:E,1,0),0)=0,"X","_")</f>
        <v>_</v>
      </c>
      <c r="C532" t="str">
        <f>IF(IFERROR(VLOOKUP(TRIM(A532),'Full Inventory'!F:F,1,0),0)=0,"X","_")</f>
        <v>_</v>
      </c>
      <c r="D532" t="str">
        <f t="shared" si="24"/>
        <v>X</v>
      </c>
      <c r="E532" t="str">
        <f ca="1">IFERROR(IF(AND(B532&amp;C532&amp;D532="___",INDIRECT("Inventory!A"&amp;MATCH(VLOOKUP(A532,Inventory!E:E,1,0),Inventory!E:E,0))&lt;&gt;INDIRECT("'Full Inventory'!B"&amp;MATCH(VLOOKUP(A532,'Full Inventory'!F:F,1,0),'Full Inventory'!F:F,0))),"X","_"),"_")</f>
        <v>_</v>
      </c>
      <c r="K532" t="str">
        <f t="shared" ca="1" si="25"/>
        <v>__X_</v>
      </c>
      <c r="L532" t="str">
        <f t="shared" ca="1" si="26"/>
        <v/>
      </c>
      <c r="M532" t="str">
        <f>IFERROR(INDEX(Inventory!A:A,MATCH(Scan!A532,Inventory!E:E,0)),"")</f>
        <v/>
      </c>
    </row>
    <row r="533" spans="2:13" x14ac:dyDescent="0.25">
      <c r="B533" t="str">
        <f>IF(IFERROR(VLOOKUP(TRIM(A533),Inventory!E:E,1,0),0)=0,"X","_")</f>
        <v>_</v>
      </c>
      <c r="C533" t="str">
        <f>IF(IFERROR(VLOOKUP(TRIM(A533),'Full Inventory'!F:F,1,0),0)=0,"X","_")</f>
        <v>_</v>
      </c>
      <c r="D533" t="str">
        <f t="shared" si="24"/>
        <v>X</v>
      </c>
      <c r="E533" t="str">
        <f ca="1">IFERROR(IF(AND(B533&amp;C533&amp;D533="___",INDIRECT("Inventory!A"&amp;MATCH(VLOOKUP(A533,Inventory!E:E,1,0),Inventory!E:E,0))&lt;&gt;INDIRECT("'Full Inventory'!B"&amp;MATCH(VLOOKUP(A533,'Full Inventory'!F:F,1,0),'Full Inventory'!F:F,0))),"X","_"),"_")</f>
        <v>_</v>
      </c>
      <c r="K533" t="str">
        <f t="shared" ca="1" si="25"/>
        <v>__X_</v>
      </c>
      <c r="L533" t="str">
        <f t="shared" ca="1" si="26"/>
        <v/>
      </c>
      <c r="M533" t="str">
        <f>IFERROR(INDEX(Inventory!A:A,MATCH(Scan!A533,Inventory!E:E,0)),"")</f>
        <v/>
      </c>
    </row>
    <row r="534" spans="2:13" x14ac:dyDescent="0.25">
      <c r="B534" t="str">
        <f>IF(IFERROR(VLOOKUP(TRIM(A534),Inventory!E:E,1,0),0)=0,"X","_")</f>
        <v>_</v>
      </c>
      <c r="C534" t="str">
        <f>IF(IFERROR(VLOOKUP(TRIM(A534),'Full Inventory'!F:F,1,0),0)=0,"X","_")</f>
        <v>_</v>
      </c>
      <c r="D534" t="str">
        <f t="shared" si="24"/>
        <v>X</v>
      </c>
      <c r="E534" t="str">
        <f ca="1">IFERROR(IF(AND(B534&amp;C534&amp;D534="___",INDIRECT("Inventory!A"&amp;MATCH(VLOOKUP(A534,Inventory!E:E,1,0),Inventory!E:E,0))&lt;&gt;INDIRECT("'Full Inventory'!B"&amp;MATCH(VLOOKUP(A534,'Full Inventory'!F:F,1,0),'Full Inventory'!F:F,0))),"X","_"),"_")</f>
        <v>_</v>
      </c>
      <c r="K534" t="str">
        <f t="shared" ca="1" si="25"/>
        <v>__X_</v>
      </c>
      <c r="L534" t="str">
        <f t="shared" ca="1" si="26"/>
        <v/>
      </c>
      <c r="M534" t="str">
        <f>IFERROR(INDEX(Inventory!A:A,MATCH(Scan!A534,Inventory!E:E,0)),"")</f>
        <v/>
      </c>
    </row>
    <row r="535" spans="2:13" x14ac:dyDescent="0.25">
      <c r="B535" t="str">
        <f>IF(IFERROR(VLOOKUP(TRIM(A535),Inventory!E:E,1,0),0)=0,"X","_")</f>
        <v>_</v>
      </c>
      <c r="C535" t="str">
        <f>IF(IFERROR(VLOOKUP(TRIM(A535),'Full Inventory'!F:F,1,0),0)=0,"X","_")</f>
        <v>_</v>
      </c>
      <c r="D535" t="str">
        <f t="shared" si="24"/>
        <v>X</v>
      </c>
      <c r="E535" t="str">
        <f ca="1">IFERROR(IF(AND(B535&amp;C535&amp;D535="___",INDIRECT("Inventory!A"&amp;MATCH(VLOOKUP(A535,Inventory!E:E,1,0),Inventory!E:E,0))&lt;&gt;INDIRECT("'Full Inventory'!B"&amp;MATCH(VLOOKUP(A535,'Full Inventory'!F:F,1,0),'Full Inventory'!F:F,0))),"X","_"),"_")</f>
        <v>_</v>
      </c>
      <c r="K535" t="str">
        <f t="shared" ca="1" si="25"/>
        <v>__X_</v>
      </c>
      <c r="L535" t="str">
        <f t="shared" ca="1" si="26"/>
        <v/>
      </c>
      <c r="M535" t="str">
        <f>IFERROR(INDEX(Inventory!A:A,MATCH(Scan!A535,Inventory!E:E,0)),"")</f>
        <v/>
      </c>
    </row>
    <row r="536" spans="2:13" x14ac:dyDescent="0.25">
      <c r="B536" t="str">
        <f>IF(IFERROR(VLOOKUP(TRIM(A536),Inventory!E:E,1,0),0)=0,"X","_")</f>
        <v>_</v>
      </c>
      <c r="C536" t="str">
        <f>IF(IFERROR(VLOOKUP(TRIM(A536),'Full Inventory'!F:F,1,0),0)=0,"X","_")</f>
        <v>_</v>
      </c>
      <c r="D536" t="str">
        <f t="shared" si="24"/>
        <v>X</v>
      </c>
      <c r="E536" t="str">
        <f ca="1">IFERROR(IF(AND(B536&amp;C536&amp;D536="___",INDIRECT("Inventory!A"&amp;MATCH(VLOOKUP(A536,Inventory!E:E,1,0),Inventory!E:E,0))&lt;&gt;INDIRECT("'Full Inventory'!B"&amp;MATCH(VLOOKUP(A536,'Full Inventory'!F:F,1,0),'Full Inventory'!F:F,0))),"X","_"),"_")</f>
        <v>_</v>
      </c>
      <c r="K536" t="str">
        <f t="shared" ca="1" si="25"/>
        <v>__X_</v>
      </c>
      <c r="L536" t="str">
        <f t="shared" ca="1" si="26"/>
        <v/>
      </c>
      <c r="M536" t="str">
        <f>IFERROR(INDEX(Inventory!A:A,MATCH(Scan!A536,Inventory!E:E,0)),"")</f>
        <v/>
      </c>
    </row>
    <row r="537" spans="2:13" x14ac:dyDescent="0.25">
      <c r="B537" t="str">
        <f>IF(IFERROR(VLOOKUP(TRIM(A537),Inventory!E:E,1,0),0)=0,"X","_")</f>
        <v>_</v>
      </c>
      <c r="C537" t="str">
        <f>IF(IFERROR(VLOOKUP(TRIM(A537),'Full Inventory'!F:F,1,0),0)=0,"X","_")</f>
        <v>_</v>
      </c>
      <c r="D537" t="str">
        <f t="shared" si="24"/>
        <v>X</v>
      </c>
      <c r="E537" t="str">
        <f ca="1">IFERROR(IF(AND(B537&amp;C537&amp;D537="___",INDIRECT("Inventory!A"&amp;MATCH(VLOOKUP(A537,Inventory!E:E,1,0),Inventory!E:E,0))&lt;&gt;INDIRECT("'Full Inventory'!B"&amp;MATCH(VLOOKUP(A537,'Full Inventory'!F:F,1,0),'Full Inventory'!F:F,0))),"X","_"),"_")</f>
        <v>_</v>
      </c>
      <c r="K537" t="str">
        <f t="shared" ca="1" si="25"/>
        <v>__X_</v>
      </c>
      <c r="L537" t="str">
        <f t="shared" ca="1" si="26"/>
        <v/>
      </c>
      <c r="M537" t="str">
        <f>IFERROR(INDEX(Inventory!A:A,MATCH(Scan!A537,Inventory!E:E,0)),"")</f>
        <v/>
      </c>
    </row>
    <row r="538" spans="2:13" x14ac:dyDescent="0.25">
      <c r="B538" t="str">
        <f>IF(IFERROR(VLOOKUP(TRIM(A538),Inventory!E:E,1,0),0)=0,"X","_")</f>
        <v>_</v>
      </c>
      <c r="C538" t="str">
        <f>IF(IFERROR(VLOOKUP(TRIM(A538),'Full Inventory'!F:F,1,0),0)=0,"X","_")</f>
        <v>_</v>
      </c>
      <c r="D538" t="str">
        <f t="shared" si="24"/>
        <v>X</v>
      </c>
      <c r="E538" t="str">
        <f ca="1">IFERROR(IF(AND(B538&amp;C538&amp;D538="___",INDIRECT("Inventory!A"&amp;MATCH(VLOOKUP(A538,Inventory!E:E,1,0),Inventory!E:E,0))&lt;&gt;INDIRECT("'Full Inventory'!B"&amp;MATCH(VLOOKUP(A538,'Full Inventory'!F:F,1,0),'Full Inventory'!F:F,0))),"X","_"),"_")</f>
        <v>_</v>
      </c>
      <c r="K538" t="str">
        <f t="shared" ca="1" si="25"/>
        <v>__X_</v>
      </c>
      <c r="L538" t="str">
        <f t="shared" ca="1" si="26"/>
        <v/>
      </c>
      <c r="M538" t="str">
        <f>IFERROR(INDEX(Inventory!A:A,MATCH(Scan!A538,Inventory!E:E,0)),"")</f>
        <v/>
      </c>
    </row>
    <row r="539" spans="2:13" x14ac:dyDescent="0.25">
      <c r="B539" t="str">
        <f>IF(IFERROR(VLOOKUP(TRIM(A539),Inventory!E:E,1,0),0)=0,"X","_")</f>
        <v>_</v>
      </c>
      <c r="C539" t="str">
        <f>IF(IFERROR(VLOOKUP(TRIM(A539),'Full Inventory'!F:F,1,0),0)=0,"X","_")</f>
        <v>_</v>
      </c>
      <c r="D539" t="str">
        <f t="shared" si="24"/>
        <v>X</v>
      </c>
      <c r="E539" t="str">
        <f ca="1">IFERROR(IF(AND(B539&amp;C539&amp;D539="___",INDIRECT("Inventory!A"&amp;MATCH(VLOOKUP(A539,Inventory!E:E,1,0),Inventory!E:E,0))&lt;&gt;INDIRECT("'Full Inventory'!B"&amp;MATCH(VLOOKUP(A539,'Full Inventory'!F:F,1,0),'Full Inventory'!F:F,0))),"X","_"),"_")</f>
        <v>_</v>
      </c>
      <c r="K539" t="str">
        <f t="shared" ca="1" si="25"/>
        <v>__X_</v>
      </c>
      <c r="L539" t="str">
        <f t="shared" ca="1" si="26"/>
        <v/>
      </c>
      <c r="M539" t="str">
        <f>IFERROR(INDEX(Inventory!A:A,MATCH(Scan!A539,Inventory!E:E,0)),"")</f>
        <v/>
      </c>
    </row>
    <row r="540" spans="2:13" x14ac:dyDescent="0.25">
      <c r="B540" t="str">
        <f>IF(IFERROR(VLOOKUP(TRIM(A540),Inventory!E:E,1,0),0)=0,"X","_")</f>
        <v>_</v>
      </c>
      <c r="C540" t="str">
        <f>IF(IFERROR(VLOOKUP(TRIM(A540),'Full Inventory'!F:F,1,0),0)=0,"X","_")</f>
        <v>_</v>
      </c>
      <c r="D540" t="str">
        <f t="shared" si="24"/>
        <v>X</v>
      </c>
      <c r="E540" t="str">
        <f ca="1">IFERROR(IF(AND(B540&amp;C540&amp;D540="___",INDIRECT("Inventory!A"&amp;MATCH(VLOOKUP(A540,Inventory!E:E,1,0),Inventory!E:E,0))&lt;&gt;INDIRECT("'Full Inventory'!B"&amp;MATCH(VLOOKUP(A540,'Full Inventory'!F:F,1,0),'Full Inventory'!F:F,0))),"X","_"),"_")</f>
        <v>_</v>
      </c>
      <c r="K540" t="str">
        <f t="shared" ca="1" si="25"/>
        <v>__X_</v>
      </c>
      <c r="L540" t="str">
        <f t="shared" ca="1" si="26"/>
        <v/>
      </c>
      <c r="M540" t="str">
        <f>IFERROR(INDEX(Inventory!A:A,MATCH(Scan!A540,Inventory!E:E,0)),"")</f>
        <v/>
      </c>
    </row>
    <row r="541" spans="2:13" x14ac:dyDescent="0.25">
      <c r="B541" t="str">
        <f>IF(IFERROR(VLOOKUP(TRIM(A541),Inventory!E:E,1,0),0)=0,"X","_")</f>
        <v>_</v>
      </c>
      <c r="C541" t="str">
        <f>IF(IFERROR(VLOOKUP(TRIM(A541),'Full Inventory'!F:F,1,0),0)=0,"X","_")</f>
        <v>_</v>
      </c>
      <c r="D541" t="str">
        <f t="shared" si="24"/>
        <v>X</v>
      </c>
      <c r="E541" t="str">
        <f ca="1">IFERROR(IF(AND(B541&amp;C541&amp;D541="___",INDIRECT("Inventory!A"&amp;MATCH(VLOOKUP(A541,Inventory!E:E,1,0),Inventory!E:E,0))&lt;&gt;INDIRECT("'Full Inventory'!B"&amp;MATCH(VLOOKUP(A541,'Full Inventory'!F:F,1,0),'Full Inventory'!F:F,0))),"X","_"),"_")</f>
        <v>_</v>
      </c>
      <c r="K541" t="str">
        <f t="shared" ca="1" si="25"/>
        <v>__X_</v>
      </c>
      <c r="L541" t="str">
        <f t="shared" ca="1" si="26"/>
        <v/>
      </c>
      <c r="M541" t="str">
        <f>IFERROR(INDEX(Inventory!A:A,MATCH(Scan!A541,Inventory!E:E,0)),"")</f>
        <v/>
      </c>
    </row>
    <row r="542" spans="2:13" x14ac:dyDescent="0.25">
      <c r="B542" t="str">
        <f>IF(IFERROR(VLOOKUP(TRIM(A542),Inventory!E:E,1,0),0)=0,"X","_")</f>
        <v>_</v>
      </c>
      <c r="C542" t="str">
        <f>IF(IFERROR(VLOOKUP(TRIM(A542),'Full Inventory'!F:F,1,0),0)=0,"X","_")</f>
        <v>_</v>
      </c>
      <c r="D542" t="str">
        <f t="shared" si="24"/>
        <v>X</v>
      </c>
      <c r="E542" t="str">
        <f ca="1">IFERROR(IF(AND(B542&amp;C542&amp;D542="___",INDIRECT("Inventory!A"&amp;MATCH(VLOOKUP(A542,Inventory!E:E,1,0),Inventory!E:E,0))&lt;&gt;INDIRECT("'Full Inventory'!B"&amp;MATCH(VLOOKUP(A542,'Full Inventory'!F:F,1,0),'Full Inventory'!F:F,0))),"X","_"),"_")</f>
        <v>_</v>
      </c>
      <c r="K542" t="str">
        <f t="shared" ca="1" si="25"/>
        <v>__X_</v>
      </c>
      <c r="L542" t="str">
        <f t="shared" ca="1" si="26"/>
        <v/>
      </c>
      <c r="M542" t="str">
        <f>IFERROR(INDEX(Inventory!A:A,MATCH(Scan!A542,Inventory!E:E,0)),"")</f>
        <v/>
      </c>
    </row>
    <row r="543" spans="2:13" x14ac:dyDescent="0.25">
      <c r="B543" t="str">
        <f>IF(IFERROR(VLOOKUP(TRIM(A543),Inventory!E:E,1,0),0)=0,"X","_")</f>
        <v>_</v>
      </c>
      <c r="C543" t="str">
        <f>IF(IFERROR(VLOOKUP(TRIM(A543),'Full Inventory'!F:F,1,0),0)=0,"X","_")</f>
        <v>_</v>
      </c>
      <c r="D543" t="str">
        <f t="shared" si="24"/>
        <v>X</v>
      </c>
      <c r="E543" t="str">
        <f ca="1">IFERROR(IF(AND(B543&amp;C543&amp;D543="___",INDIRECT("Inventory!A"&amp;MATCH(VLOOKUP(A543,Inventory!E:E,1,0),Inventory!E:E,0))&lt;&gt;INDIRECT("'Full Inventory'!B"&amp;MATCH(VLOOKUP(A543,'Full Inventory'!F:F,1,0),'Full Inventory'!F:F,0))),"X","_"),"_")</f>
        <v>_</v>
      </c>
      <c r="K543" t="str">
        <f t="shared" ca="1" si="25"/>
        <v>__X_</v>
      </c>
      <c r="L543" t="str">
        <f t="shared" ca="1" si="26"/>
        <v/>
      </c>
      <c r="M543" t="str">
        <f>IFERROR(INDEX(Inventory!A:A,MATCH(Scan!A543,Inventory!E:E,0)),"")</f>
        <v/>
      </c>
    </row>
    <row r="544" spans="2:13" x14ac:dyDescent="0.25">
      <c r="B544" t="str">
        <f>IF(IFERROR(VLOOKUP(TRIM(A544),Inventory!E:E,1,0),0)=0,"X","_")</f>
        <v>_</v>
      </c>
      <c r="C544" t="str">
        <f>IF(IFERROR(VLOOKUP(TRIM(A544),'Full Inventory'!F:F,1,0),0)=0,"X","_")</f>
        <v>_</v>
      </c>
      <c r="D544" t="str">
        <f t="shared" si="24"/>
        <v>X</v>
      </c>
      <c r="E544" t="str">
        <f ca="1">IFERROR(IF(AND(B544&amp;C544&amp;D544="___",INDIRECT("Inventory!A"&amp;MATCH(VLOOKUP(A544,Inventory!E:E,1,0),Inventory!E:E,0))&lt;&gt;INDIRECT("'Full Inventory'!B"&amp;MATCH(VLOOKUP(A544,'Full Inventory'!F:F,1,0),'Full Inventory'!F:F,0))),"X","_"),"_")</f>
        <v>_</v>
      </c>
      <c r="K544" t="str">
        <f t="shared" ca="1" si="25"/>
        <v>__X_</v>
      </c>
      <c r="L544" t="str">
        <f t="shared" ca="1" si="26"/>
        <v/>
      </c>
      <c r="M544" t="str">
        <f>IFERROR(INDEX(Inventory!A:A,MATCH(Scan!A544,Inventory!E:E,0)),"")</f>
        <v/>
      </c>
    </row>
    <row r="545" spans="2:13" x14ac:dyDescent="0.25">
      <c r="B545" t="str">
        <f>IF(IFERROR(VLOOKUP(TRIM(A545),Inventory!E:E,1,0),0)=0,"X","_")</f>
        <v>_</v>
      </c>
      <c r="C545" t="str">
        <f>IF(IFERROR(VLOOKUP(TRIM(A545),'Full Inventory'!F:F,1,0),0)=0,"X","_")</f>
        <v>_</v>
      </c>
      <c r="D545" t="str">
        <f t="shared" si="24"/>
        <v>X</v>
      </c>
      <c r="E545" t="str">
        <f ca="1">IFERROR(IF(AND(B545&amp;C545&amp;D545="___",INDIRECT("Inventory!A"&amp;MATCH(VLOOKUP(A545,Inventory!E:E,1,0),Inventory!E:E,0))&lt;&gt;INDIRECT("'Full Inventory'!B"&amp;MATCH(VLOOKUP(A545,'Full Inventory'!F:F,1,0),'Full Inventory'!F:F,0))),"X","_"),"_")</f>
        <v>_</v>
      </c>
      <c r="K545" t="str">
        <f t="shared" ca="1" si="25"/>
        <v>__X_</v>
      </c>
      <c r="L545" t="str">
        <f t="shared" ca="1" si="26"/>
        <v/>
      </c>
      <c r="M545" t="str">
        <f>IFERROR(INDEX(Inventory!A:A,MATCH(Scan!A545,Inventory!E:E,0)),"")</f>
        <v/>
      </c>
    </row>
    <row r="546" spans="2:13" x14ac:dyDescent="0.25">
      <c r="B546" t="str">
        <f>IF(IFERROR(VLOOKUP(TRIM(A546),Inventory!E:E,1,0),0)=0,"X","_")</f>
        <v>_</v>
      </c>
      <c r="C546" t="str">
        <f>IF(IFERROR(VLOOKUP(TRIM(A546),'Full Inventory'!F:F,1,0),0)=0,"X","_")</f>
        <v>_</v>
      </c>
      <c r="D546" t="str">
        <f t="shared" si="24"/>
        <v>X</v>
      </c>
      <c r="E546" t="str">
        <f ca="1">IFERROR(IF(AND(B546&amp;C546&amp;D546="___",INDIRECT("Inventory!A"&amp;MATCH(VLOOKUP(A546,Inventory!E:E,1,0),Inventory!E:E,0))&lt;&gt;INDIRECT("'Full Inventory'!B"&amp;MATCH(VLOOKUP(A546,'Full Inventory'!F:F,1,0),'Full Inventory'!F:F,0))),"X","_"),"_")</f>
        <v>_</v>
      </c>
      <c r="K546" t="str">
        <f t="shared" ca="1" si="25"/>
        <v>__X_</v>
      </c>
      <c r="L546" t="str">
        <f t="shared" ca="1" si="26"/>
        <v/>
      </c>
      <c r="M546" t="str">
        <f>IFERROR(INDEX(Inventory!A:A,MATCH(Scan!A546,Inventory!E:E,0)),"")</f>
        <v/>
      </c>
    </row>
    <row r="547" spans="2:13" x14ac:dyDescent="0.25">
      <c r="B547" t="str">
        <f>IF(IFERROR(VLOOKUP(TRIM(A547),Inventory!E:E,1,0),0)=0,"X","_")</f>
        <v>_</v>
      </c>
      <c r="C547" t="str">
        <f>IF(IFERROR(VLOOKUP(TRIM(A547),'Full Inventory'!F:F,1,0),0)=0,"X","_")</f>
        <v>_</v>
      </c>
      <c r="D547" t="str">
        <f t="shared" si="24"/>
        <v>X</v>
      </c>
      <c r="E547" t="str">
        <f ca="1">IFERROR(IF(AND(B547&amp;C547&amp;D547="___",INDIRECT("Inventory!A"&amp;MATCH(VLOOKUP(A547,Inventory!E:E,1,0),Inventory!E:E,0))&lt;&gt;INDIRECT("'Full Inventory'!B"&amp;MATCH(VLOOKUP(A547,'Full Inventory'!F:F,1,0),'Full Inventory'!F:F,0))),"X","_"),"_")</f>
        <v>_</v>
      </c>
      <c r="K547" t="str">
        <f t="shared" ca="1" si="25"/>
        <v>__X_</v>
      </c>
      <c r="L547" t="str">
        <f t="shared" ca="1" si="26"/>
        <v/>
      </c>
      <c r="M547" t="str">
        <f>IFERROR(INDEX(Inventory!A:A,MATCH(Scan!A547,Inventory!E:E,0)),"")</f>
        <v/>
      </c>
    </row>
    <row r="548" spans="2:13" x14ac:dyDescent="0.25">
      <c r="B548" t="str">
        <f>IF(IFERROR(VLOOKUP(TRIM(A548),Inventory!E:E,1,0),0)=0,"X","_")</f>
        <v>_</v>
      </c>
      <c r="C548" t="str">
        <f>IF(IFERROR(VLOOKUP(TRIM(A548),'Full Inventory'!F:F,1,0),0)=0,"X","_")</f>
        <v>_</v>
      </c>
      <c r="D548" t="str">
        <f t="shared" si="24"/>
        <v>X</v>
      </c>
      <c r="E548" t="str">
        <f ca="1">IFERROR(IF(AND(B548&amp;C548&amp;D548="___",INDIRECT("Inventory!A"&amp;MATCH(VLOOKUP(A548,Inventory!E:E,1,0),Inventory!E:E,0))&lt;&gt;INDIRECT("'Full Inventory'!B"&amp;MATCH(VLOOKUP(A548,'Full Inventory'!F:F,1,0),'Full Inventory'!F:F,0))),"X","_"),"_")</f>
        <v>_</v>
      </c>
      <c r="K548" t="str">
        <f t="shared" ca="1" si="25"/>
        <v>__X_</v>
      </c>
      <c r="L548" t="str">
        <f t="shared" ca="1" si="26"/>
        <v/>
      </c>
      <c r="M548" t="str">
        <f>IFERROR(INDEX(Inventory!A:A,MATCH(Scan!A548,Inventory!E:E,0)),"")</f>
        <v/>
      </c>
    </row>
    <row r="549" spans="2:13" x14ac:dyDescent="0.25">
      <c r="B549" t="str">
        <f>IF(IFERROR(VLOOKUP(TRIM(A549),Inventory!E:E,1,0),0)=0,"X","_")</f>
        <v>_</v>
      </c>
      <c r="C549" t="str">
        <f>IF(IFERROR(VLOOKUP(TRIM(A549),'Full Inventory'!F:F,1,0),0)=0,"X","_")</f>
        <v>_</v>
      </c>
      <c r="D549" t="str">
        <f t="shared" si="24"/>
        <v>X</v>
      </c>
      <c r="E549" t="str">
        <f ca="1">IFERROR(IF(AND(B549&amp;C549&amp;D549="___",INDIRECT("Inventory!A"&amp;MATCH(VLOOKUP(A549,Inventory!E:E,1,0),Inventory!E:E,0))&lt;&gt;INDIRECT("'Full Inventory'!B"&amp;MATCH(VLOOKUP(A549,'Full Inventory'!F:F,1,0),'Full Inventory'!F:F,0))),"X","_"),"_")</f>
        <v>_</v>
      </c>
      <c r="K549" t="str">
        <f t="shared" ca="1" si="25"/>
        <v>__X_</v>
      </c>
      <c r="L549" t="str">
        <f t="shared" ca="1" si="26"/>
        <v/>
      </c>
      <c r="M549" t="str">
        <f>IFERROR(INDEX(Inventory!A:A,MATCH(Scan!A549,Inventory!E:E,0)),"")</f>
        <v/>
      </c>
    </row>
    <row r="550" spans="2:13" x14ac:dyDescent="0.25">
      <c r="B550" t="str">
        <f>IF(IFERROR(VLOOKUP(TRIM(A550),Inventory!E:E,1,0),0)=0,"X","_")</f>
        <v>_</v>
      </c>
      <c r="C550" t="str">
        <f>IF(IFERROR(VLOOKUP(TRIM(A550),'Full Inventory'!F:F,1,0),0)=0,"X","_")</f>
        <v>_</v>
      </c>
      <c r="D550" t="str">
        <f t="shared" si="24"/>
        <v>X</v>
      </c>
      <c r="E550" t="str">
        <f ca="1">IFERROR(IF(AND(B550&amp;C550&amp;D550="___",INDIRECT("Inventory!A"&amp;MATCH(VLOOKUP(A550,Inventory!E:E,1,0),Inventory!E:E,0))&lt;&gt;INDIRECT("'Full Inventory'!B"&amp;MATCH(VLOOKUP(A550,'Full Inventory'!F:F,1,0),'Full Inventory'!F:F,0))),"X","_"),"_")</f>
        <v>_</v>
      </c>
      <c r="K550" t="str">
        <f t="shared" ca="1" si="25"/>
        <v>__X_</v>
      </c>
      <c r="L550" t="str">
        <f t="shared" ca="1" si="26"/>
        <v/>
      </c>
      <c r="M550" t="str">
        <f>IFERROR(INDEX(Inventory!A:A,MATCH(Scan!A550,Inventory!E:E,0)),"")</f>
        <v/>
      </c>
    </row>
    <row r="551" spans="2:13" x14ac:dyDescent="0.25">
      <c r="B551" t="str">
        <f>IF(IFERROR(VLOOKUP(TRIM(A551),Inventory!E:E,1,0),0)=0,"X","_")</f>
        <v>_</v>
      </c>
      <c r="C551" t="str">
        <f>IF(IFERROR(VLOOKUP(TRIM(A551),'Full Inventory'!F:F,1,0),0)=0,"X","_")</f>
        <v>_</v>
      </c>
      <c r="D551" t="str">
        <f t="shared" si="24"/>
        <v>X</v>
      </c>
      <c r="E551" t="str">
        <f ca="1">IFERROR(IF(AND(B551&amp;C551&amp;D551="___",INDIRECT("Inventory!A"&amp;MATCH(VLOOKUP(A551,Inventory!E:E,1,0),Inventory!E:E,0))&lt;&gt;INDIRECT("'Full Inventory'!B"&amp;MATCH(VLOOKUP(A551,'Full Inventory'!F:F,1,0),'Full Inventory'!F:F,0))),"X","_"),"_")</f>
        <v>_</v>
      </c>
      <c r="K551" t="str">
        <f t="shared" ca="1" si="25"/>
        <v>__X_</v>
      </c>
      <c r="L551" t="str">
        <f t="shared" ca="1" si="26"/>
        <v/>
      </c>
      <c r="M551" t="str">
        <f>IFERROR(INDEX(Inventory!A:A,MATCH(Scan!A551,Inventory!E:E,0)),"")</f>
        <v/>
      </c>
    </row>
    <row r="552" spans="2:13" x14ac:dyDescent="0.25">
      <c r="B552" t="str">
        <f>IF(IFERROR(VLOOKUP(TRIM(A552),Inventory!E:E,1,0),0)=0,"X","_")</f>
        <v>_</v>
      </c>
      <c r="C552" t="str">
        <f>IF(IFERROR(VLOOKUP(TRIM(A552),'Full Inventory'!F:F,1,0),0)=0,"X","_")</f>
        <v>_</v>
      </c>
      <c r="D552" t="str">
        <f t="shared" si="24"/>
        <v>X</v>
      </c>
      <c r="E552" t="str">
        <f ca="1">IFERROR(IF(AND(B552&amp;C552&amp;D552="___",INDIRECT("Inventory!A"&amp;MATCH(VLOOKUP(A552,Inventory!E:E,1,0),Inventory!E:E,0))&lt;&gt;INDIRECT("'Full Inventory'!B"&amp;MATCH(VLOOKUP(A552,'Full Inventory'!F:F,1,0),'Full Inventory'!F:F,0))),"X","_"),"_")</f>
        <v>_</v>
      </c>
      <c r="K552" t="str">
        <f t="shared" ca="1" si="25"/>
        <v>__X_</v>
      </c>
      <c r="L552" t="str">
        <f t="shared" ca="1" si="26"/>
        <v/>
      </c>
      <c r="M552" t="str">
        <f>IFERROR(INDEX(Inventory!A:A,MATCH(Scan!A552,Inventory!E:E,0)),"")</f>
        <v/>
      </c>
    </row>
    <row r="553" spans="2:13" x14ac:dyDescent="0.25">
      <c r="B553" t="str">
        <f>IF(IFERROR(VLOOKUP(TRIM(A553),Inventory!E:E,1,0),0)=0,"X","_")</f>
        <v>_</v>
      </c>
      <c r="C553" t="str">
        <f>IF(IFERROR(VLOOKUP(TRIM(A553),'Full Inventory'!F:F,1,0),0)=0,"X","_")</f>
        <v>_</v>
      </c>
      <c r="D553" t="str">
        <f t="shared" si="24"/>
        <v>X</v>
      </c>
      <c r="E553" t="str">
        <f ca="1">IFERROR(IF(AND(B553&amp;C553&amp;D553="___",INDIRECT("Inventory!A"&amp;MATCH(VLOOKUP(A553,Inventory!E:E,1,0),Inventory!E:E,0))&lt;&gt;INDIRECT("'Full Inventory'!B"&amp;MATCH(VLOOKUP(A553,'Full Inventory'!F:F,1,0),'Full Inventory'!F:F,0))),"X","_"),"_")</f>
        <v>_</v>
      </c>
      <c r="K553" t="str">
        <f t="shared" ca="1" si="25"/>
        <v>__X_</v>
      </c>
      <c r="L553" t="str">
        <f t="shared" ca="1" si="26"/>
        <v/>
      </c>
      <c r="M553" t="str">
        <f>IFERROR(INDEX(Inventory!A:A,MATCH(Scan!A553,Inventory!E:E,0)),"")</f>
        <v/>
      </c>
    </row>
    <row r="554" spans="2:13" x14ac:dyDescent="0.25">
      <c r="B554" t="str">
        <f>IF(IFERROR(VLOOKUP(TRIM(A554),Inventory!E:E,1,0),0)=0,"X","_")</f>
        <v>_</v>
      </c>
      <c r="C554" t="str">
        <f>IF(IFERROR(VLOOKUP(TRIM(A554),'Full Inventory'!F:F,1,0),0)=0,"X","_")</f>
        <v>_</v>
      </c>
      <c r="D554" t="str">
        <f t="shared" si="24"/>
        <v>X</v>
      </c>
      <c r="E554" t="str">
        <f ca="1">IFERROR(IF(AND(B554&amp;C554&amp;D554="___",INDIRECT("Inventory!A"&amp;MATCH(VLOOKUP(A554,Inventory!E:E,1,0),Inventory!E:E,0))&lt;&gt;INDIRECT("'Full Inventory'!B"&amp;MATCH(VLOOKUP(A554,'Full Inventory'!F:F,1,0),'Full Inventory'!F:F,0))),"X","_"),"_")</f>
        <v>_</v>
      </c>
      <c r="K554" t="str">
        <f t="shared" ca="1" si="25"/>
        <v>__X_</v>
      </c>
      <c r="L554" t="str">
        <f t="shared" ca="1" si="26"/>
        <v/>
      </c>
      <c r="M554" t="str">
        <f>IFERROR(INDEX(Inventory!A:A,MATCH(Scan!A554,Inventory!E:E,0)),"")</f>
        <v/>
      </c>
    </row>
    <row r="555" spans="2:13" x14ac:dyDescent="0.25">
      <c r="B555" t="str">
        <f>IF(IFERROR(VLOOKUP(TRIM(A555),Inventory!E:E,1,0),0)=0,"X","_")</f>
        <v>_</v>
      </c>
      <c r="C555" t="str">
        <f>IF(IFERROR(VLOOKUP(TRIM(A555),'Full Inventory'!F:F,1,0),0)=0,"X","_")</f>
        <v>_</v>
      </c>
      <c r="D555" t="str">
        <f t="shared" si="24"/>
        <v>X</v>
      </c>
      <c r="E555" t="str">
        <f ca="1">IFERROR(IF(AND(B555&amp;C555&amp;D555="___",INDIRECT("Inventory!A"&amp;MATCH(VLOOKUP(A555,Inventory!E:E,1,0),Inventory!E:E,0))&lt;&gt;INDIRECT("'Full Inventory'!B"&amp;MATCH(VLOOKUP(A555,'Full Inventory'!F:F,1,0),'Full Inventory'!F:F,0))),"X","_"),"_")</f>
        <v>_</v>
      </c>
      <c r="K555" t="str">
        <f t="shared" ca="1" si="25"/>
        <v>__X_</v>
      </c>
      <c r="L555" t="str">
        <f t="shared" ca="1" si="26"/>
        <v/>
      </c>
      <c r="M555" t="str">
        <f>IFERROR(INDEX(Inventory!A:A,MATCH(Scan!A555,Inventory!E:E,0)),"")</f>
        <v/>
      </c>
    </row>
    <row r="556" spans="2:13" x14ac:dyDescent="0.25">
      <c r="B556" t="str">
        <f>IF(IFERROR(VLOOKUP(TRIM(A556),Inventory!E:E,1,0),0)=0,"X","_")</f>
        <v>_</v>
      </c>
      <c r="C556" t="str">
        <f>IF(IFERROR(VLOOKUP(TRIM(A556),'Full Inventory'!F:F,1,0),0)=0,"X","_")</f>
        <v>_</v>
      </c>
      <c r="D556" t="str">
        <f t="shared" si="24"/>
        <v>X</v>
      </c>
      <c r="E556" t="str">
        <f ca="1">IFERROR(IF(AND(B556&amp;C556&amp;D556="___",INDIRECT("Inventory!A"&amp;MATCH(VLOOKUP(A556,Inventory!E:E,1,0),Inventory!E:E,0))&lt;&gt;INDIRECT("'Full Inventory'!B"&amp;MATCH(VLOOKUP(A556,'Full Inventory'!F:F,1,0),'Full Inventory'!F:F,0))),"X","_"),"_")</f>
        <v>_</v>
      </c>
      <c r="K556" t="str">
        <f t="shared" ca="1" si="25"/>
        <v>__X_</v>
      </c>
      <c r="L556" t="str">
        <f t="shared" ca="1" si="26"/>
        <v/>
      </c>
      <c r="M556" t="str">
        <f>IFERROR(INDEX(Inventory!A:A,MATCH(Scan!A556,Inventory!E:E,0)),"")</f>
        <v/>
      </c>
    </row>
    <row r="557" spans="2:13" x14ac:dyDescent="0.25">
      <c r="B557" t="str">
        <f>IF(IFERROR(VLOOKUP(TRIM(A557),Inventory!E:E,1,0),0)=0,"X","_")</f>
        <v>_</v>
      </c>
      <c r="C557" t="str">
        <f>IF(IFERROR(VLOOKUP(TRIM(A557),'Full Inventory'!F:F,1,0),0)=0,"X","_")</f>
        <v>_</v>
      </c>
      <c r="D557" t="str">
        <f t="shared" si="24"/>
        <v>X</v>
      </c>
      <c r="E557" t="str">
        <f ca="1">IFERROR(IF(AND(B557&amp;C557&amp;D557="___",INDIRECT("Inventory!A"&amp;MATCH(VLOOKUP(A557,Inventory!E:E,1,0),Inventory!E:E,0))&lt;&gt;INDIRECT("'Full Inventory'!B"&amp;MATCH(VLOOKUP(A557,'Full Inventory'!F:F,1,0),'Full Inventory'!F:F,0))),"X","_"),"_")</f>
        <v>_</v>
      </c>
      <c r="K557" t="str">
        <f t="shared" ca="1" si="25"/>
        <v>__X_</v>
      </c>
      <c r="L557" t="str">
        <f t="shared" ca="1" si="26"/>
        <v/>
      </c>
      <c r="M557" t="str">
        <f>IFERROR(INDEX(Inventory!A:A,MATCH(Scan!A557,Inventory!E:E,0)),"")</f>
        <v/>
      </c>
    </row>
    <row r="558" spans="2:13" x14ac:dyDescent="0.25">
      <c r="B558" t="str">
        <f>IF(IFERROR(VLOOKUP(TRIM(A558),Inventory!E:E,1,0),0)=0,"X","_")</f>
        <v>_</v>
      </c>
      <c r="C558" t="str">
        <f>IF(IFERROR(VLOOKUP(TRIM(A558),'Full Inventory'!F:F,1,0),0)=0,"X","_")</f>
        <v>_</v>
      </c>
      <c r="D558" t="str">
        <f t="shared" si="24"/>
        <v>X</v>
      </c>
      <c r="E558" t="str">
        <f ca="1">IFERROR(IF(AND(B558&amp;C558&amp;D558="___",INDIRECT("Inventory!A"&amp;MATCH(VLOOKUP(A558,Inventory!E:E,1,0),Inventory!E:E,0))&lt;&gt;INDIRECT("'Full Inventory'!B"&amp;MATCH(VLOOKUP(A558,'Full Inventory'!F:F,1,0),'Full Inventory'!F:F,0))),"X","_"),"_")</f>
        <v>_</v>
      </c>
      <c r="K558" t="str">
        <f t="shared" ca="1" si="25"/>
        <v>__X_</v>
      </c>
      <c r="L558" t="str">
        <f t="shared" ca="1" si="26"/>
        <v/>
      </c>
      <c r="M558" t="str">
        <f>IFERROR(INDEX(Inventory!A:A,MATCH(Scan!A558,Inventory!E:E,0)),"")</f>
        <v/>
      </c>
    </row>
    <row r="559" spans="2:13" x14ac:dyDescent="0.25">
      <c r="B559" t="str">
        <f>IF(IFERROR(VLOOKUP(TRIM(A559),Inventory!E:E,1,0),0)=0,"X","_")</f>
        <v>_</v>
      </c>
      <c r="C559" t="str">
        <f>IF(IFERROR(VLOOKUP(TRIM(A559),'Full Inventory'!F:F,1,0),0)=0,"X","_")</f>
        <v>_</v>
      </c>
      <c r="D559" t="str">
        <f t="shared" si="24"/>
        <v>X</v>
      </c>
      <c r="E559" t="str">
        <f ca="1">IFERROR(IF(AND(B559&amp;C559&amp;D559="___",INDIRECT("Inventory!A"&amp;MATCH(VLOOKUP(A559,Inventory!E:E,1,0),Inventory!E:E,0))&lt;&gt;INDIRECT("'Full Inventory'!B"&amp;MATCH(VLOOKUP(A559,'Full Inventory'!F:F,1,0),'Full Inventory'!F:F,0))),"X","_"),"_")</f>
        <v>_</v>
      </c>
      <c r="K559" t="str">
        <f t="shared" ca="1" si="25"/>
        <v>__X_</v>
      </c>
      <c r="L559" t="str">
        <f t="shared" ca="1" si="26"/>
        <v/>
      </c>
      <c r="M559" t="str">
        <f>IFERROR(INDEX(Inventory!A:A,MATCH(Scan!A559,Inventory!E:E,0)),"")</f>
        <v/>
      </c>
    </row>
    <row r="560" spans="2:13" x14ac:dyDescent="0.25">
      <c r="B560" t="str">
        <f>IF(IFERROR(VLOOKUP(TRIM(A560),Inventory!E:E,1,0),0)=0,"X","_")</f>
        <v>_</v>
      </c>
      <c r="C560" t="str">
        <f>IF(IFERROR(VLOOKUP(TRIM(A560),'Full Inventory'!F:F,1,0),0)=0,"X","_")</f>
        <v>_</v>
      </c>
      <c r="D560" t="str">
        <f t="shared" si="24"/>
        <v>X</v>
      </c>
      <c r="E560" t="str">
        <f ca="1">IFERROR(IF(AND(B560&amp;C560&amp;D560="___",INDIRECT("Inventory!A"&amp;MATCH(VLOOKUP(A560,Inventory!E:E,1,0),Inventory!E:E,0))&lt;&gt;INDIRECT("'Full Inventory'!B"&amp;MATCH(VLOOKUP(A560,'Full Inventory'!F:F,1,0),'Full Inventory'!F:F,0))),"X","_"),"_")</f>
        <v>_</v>
      </c>
      <c r="K560" t="str">
        <f t="shared" ca="1" si="25"/>
        <v>__X_</v>
      </c>
      <c r="L560" t="str">
        <f t="shared" ca="1" si="26"/>
        <v/>
      </c>
      <c r="M560" t="str">
        <f>IFERROR(INDEX(Inventory!A:A,MATCH(Scan!A560,Inventory!E:E,0)),"")</f>
        <v/>
      </c>
    </row>
    <row r="561" spans="2:13" x14ac:dyDescent="0.25">
      <c r="B561" t="str">
        <f>IF(IFERROR(VLOOKUP(TRIM(A561),Inventory!E:E,1,0),0)=0,"X","_")</f>
        <v>_</v>
      </c>
      <c r="C561" t="str">
        <f>IF(IFERROR(VLOOKUP(TRIM(A561),'Full Inventory'!F:F,1,0),0)=0,"X","_")</f>
        <v>_</v>
      </c>
      <c r="D561" t="str">
        <f t="shared" si="24"/>
        <v>X</v>
      </c>
      <c r="E561" t="str">
        <f ca="1">IFERROR(IF(AND(B561&amp;C561&amp;D561="___",INDIRECT("Inventory!A"&amp;MATCH(VLOOKUP(A561,Inventory!E:E,1,0),Inventory!E:E,0))&lt;&gt;INDIRECT("'Full Inventory'!B"&amp;MATCH(VLOOKUP(A561,'Full Inventory'!F:F,1,0),'Full Inventory'!F:F,0))),"X","_"),"_")</f>
        <v>_</v>
      </c>
      <c r="K561" t="str">
        <f t="shared" ca="1" si="25"/>
        <v>__X_</v>
      </c>
      <c r="L561" t="str">
        <f t="shared" ca="1" si="26"/>
        <v/>
      </c>
      <c r="M561" t="str">
        <f>IFERROR(INDEX(Inventory!A:A,MATCH(Scan!A561,Inventory!E:E,0)),"")</f>
        <v/>
      </c>
    </row>
    <row r="562" spans="2:13" x14ac:dyDescent="0.25">
      <c r="B562" t="str">
        <f>IF(IFERROR(VLOOKUP(TRIM(A562),Inventory!E:E,1,0),0)=0,"X","_")</f>
        <v>_</v>
      </c>
      <c r="C562" t="str">
        <f>IF(IFERROR(VLOOKUP(TRIM(A562),'Full Inventory'!F:F,1,0),0)=0,"X","_")</f>
        <v>_</v>
      </c>
      <c r="D562" t="str">
        <f t="shared" si="24"/>
        <v>X</v>
      </c>
      <c r="E562" t="str">
        <f ca="1">IFERROR(IF(AND(B562&amp;C562&amp;D562="___",INDIRECT("Inventory!A"&amp;MATCH(VLOOKUP(A562,Inventory!E:E,1,0),Inventory!E:E,0))&lt;&gt;INDIRECT("'Full Inventory'!B"&amp;MATCH(VLOOKUP(A562,'Full Inventory'!F:F,1,0),'Full Inventory'!F:F,0))),"X","_"),"_")</f>
        <v>_</v>
      </c>
      <c r="K562" t="str">
        <f t="shared" ca="1" si="25"/>
        <v>__X_</v>
      </c>
      <c r="L562" t="str">
        <f t="shared" ca="1" si="26"/>
        <v/>
      </c>
      <c r="M562" t="str">
        <f>IFERROR(INDEX(Inventory!A:A,MATCH(Scan!A562,Inventory!E:E,0)),"")</f>
        <v/>
      </c>
    </row>
    <row r="563" spans="2:13" x14ac:dyDescent="0.25">
      <c r="B563" t="str">
        <f>IF(IFERROR(VLOOKUP(TRIM(A563),Inventory!E:E,1,0),0)=0,"X","_")</f>
        <v>_</v>
      </c>
      <c r="C563" t="str">
        <f>IF(IFERROR(VLOOKUP(TRIM(A563),'Full Inventory'!F:F,1,0),0)=0,"X","_")</f>
        <v>_</v>
      </c>
      <c r="D563" t="str">
        <f t="shared" si="24"/>
        <v>X</v>
      </c>
      <c r="E563" t="str">
        <f ca="1">IFERROR(IF(AND(B563&amp;C563&amp;D563="___",INDIRECT("Inventory!A"&amp;MATCH(VLOOKUP(A563,Inventory!E:E,1,0),Inventory!E:E,0))&lt;&gt;INDIRECT("'Full Inventory'!B"&amp;MATCH(VLOOKUP(A563,'Full Inventory'!F:F,1,0),'Full Inventory'!F:F,0))),"X","_"),"_")</f>
        <v>_</v>
      </c>
      <c r="K563" t="str">
        <f t="shared" ca="1" si="25"/>
        <v>__X_</v>
      </c>
      <c r="L563" t="str">
        <f t="shared" ca="1" si="26"/>
        <v/>
      </c>
      <c r="M563" t="str">
        <f>IFERROR(INDEX(Inventory!A:A,MATCH(Scan!A563,Inventory!E:E,0)),"")</f>
        <v/>
      </c>
    </row>
    <row r="564" spans="2:13" x14ac:dyDescent="0.25">
      <c r="B564" t="str">
        <f>IF(IFERROR(VLOOKUP(TRIM(A564),Inventory!E:E,1,0),0)=0,"X","_")</f>
        <v>_</v>
      </c>
      <c r="C564" t="str">
        <f>IF(IFERROR(VLOOKUP(TRIM(A564),'Full Inventory'!F:F,1,0),0)=0,"X","_")</f>
        <v>_</v>
      </c>
      <c r="D564" t="str">
        <f t="shared" si="24"/>
        <v>X</v>
      </c>
      <c r="E564" t="str">
        <f ca="1">IFERROR(IF(AND(B564&amp;C564&amp;D564="___",INDIRECT("Inventory!A"&amp;MATCH(VLOOKUP(A564,Inventory!E:E,1,0),Inventory!E:E,0))&lt;&gt;INDIRECT("'Full Inventory'!B"&amp;MATCH(VLOOKUP(A564,'Full Inventory'!F:F,1,0),'Full Inventory'!F:F,0))),"X","_"),"_")</f>
        <v>_</v>
      </c>
      <c r="K564" t="str">
        <f t="shared" ca="1" si="25"/>
        <v>__X_</v>
      </c>
      <c r="L564" t="str">
        <f t="shared" ca="1" si="26"/>
        <v/>
      </c>
      <c r="M564" t="str">
        <f>IFERROR(INDEX(Inventory!A:A,MATCH(Scan!A564,Inventory!E:E,0)),"")</f>
        <v/>
      </c>
    </row>
    <row r="565" spans="2:13" x14ac:dyDescent="0.25">
      <c r="B565" t="str">
        <f>IF(IFERROR(VLOOKUP(TRIM(A565),Inventory!E:E,1,0),0)=0,"X","_")</f>
        <v>_</v>
      </c>
      <c r="C565" t="str">
        <f>IF(IFERROR(VLOOKUP(TRIM(A565),'Full Inventory'!F:F,1,0),0)=0,"X","_")</f>
        <v>_</v>
      </c>
      <c r="D565" t="str">
        <f t="shared" si="24"/>
        <v>X</v>
      </c>
      <c r="E565" t="str">
        <f ca="1">IFERROR(IF(AND(B565&amp;C565&amp;D565="___",INDIRECT("Inventory!A"&amp;MATCH(VLOOKUP(A565,Inventory!E:E,1,0),Inventory!E:E,0))&lt;&gt;INDIRECT("'Full Inventory'!B"&amp;MATCH(VLOOKUP(A565,'Full Inventory'!F:F,1,0),'Full Inventory'!F:F,0))),"X","_"),"_")</f>
        <v>_</v>
      </c>
      <c r="K565" t="str">
        <f t="shared" ca="1" si="25"/>
        <v>__X_</v>
      </c>
      <c r="L565" t="str">
        <f t="shared" ca="1" si="26"/>
        <v/>
      </c>
      <c r="M565" t="str">
        <f>IFERROR(INDEX(Inventory!A:A,MATCH(Scan!A565,Inventory!E:E,0)),"")</f>
        <v/>
      </c>
    </row>
    <row r="566" spans="2:13" x14ac:dyDescent="0.25">
      <c r="B566" t="str">
        <f>IF(IFERROR(VLOOKUP(TRIM(A566),Inventory!E:E,1,0),0)=0,"X","_")</f>
        <v>_</v>
      </c>
      <c r="C566" t="str">
        <f>IF(IFERROR(VLOOKUP(TRIM(A566),'Full Inventory'!F:F,1,0),0)=0,"X","_")</f>
        <v>_</v>
      </c>
      <c r="D566" t="str">
        <f t="shared" si="24"/>
        <v>X</v>
      </c>
      <c r="E566" t="str">
        <f ca="1">IFERROR(IF(AND(B566&amp;C566&amp;D566="___",INDIRECT("Inventory!A"&amp;MATCH(VLOOKUP(A566,Inventory!E:E,1,0),Inventory!E:E,0))&lt;&gt;INDIRECT("'Full Inventory'!B"&amp;MATCH(VLOOKUP(A566,'Full Inventory'!F:F,1,0),'Full Inventory'!F:F,0))),"X","_"),"_")</f>
        <v>_</v>
      </c>
      <c r="K566" t="str">
        <f t="shared" ca="1" si="25"/>
        <v>__X_</v>
      </c>
      <c r="L566" t="str">
        <f t="shared" ca="1" si="26"/>
        <v/>
      </c>
      <c r="M566" t="str">
        <f>IFERROR(INDEX(Inventory!A:A,MATCH(Scan!A566,Inventory!E:E,0)),"")</f>
        <v/>
      </c>
    </row>
    <row r="567" spans="2:13" x14ac:dyDescent="0.25">
      <c r="B567" t="str">
        <f>IF(IFERROR(VLOOKUP(TRIM(A567),Inventory!E:E,1,0),0)=0,"X","_")</f>
        <v>_</v>
      </c>
      <c r="C567" t="str">
        <f>IF(IFERROR(VLOOKUP(TRIM(A567),'Full Inventory'!F:F,1,0),0)=0,"X","_")</f>
        <v>_</v>
      </c>
      <c r="D567" t="str">
        <f t="shared" si="24"/>
        <v>X</v>
      </c>
      <c r="E567" t="str">
        <f ca="1">IFERROR(IF(AND(B567&amp;C567&amp;D567="___",INDIRECT("Inventory!A"&amp;MATCH(VLOOKUP(A567,Inventory!E:E,1,0),Inventory!E:E,0))&lt;&gt;INDIRECT("'Full Inventory'!B"&amp;MATCH(VLOOKUP(A567,'Full Inventory'!F:F,1,0),'Full Inventory'!F:F,0))),"X","_"),"_")</f>
        <v>_</v>
      </c>
      <c r="K567" t="str">
        <f t="shared" ca="1" si="25"/>
        <v>__X_</v>
      </c>
      <c r="L567" t="str">
        <f t="shared" ca="1" si="26"/>
        <v/>
      </c>
      <c r="M567" t="str">
        <f>IFERROR(INDEX(Inventory!A:A,MATCH(Scan!A567,Inventory!E:E,0)),"")</f>
        <v/>
      </c>
    </row>
    <row r="568" spans="2:13" x14ac:dyDescent="0.25">
      <c r="B568" t="str">
        <f>IF(IFERROR(VLOOKUP(TRIM(A568),Inventory!E:E,1,0),0)=0,"X","_")</f>
        <v>_</v>
      </c>
      <c r="C568" t="str">
        <f>IF(IFERROR(VLOOKUP(TRIM(A568),'Full Inventory'!F:F,1,0),0)=0,"X","_")</f>
        <v>_</v>
      </c>
      <c r="D568" t="str">
        <f t="shared" si="24"/>
        <v>X</v>
      </c>
      <c r="E568" t="str">
        <f ca="1">IFERROR(IF(AND(B568&amp;C568&amp;D568="___",INDIRECT("Inventory!A"&amp;MATCH(VLOOKUP(A568,Inventory!E:E,1,0),Inventory!E:E,0))&lt;&gt;INDIRECT("'Full Inventory'!B"&amp;MATCH(VLOOKUP(A568,'Full Inventory'!F:F,1,0),'Full Inventory'!F:F,0))),"X","_"),"_")</f>
        <v>_</v>
      </c>
      <c r="K568" t="str">
        <f t="shared" ca="1" si="25"/>
        <v>__X_</v>
      </c>
      <c r="L568" t="str">
        <f t="shared" ca="1" si="26"/>
        <v/>
      </c>
      <c r="M568" t="str">
        <f>IFERROR(INDEX(Inventory!A:A,MATCH(Scan!A568,Inventory!E:E,0)),"")</f>
        <v/>
      </c>
    </row>
    <row r="569" spans="2:13" x14ac:dyDescent="0.25">
      <c r="B569" t="str">
        <f>IF(IFERROR(VLOOKUP(TRIM(A569),Inventory!E:E,1,0),0)=0,"X","_")</f>
        <v>_</v>
      </c>
      <c r="C569" t="str">
        <f>IF(IFERROR(VLOOKUP(TRIM(A569),'Full Inventory'!F:F,1,0),0)=0,"X","_")</f>
        <v>_</v>
      </c>
      <c r="D569" t="str">
        <f t="shared" si="24"/>
        <v>X</v>
      </c>
      <c r="E569" t="str">
        <f ca="1">IFERROR(IF(AND(B569&amp;C569&amp;D569="___",INDIRECT("Inventory!A"&amp;MATCH(VLOOKUP(A569,Inventory!E:E,1,0),Inventory!E:E,0))&lt;&gt;INDIRECT("'Full Inventory'!B"&amp;MATCH(VLOOKUP(A569,'Full Inventory'!F:F,1,0),'Full Inventory'!F:F,0))),"X","_"),"_")</f>
        <v>_</v>
      </c>
      <c r="K569" t="str">
        <f t="shared" ca="1" si="25"/>
        <v>__X_</v>
      </c>
      <c r="L569" t="str">
        <f t="shared" ca="1" si="26"/>
        <v/>
      </c>
      <c r="M569" t="str">
        <f>IFERROR(INDEX(Inventory!A:A,MATCH(Scan!A569,Inventory!E:E,0)),"")</f>
        <v/>
      </c>
    </row>
    <row r="570" spans="2:13" x14ac:dyDescent="0.25">
      <c r="B570" t="str">
        <f>IF(IFERROR(VLOOKUP(TRIM(A570),Inventory!E:E,1,0),0)=0,"X","_")</f>
        <v>_</v>
      </c>
      <c r="C570" t="str">
        <f>IF(IFERROR(VLOOKUP(TRIM(A570),'Full Inventory'!F:F,1,0),0)=0,"X","_")</f>
        <v>_</v>
      </c>
      <c r="D570" t="str">
        <f t="shared" si="24"/>
        <v>X</v>
      </c>
      <c r="E570" t="str">
        <f ca="1">IFERROR(IF(AND(B570&amp;C570&amp;D570="___",INDIRECT("Inventory!A"&amp;MATCH(VLOOKUP(A570,Inventory!E:E,1,0),Inventory!E:E,0))&lt;&gt;INDIRECT("'Full Inventory'!B"&amp;MATCH(VLOOKUP(A570,'Full Inventory'!F:F,1,0),'Full Inventory'!F:F,0))),"X","_"),"_")</f>
        <v>_</v>
      </c>
      <c r="K570" t="str">
        <f t="shared" ca="1" si="25"/>
        <v>__X_</v>
      </c>
      <c r="L570" t="str">
        <f t="shared" ca="1" si="26"/>
        <v/>
      </c>
      <c r="M570" t="str">
        <f>IFERROR(INDEX(Inventory!A:A,MATCH(Scan!A570,Inventory!E:E,0)),"")</f>
        <v/>
      </c>
    </row>
    <row r="571" spans="2:13" x14ac:dyDescent="0.25">
      <c r="B571" t="str">
        <f>IF(IFERROR(VLOOKUP(TRIM(A571),Inventory!E:E,1,0),0)=0,"X","_")</f>
        <v>_</v>
      </c>
      <c r="C571" t="str">
        <f>IF(IFERROR(VLOOKUP(TRIM(A571),'Full Inventory'!F:F,1,0),0)=0,"X","_")</f>
        <v>_</v>
      </c>
      <c r="D571" t="str">
        <f t="shared" si="24"/>
        <v>X</v>
      </c>
      <c r="E571" t="str">
        <f ca="1">IFERROR(IF(AND(B571&amp;C571&amp;D571="___",INDIRECT("Inventory!A"&amp;MATCH(VLOOKUP(A571,Inventory!E:E,1,0),Inventory!E:E,0))&lt;&gt;INDIRECT("'Full Inventory'!B"&amp;MATCH(VLOOKUP(A571,'Full Inventory'!F:F,1,0),'Full Inventory'!F:F,0))),"X","_"),"_")</f>
        <v>_</v>
      </c>
      <c r="K571" t="str">
        <f t="shared" ca="1" si="25"/>
        <v>__X_</v>
      </c>
      <c r="L571" t="str">
        <f t="shared" ca="1" si="26"/>
        <v/>
      </c>
      <c r="M571" t="str">
        <f>IFERROR(INDEX(Inventory!A:A,MATCH(Scan!A571,Inventory!E:E,0)),"")</f>
        <v/>
      </c>
    </row>
    <row r="572" spans="2:13" x14ac:dyDescent="0.25">
      <c r="B572" t="str">
        <f>IF(IFERROR(VLOOKUP(TRIM(A572),Inventory!E:E,1,0),0)=0,"X","_")</f>
        <v>_</v>
      </c>
      <c r="C572" t="str">
        <f>IF(IFERROR(VLOOKUP(TRIM(A572),'Full Inventory'!F:F,1,0),0)=0,"X","_")</f>
        <v>_</v>
      </c>
      <c r="D572" t="str">
        <f t="shared" si="24"/>
        <v>X</v>
      </c>
      <c r="E572" t="str">
        <f ca="1">IFERROR(IF(AND(B572&amp;C572&amp;D572="___",INDIRECT("Inventory!A"&amp;MATCH(VLOOKUP(A572,Inventory!E:E,1,0),Inventory!E:E,0))&lt;&gt;INDIRECT("'Full Inventory'!B"&amp;MATCH(VLOOKUP(A572,'Full Inventory'!F:F,1,0),'Full Inventory'!F:F,0))),"X","_"),"_")</f>
        <v>_</v>
      </c>
      <c r="K572" t="str">
        <f t="shared" ca="1" si="25"/>
        <v>__X_</v>
      </c>
      <c r="L572" t="str">
        <f t="shared" ca="1" si="26"/>
        <v/>
      </c>
      <c r="M572" t="str">
        <f>IFERROR(INDEX(Inventory!A:A,MATCH(Scan!A572,Inventory!E:E,0)),"")</f>
        <v/>
      </c>
    </row>
    <row r="573" spans="2:13" x14ac:dyDescent="0.25">
      <c r="B573" t="str">
        <f>IF(IFERROR(VLOOKUP(TRIM(A573),Inventory!E:E,1,0),0)=0,"X","_")</f>
        <v>_</v>
      </c>
      <c r="C573" t="str">
        <f>IF(IFERROR(VLOOKUP(TRIM(A573),'Full Inventory'!F:F,1,0),0)=0,"X","_")</f>
        <v>_</v>
      </c>
      <c r="D573" t="str">
        <f t="shared" si="24"/>
        <v>X</v>
      </c>
      <c r="E573" t="str">
        <f ca="1">IFERROR(IF(AND(B573&amp;C573&amp;D573="___",INDIRECT("Inventory!A"&amp;MATCH(VLOOKUP(A573,Inventory!E:E,1,0),Inventory!E:E,0))&lt;&gt;INDIRECT("'Full Inventory'!B"&amp;MATCH(VLOOKUP(A573,'Full Inventory'!F:F,1,0),'Full Inventory'!F:F,0))),"X","_"),"_")</f>
        <v>_</v>
      </c>
      <c r="K573" t="str">
        <f t="shared" ca="1" si="25"/>
        <v>__X_</v>
      </c>
      <c r="L573" t="str">
        <f t="shared" ca="1" si="26"/>
        <v/>
      </c>
      <c r="M573" t="str">
        <f>IFERROR(INDEX(Inventory!A:A,MATCH(Scan!A573,Inventory!E:E,0)),"")</f>
        <v/>
      </c>
    </row>
    <row r="574" spans="2:13" x14ac:dyDescent="0.25">
      <c r="B574" t="str">
        <f>IF(IFERROR(VLOOKUP(TRIM(A574),Inventory!E:E,1,0),0)=0,"X","_")</f>
        <v>_</v>
      </c>
      <c r="C574" t="str">
        <f>IF(IFERROR(VLOOKUP(TRIM(A574),'Full Inventory'!F:F,1,0),0)=0,"X","_")</f>
        <v>_</v>
      </c>
      <c r="D574" t="str">
        <f t="shared" si="24"/>
        <v>X</v>
      </c>
      <c r="E574" t="str">
        <f ca="1">IFERROR(IF(AND(B574&amp;C574&amp;D574="___",INDIRECT("Inventory!A"&amp;MATCH(VLOOKUP(A574,Inventory!E:E,1,0),Inventory!E:E,0))&lt;&gt;INDIRECT("'Full Inventory'!B"&amp;MATCH(VLOOKUP(A574,'Full Inventory'!F:F,1,0),'Full Inventory'!F:F,0))),"X","_"),"_")</f>
        <v>_</v>
      </c>
      <c r="K574" t="str">
        <f t="shared" ca="1" si="25"/>
        <v>__X_</v>
      </c>
      <c r="L574" t="str">
        <f t="shared" ca="1" si="26"/>
        <v/>
      </c>
      <c r="M574" t="str">
        <f>IFERROR(INDEX(Inventory!A:A,MATCH(Scan!A574,Inventory!E:E,0)),"")</f>
        <v/>
      </c>
    </row>
    <row r="575" spans="2:13" x14ac:dyDescent="0.25">
      <c r="B575" t="str">
        <f>IF(IFERROR(VLOOKUP(TRIM(A575),Inventory!E:E,1,0),0)=0,"X","_")</f>
        <v>_</v>
      </c>
      <c r="C575" t="str">
        <f>IF(IFERROR(VLOOKUP(TRIM(A575),'Full Inventory'!F:F,1,0),0)=0,"X","_")</f>
        <v>_</v>
      </c>
      <c r="D575" t="str">
        <f t="shared" si="24"/>
        <v>X</v>
      </c>
      <c r="E575" t="str">
        <f ca="1">IFERROR(IF(AND(B575&amp;C575&amp;D575="___",INDIRECT("Inventory!A"&amp;MATCH(VLOOKUP(A575,Inventory!E:E,1,0),Inventory!E:E,0))&lt;&gt;INDIRECT("'Full Inventory'!B"&amp;MATCH(VLOOKUP(A575,'Full Inventory'!F:F,1,0),'Full Inventory'!F:F,0))),"X","_"),"_")</f>
        <v>_</v>
      </c>
      <c r="K575" t="str">
        <f t="shared" ca="1" si="25"/>
        <v>__X_</v>
      </c>
      <c r="L575" t="str">
        <f t="shared" ca="1" si="26"/>
        <v/>
      </c>
      <c r="M575" t="str">
        <f>IFERROR(INDEX(Inventory!A:A,MATCH(Scan!A575,Inventory!E:E,0)),"")</f>
        <v/>
      </c>
    </row>
    <row r="576" spans="2:13" x14ac:dyDescent="0.25">
      <c r="B576" t="str">
        <f>IF(IFERROR(VLOOKUP(TRIM(A576),Inventory!E:E,1,0),0)=0,"X","_")</f>
        <v>_</v>
      </c>
      <c r="C576" t="str">
        <f>IF(IFERROR(VLOOKUP(TRIM(A576),'Full Inventory'!F:F,1,0),0)=0,"X","_")</f>
        <v>_</v>
      </c>
      <c r="D576" t="str">
        <f t="shared" si="24"/>
        <v>X</v>
      </c>
      <c r="E576" t="str">
        <f ca="1">IFERROR(IF(AND(B576&amp;C576&amp;D576="___",INDIRECT("Inventory!A"&amp;MATCH(VLOOKUP(A576,Inventory!E:E,1,0),Inventory!E:E,0))&lt;&gt;INDIRECT("'Full Inventory'!B"&amp;MATCH(VLOOKUP(A576,'Full Inventory'!F:F,1,0),'Full Inventory'!F:F,0))),"X","_"),"_")</f>
        <v>_</v>
      </c>
      <c r="K576" t="str">
        <f t="shared" ca="1" si="25"/>
        <v>__X_</v>
      </c>
      <c r="L576" t="str">
        <f t="shared" ca="1" si="26"/>
        <v/>
      </c>
      <c r="M576" t="str">
        <f>IFERROR(INDEX(Inventory!A:A,MATCH(Scan!A576,Inventory!E:E,0)),"")</f>
        <v/>
      </c>
    </row>
    <row r="577" spans="2:13" x14ac:dyDescent="0.25">
      <c r="B577" t="str">
        <f>IF(IFERROR(VLOOKUP(TRIM(A577),Inventory!E:E,1,0),0)=0,"X","_")</f>
        <v>_</v>
      </c>
      <c r="C577" t="str">
        <f>IF(IFERROR(VLOOKUP(TRIM(A577),'Full Inventory'!F:F,1,0),0)=0,"X","_")</f>
        <v>_</v>
      </c>
      <c r="D577" t="str">
        <f t="shared" si="24"/>
        <v>X</v>
      </c>
      <c r="E577" t="str">
        <f ca="1">IFERROR(IF(AND(B577&amp;C577&amp;D577="___",INDIRECT("Inventory!A"&amp;MATCH(VLOOKUP(A577,Inventory!E:E,1,0),Inventory!E:E,0))&lt;&gt;INDIRECT("'Full Inventory'!B"&amp;MATCH(VLOOKUP(A577,'Full Inventory'!F:F,1,0),'Full Inventory'!F:F,0))),"X","_"),"_")</f>
        <v>_</v>
      </c>
      <c r="K577" t="str">
        <f t="shared" ca="1" si="25"/>
        <v>__X_</v>
      </c>
      <c r="L577" t="str">
        <f t="shared" ca="1" si="26"/>
        <v/>
      </c>
      <c r="M577" t="str">
        <f>IFERROR(INDEX(Inventory!A:A,MATCH(Scan!A577,Inventory!E:E,0)),"")</f>
        <v/>
      </c>
    </row>
    <row r="578" spans="2:13" x14ac:dyDescent="0.25">
      <c r="B578" t="str">
        <f>IF(IFERROR(VLOOKUP(TRIM(A578),Inventory!E:E,1,0),0)=0,"X","_")</f>
        <v>_</v>
      </c>
      <c r="C578" t="str">
        <f>IF(IFERROR(VLOOKUP(TRIM(A578),'Full Inventory'!F:F,1,0),0)=0,"X","_")</f>
        <v>_</v>
      </c>
      <c r="D578" t="str">
        <f t="shared" ref="D578:D641" si="27">IF(TRIM(A578)&lt;&gt;"","_","X")</f>
        <v>X</v>
      </c>
      <c r="E578" t="str">
        <f ca="1">IFERROR(IF(AND(B578&amp;C578&amp;D578="___",INDIRECT("Inventory!A"&amp;MATCH(VLOOKUP(A578,Inventory!E:E,1,0),Inventory!E:E,0))&lt;&gt;INDIRECT("'Full Inventory'!B"&amp;MATCH(VLOOKUP(A578,'Full Inventory'!F:F,1,0),'Full Inventory'!F:F,0))),"X","_"),"_")</f>
        <v>_</v>
      </c>
      <c r="K578" t="str">
        <f t="shared" ca="1" si="25"/>
        <v>__X_</v>
      </c>
      <c r="L578" t="str">
        <f t="shared" ca="1" si="26"/>
        <v/>
      </c>
      <c r="M578" t="str">
        <f>IFERROR(INDEX(Inventory!A:A,MATCH(Scan!A578,Inventory!E:E,0)),"")</f>
        <v/>
      </c>
    </row>
    <row r="579" spans="2:13" x14ac:dyDescent="0.25">
      <c r="B579" t="str">
        <f>IF(IFERROR(VLOOKUP(TRIM(A579),Inventory!E:E,1,0),0)=0,"X","_")</f>
        <v>_</v>
      </c>
      <c r="C579" t="str">
        <f>IF(IFERROR(VLOOKUP(TRIM(A579),'Full Inventory'!F:F,1,0),0)=0,"X","_")</f>
        <v>_</v>
      </c>
      <c r="D579" t="str">
        <f t="shared" si="27"/>
        <v>X</v>
      </c>
      <c r="E579" t="str">
        <f ca="1">IFERROR(IF(AND(B579&amp;C579&amp;D579="___",INDIRECT("Inventory!A"&amp;MATCH(VLOOKUP(A579,Inventory!E:E,1,0),Inventory!E:E,0))&lt;&gt;INDIRECT("'Full Inventory'!B"&amp;MATCH(VLOOKUP(A579,'Full Inventory'!F:F,1,0),'Full Inventory'!F:F,0))),"X","_"),"_")</f>
        <v>_</v>
      </c>
      <c r="K579" t="str">
        <f t="shared" ref="K579:K642" ca="1" si="28">B579&amp;C579&amp;D579&amp;E579</f>
        <v>__X_</v>
      </c>
      <c r="L579" t="str">
        <f t="shared" ref="L579:L642" ca="1" si="29">IF(K579="____","OK",IF(K579="_X__","NOT IN FULL INVENTORY",IF(K579="XX__","NOT IN FULL INVENTORY AND INVENTORY",IF(K579="X___","NOT IN INVENTORY",IF(K579="___X","DIFFERENT NAMES IN FULL INVENTORY AND INVENTORY","")))))</f>
        <v/>
      </c>
      <c r="M579" t="str">
        <f>IFERROR(INDEX(Inventory!A:A,MATCH(Scan!A579,Inventory!E:E,0)),"")</f>
        <v/>
      </c>
    </row>
    <row r="580" spans="2:13" x14ac:dyDescent="0.25">
      <c r="B580" t="str">
        <f>IF(IFERROR(VLOOKUP(TRIM(A580),Inventory!E:E,1,0),0)=0,"X","_")</f>
        <v>_</v>
      </c>
      <c r="C580" t="str">
        <f>IF(IFERROR(VLOOKUP(TRIM(A580),'Full Inventory'!F:F,1,0),0)=0,"X","_")</f>
        <v>_</v>
      </c>
      <c r="D580" t="str">
        <f t="shared" si="27"/>
        <v>X</v>
      </c>
      <c r="E580" t="str">
        <f ca="1">IFERROR(IF(AND(B580&amp;C580&amp;D580="___",INDIRECT("Inventory!A"&amp;MATCH(VLOOKUP(A580,Inventory!E:E,1,0),Inventory!E:E,0))&lt;&gt;INDIRECT("'Full Inventory'!B"&amp;MATCH(VLOOKUP(A580,'Full Inventory'!F:F,1,0),'Full Inventory'!F:F,0))),"X","_"),"_")</f>
        <v>_</v>
      </c>
      <c r="K580" t="str">
        <f t="shared" ca="1" si="28"/>
        <v>__X_</v>
      </c>
      <c r="L580" t="str">
        <f t="shared" ca="1" si="29"/>
        <v/>
      </c>
      <c r="M580" t="str">
        <f>IFERROR(INDEX(Inventory!A:A,MATCH(Scan!A580,Inventory!E:E,0)),"")</f>
        <v/>
      </c>
    </row>
    <row r="581" spans="2:13" x14ac:dyDescent="0.25">
      <c r="B581" t="str">
        <f>IF(IFERROR(VLOOKUP(TRIM(A581),Inventory!E:E,1,0),0)=0,"X","_")</f>
        <v>_</v>
      </c>
      <c r="C581" t="str">
        <f>IF(IFERROR(VLOOKUP(TRIM(A581),'Full Inventory'!F:F,1,0),0)=0,"X","_")</f>
        <v>_</v>
      </c>
      <c r="D581" t="str">
        <f t="shared" si="27"/>
        <v>X</v>
      </c>
      <c r="E581" t="str">
        <f ca="1">IFERROR(IF(AND(B581&amp;C581&amp;D581="___",INDIRECT("Inventory!A"&amp;MATCH(VLOOKUP(A581,Inventory!E:E,1,0),Inventory!E:E,0))&lt;&gt;INDIRECT("'Full Inventory'!B"&amp;MATCH(VLOOKUP(A581,'Full Inventory'!F:F,1,0),'Full Inventory'!F:F,0))),"X","_"),"_")</f>
        <v>_</v>
      </c>
      <c r="K581" t="str">
        <f t="shared" ca="1" si="28"/>
        <v>__X_</v>
      </c>
      <c r="L581" t="str">
        <f t="shared" ca="1" si="29"/>
        <v/>
      </c>
      <c r="M581" t="str">
        <f>IFERROR(INDEX(Inventory!A:A,MATCH(Scan!A581,Inventory!E:E,0)),"")</f>
        <v/>
      </c>
    </row>
    <row r="582" spans="2:13" x14ac:dyDescent="0.25">
      <c r="B582" t="str">
        <f>IF(IFERROR(VLOOKUP(TRIM(A582),Inventory!E:E,1,0),0)=0,"X","_")</f>
        <v>_</v>
      </c>
      <c r="C582" t="str">
        <f>IF(IFERROR(VLOOKUP(TRIM(A582),'Full Inventory'!F:F,1,0),0)=0,"X","_")</f>
        <v>_</v>
      </c>
      <c r="D582" t="str">
        <f t="shared" si="27"/>
        <v>X</v>
      </c>
      <c r="E582" t="str">
        <f ca="1">IFERROR(IF(AND(B582&amp;C582&amp;D582="___",INDIRECT("Inventory!A"&amp;MATCH(VLOOKUP(A582,Inventory!E:E,1,0),Inventory!E:E,0))&lt;&gt;INDIRECT("'Full Inventory'!B"&amp;MATCH(VLOOKUP(A582,'Full Inventory'!F:F,1,0),'Full Inventory'!F:F,0))),"X","_"),"_")</f>
        <v>_</v>
      </c>
      <c r="K582" t="str">
        <f t="shared" ca="1" si="28"/>
        <v>__X_</v>
      </c>
      <c r="L582" t="str">
        <f t="shared" ca="1" si="29"/>
        <v/>
      </c>
      <c r="M582" t="str">
        <f>IFERROR(INDEX(Inventory!A:A,MATCH(Scan!A582,Inventory!E:E,0)),"")</f>
        <v/>
      </c>
    </row>
    <row r="583" spans="2:13" x14ac:dyDescent="0.25">
      <c r="B583" t="str">
        <f>IF(IFERROR(VLOOKUP(TRIM(A583),Inventory!E:E,1,0),0)=0,"X","_")</f>
        <v>_</v>
      </c>
      <c r="C583" t="str">
        <f>IF(IFERROR(VLOOKUP(TRIM(A583),'Full Inventory'!F:F,1,0),0)=0,"X","_")</f>
        <v>_</v>
      </c>
      <c r="D583" t="str">
        <f t="shared" si="27"/>
        <v>X</v>
      </c>
      <c r="E583" t="str">
        <f ca="1">IFERROR(IF(AND(B583&amp;C583&amp;D583="___",INDIRECT("Inventory!A"&amp;MATCH(VLOOKUP(A583,Inventory!E:E,1,0),Inventory!E:E,0))&lt;&gt;INDIRECT("'Full Inventory'!B"&amp;MATCH(VLOOKUP(A583,'Full Inventory'!F:F,1,0),'Full Inventory'!F:F,0))),"X","_"),"_")</f>
        <v>_</v>
      </c>
      <c r="K583" t="str">
        <f t="shared" ca="1" si="28"/>
        <v>__X_</v>
      </c>
      <c r="L583" t="str">
        <f t="shared" ca="1" si="29"/>
        <v/>
      </c>
      <c r="M583" t="str">
        <f>IFERROR(INDEX(Inventory!A:A,MATCH(Scan!A583,Inventory!E:E,0)),"")</f>
        <v/>
      </c>
    </row>
    <row r="584" spans="2:13" x14ac:dyDescent="0.25">
      <c r="B584" t="str">
        <f>IF(IFERROR(VLOOKUP(TRIM(A584),Inventory!E:E,1,0),0)=0,"X","_")</f>
        <v>_</v>
      </c>
      <c r="C584" t="str">
        <f>IF(IFERROR(VLOOKUP(TRIM(A584),'Full Inventory'!F:F,1,0),0)=0,"X","_")</f>
        <v>_</v>
      </c>
      <c r="D584" t="str">
        <f t="shared" si="27"/>
        <v>X</v>
      </c>
      <c r="E584" t="str">
        <f ca="1">IFERROR(IF(AND(B584&amp;C584&amp;D584="___",INDIRECT("Inventory!A"&amp;MATCH(VLOOKUP(A584,Inventory!E:E,1,0),Inventory!E:E,0))&lt;&gt;INDIRECT("'Full Inventory'!B"&amp;MATCH(VLOOKUP(A584,'Full Inventory'!F:F,1,0),'Full Inventory'!F:F,0))),"X","_"),"_")</f>
        <v>_</v>
      </c>
      <c r="K584" t="str">
        <f t="shared" ca="1" si="28"/>
        <v>__X_</v>
      </c>
      <c r="L584" t="str">
        <f t="shared" ca="1" si="29"/>
        <v/>
      </c>
      <c r="M584" t="str">
        <f>IFERROR(INDEX(Inventory!A:A,MATCH(Scan!A584,Inventory!E:E,0)),"")</f>
        <v/>
      </c>
    </row>
    <row r="585" spans="2:13" x14ac:dyDescent="0.25">
      <c r="B585" t="str">
        <f>IF(IFERROR(VLOOKUP(TRIM(A585),Inventory!E:E,1,0),0)=0,"X","_")</f>
        <v>_</v>
      </c>
      <c r="C585" t="str">
        <f>IF(IFERROR(VLOOKUP(TRIM(A585),'Full Inventory'!F:F,1,0),0)=0,"X","_")</f>
        <v>_</v>
      </c>
      <c r="D585" t="str">
        <f t="shared" si="27"/>
        <v>X</v>
      </c>
      <c r="E585" t="str">
        <f ca="1">IFERROR(IF(AND(B585&amp;C585&amp;D585="___",INDIRECT("Inventory!A"&amp;MATCH(VLOOKUP(A585,Inventory!E:E,1,0),Inventory!E:E,0))&lt;&gt;INDIRECT("'Full Inventory'!B"&amp;MATCH(VLOOKUP(A585,'Full Inventory'!F:F,1,0),'Full Inventory'!F:F,0))),"X","_"),"_")</f>
        <v>_</v>
      </c>
      <c r="K585" t="str">
        <f t="shared" ca="1" si="28"/>
        <v>__X_</v>
      </c>
      <c r="L585" t="str">
        <f t="shared" ca="1" si="29"/>
        <v/>
      </c>
      <c r="M585" t="str">
        <f>IFERROR(INDEX(Inventory!A:A,MATCH(Scan!A585,Inventory!E:E,0)),"")</f>
        <v/>
      </c>
    </row>
    <row r="586" spans="2:13" x14ac:dyDescent="0.25">
      <c r="B586" t="str">
        <f>IF(IFERROR(VLOOKUP(TRIM(A586),Inventory!E:E,1,0),0)=0,"X","_")</f>
        <v>_</v>
      </c>
      <c r="C586" t="str">
        <f>IF(IFERROR(VLOOKUP(TRIM(A586),'Full Inventory'!F:F,1,0),0)=0,"X","_")</f>
        <v>_</v>
      </c>
      <c r="D586" t="str">
        <f t="shared" si="27"/>
        <v>X</v>
      </c>
      <c r="E586" t="str">
        <f ca="1">IFERROR(IF(AND(B586&amp;C586&amp;D586="___",INDIRECT("Inventory!A"&amp;MATCH(VLOOKUP(A586,Inventory!E:E,1,0),Inventory!E:E,0))&lt;&gt;INDIRECT("'Full Inventory'!B"&amp;MATCH(VLOOKUP(A586,'Full Inventory'!F:F,1,0),'Full Inventory'!F:F,0))),"X","_"),"_")</f>
        <v>_</v>
      </c>
      <c r="K586" t="str">
        <f t="shared" ca="1" si="28"/>
        <v>__X_</v>
      </c>
      <c r="L586" t="str">
        <f t="shared" ca="1" si="29"/>
        <v/>
      </c>
      <c r="M586" t="str">
        <f>IFERROR(INDEX(Inventory!A:A,MATCH(Scan!A586,Inventory!E:E,0)),"")</f>
        <v/>
      </c>
    </row>
    <row r="587" spans="2:13" x14ac:dyDescent="0.25">
      <c r="B587" t="str">
        <f>IF(IFERROR(VLOOKUP(TRIM(A587),Inventory!E:E,1,0),0)=0,"X","_")</f>
        <v>_</v>
      </c>
      <c r="C587" t="str">
        <f>IF(IFERROR(VLOOKUP(TRIM(A587),'Full Inventory'!F:F,1,0),0)=0,"X","_")</f>
        <v>_</v>
      </c>
      <c r="D587" t="str">
        <f t="shared" si="27"/>
        <v>X</v>
      </c>
      <c r="E587" t="str">
        <f ca="1">IFERROR(IF(AND(B587&amp;C587&amp;D587="___",INDIRECT("Inventory!A"&amp;MATCH(VLOOKUP(A587,Inventory!E:E,1,0),Inventory!E:E,0))&lt;&gt;INDIRECT("'Full Inventory'!B"&amp;MATCH(VLOOKUP(A587,'Full Inventory'!F:F,1,0),'Full Inventory'!F:F,0))),"X","_"),"_")</f>
        <v>_</v>
      </c>
      <c r="K587" t="str">
        <f t="shared" ca="1" si="28"/>
        <v>__X_</v>
      </c>
      <c r="L587" t="str">
        <f t="shared" ca="1" si="29"/>
        <v/>
      </c>
      <c r="M587" t="str">
        <f>IFERROR(INDEX(Inventory!A:A,MATCH(Scan!A587,Inventory!E:E,0)),"")</f>
        <v/>
      </c>
    </row>
    <row r="588" spans="2:13" x14ac:dyDescent="0.25">
      <c r="B588" t="str">
        <f>IF(IFERROR(VLOOKUP(TRIM(A588),Inventory!E:E,1,0),0)=0,"X","_")</f>
        <v>_</v>
      </c>
      <c r="C588" t="str">
        <f>IF(IFERROR(VLOOKUP(TRIM(A588),'Full Inventory'!F:F,1,0),0)=0,"X","_")</f>
        <v>_</v>
      </c>
      <c r="D588" t="str">
        <f t="shared" si="27"/>
        <v>X</v>
      </c>
      <c r="E588" t="str">
        <f ca="1">IFERROR(IF(AND(B588&amp;C588&amp;D588="___",INDIRECT("Inventory!A"&amp;MATCH(VLOOKUP(A588,Inventory!E:E,1,0),Inventory!E:E,0))&lt;&gt;INDIRECT("'Full Inventory'!B"&amp;MATCH(VLOOKUP(A588,'Full Inventory'!F:F,1,0),'Full Inventory'!F:F,0))),"X","_"),"_")</f>
        <v>_</v>
      </c>
      <c r="K588" t="str">
        <f t="shared" ca="1" si="28"/>
        <v>__X_</v>
      </c>
      <c r="L588" t="str">
        <f t="shared" ca="1" si="29"/>
        <v/>
      </c>
      <c r="M588" t="str">
        <f>IFERROR(INDEX(Inventory!A:A,MATCH(Scan!A588,Inventory!E:E,0)),"")</f>
        <v/>
      </c>
    </row>
    <row r="589" spans="2:13" x14ac:dyDescent="0.25">
      <c r="B589" t="str">
        <f>IF(IFERROR(VLOOKUP(TRIM(A589),Inventory!E:E,1,0),0)=0,"X","_")</f>
        <v>_</v>
      </c>
      <c r="C589" t="str">
        <f>IF(IFERROR(VLOOKUP(TRIM(A589),'Full Inventory'!F:F,1,0),0)=0,"X","_")</f>
        <v>_</v>
      </c>
      <c r="D589" t="str">
        <f t="shared" si="27"/>
        <v>X</v>
      </c>
      <c r="E589" t="str">
        <f ca="1">IFERROR(IF(AND(B589&amp;C589&amp;D589="___",INDIRECT("Inventory!A"&amp;MATCH(VLOOKUP(A589,Inventory!E:E,1,0),Inventory!E:E,0))&lt;&gt;INDIRECT("'Full Inventory'!B"&amp;MATCH(VLOOKUP(A589,'Full Inventory'!F:F,1,0),'Full Inventory'!F:F,0))),"X","_"),"_")</f>
        <v>_</v>
      </c>
      <c r="K589" t="str">
        <f t="shared" ca="1" si="28"/>
        <v>__X_</v>
      </c>
      <c r="L589" t="str">
        <f t="shared" ca="1" si="29"/>
        <v/>
      </c>
      <c r="M589" t="str">
        <f>IFERROR(INDEX(Inventory!A:A,MATCH(Scan!A589,Inventory!E:E,0)),"")</f>
        <v/>
      </c>
    </row>
    <row r="590" spans="2:13" x14ac:dyDescent="0.25">
      <c r="B590" t="str">
        <f>IF(IFERROR(VLOOKUP(TRIM(A590),Inventory!E:E,1,0),0)=0,"X","_")</f>
        <v>_</v>
      </c>
      <c r="C590" t="str">
        <f>IF(IFERROR(VLOOKUP(TRIM(A590),'Full Inventory'!F:F,1,0),0)=0,"X","_")</f>
        <v>_</v>
      </c>
      <c r="D590" t="str">
        <f t="shared" si="27"/>
        <v>X</v>
      </c>
      <c r="E590" t="str">
        <f ca="1">IFERROR(IF(AND(B590&amp;C590&amp;D590="___",INDIRECT("Inventory!A"&amp;MATCH(VLOOKUP(A590,Inventory!E:E,1,0),Inventory!E:E,0))&lt;&gt;INDIRECT("'Full Inventory'!B"&amp;MATCH(VLOOKUP(A590,'Full Inventory'!F:F,1,0),'Full Inventory'!F:F,0))),"X","_"),"_")</f>
        <v>_</v>
      </c>
      <c r="K590" t="str">
        <f t="shared" ca="1" si="28"/>
        <v>__X_</v>
      </c>
      <c r="L590" t="str">
        <f t="shared" ca="1" si="29"/>
        <v/>
      </c>
      <c r="M590" t="str">
        <f>IFERROR(INDEX(Inventory!A:A,MATCH(Scan!A590,Inventory!E:E,0)),"")</f>
        <v/>
      </c>
    </row>
    <row r="591" spans="2:13" x14ac:dyDescent="0.25">
      <c r="B591" t="str">
        <f>IF(IFERROR(VLOOKUP(TRIM(A591),Inventory!E:E,1,0),0)=0,"X","_")</f>
        <v>_</v>
      </c>
      <c r="C591" t="str">
        <f>IF(IFERROR(VLOOKUP(TRIM(A591),'Full Inventory'!F:F,1,0),0)=0,"X","_")</f>
        <v>_</v>
      </c>
      <c r="D591" t="str">
        <f t="shared" si="27"/>
        <v>X</v>
      </c>
      <c r="E591" t="str">
        <f ca="1">IFERROR(IF(AND(B591&amp;C591&amp;D591="___",INDIRECT("Inventory!A"&amp;MATCH(VLOOKUP(A591,Inventory!E:E,1,0),Inventory!E:E,0))&lt;&gt;INDIRECT("'Full Inventory'!B"&amp;MATCH(VLOOKUP(A591,'Full Inventory'!F:F,1,0),'Full Inventory'!F:F,0))),"X","_"),"_")</f>
        <v>_</v>
      </c>
      <c r="K591" t="str">
        <f t="shared" ca="1" si="28"/>
        <v>__X_</v>
      </c>
      <c r="L591" t="str">
        <f t="shared" ca="1" si="29"/>
        <v/>
      </c>
      <c r="M591" t="str">
        <f>IFERROR(INDEX(Inventory!A:A,MATCH(Scan!A591,Inventory!E:E,0)),"")</f>
        <v/>
      </c>
    </row>
    <row r="592" spans="2:13" x14ac:dyDescent="0.25">
      <c r="B592" t="str">
        <f>IF(IFERROR(VLOOKUP(TRIM(A592),Inventory!E:E,1,0),0)=0,"X","_")</f>
        <v>_</v>
      </c>
      <c r="C592" t="str">
        <f>IF(IFERROR(VLOOKUP(TRIM(A592),'Full Inventory'!F:F,1,0),0)=0,"X","_")</f>
        <v>_</v>
      </c>
      <c r="D592" t="str">
        <f t="shared" si="27"/>
        <v>X</v>
      </c>
      <c r="E592" t="str">
        <f ca="1">IFERROR(IF(AND(B592&amp;C592&amp;D592="___",INDIRECT("Inventory!A"&amp;MATCH(VLOOKUP(A592,Inventory!E:E,1,0),Inventory!E:E,0))&lt;&gt;INDIRECT("'Full Inventory'!B"&amp;MATCH(VLOOKUP(A592,'Full Inventory'!F:F,1,0),'Full Inventory'!F:F,0))),"X","_"),"_")</f>
        <v>_</v>
      </c>
      <c r="K592" t="str">
        <f t="shared" ca="1" si="28"/>
        <v>__X_</v>
      </c>
      <c r="L592" t="str">
        <f t="shared" ca="1" si="29"/>
        <v/>
      </c>
      <c r="M592" t="str">
        <f>IFERROR(INDEX(Inventory!A:A,MATCH(Scan!A592,Inventory!E:E,0)),"")</f>
        <v/>
      </c>
    </row>
    <row r="593" spans="2:13" x14ac:dyDescent="0.25">
      <c r="B593" t="str">
        <f>IF(IFERROR(VLOOKUP(TRIM(A593),Inventory!E:E,1,0),0)=0,"X","_")</f>
        <v>_</v>
      </c>
      <c r="C593" t="str">
        <f>IF(IFERROR(VLOOKUP(TRIM(A593),'Full Inventory'!F:F,1,0),0)=0,"X","_")</f>
        <v>_</v>
      </c>
      <c r="D593" t="str">
        <f t="shared" si="27"/>
        <v>X</v>
      </c>
      <c r="E593" t="str">
        <f ca="1">IFERROR(IF(AND(B593&amp;C593&amp;D593="___",INDIRECT("Inventory!A"&amp;MATCH(VLOOKUP(A593,Inventory!E:E,1,0),Inventory!E:E,0))&lt;&gt;INDIRECT("'Full Inventory'!B"&amp;MATCH(VLOOKUP(A593,'Full Inventory'!F:F,1,0),'Full Inventory'!F:F,0))),"X","_"),"_")</f>
        <v>_</v>
      </c>
      <c r="K593" t="str">
        <f t="shared" ca="1" si="28"/>
        <v>__X_</v>
      </c>
      <c r="L593" t="str">
        <f t="shared" ca="1" si="29"/>
        <v/>
      </c>
      <c r="M593" t="str">
        <f>IFERROR(INDEX(Inventory!A:A,MATCH(Scan!A593,Inventory!E:E,0)),"")</f>
        <v/>
      </c>
    </row>
    <row r="594" spans="2:13" x14ac:dyDescent="0.25">
      <c r="B594" t="str">
        <f>IF(IFERROR(VLOOKUP(TRIM(A594),Inventory!E:E,1,0),0)=0,"X","_")</f>
        <v>_</v>
      </c>
      <c r="C594" t="str">
        <f>IF(IFERROR(VLOOKUP(TRIM(A594),'Full Inventory'!F:F,1,0),0)=0,"X","_")</f>
        <v>_</v>
      </c>
      <c r="D594" t="str">
        <f t="shared" si="27"/>
        <v>X</v>
      </c>
      <c r="E594" t="str">
        <f ca="1">IFERROR(IF(AND(B594&amp;C594&amp;D594="___",INDIRECT("Inventory!A"&amp;MATCH(VLOOKUP(A594,Inventory!E:E,1,0),Inventory!E:E,0))&lt;&gt;INDIRECT("'Full Inventory'!B"&amp;MATCH(VLOOKUP(A594,'Full Inventory'!F:F,1,0),'Full Inventory'!F:F,0))),"X","_"),"_")</f>
        <v>_</v>
      </c>
      <c r="K594" t="str">
        <f t="shared" ca="1" si="28"/>
        <v>__X_</v>
      </c>
      <c r="L594" t="str">
        <f t="shared" ca="1" si="29"/>
        <v/>
      </c>
      <c r="M594" t="str">
        <f>IFERROR(INDEX(Inventory!A:A,MATCH(Scan!A594,Inventory!E:E,0)),"")</f>
        <v/>
      </c>
    </row>
    <row r="595" spans="2:13" x14ac:dyDescent="0.25">
      <c r="B595" t="str">
        <f>IF(IFERROR(VLOOKUP(TRIM(A595),Inventory!E:E,1,0),0)=0,"X","_")</f>
        <v>_</v>
      </c>
      <c r="C595" t="str">
        <f>IF(IFERROR(VLOOKUP(TRIM(A595),'Full Inventory'!F:F,1,0),0)=0,"X","_")</f>
        <v>_</v>
      </c>
      <c r="D595" t="str">
        <f t="shared" si="27"/>
        <v>X</v>
      </c>
      <c r="E595" t="str">
        <f ca="1">IFERROR(IF(AND(B595&amp;C595&amp;D595="___",INDIRECT("Inventory!A"&amp;MATCH(VLOOKUP(A595,Inventory!E:E,1,0),Inventory!E:E,0))&lt;&gt;INDIRECT("'Full Inventory'!B"&amp;MATCH(VLOOKUP(A595,'Full Inventory'!F:F,1,0),'Full Inventory'!F:F,0))),"X","_"),"_")</f>
        <v>_</v>
      </c>
      <c r="K595" t="str">
        <f t="shared" ca="1" si="28"/>
        <v>__X_</v>
      </c>
      <c r="L595" t="str">
        <f t="shared" ca="1" si="29"/>
        <v/>
      </c>
      <c r="M595" t="str">
        <f>IFERROR(INDEX(Inventory!A:A,MATCH(Scan!A595,Inventory!E:E,0)),"")</f>
        <v/>
      </c>
    </row>
    <row r="596" spans="2:13" x14ac:dyDescent="0.25">
      <c r="B596" t="str">
        <f>IF(IFERROR(VLOOKUP(TRIM(A596),Inventory!E:E,1,0),0)=0,"X","_")</f>
        <v>_</v>
      </c>
      <c r="C596" t="str">
        <f>IF(IFERROR(VLOOKUP(TRIM(A596),'Full Inventory'!F:F,1,0),0)=0,"X","_")</f>
        <v>_</v>
      </c>
      <c r="D596" t="str">
        <f t="shared" si="27"/>
        <v>X</v>
      </c>
      <c r="E596" t="str">
        <f ca="1">IFERROR(IF(AND(B596&amp;C596&amp;D596="___",INDIRECT("Inventory!A"&amp;MATCH(VLOOKUP(A596,Inventory!E:E,1,0),Inventory!E:E,0))&lt;&gt;INDIRECT("'Full Inventory'!B"&amp;MATCH(VLOOKUP(A596,'Full Inventory'!F:F,1,0),'Full Inventory'!F:F,0))),"X","_"),"_")</f>
        <v>_</v>
      </c>
      <c r="K596" t="str">
        <f t="shared" ca="1" si="28"/>
        <v>__X_</v>
      </c>
      <c r="L596" t="str">
        <f t="shared" ca="1" si="29"/>
        <v/>
      </c>
      <c r="M596" t="str">
        <f>IFERROR(INDEX(Inventory!A:A,MATCH(Scan!A596,Inventory!E:E,0)),"")</f>
        <v/>
      </c>
    </row>
    <row r="597" spans="2:13" x14ac:dyDescent="0.25">
      <c r="B597" t="str">
        <f>IF(IFERROR(VLOOKUP(TRIM(A597),Inventory!E:E,1,0),0)=0,"X","_")</f>
        <v>_</v>
      </c>
      <c r="C597" t="str">
        <f>IF(IFERROR(VLOOKUP(TRIM(A597),'Full Inventory'!F:F,1,0),0)=0,"X","_")</f>
        <v>_</v>
      </c>
      <c r="D597" t="str">
        <f t="shared" si="27"/>
        <v>X</v>
      </c>
      <c r="E597" t="str">
        <f ca="1">IFERROR(IF(AND(B597&amp;C597&amp;D597="___",INDIRECT("Inventory!A"&amp;MATCH(VLOOKUP(A597,Inventory!E:E,1,0),Inventory!E:E,0))&lt;&gt;INDIRECT("'Full Inventory'!B"&amp;MATCH(VLOOKUP(A597,'Full Inventory'!F:F,1,0),'Full Inventory'!F:F,0))),"X","_"),"_")</f>
        <v>_</v>
      </c>
      <c r="K597" t="str">
        <f t="shared" ca="1" si="28"/>
        <v>__X_</v>
      </c>
      <c r="L597" t="str">
        <f t="shared" ca="1" si="29"/>
        <v/>
      </c>
      <c r="M597" t="str">
        <f>IFERROR(INDEX(Inventory!A:A,MATCH(Scan!A597,Inventory!E:E,0)),"")</f>
        <v/>
      </c>
    </row>
    <row r="598" spans="2:13" x14ac:dyDescent="0.25">
      <c r="B598" t="str">
        <f>IF(IFERROR(VLOOKUP(TRIM(A598),Inventory!E:E,1,0),0)=0,"X","_")</f>
        <v>_</v>
      </c>
      <c r="C598" t="str">
        <f>IF(IFERROR(VLOOKUP(TRIM(A598),'Full Inventory'!F:F,1,0),0)=0,"X","_")</f>
        <v>_</v>
      </c>
      <c r="D598" t="str">
        <f t="shared" si="27"/>
        <v>X</v>
      </c>
      <c r="E598" t="str">
        <f ca="1">IFERROR(IF(AND(B598&amp;C598&amp;D598="___",INDIRECT("Inventory!A"&amp;MATCH(VLOOKUP(A598,Inventory!E:E,1,0),Inventory!E:E,0))&lt;&gt;INDIRECT("'Full Inventory'!B"&amp;MATCH(VLOOKUP(A598,'Full Inventory'!F:F,1,0),'Full Inventory'!F:F,0))),"X","_"),"_")</f>
        <v>_</v>
      </c>
      <c r="K598" t="str">
        <f t="shared" ca="1" si="28"/>
        <v>__X_</v>
      </c>
      <c r="L598" t="str">
        <f t="shared" ca="1" si="29"/>
        <v/>
      </c>
      <c r="M598" t="str">
        <f>IFERROR(INDEX(Inventory!A:A,MATCH(Scan!A598,Inventory!E:E,0)),"")</f>
        <v/>
      </c>
    </row>
    <row r="599" spans="2:13" x14ac:dyDescent="0.25">
      <c r="B599" t="str">
        <f>IF(IFERROR(VLOOKUP(TRIM(A599),Inventory!E:E,1,0),0)=0,"X","_")</f>
        <v>_</v>
      </c>
      <c r="C599" t="str">
        <f>IF(IFERROR(VLOOKUP(TRIM(A599),'Full Inventory'!F:F,1,0),0)=0,"X","_")</f>
        <v>_</v>
      </c>
      <c r="D599" t="str">
        <f t="shared" si="27"/>
        <v>X</v>
      </c>
      <c r="E599" t="str">
        <f ca="1">IFERROR(IF(AND(B599&amp;C599&amp;D599="___",INDIRECT("Inventory!A"&amp;MATCH(VLOOKUP(A599,Inventory!E:E,1,0),Inventory!E:E,0))&lt;&gt;INDIRECT("'Full Inventory'!B"&amp;MATCH(VLOOKUP(A599,'Full Inventory'!F:F,1,0),'Full Inventory'!F:F,0))),"X","_"),"_")</f>
        <v>_</v>
      </c>
      <c r="K599" t="str">
        <f t="shared" ca="1" si="28"/>
        <v>__X_</v>
      </c>
      <c r="L599" t="str">
        <f t="shared" ca="1" si="29"/>
        <v/>
      </c>
      <c r="M599" t="str">
        <f>IFERROR(INDEX(Inventory!A:A,MATCH(Scan!A599,Inventory!E:E,0)),"")</f>
        <v/>
      </c>
    </row>
    <row r="600" spans="2:13" x14ac:dyDescent="0.25">
      <c r="B600" t="str">
        <f>IF(IFERROR(VLOOKUP(TRIM(A600),Inventory!E:E,1,0),0)=0,"X","_")</f>
        <v>_</v>
      </c>
      <c r="C600" t="str">
        <f>IF(IFERROR(VLOOKUP(TRIM(A600),'Full Inventory'!F:F,1,0),0)=0,"X","_")</f>
        <v>_</v>
      </c>
      <c r="D600" t="str">
        <f t="shared" si="27"/>
        <v>X</v>
      </c>
      <c r="E600" t="str">
        <f ca="1">IFERROR(IF(AND(B600&amp;C600&amp;D600="___",INDIRECT("Inventory!A"&amp;MATCH(VLOOKUP(A600,Inventory!E:E,1,0),Inventory!E:E,0))&lt;&gt;INDIRECT("'Full Inventory'!B"&amp;MATCH(VLOOKUP(A600,'Full Inventory'!F:F,1,0),'Full Inventory'!F:F,0))),"X","_"),"_")</f>
        <v>_</v>
      </c>
      <c r="K600" t="str">
        <f t="shared" ca="1" si="28"/>
        <v>__X_</v>
      </c>
      <c r="L600" t="str">
        <f t="shared" ca="1" si="29"/>
        <v/>
      </c>
      <c r="M600" t="str">
        <f>IFERROR(INDEX(Inventory!A:A,MATCH(Scan!A600,Inventory!E:E,0)),"")</f>
        <v/>
      </c>
    </row>
    <row r="601" spans="2:13" x14ac:dyDescent="0.25">
      <c r="B601" t="str">
        <f>IF(IFERROR(VLOOKUP(TRIM(A601),Inventory!E:E,1,0),0)=0,"X","_")</f>
        <v>_</v>
      </c>
      <c r="C601" t="str">
        <f>IF(IFERROR(VLOOKUP(TRIM(A601),'Full Inventory'!F:F,1,0),0)=0,"X","_")</f>
        <v>_</v>
      </c>
      <c r="D601" t="str">
        <f t="shared" si="27"/>
        <v>X</v>
      </c>
      <c r="E601" t="str">
        <f ca="1">IFERROR(IF(AND(B601&amp;C601&amp;D601="___",INDIRECT("Inventory!A"&amp;MATCH(VLOOKUP(A601,Inventory!E:E,1,0),Inventory!E:E,0))&lt;&gt;INDIRECT("'Full Inventory'!B"&amp;MATCH(VLOOKUP(A601,'Full Inventory'!F:F,1,0),'Full Inventory'!F:F,0))),"X","_"),"_")</f>
        <v>_</v>
      </c>
      <c r="K601" t="str">
        <f t="shared" ca="1" si="28"/>
        <v>__X_</v>
      </c>
      <c r="L601" t="str">
        <f t="shared" ca="1" si="29"/>
        <v/>
      </c>
      <c r="M601" t="str">
        <f>IFERROR(INDEX(Inventory!A:A,MATCH(Scan!A601,Inventory!E:E,0)),"")</f>
        <v/>
      </c>
    </row>
    <row r="602" spans="2:13" x14ac:dyDescent="0.25">
      <c r="B602" t="str">
        <f>IF(IFERROR(VLOOKUP(TRIM(A602),Inventory!E:E,1,0),0)=0,"X","_")</f>
        <v>_</v>
      </c>
      <c r="C602" t="str">
        <f>IF(IFERROR(VLOOKUP(TRIM(A602),'Full Inventory'!F:F,1,0),0)=0,"X","_")</f>
        <v>_</v>
      </c>
      <c r="D602" t="str">
        <f t="shared" si="27"/>
        <v>X</v>
      </c>
      <c r="E602" t="str">
        <f ca="1">IFERROR(IF(AND(B602&amp;C602&amp;D602="___",INDIRECT("Inventory!A"&amp;MATCH(VLOOKUP(A602,Inventory!E:E,1,0),Inventory!E:E,0))&lt;&gt;INDIRECT("'Full Inventory'!B"&amp;MATCH(VLOOKUP(A602,'Full Inventory'!F:F,1,0),'Full Inventory'!F:F,0))),"X","_"),"_")</f>
        <v>_</v>
      </c>
      <c r="K602" t="str">
        <f t="shared" ca="1" si="28"/>
        <v>__X_</v>
      </c>
      <c r="L602" t="str">
        <f t="shared" ca="1" si="29"/>
        <v/>
      </c>
      <c r="M602" t="str">
        <f>IFERROR(INDEX(Inventory!A:A,MATCH(Scan!A602,Inventory!E:E,0)),"")</f>
        <v/>
      </c>
    </row>
    <row r="603" spans="2:13" x14ac:dyDescent="0.25">
      <c r="B603" t="str">
        <f>IF(IFERROR(VLOOKUP(TRIM(A603),Inventory!E:E,1,0),0)=0,"X","_")</f>
        <v>_</v>
      </c>
      <c r="C603" t="str">
        <f>IF(IFERROR(VLOOKUP(TRIM(A603),'Full Inventory'!F:F,1,0),0)=0,"X","_")</f>
        <v>_</v>
      </c>
      <c r="D603" t="str">
        <f t="shared" si="27"/>
        <v>X</v>
      </c>
      <c r="E603" t="str">
        <f ca="1">IFERROR(IF(AND(B603&amp;C603&amp;D603="___",INDIRECT("Inventory!A"&amp;MATCH(VLOOKUP(A603,Inventory!E:E,1,0),Inventory!E:E,0))&lt;&gt;INDIRECT("'Full Inventory'!B"&amp;MATCH(VLOOKUP(A603,'Full Inventory'!F:F,1,0),'Full Inventory'!F:F,0))),"X","_"),"_")</f>
        <v>_</v>
      </c>
      <c r="K603" t="str">
        <f t="shared" ca="1" si="28"/>
        <v>__X_</v>
      </c>
      <c r="L603" t="str">
        <f t="shared" ca="1" si="29"/>
        <v/>
      </c>
      <c r="M603" t="str">
        <f>IFERROR(INDEX(Inventory!A:A,MATCH(Scan!A603,Inventory!E:E,0)),"")</f>
        <v/>
      </c>
    </row>
    <row r="604" spans="2:13" x14ac:dyDescent="0.25">
      <c r="B604" t="str">
        <f>IF(IFERROR(VLOOKUP(TRIM(A604),Inventory!E:E,1,0),0)=0,"X","_")</f>
        <v>_</v>
      </c>
      <c r="C604" t="str">
        <f>IF(IFERROR(VLOOKUP(TRIM(A604),'Full Inventory'!F:F,1,0),0)=0,"X","_")</f>
        <v>_</v>
      </c>
      <c r="D604" t="str">
        <f t="shared" si="27"/>
        <v>X</v>
      </c>
      <c r="E604" t="str">
        <f ca="1">IFERROR(IF(AND(B604&amp;C604&amp;D604="___",INDIRECT("Inventory!A"&amp;MATCH(VLOOKUP(A604,Inventory!E:E,1,0),Inventory!E:E,0))&lt;&gt;INDIRECT("'Full Inventory'!B"&amp;MATCH(VLOOKUP(A604,'Full Inventory'!F:F,1,0),'Full Inventory'!F:F,0))),"X","_"),"_")</f>
        <v>_</v>
      </c>
      <c r="K604" t="str">
        <f t="shared" ca="1" si="28"/>
        <v>__X_</v>
      </c>
      <c r="L604" t="str">
        <f t="shared" ca="1" si="29"/>
        <v/>
      </c>
      <c r="M604" t="str">
        <f>IFERROR(INDEX(Inventory!A:A,MATCH(Scan!A604,Inventory!E:E,0)),"")</f>
        <v/>
      </c>
    </row>
    <row r="605" spans="2:13" x14ac:dyDescent="0.25">
      <c r="B605" t="str">
        <f>IF(IFERROR(VLOOKUP(TRIM(A605),Inventory!E:E,1,0),0)=0,"X","_")</f>
        <v>_</v>
      </c>
      <c r="C605" t="str">
        <f>IF(IFERROR(VLOOKUP(TRIM(A605),'Full Inventory'!F:F,1,0),0)=0,"X","_")</f>
        <v>_</v>
      </c>
      <c r="D605" t="str">
        <f t="shared" si="27"/>
        <v>X</v>
      </c>
      <c r="E605" t="str">
        <f ca="1">IFERROR(IF(AND(B605&amp;C605&amp;D605="___",INDIRECT("Inventory!A"&amp;MATCH(VLOOKUP(A605,Inventory!E:E,1,0),Inventory!E:E,0))&lt;&gt;INDIRECT("'Full Inventory'!B"&amp;MATCH(VLOOKUP(A605,'Full Inventory'!F:F,1,0),'Full Inventory'!F:F,0))),"X","_"),"_")</f>
        <v>_</v>
      </c>
      <c r="K605" t="str">
        <f t="shared" ca="1" si="28"/>
        <v>__X_</v>
      </c>
      <c r="L605" t="str">
        <f t="shared" ca="1" si="29"/>
        <v/>
      </c>
      <c r="M605" t="str">
        <f>IFERROR(INDEX(Inventory!A:A,MATCH(Scan!A605,Inventory!E:E,0)),"")</f>
        <v/>
      </c>
    </row>
    <row r="606" spans="2:13" x14ac:dyDescent="0.25">
      <c r="B606" t="str">
        <f>IF(IFERROR(VLOOKUP(TRIM(A606),Inventory!E:E,1,0),0)=0,"X","_")</f>
        <v>_</v>
      </c>
      <c r="C606" t="str">
        <f>IF(IFERROR(VLOOKUP(TRIM(A606),'Full Inventory'!F:F,1,0),0)=0,"X","_")</f>
        <v>_</v>
      </c>
      <c r="D606" t="str">
        <f t="shared" si="27"/>
        <v>X</v>
      </c>
      <c r="E606" t="str">
        <f ca="1">IFERROR(IF(AND(B606&amp;C606&amp;D606="___",INDIRECT("Inventory!A"&amp;MATCH(VLOOKUP(A606,Inventory!E:E,1,0),Inventory!E:E,0))&lt;&gt;INDIRECT("'Full Inventory'!B"&amp;MATCH(VLOOKUP(A606,'Full Inventory'!F:F,1,0),'Full Inventory'!F:F,0))),"X","_"),"_")</f>
        <v>_</v>
      </c>
      <c r="K606" t="str">
        <f t="shared" ca="1" si="28"/>
        <v>__X_</v>
      </c>
      <c r="L606" t="str">
        <f t="shared" ca="1" si="29"/>
        <v/>
      </c>
      <c r="M606" t="str">
        <f>IFERROR(INDEX(Inventory!A:A,MATCH(Scan!A606,Inventory!E:E,0)),"")</f>
        <v/>
      </c>
    </row>
    <row r="607" spans="2:13" x14ac:dyDescent="0.25">
      <c r="B607" t="str">
        <f>IF(IFERROR(VLOOKUP(TRIM(A607),Inventory!E:E,1,0),0)=0,"X","_")</f>
        <v>_</v>
      </c>
      <c r="C607" t="str">
        <f>IF(IFERROR(VLOOKUP(TRIM(A607),'Full Inventory'!F:F,1,0),0)=0,"X","_")</f>
        <v>_</v>
      </c>
      <c r="D607" t="str">
        <f t="shared" si="27"/>
        <v>X</v>
      </c>
      <c r="E607" t="str">
        <f ca="1">IFERROR(IF(AND(B607&amp;C607&amp;D607="___",INDIRECT("Inventory!A"&amp;MATCH(VLOOKUP(A607,Inventory!E:E,1,0),Inventory!E:E,0))&lt;&gt;INDIRECT("'Full Inventory'!B"&amp;MATCH(VLOOKUP(A607,'Full Inventory'!F:F,1,0),'Full Inventory'!F:F,0))),"X","_"),"_")</f>
        <v>_</v>
      </c>
      <c r="K607" t="str">
        <f t="shared" ca="1" si="28"/>
        <v>__X_</v>
      </c>
      <c r="L607" t="str">
        <f t="shared" ca="1" si="29"/>
        <v/>
      </c>
      <c r="M607" t="str">
        <f>IFERROR(INDEX(Inventory!A:A,MATCH(Scan!A607,Inventory!E:E,0)),"")</f>
        <v/>
      </c>
    </row>
    <row r="608" spans="2:13" x14ac:dyDescent="0.25">
      <c r="B608" t="str">
        <f>IF(IFERROR(VLOOKUP(TRIM(A608),Inventory!E:E,1,0),0)=0,"X","_")</f>
        <v>_</v>
      </c>
      <c r="C608" t="str">
        <f>IF(IFERROR(VLOOKUP(TRIM(A608),'Full Inventory'!F:F,1,0),0)=0,"X","_")</f>
        <v>_</v>
      </c>
      <c r="D608" t="str">
        <f t="shared" si="27"/>
        <v>X</v>
      </c>
      <c r="E608" t="str">
        <f ca="1">IFERROR(IF(AND(B608&amp;C608&amp;D608="___",INDIRECT("Inventory!A"&amp;MATCH(VLOOKUP(A608,Inventory!E:E,1,0),Inventory!E:E,0))&lt;&gt;INDIRECT("'Full Inventory'!B"&amp;MATCH(VLOOKUP(A608,'Full Inventory'!F:F,1,0),'Full Inventory'!F:F,0))),"X","_"),"_")</f>
        <v>_</v>
      </c>
      <c r="K608" t="str">
        <f t="shared" ca="1" si="28"/>
        <v>__X_</v>
      </c>
      <c r="L608" t="str">
        <f t="shared" ca="1" si="29"/>
        <v/>
      </c>
      <c r="M608" t="str">
        <f>IFERROR(INDEX(Inventory!A:A,MATCH(Scan!A608,Inventory!E:E,0)),"")</f>
        <v/>
      </c>
    </row>
    <row r="609" spans="2:13" x14ac:dyDescent="0.25">
      <c r="B609" t="str">
        <f>IF(IFERROR(VLOOKUP(TRIM(A609),Inventory!E:E,1,0),0)=0,"X","_")</f>
        <v>_</v>
      </c>
      <c r="C609" t="str">
        <f>IF(IFERROR(VLOOKUP(TRIM(A609),'Full Inventory'!F:F,1,0),0)=0,"X","_")</f>
        <v>_</v>
      </c>
      <c r="D609" t="str">
        <f t="shared" si="27"/>
        <v>X</v>
      </c>
      <c r="E609" t="str">
        <f ca="1">IFERROR(IF(AND(B609&amp;C609&amp;D609="___",INDIRECT("Inventory!A"&amp;MATCH(VLOOKUP(A609,Inventory!E:E,1,0),Inventory!E:E,0))&lt;&gt;INDIRECT("'Full Inventory'!B"&amp;MATCH(VLOOKUP(A609,'Full Inventory'!F:F,1,0),'Full Inventory'!F:F,0))),"X","_"),"_")</f>
        <v>_</v>
      </c>
      <c r="K609" t="str">
        <f t="shared" ca="1" si="28"/>
        <v>__X_</v>
      </c>
      <c r="L609" t="str">
        <f t="shared" ca="1" si="29"/>
        <v/>
      </c>
      <c r="M609" t="str">
        <f>IFERROR(INDEX(Inventory!A:A,MATCH(Scan!A609,Inventory!E:E,0)),"")</f>
        <v/>
      </c>
    </row>
    <row r="610" spans="2:13" x14ac:dyDescent="0.25">
      <c r="B610" t="str">
        <f>IF(IFERROR(VLOOKUP(TRIM(A610),Inventory!E:E,1,0),0)=0,"X","_")</f>
        <v>_</v>
      </c>
      <c r="C610" t="str">
        <f>IF(IFERROR(VLOOKUP(TRIM(A610),'Full Inventory'!F:F,1,0),0)=0,"X","_")</f>
        <v>_</v>
      </c>
      <c r="D610" t="str">
        <f t="shared" si="27"/>
        <v>X</v>
      </c>
      <c r="E610" t="str">
        <f ca="1">IFERROR(IF(AND(B610&amp;C610&amp;D610="___",INDIRECT("Inventory!A"&amp;MATCH(VLOOKUP(A610,Inventory!E:E,1,0),Inventory!E:E,0))&lt;&gt;INDIRECT("'Full Inventory'!B"&amp;MATCH(VLOOKUP(A610,'Full Inventory'!F:F,1,0),'Full Inventory'!F:F,0))),"X","_"),"_")</f>
        <v>_</v>
      </c>
      <c r="K610" t="str">
        <f t="shared" ca="1" si="28"/>
        <v>__X_</v>
      </c>
      <c r="L610" t="str">
        <f t="shared" ca="1" si="29"/>
        <v/>
      </c>
      <c r="M610" t="str">
        <f>IFERROR(INDEX(Inventory!A:A,MATCH(Scan!A610,Inventory!E:E,0)),"")</f>
        <v/>
      </c>
    </row>
    <row r="611" spans="2:13" x14ac:dyDescent="0.25">
      <c r="B611" t="str">
        <f>IF(IFERROR(VLOOKUP(TRIM(A611),Inventory!E:E,1,0),0)=0,"X","_")</f>
        <v>_</v>
      </c>
      <c r="C611" t="str">
        <f>IF(IFERROR(VLOOKUP(TRIM(A611),'Full Inventory'!F:F,1,0),0)=0,"X","_")</f>
        <v>_</v>
      </c>
      <c r="D611" t="str">
        <f t="shared" si="27"/>
        <v>X</v>
      </c>
      <c r="E611" t="str">
        <f ca="1">IFERROR(IF(AND(B611&amp;C611&amp;D611="___",INDIRECT("Inventory!A"&amp;MATCH(VLOOKUP(A611,Inventory!E:E,1,0),Inventory!E:E,0))&lt;&gt;INDIRECT("'Full Inventory'!B"&amp;MATCH(VLOOKUP(A611,'Full Inventory'!F:F,1,0),'Full Inventory'!F:F,0))),"X","_"),"_")</f>
        <v>_</v>
      </c>
      <c r="K611" t="str">
        <f t="shared" ca="1" si="28"/>
        <v>__X_</v>
      </c>
      <c r="L611" t="str">
        <f t="shared" ca="1" si="29"/>
        <v/>
      </c>
      <c r="M611" t="str">
        <f>IFERROR(INDEX(Inventory!A:A,MATCH(Scan!A611,Inventory!E:E,0)),"")</f>
        <v/>
      </c>
    </row>
    <row r="612" spans="2:13" x14ac:dyDescent="0.25">
      <c r="B612" t="str">
        <f>IF(IFERROR(VLOOKUP(TRIM(A612),Inventory!E:E,1,0),0)=0,"X","_")</f>
        <v>_</v>
      </c>
      <c r="C612" t="str">
        <f>IF(IFERROR(VLOOKUP(TRIM(A612),'Full Inventory'!F:F,1,0),0)=0,"X","_")</f>
        <v>_</v>
      </c>
      <c r="D612" t="str">
        <f t="shared" si="27"/>
        <v>X</v>
      </c>
      <c r="E612" t="str">
        <f ca="1">IFERROR(IF(AND(B612&amp;C612&amp;D612="___",INDIRECT("Inventory!A"&amp;MATCH(VLOOKUP(A612,Inventory!E:E,1,0),Inventory!E:E,0))&lt;&gt;INDIRECT("'Full Inventory'!B"&amp;MATCH(VLOOKUP(A612,'Full Inventory'!F:F,1,0),'Full Inventory'!F:F,0))),"X","_"),"_")</f>
        <v>_</v>
      </c>
      <c r="K612" t="str">
        <f t="shared" ca="1" si="28"/>
        <v>__X_</v>
      </c>
      <c r="L612" t="str">
        <f t="shared" ca="1" si="29"/>
        <v/>
      </c>
      <c r="M612" t="str">
        <f>IFERROR(INDEX(Inventory!A:A,MATCH(Scan!A612,Inventory!E:E,0)),"")</f>
        <v/>
      </c>
    </row>
    <row r="613" spans="2:13" x14ac:dyDescent="0.25">
      <c r="B613" t="str">
        <f>IF(IFERROR(VLOOKUP(TRIM(A613),Inventory!E:E,1,0),0)=0,"X","_")</f>
        <v>_</v>
      </c>
      <c r="C613" t="str">
        <f>IF(IFERROR(VLOOKUP(TRIM(A613),'Full Inventory'!F:F,1,0),0)=0,"X","_")</f>
        <v>_</v>
      </c>
      <c r="D613" t="str">
        <f t="shared" si="27"/>
        <v>X</v>
      </c>
      <c r="E613" t="str">
        <f ca="1">IFERROR(IF(AND(B613&amp;C613&amp;D613="___",INDIRECT("Inventory!A"&amp;MATCH(VLOOKUP(A613,Inventory!E:E,1,0),Inventory!E:E,0))&lt;&gt;INDIRECT("'Full Inventory'!B"&amp;MATCH(VLOOKUP(A613,'Full Inventory'!F:F,1,0),'Full Inventory'!F:F,0))),"X","_"),"_")</f>
        <v>_</v>
      </c>
      <c r="K613" t="str">
        <f t="shared" ca="1" si="28"/>
        <v>__X_</v>
      </c>
      <c r="L613" t="str">
        <f t="shared" ca="1" si="29"/>
        <v/>
      </c>
      <c r="M613" t="str">
        <f>IFERROR(INDEX(Inventory!A:A,MATCH(Scan!A613,Inventory!E:E,0)),"")</f>
        <v/>
      </c>
    </row>
    <row r="614" spans="2:13" x14ac:dyDescent="0.25">
      <c r="B614" t="str">
        <f>IF(IFERROR(VLOOKUP(TRIM(A614),Inventory!E:E,1,0),0)=0,"X","_")</f>
        <v>_</v>
      </c>
      <c r="C614" t="str">
        <f>IF(IFERROR(VLOOKUP(TRIM(A614),'Full Inventory'!F:F,1,0),0)=0,"X","_")</f>
        <v>_</v>
      </c>
      <c r="D614" t="str">
        <f t="shared" si="27"/>
        <v>X</v>
      </c>
      <c r="E614" t="str">
        <f ca="1">IFERROR(IF(AND(B614&amp;C614&amp;D614="___",INDIRECT("Inventory!A"&amp;MATCH(VLOOKUP(A614,Inventory!E:E,1,0),Inventory!E:E,0))&lt;&gt;INDIRECT("'Full Inventory'!B"&amp;MATCH(VLOOKUP(A614,'Full Inventory'!F:F,1,0),'Full Inventory'!F:F,0))),"X","_"),"_")</f>
        <v>_</v>
      </c>
      <c r="K614" t="str">
        <f t="shared" ca="1" si="28"/>
        <v>__X_</v>
      </c>
      <c r="L614" t="str">
        <f t="shared" ca="1" si="29"/>
        <v/>
      </c>
      <c r="M614" t="str">
        <f>IFERROR(INDEX(Inventory!A:A,MATCH(Scan!A614,Inventory!E:E,0)),"")</f>
        <v/>
      </c>
    </row>
    <row r="615" spans="2:13" x14ac:dyDescent="0.25">
      <c r="B615" t="str">
        <f>IF(IFERROR(VLOOKUP(TRIM(A615),Inventory!E:E,1,0),0)=0,"X","_")</f>
        <v>_</v>
      </c>
      <c r="C615" t="str">
        <f>IF(IFERROR(VLOOKUP(TRIM(A615),'Full Inventory'!F:F,1,0),0)=0,"X","_")</f>
        <v>_</v>
      </c>
      <c r="D615" t="str">
        <f t="shared" si="27"/>
        <v>X</v>
      </c>
      <c r="E615" t="str">
        <f ca="1">IFERROR(IF(AND(B615&amp;C615&amp;D615="___",INDIRECT("Inventory!A"&amp;MATCH(VLOOKUP(A615,Inventory!E:E,1,0),Inventory!E:E,0))&lt;&gt;INDIRECT("'Full Inventory'!B"&amp;MATCH(VLOOKUP(A615,'Full Inventory'!F:F,1,0),'Full Inventory'!F:F,0))),"X","_"),"_")</f>
        <v>_</v>
      </c>
      <c r="K615" t="str">
        <f t="shared" ca="1" si="28"/>
        <v>__X_</v>
      </c>
      <c r="L615" t="str">
        <f t="shared" ca="1" si="29"/>
        <v/>
      </c>
      <c r="M615" t="str">
        <f>IFERROR(INDEX(Inventory!A:A,MATCH(Scan!A615,Inventory!E:E,0)),"")</f>
        <v/>
      </c>
    </row>
    <row r="616" spans="2:13" x14ac:dyDescent="0.25">
      <c r="B616" t="str">
        <f>IF(IFERROR(VLOOKUP(TRIM(A616),Inventory!E:E,1,0),0)=0,"X","_")</f>
        <v>_</v>
      </c>
      <c r="C616" t="str">
        <f>IF(IFERROR(VLOOKUP(TRIM(A616),'Full Inventory'!F:F,1,0),0)=0,"X","_")</f>
        <v>_</v>
      </c>
      <c r="D616" t="str">
        <f t="shared" si="27"/>
        <v>X</v>
      </c>
      <c r="E616" t="str">
        <f ca="1">IFERROR(IF(AND(B616&amp;C616&amp;D616="___",INDIRECT("Inventory!A"&amp;MATCH(VLOOKUP(A616,Inventory!E:E,1,0),Inventory!E:E,0))&lt;&gt;INDIRECT("'Full Inventory'!B"&amp;MATCH(VLOOKUP(A616,'Full Inventory'!F:F,1,0),'Full Inventory'!F:F,0))),"X","_"),"_")</f>
        <v>_</v>
      </c>
      <c r="K616" t="str">
        <f t="shared" ca="1" si="28"/>
        <v>__X_</v>
      </c>
      <c r="L616" t="str">
        <f t="shared" ca="1" si="29"/>
        <v/>
      </c>
      <c r="M616" t="str">
        <f>IFERROR(INDEX(Inventory!A:A,MATCH(Scan!A616,Inventory!E:E,0)),"")</f>
        <v/>
      </c>
    </row>
    <row r="617" spans="2:13" x14ac:dyDescent="0.25">
      <c r="B617" t="str">
        <f>IF(IFERROR(VLOOKUP(TRIM(A617),Inventory!E:E,1,0),0)=0,"X","_")</f>
        <v>_</v>
      </c>
      <c r="C617" t="str">
        <f>IF(IFERROR(VLOOKUP(TRIM(A617),'Full Inventory'!F:F,1,0),0)=0,"X","_")</f>
        <v>_</v>
      </c>
      <c r="D617" t="str">
        <f t="shared" si="27"/>
        <v>X</v>
      </c>
      <c r="E617" t="str">
        <f ca="1">IFERROR(IF(AND(B617&amp;C617&amp;D617="___",INDIRECT("Inventory!A"&amp;MATCH(VLOOKUP(A617,Inventory!E:E,1,0),Inventory!E:E,0))&lt;&gt;INDIRECT("'Full Inventory'!B"&amp;MATCH(VLOOKUP(A617,'Full Inventory'!F:F,1,0),'Full Inventory'!F:F,0))),"X","_"),"_")</f>
        <v>_</v>
      </c>
      <c r="K617" t="str">
        <f t="shared" ca="1" si="28"/>
        <v>__X_</v>
      </c>
      <c r="L617" t="str">
        <f t="shared" ca="1" si="29"/>
        <v/>
      </c>
      <c r="M617" t="str">
        <f>IFERROR(INDEX(Inventory!A:A,MATCH(Scan!A617,Inventory!E:E,0)),"")</f>
        <v/>
      </c>
    </row>
    <row r="618" spans="2:13" x14ac:dyDescent="0.25">
      <c r="B618" t="str">
        <f>IF(IFERROR(VLOOKUP(TRIM(A618),Inventory!E:E,1,0),0)=0,"X","_")</f>
        <v>_</v>
      </c>
      <c r="C618" t="str">
        <f>IF(IFERROR(VLOOKUP(TRIM(A618),'Full Inventory'!F:F,1,0),0)=0,"X","_")</f>
        <v>_</v>
      </c>
      <c r="D618" t="str">
        <f t="shared" si="27"/>
        <v>X</v>
      </c>
      <c r="E618" t="str">
        <f ca="1">IFERROR(IF(AND(B618&amp;C618&amp;D618="___",INDIRECT("Inventory!A"&amp;MATCH(VLOOKUP(A618,Inventory!E:E,1,0),Inventory!E:E,0))&lt;&gt;INDIRECT("'Full Inventory'!B"&amp;MATCH(VLOOKUP(A618,'Full Inventory'!F:F,1,0),'Full Inventory'!F:F,0))),"X","_"),"_")</f>
        <v>_</v>
      </c>
      <c r="K618" t="str">
        <f t="shared" ca="1" si="28"/>
        <v>__X_</v>
      </c>
      <c r="L618" t="str">
        <f t="shared" ca="1" si="29"/>
        <v/>
      </c>
      <c r="M618" t="str">
        <f>IFERROR(INDEX(Inventory!A:A,MATCH(Scan!A618,Inventory!E:E,0)),"")</f>
        <v/>
      </c>
    </row>
    <row r="619" spans="2:13" x14ac:dyDescent="0.25">
      <c r="B619" t="str">
        <f>IF(IFERROR(VLOOKUP(TRIM(A619),Inventory!E:E,1,0),0)=0,"X","_")</f>
        <v>_</v>
      </c>
      <c r="C619" t="str">
        <f>IF(IFERROR(VLOOKUP(TRIM(A619),'Full Inventory'!F:F,1,0),0)=0,"X","_")</f>
        <v>_</v>
      </c>
      <c r="D619" t="str">
        <f t="shared" si="27"/>
        <v>X</v>
      </c>
      <c r="E619" t="str">
        <f ca="1">IFERROR(IF(AND(B619&amp;C619&amp;D619="___",INDIRECT("Inventory!A"&amp;MATCH(VLOOKUP(A619,Inventory!E:E,1,0),Inventory!E:E,0))&lt;&gt;INDIRECT("'Full Inventory'!B"&amp;MATCH(VLOOKUP(A619,'Full Inventory'!F:F,1,0),'Full Inventory'!F:F,0))),"X","_"),"_")</f>
        <v>_</v>
      </c>
      <c r="K619" t="str">
        <f t="shared" ca="1" si="28"/>
        <v>__X_</v>
      </c>
      <c r="L619" t="str">
        <f t="shared" ca="1" si="29"/>
        <v/>
      </c>
      <c r="M619" t="str">
        <f>IFERROR(INDEX(Inventory!A:A,MATCH(Scan!A619,Inventory!E:E,0)),"")</f>
        <v/>
      </c>
    </row>
    <row r="620" spans="2:13" x14ac:dyDescent="0.25">
      <c r="B620" t="str">
        <f>IF(IFERROR(VLOOKUP(TRIM(A620),Inventory!E:E,1,0),0)=0,"X","_")</f>
        <v>_</v>
      </c>
      <c r="C620" t="str">
        <f>IF(IFERROR(VLOOKUP(TRIM(A620),'Full Inventory'!F:F,1,0),0)=0,"X","_")</f>
        <v>_</v>
      </c>
      <c r="D620" t="str">
        <f t="shared" si="27"/>
        <v>X</v>
      </c>
      <c r="E620" t="str">
        <f ca="1">IFERROR(IF(AND(B620&amp;C620&amp;D620="___",INDIRECT("Inventory!A"&amp;MATCH(VLOOKUP(A620,Inventory!E:E,1,0),Inventory!E:E,0))&lt;&gt;INDIRECT("'Full Inventory'!B"&amp;MATCH(VLOOKUP(A620,'Full Inventory'!F:F,1,0),'Full Inventory'!F:F,0))),"X","_"),"_")</f>
        <v>_</v>
      </c>
      <c r="K620" t="str">
        <f t="shared" ca="1" si="28"/>
        <v>__X_</v>
      </c>
      <c r="L620" t="str">
        <f t="shared" ca="1" si="29"/>
        <v/>
      </c>
      <c r="M620" t="str">
        <f>IFERROR(INDEX(Inventory!A:A,MATCH(Scan!A620,Inventory!E:E,0)),"")</f>
        <v/>
      </c>
    </row>
    <row r="621" spans="2:13" x14ac:dyDescent="0.25">
      <c r="B621" t="str">
        <f>IF(IFERROR(VLOOKUP(TRIM(A621),Inventory!E:E,1,0),0)=0,"X","_")</f>
        <v>_</v>
      </c>
      <c r="C621" t="str">
        <f>IF(IFERROR(VLOOKUP(TRIM(A621),'Full Inventory'!F:F,1,0),0)=0,"X","_")</f>
        <v>_</v>
      </c>
      <c r="D621" t="str">
        <f t="shared" si="27"/>
        <v>X</v>
      </c>
      <c r="E621" t="str">
        <f ca="1">IFERROR(IF(AND(B621&amp;C621&amp;D621="___",INDIRECT("Inventory!A"&amp;MATCH(VLOOKUP(A621,Inventory!E:E,1,0),Inventory!E:E,0))&lt;&gt;INDIRECT("'Full Inventory'!B"&amp;MATCH(VLOOKUP(A621,'Full Inventory'!F:F,1,0),'Full Inventory'!F:F,0))),"X","_"),"_")</f>
        <v>_</v>
      </c>
      <c r="K621" t="str">
        <f t="shared" ca="1" si="28"/>
        <v>__X_</v>
      </c>
      <c r="L621" t="str">
        <f t="shared" ca="1" si="29"/>
        <v/>
      </c>
      <c r="M621" t="str">
        <f>IFERROR(INDEX(Inventory!A:A,MATCH(Scan!A621,Inventory!E:E,0)),"")</f>
        <v/>
      </c>
    </row>
    <row r="622" spans="2:13" x14ac:dyDescent="0.25">
      <c r="B622" t="str">
        <f>IF(IFERROR(VLOOKUP(TRIM(A622),Inventory!E:E,1,0),0)=0,"X","_")</f>
        <v>_</v>
      </c>
      <c r="C622" t="str">
        <f>IF(IFERROR(VLOOKUP(TRIM(A622),'Full Inventory'!F:F,1,0),0)=0,"X","_")</f>
        <v>_</v>
      </c>
      <c r="D622" t="str">
        <f t="shared" si="27"/>
        <v>X</v>
      </c>
      <c r="E622" t="str">
        <f ca="1">IFERROR(IF(AND(B622&amp;C622&amp;D622="___",INDIRECT("Inventory!A"&amp;MATCH(VLOOKUP(A622,Inventory!E:E,1,0),Inventory!E:E,0))&lt;&gt;INDIRECT("'Full Inventory'!B"&amp;MATCH(VLOOKUP(A622,'Full Inventory'!F:F,1,0),'Full Inventory'!F:F,0))),"X","_"),"_")</f>
        <v>_</v>
      </c>
      <c r="K622" t="str">
        <f t="shared" ca="1" si="28"/>
        <v>__X_</v>
      </c>
      <c r="L622" t="str">
        <f t="shared" ca="1" si="29"/>
        <v/>
      </c>
      <c r="M622" t="str">
        <f>IFERROR(INDEX(Inventory!A:A,MATCH(Scan!A622,Inventory!E:E,0)),"")</f>
        <v/>
      </c>
    </row>
    <row r="623" spans="2:13" x14ac:dyDescent="0.25">
      <c r="B623" t="str">
        <f>IF(IFERROR(VLOOKUP(TRIM(A623),Inventory!E:E,1,0),0)=0,"X","_")</f>
        <v>_</v>
      </c>
      <c r="C623" t="str">
        <f>IF(IFERROR(VLOOKUP(TRIM(A623),'Full Inventory'!F:F,1,0),0)=0,"X","_")</f>
        <v>_</v>
      </c>
      <c r="D623" t="str">
        <f t="shared" si="27"/>
        <v>X</v>
      </c>
      <c r="E623" t="str">
        <f ca="1">IFERROR(IF(AND(B623&amp;C623&amp;D623="___",INDIRECT("Inventory!A"&amp;MATCH(VLOOKUP(A623,Inventory!E:E,1,0),Inventory!E:E,0))&lt;&gt;INDIRECT("'Full Inventory'!B"&amp;MATCH(VLOOKUP(A623,'Full Inventory'!F:F,1,0),'Full Inventory'!F:F,0))),"X","_"),"_")</f>
        <v>_</v>
      </c>
      <c r="K623" t="str">
        <f t="shared" ca="1" si="28"/>
        <v>__X_</v>
      </c>
      <c r="L623" t="str">
        <f t="shared" ca="1" si="29"/>
        <v/>
      </c>
      <c r="M623" t="str">
        <f>IFERROR(INDEX(Inventory!A:A,MATCH(Scan!A623,Inventory!E:E,0)),"")</f>
        <v/>
      </c>
    </row>
    <row r="624" spans="2:13" x14ac:dyDescent="0.25">
      <c r="B624" t="str">
        <f>IF(IFERROR(VLOOKUP(TRIM(A624),Inventory!E:E,1,0),0)=0,"X","_")</f>
        <v>_</v>
      </c>
      <c r="C624" t="str">
        <f>IF(IFERROR(VLOOKUP(TRIM(A624),'Full Inventory'!F:F,1,0),0)=0,"X","_")</f>
        <v>_</v>
      </c>
      <c r="D624" t="str">
        <f t="shared" si="27"/>
        <v>X</v>
      </c>
      <c r="E624" t="str">
        <f ca="1">IFERROR(IF(AND(B624&amp;C624&amp;D624="___",INDIRECT("Inventory!A"&amp;MATCH(VLOOKUP(A624,Inventory!E:E,1,0),Inventory!E:E,0))&lt;&gt;INDIRECT("'Full Inventory'!B"&amp;MATCH(VLOOKUP(A624,'Full Inventory'!F:F,1,0),'Full Inventory'!F:F,0))),"X","_"),"_")</f>
        <v>_</v>
      </c>
      <c r="K624" t="str">
        <f t="shared" ca="1" si="28"/>
        <v>__X_</v>
      </c>
      <c r="L624" t="str">
        <f t="shared" ca="1" si="29"/>
        <v/>
      </c>
      <c r="M624" t="str">
        <f>IFERROR(INDEX(Inventory!A:A,MATCH(Scan!A624,Inventory!E:E,0)),"")</f>
        <v/>
      </c>
    </row>
    <row r="625" spans="2:13" x14ac:dyDescent="0.25">
      <c r="B625" t="str">
        <f>IF(IFERROR(VLOOKUP(TRIM(A625),Inventory!E:E,1,0),0)=0,"X","_")</f>
        <v>_</v>
      </c>
      <c r="C625" t="str">
        <f>IF(IFERROR(VLOOKUP(TRIM(A625),'Full Inventory'!F:F,1,0),0)=0,"X","_")</f>
        <v>_</v>
      </c>
      <c r="D625" t="str">
        <f t="shared" si="27"/>
        <v>X</v>
      </c>
      <c r="E625" t="str">
        <f ca="1">IFERROR(IF(AND(B625&amp;C625&amp;D625="___",INDIRECT("Inventory!A"&amp;MATCH(VLOOKUP(A625,Inventory!E:E,1,0),Inventory!E:E,0))&lt;&gt;INDIRECT("'Full Inventory'!B"&amp;MATCH(VLOOKUP(A625,'Full Inventory'!F:F,1,0),'Full Inventory'!F:F,0))),"X","_"),"_")</f>
        <v>_</v>
      </c>
      <c r="K625" t="str">
        <f t="shared" ca="1" si="28"/>
        <v>__X_</v>
      </c>
      <c r="L625" t="str">
        <f t="shared" ca="1" si="29"/>
        <v/>
      </c>
      <c r="M625" t="str">
        <f>IFERROR(INDEX(Inventory!A:A,MATCH(Scan!A625,Inventory!E:E,0)),"")</f>
        <v/>
      </c>
    </row>
    <row r="626" spans="2:13" x14ac:dyDescent="0.25">
      <c r="B626" t="str">
        <f>IF(IFERROR(VLOOKUP(TRIM(A626),Inventory!E:E,1,0),0)=0,"X","_")</f>
        <v>_</v>
      </c>
      <c r="C626" t="str">
        <f>IF(IFERROR(VLOOKUP(TRIM(A626),'Full Inventory'!F:F,1,0),0)=0,"X","_")</f>
        <v>_</v>
      </c>
      <c r="D626" t="str">
        <f t="shared" si="27"/>
        <v>X</v>
      </c>
      <c r="E626" t="str">
        <f ca="1">IFERROR(IF(AND(B626&amp;C626&amp;D626="___",INDIRECT("Inventory!A"&amp;MATCH(VLOOKUP(A626,Inventory!E:E,1,0),Inventory!E:E,0))&lt;&gt;INDIRECT("'Full Inventory'!B"&amp;MATCH(VLOOKUP(A626,'Full Inventory'!F:F,1,0),'Full Inventory'!F:F,0))),"X","_"),"_")</f>
        <v>_</v>
      </c>
      <c r="K626" t="str">
        <f t="shared" ca="1" si="28"/>
        <v>__X_</v>
      </c>
      <c r="L626" t="str">
        <f t="shared" ca="1" si="29"/>
        <v/>
      </c>
      <c r="M626" t="str">
        <f>IFERROR(INDEX(Inventory!A:A,MATCH(Scan!A626,Inventory!E:E,0)),"")</f>
        <v/>
      </c>
    </row>
    <row r="627" spans="2:13" x14ac:dyDescent="0.25">
      <c r="B627" t="str">
        <f>IF(IFERROR(VLOOKUP(TRIM(A627),Inventory!E:E,1,0),0)=0,"X","_")</f>
        <v>_</v>
      </c>
      <c r="C627" t="str">
        <f>IF(IFERROR(VLOOKUP(TRIM(A627),'Full Inventory'!F:F,1,0),0)=0,"X","_")</f>
        <v>_</v>
      </c>
      <c r="D627" t="str">
        <f t="shared" si="27"/>
        <v>X</v>
      </c>
      <c r="E627" t="str">
        <f ca="1">IFERROR(IF(AND(B627&amp;C627&amp;D627="___",INDIRECT("Inventory!A"&amp;MATCH(VLOOKUP(A627,Inventory!E:E,1,0),Inventory!E:E,0))&lt;&gt;INDIRECT("'Full Inventory'!B"&amp;MATCH(VLOOKUP(A627,'Full Inventory'!F:F,1,0),'Full Inventory'!F:F,0))),"X","_"),"_")</f>
        <v>_</v>
      </c>
      <c r="K627" t="str">
        <f t="shared" ca="1" si="28"/>
        <v>__X_</v>
      </c>
      <c r="L627" t="str">
        <f t="shared" ca="1" si="29"/>
        <v/>
      </c>
      <c r="M627" t="str">
        <f>IFERROR(INDEX(Inventory!A:A,MATCH(Scan!A627,Inventory!E:E,0)),"")</f>
        <v/>
      </c>
    </row>
    <row r="628" spans="2:13" x14ac:dyDescent="0.25">
      <c r="B628" t="str">
        <f>IF(IFERROR(VLOOKUP(TRIM(A628),Inventory!E:E,1,0),0)=0,"X","_")</f>
        <v>_</v>
      </c>
      <c r="C628" t="str">
        <f>IF(IFERROR(VLOOKUP(TRIM(A628),'Full Inventory'!F:F,1,0),0)=0,"X","_")</f>
        <v>_</v>
      </c>
      <c r="D628" t="str">
        <f t="shared" si="27"/>
        <v>X</v>
      </c>
      <c r="E628" t="str">
        <f ca="1">IFERROR(IF(AND(B628&amp;C628&amp;D628="___",INDIRECT("Inventory!A"&amp;MATCH(VLOOKUP(A628,Inventory!E:E,1,0),Inventory!E:E,0))&lt;&gt;INDIRECT("'Full Inventory'!B"&amp;MATCH(VLOOKUP(A628,'Full Inventory'!F:F,1,0),'Full Inventory'!F:F,0))),"X","_"),"_")</f>
        <v>_</v>
      </c>
      <c r="K628" t="str">
        <f t="shared" ca="1" si="28"/>
        <v>__X_</v>
      </c>
      <c r="L628" t="str">
        <f t="shared" ca="1" si="29"/>
        <v/>
      </c>
      <c r="M628" t="str">
        <f>IFERROR(INDEX(Inventory!A:A,MATCH(Scan!A628,Inventory!E:E,0)),"")</f>
        <v/>
      </c>
    </row>
    <row r="629" spans="2:13" x14ac:dyDescent="0.25">
      <c r="B629" t="str">
        <f>IF(IFERROR(VLOOKUP(TRIM(A629),Inventory!E:E,1,0),0)=0,"X","_")</f>
        <v>_</v>
      </c>
      <c r="C629" t="str">
        <f>IF(IFERROR(VLOOKUP(TRIM(A629),'Full Inventory'!F:F,1,0),0)=0,"X","_")</f>
        <v>_</v>
      </c>
      <c r="D629" t="str">
        <f t="shared" si="27"/>
        <v>X</v>
      </c>
      <c r="E629" t="str">
        <f ca="1">IFERROR(IF(AND(B629&amp;C629&amp;D629="___",INDIRECT("Inventory!A"&amp;MATCH(VLOOKUP(A629,Inventory!E:E,1,0),Inventory!E:E,0))&lt;&gt;INDIRECT("'Full Inventory'!B"&amp;MATCH(VLOOKUP(A629,'Full Inventory'!F:F,1,0),'Full Inventory'!F:F,0))),"X","_"),"_")</f>
        <v>_</v>
      </c>
      <c r="K629" t="str">
        <f t="shared" ca="1" si="28"/>
        <v>__X_</v>
      </c>
      <c r="L629" t="str">
        <f t="shared" ca="1" si="29"/>
        <v/>
      </c>
      <c r="M629" t="str">
        <f>IFERROR(INDEX(Inventory!A:A,MATCH(Scan!A629,Inventory!E:E,0)),"")</f>
        <v/>
      </c>
    </row>
    <row r="630" spans="2:13" x14ac:dyDescent="0.25">
      <c r="B630" t="str">
        <f>IF(IFERROR(VLOOKUP(TRIM(A630),Inventory!E:E,1,0),0)=0,"X","_")</f>
        <v>_</v>
      </c>
      <c r="C630" t="str">
        <f>IF(IFERROR(VLOOKUP(TRIM(A630),'Full Inventory'!F:F,1,0),0)=0,"X","_")</f>
        <v>_</v>
      </c>
      <c r="D630" t="str">
        <f t="shared" si="27"/>
        <v>X</v>
      </c>
      <c r="E630" t="str">
        <f ca="1">IFERROR(IF(AND(B630&amp;C630&amp;D630="___",INDIRECT("Inventory!A"&amp;MATCH(VLOOKUP(A630,Inventory!E:E,1,0),Inventory!E:E,0))&lt;&gt;INDIRECT("'Full Inventory'!B"&amp;MATCH(VLOOKUP(A630,'Full Inventory'!F:F,1,0),'Full Inventory'!F:F,0))),"X","_"),"_")</f>
        <v>_</v>
      </c>
      <c r="K630" t="str">
        <f t="shared" ca="1" si="28"/>
        <v>__X_</v>
      </c>
      <c r="L630" t="str">
        <f t="shared" ca="1" si="29"/>
        <v/>
      </c>
      <c r="M630" t="str">
        <f>IFERROR(INDEX(Inventory!A:A,MATCH(Scan!A630,Inventory!E:E,0)),"")</f>
        <v/>
      </c>
    </row>
    <row r="631" spans="2:13" x14ac:dyDescent="0.25">
      <c r="B631" t="str">
        <f>IF(IFERROR(VLOOKUP(TRIM(A631),Inventory!E:E,1,0),0)=0,"X","_")</f>
        <v>_</v>
      </c>
      <c r="C631" t="str">
        <f>IF(IFERROR(VLOOKUP(TRIM(A631),'Full Inventory'!F:F,1,0),0)=0,"X","_")</f>
        <v>_</v>
      </c>
      <c r="D631" t="str">
        <f t="shared" si="27"/>
        <v>X</v>
      </c>
      <c r="E631" t="str">
        <f ca="1">IFERROR(IF(AND(B631&amp;C631&amp;D631="___",INDIRECT("Inventory!A"&amp;MATCH(VLOOKUP(A631,Inventory!E:E,1,0),Inventory!E:E,0))&lt;&gt;INDIRECT("'Full Inventory'!B"&amp;MATCH(VLOOKUP(A631,'Full Inventory'!F:F,1,0),'Full Inventory'!F:F,0))),"X","_"),"_")</f>
        <v>_</v>
      </c>
      <c r="K631" t="str">
        <f t="shared" ca="1" si="28"/>
        <v>__X_</v>
      </c>
      <c r="L631" t="str">
        <f t="shared" ca="1" si="29"/>
        <v/>
      </c>
      <c r="M631" t="str">
        <f>IFERROR(INDEX(Inventory!A:A,MATCH(Scan!A631,Inventory!E:E,0)),"")</f>
        <v/>
      </c>
    </row>
    <row r="632" spans="2:13" x14ac:dyDescent="0.25">
      <c r="B632" t="str">
        <f>IF(IFERROR(VLOOKUP(TRIM(A632),Inventory!E:E,1,0),0)=0,"X","_")</f>
        <v>_</v>
      </c>
      <c r="C632" t="str">
        <f>IF(IFERROR(VLOOKUP(TRIM(A632),'Full Inventory'!F:F,1,0),0)=0,"X","_")</f>
        <v>_</v>
      </c>
      <c r="D632" t="str">
        <f t="shared" si="27"/>
        <v>X</v>
      </c>
      <c r="E632" t="str">
        <f ca="1">IFERROR(IF(AND(B632&amp;C632&amp;D632="___",INDIRECT("Inventory!A"&amp;MATCH(VLOOKUP(A632,Inventory!E:E,1,0),Inventory!E:E,0))&lt;&gt;INDIRECT("'Full Inventory'!B"&amp;MATCH(VLOOKUP(A632,'Full Inventory'!F:F,1,0),'Full Inventory'!F:F,0))),"X","_"),"_")</f>
        <v>_</v>
      </c>
      <c r="K632" t="str">
        <f t="shared" ca="1" si="28"/>
        <v>__X_</v>
      </c>
      <c r="L632" t="str">
        <f t="shared" ca="1" si="29"/>
        <v/>
      </c>
      <c r="M632" t="str">
        <f>IFERROR(INDEX(Inventory!A:A,MATCH(Scan!A632,Inventory!E:E,0)),"")</f>
        <v/>
      </c>
    </row>
    <row r="633" spans="2:13" x14ac:dyDescent="0.25">
      <c r="B633" t="str">
        <f>IF(IFERROR(VLOOKUP(TRIM(A633),Inventory!E:E,1,0),0)=0,"X","_")</f>
        <v>_</v>
      </c>
      <c r="C633" t="str">
        <f>IF(IFERROR(VLOOKUP(TRIM(A633),'Full Inventory'!F:F,1,0),0)=0,"X","_")</f>
        <v>_</v>
      </c>
      <c r="D633" t="str">
        <f t="shared" si="27"/>
        <v>X</v>
      </c>
      <c r="E633" t="str">
        <f ca="1">IFERROR(IF(AND(B633&amp;C633&amp;D633="___",INDIRECT("Inventory!A"&amp;MATCH(VLOOKUP(A633,Inventory!E:E,1,0),Inventory!E:E,0))&lt;&gt;INDIRECT("'Full Inventory'!B"&amp;MATCH(VLOOKUP(A633,'Full Inventory'!F:F,1,0),'Full Inventory'!F:F,0))),"X","_"),"_")</f>
        <v>_</v>
      </c>
      <c r="K633" t="str">
        <f t="shared" ca="1" si="28"/>
        <v>__X_</v>
      </c>
      <c r="L633" t="str">
        <f t="shared" ca="1" si="29"/>
        <v/>
      </c>
      <c r="M633" t="str">
        <f>IFERROR(INDEX(Inventory!A:A,MATCH(Scan!A633,Inventory!E:E,0)),"")</f>
        <v/>
      </c>
    </row>
    <row r="634" spans="2:13" x14ac:dyDescent="0.25">
      <c r="B634" t="str">
        <f>IF(IFERROR(VLOOKUP(TRIM(A634),Inventory!E:E,1,0),0)=0,"X","_")</f>
        <v>_</v>
      </c>
      <c r="C634" t="str">
        <f>IF(IFERROR(VLOOKUP(TRIM(A634),'Full Inventory'!F:F,1,0),0)=0,"X","_")</f>
        <v>_</v>
      </c>
      <c r="D634" t="str">
        <f t="shared" si="27"/>
        <v>X</v>
      </c>
      <c r="E634" t="str">
        <f ca="1">IFERROR(IF(AND(B634&amp;C634&amp;D634="___",INDIRECT("Inventory!A"&amp;MATCH(VLOOKUP(A634,Inventory!E:E,1,0),Inventory!E:E,0))&lt;&gt;INDIRECT("'Full Inventory'!B"&amp;MATCH(VLOOKUP(A634,'Full Inventory'!F:F,1,0),'Full Inventory'!F:F,0))),"X","_"),"_")</f>
        <v>_</v>
      </c>
      <c r="K634" t="str">
        <f t="shared" ca="1" si="28"/>
        <v>__X_</v>
      </c>
      <c r="L634" t="str">
        <f t="shared" ca="1" si="29"/>
        <v/>
      </c>
      <c r="M634" t="str">
        <f>IFERROR(INDEX(Inventory!A:A,MATCH(Scan!A634,Inventory!E:E,0)),"")</f>
        <v/>
      </c>
    </row>
    <row r="635" spans="2:13" x14ac:dyDescent="0.25">
      <c r="B635" t="str">
        <f>IF(IFERROR(VLOOKUP(TRIM(A635),Inventory!E:E,1,0),0)=0,"X","_")</f>
        <v>_</v>
      </c>
      <c r="C635" t="str">
        <f>IF(IFERROR(VLOOKUP(TRIM(A635),'Full Inventory'!F:F,1,0),0)=0,"X","_")</f>
        <v>_</v>
      </c>
      <c r="D635" t="str">
        <f t="shared" si="27"/>
        <v>X</v>
      </c>
      <c r="E635" t="str">
        <f ca="1">IFERROR(IF(AND(B635&amp;C635&amp;D635="___",INDIRECT("Inventory!A"&amp;MATCH(VLOOKUP(A635,Inventory!E:E,1,0),Inventory!E:E,0))&lt;&gt;INDIRECT("'Full Inventory'!B"&amp;MATCH(VLOOKUP(A635,'Full Inventory'!F:F,1,0),'Full Inventory'!F:F,0))),"X","_"),"_")</f>
        <v>_</v>
      </c>
      <c r="K635" t="str">
        <f t="shared" ca="1" si="28"/>
        <v>__X_</v>
      </c>
      <c r="L635" t="str">
        <f t="shared" ca="1" si="29"/>
        <v/>
      </c>
      <c r="M635" t="str">
        <f>IFERROR(INDEX(Inventory!A:A,MATCH(Scan!A635,Inventory!E:E,0)),"")</f>
        <v/>
      </c>
    </row>
    <row r="636" spans="2:13" x14ac:dyDescent="0.25">
      <c r="B636" t="str">
        <f>IF(IFERROR(VLOOKUP(TRIM(A636),Inventory!E:E,1,0),0)=0,"X","_")</f>
        <v>_</v>
      </c>
      <c r="C636" t="str">
        <f>IF(IFERROR(VLOOKUP(TRIM(A636),'Full Inventory'!F:F,1,0),0)=0,"X","_")</f>
        <v>_</v>
      </c>
      <c r="D636" t="str">
        <f t="shared" si="27"/>
        <v>X</v>
      </c>
      <c r="E636" t="str">
        <f ca="1">IFERROR(IF(AND(B636&amp;C636&amp;D636="___",INDIRECT("Inventory!A"&amp;MATCH(VLOOKUP(A636,Inventory!E:E,1,0),Inventory!E:E,0))&lt;&gt;INDIRECT("'Full Inventory'!B"&amp;MATCH(VLOOKUP(A636,'Full Inventory'!F:F,1,0),'Full Inventory'!F:F,0))),"X","_"),"_")</f>
        <v>_</v>
      </c>
      <c r="K636" t="str">
        <f t="shared" ca="1" si="28"/>
        <v>__X_</v>
      </c>
      <c r="L636" t="str">
        <f t="shared" ca="1" si="29"/>
        <v/>
      </c>
      <c r="M636" t="str">
        <f>IFERROR(INDEX(Inventory!A:A,MATCH(Scan!A636,Inventory!E:E,0)),"")</f>
        <v/>
      </c>
    </row>
    <row r="637" spans="2:13" x14ac:dyDescent="0.25">
      <c r="B637" t="str">
        <f>IF(IFERROR(VLOOKUP(TRIM(A637),Inventory!E:E,1,0),0)=0,"X","_")</f>
        <v>_</v>
      </c>
      <c r="C637" t="str">
        <f>IF(IFERROR(VLOOKUP(TRIM(A637),'Full Inventory'!F:F,1,0),0)=0,"X","_")</f>
        <v>_</v>
      </c>
      <c r="D637" t="str">
        <f t="shared" si="27"/>
        <v>X</v>
      </c>
      <c r="E637" t="str">
        <f ca="1">IFERROR(IF(AND(B637&amp;C637&amp;D637="___",INDIRECT("Inventory!A"&amp;MATCH(VLOOKUP(A637,Inventory!E:E,1,0),Inventory!E:E,0))&lt;&gt;INDIRECT("'Full Inventory'!B"&amp;MATCH(VLOOKUP(A637,'Full Inventory'!F:F,1,0),'Full Inventory'!F:F,0))),"X","_"),"_")</f>
        <v>_</v>
      </c>
      <c r="K637" t="str">
        <f t="shared" ca="1" si="28"/>
        <v>__X_</v>
      </c>
      <c r="L637" t="str">
        <f t="shared" ca="1" si="29"/>
        <v/>
      </c>
      <c r="M637" t="str">
        <f>IFERROR(INDEX(Inventory!A:A,MATCH(Scan!A637,Inventory!E:E,0)),"")</f>
        <v/>
      </c>
    </row>
    <row r="638" spans="2:13" x14ac:dyDescent="0.25">
      <c r="B638" t="str">
        <f>IF(IFERROR(VLOOKUP(TRIM(A638),Inventory!E:E,1,0),0)=0,"X","_")</f>
        <v>_</v>
      </c>
      <c r="C638" t="str">
        <f>IF(IFERROR(VLOOKUP(TRIM(A638),'Full Inventory'!F:F,1,0),0)=0,"X","_")</f>
        <v>_</v>
      </c>
      <c r="D638" t="str">
        <f t="shared" si="27"/>
        <v>X</v>
      </c>
      <c r="E638" t="str">
        <f ca="1">IFERROR(IF(AND(B638&amp;C638&amp;D638="___",INDIRECT("Inventory!A"&amp;MATCH(VLOOKUP(A638,Inventory!E:E,1,0),Inventory!E:E,0))&lt;&gt;INDIRECT("'Full Inventory'!B"&amp;MATCH(VLOOKUP(A638,'Full Inventory'!F:F,1,0),'Full Inventory'!F:F,0))),"X","_"),"_")</f>
        <v>_</v>
      </c>
      <c r="K638" t="str">
        <f t="shared" ca="1" si="28"/>
        <v>__X_</v>
      </c>
      <c r="L638" t="str">
        <f t="shared" ca="1" si="29"/>
        <v/>
      </c>
      <c r="M638" t="str">
        <f>IFERROR(INDEX(Inventory!A:A,MATCH(Scan!A638,Inventory!E:E,0)),"")</f>
        <v/>
      </c>
    </row>
    <row r="639" spans="2:13" x14ac:dyDescent="0.25">
      <c r="B639" t="str">
        <f>IF(IFERROR(VLOOKUP(TRIM(A639),Inventory!E:E,1,0),0)=0,"X","_")</f>
        <v>_</v>
      </c>
      <c r="C639" t="str">
        <f>IF(IFERROR(VLOOKUP(TRIM(A639),'Full Inventory'!F:F,1,0),0)=0,"X","_")</f>
        <v>_</v>
      </c>
      <c r="D639" t="str">
        <f t="shared" si="27"/>
        <v>X</v>
      </c>
      <c r="E639" t="str">
        <f ca="1">IFERROR(IF(AND(B639&amp;C639&amp;D639="___",INDIRECT("Inventory!A"&amp;MATCH(VLOOKUP(A639,Inventory!E:E,1,0),Inventory!E:E,0))&lt;&gt;INDIRECT("'Full Inventory'!B"&amp;MATCH(VLOOKUP(A639,'Full Inventory'!F:F,1,0),'Full Inventory'!F:F,0))),"X","_"),"_")</f>
        <v>_</v>
      </c>
      <c r="K639" t="str">
        <f t="shared" ca="1" si="28"/>
        <v>__X_</v>
      </c>
      <c r="L639" t="str">
        <f t="shared" ca="1" si="29"/>
        <v/>
      </c>
      <c r="M639" t="str">
        <f>IFERROR(INDEX(Inventory!A:A,MATCH(Scan!A639,Inventory!E:E,0)),"")</f>
        <v/>
      </c>
    </row>
    <row r="640" spans="2:13" x14ac:dyDescent="0.25">
      <c r="B640" t="str">
        <f>IF(IFERROR(VLOOKUP(TRIM(A640),Inventory!E:E,1,0),0)=0,"X","_")</f>
        <v>_</v>
      </c>
      <c r="C640" t="str">
        <f>IF(IFERROR(VLOOKUP(TRIM(A640),'Full Inventory'!F:F,1,0),0)=0,"X","_")</f>
        <v>_</v>
      </c>
      <c r="D640" t="str">
        <f t="shared" si="27"/>
        <v>X</v>
      </c>
      <c r="E640" t="str">
        <f ca="1">IFERROR(IF(AND(B640&amp;C640&amp;D640="___",INDIRECT("Inventory!A"&amp;MATCH(VLOOKUP(A640,Inventory!E:E,1,0),Inventory!E:E,0))&lt;&gt;INDIRECT("'Full Inventory'!B"&amp;MATCH(VLOOKUP(A640,'Full Inventory'!F:F,1,0),'Full Inventory'!F:F,0))),"X","_"),"_")</f>
        <v>_</v>
      </c>
      <c r="K640" t="str">
        <f t="shared" ca="1" si="28"/>
        <v>__X_</v>
      </c>
      <c r="L640" t="str">
        <f t="shared" ca="1" si="29"/>
        <v/>
      </c>
      <c r="M640" t="str">
        <f>IFERROR(INDEX(Inventory!A:A,MATCH(Scan!A640,Inventory!E:E,0)),"")</f>
        <v/>
      </c>
    </row>
    <row r="641" spans="2:13" x14ac:dyDescent="0.25">
      <c r="B641" t="str">
        <f>IF(IFERROR(VLOOKUP(TRIM(A641),Inventory!E:E,1,0),0)=0,"X","_")</f>
        <v>_</v>
      </c>
      <c r="C641" t="str">
        <f>IF(IFERROR(VLOOKUP(TRIM(A641),'Full Inventory'!F:F,1,0),0)=0,"X","_")</f>
        <v>_</v>
      </c>
      <c r="D641" t="str">
        <f t="shared" si="27"/>
        <v>X</v>
      </c>
      <c r="E641" t="str">
        <f ca="1">IFERROR(IF(AND(B641&amp;C641&amp;D641="___",INDIRECT("Inventory!A"&amp;MATCH(VLOOKUP(A641,Inventory!E:E,1,0),Inventory!E:E,0))&lt;&gt;INDIRECT("'Full Inventory'!B"&amp;MATCH(VLOOKUP(A641,'Full Inventory'!F:F,1,0),'Full Inventory'!F:F,0))),"X","_"),"_")</f>
        <v>_</v>
      </c>
      <c r="K641" t="str">
        <f t="shared" ca="1" si="28"/>
        <v>__X_</v>
      </c>
      <c r="L641" t="str">
        <f t="shared" ca="1" si="29"/>
        <v/>
      </c>
      <c r="M641" t="str">
        <f>IFERROR(INDEX(Inventory!A:A,MATCH(Scan!A641,Inventory!E:E,0)),"")</f>
        <v/>
      </c>
    </row>
    <row r="642" spans="2:13" x14ac:dyDescent="0.25">
      <c r="B642" t="str">
        <f>IF(IFERROR(VLOOKUP(TRIM(A642),Inventory!E:E,1,0),0)=0,"X","_")</f>
        <v>_</v>
      </c>
      <c r="C642" t="str">
        <f>IF(IFERROR(VLOOKUP(TRIM(A642),'Full Inventory'!F:F,1,0),0)=0,"X","_")</f>
        <v>_</v>
      </c>
      <c r="D642" t="str">
        <f t="shared" ref="D642:D705" si="30">IF(TRIM(A642)&lt;&gt;"","_","X")</f>
        <v>X</v>
      </c>
      <c r="E642" t="str">
        <f ca="1">IFERROR(IF(AND(B642&amp;C642&amp;D642="___",INDIRECT("Inventory!A"&amp;MATCH(VLOOKUP(A642,Inventory!E:E,1,0),Inventory!E:E,0))&lt;&gt;INDIRECT("'Full Inventory'!B"&amp;MATCH(VLOOKUP(A642,'Full Inventory'!F:F,1,0),'Full Inventory'!F:F,0))),"X","_"),"_")</f>
        <v>_</v>
      </c>
      <c r="K642" t="str">
        <f t="shared" ca="1" si="28"/>
        <v>__X_</v>
      </c>
      <c r="L642" t="str">
        <f t="shared" ca="1" si="29"/>
        <v/>
      </c>
      <c r="M642" t="str">
        <f>IFERROR(INDEX(Inventory!A:A,MATCH(Scan!A642,Inventory!E:E,0)),"")</f>
        <v/>
      </c>
    </row>
    <row r="643" spans="2:13" x14ac:dyDescent="0.25">
      <c r="B643" t="str">
        <f>IF(IFERROR(VLOOKUP(TRIM(A643),Inventory!E:E,1,0),0)=0,"X","_")</f>
        <v>_</v>
      </c>
      <c r="C643" t="str">
        <f>IF(IFERROR(VLOOKUP(TRIM(A643),'Full Inventory'!F:F,1,0),0)=0,"X","_")</f>
        <v>_</v>
      </c>
      <c r="D643" t="str">
        <f t="shared" si="30"/>
        <v>X</v>
      </c>
      <c r="E643" t="str">
        <f ca="1">IFERROR(IF(AND(B643&amp;C643&amp;D643="___",INDIRECT("Inventory!A"&amp;MATCH(VLOOKUP(A643,Inventory!E:E,1,0),Inventory!E:E,0))&lt;&gt;INDIRECT("'Full Inventory'!B"&amp;MATCH(VLOOKUP(A643,'Full Inventory'!F:F,1,0),'Full Inventory'!F:F,0))),"X","_"),"_")</f>
        <v>_</v>
      </c>
      <c r="K643" t="str">
        <f t="shared" ref="K643:K706" ca="1" si="31">B643&amp;C643&amp;D643&amp;E643</f>
        <v>__X_</v>
      </c>
      <c r="L643" t="str">
        <f t="shared" ref="L643:L706" ca="1" si="32">IF(K643="____","OK",IF(K643="_X__","NOT IN FULL INVENTORY",IF(K643="XX__","NOT IN FULL INVENTORY AND INVENTORY",IF(K643="X___","NOT IN INVENTORY",IF(K643="___X","DIFFERENT NAMES IN FULL INVENTORY AND INVENTORY","")))))</f>
        <v/>
      </c>
      <c r="M643" t="str">
        <f>IFERROR(INDEX(Inventory!A:A,MATCH(Scan!A643,Inventory!E:E,0)),"")</f>
        <v/>
      </c>
    </row>
    <row r="644" spans="2:13" x14ac:dyDescent="0.25">
      <c r="B644" t="str">
        <f>IF(IFERROR(VLOOKUP(TRIM(A644),Inventory!E:E,1,0),0)=0,"X","_")</f>
        <v>_</v>
      </c>
      <c r="C644" t="str">
        <f>IF(IFERROR(VLOOKUP(TRIM(A644),'Full Inventory'!F:F,1,0),0)=0,"X","_")</f>
        <v>_</v>
      </c>
      <c r="D644" t="str">
        <f t="shared" si="30"/>
        <v>X</v>
      </c>
      <c r="E644" t="str">
        <f ca="1">IFERROR(IF(AND(B644&amp;C644&amp;D644="___",INDIRECT("Inventory!A"&amp;MATCH(VLOOKUP(A644,Inventory!E:E,1,0),Inventory!E:E,0))&lt;&gt;INDIRECT("'Full Inventory'!B"&amp;MATCH(VLOOKUP(A644,'Full Inventory'!F:F,1,0),'Full Inventory'!F:F,0))),"X","_"),"_")</f>
        <v>_</v>
      </c>
      <c r="K644" t="str">
        <f t="shared" ca="1" si="31"/>
        <v>__X_</v>
      </c>
      <c r="L644" t="str">
        <f t="shared" ca="1" si="32"/>
        <v/>
      </c>
      <c r="M644" t="str">
        <f>IFERROR(INDEX(Inventory!A:A,MATCH(Scan!A644,Inventory!E:E,0)),"")</f>
        <v/>
      </c>
    </row>
    <row r="645" spans="2:13" x14ac:dyDescent="0.25">
      <c r="B645" t="str">
        <f>IF(IFERROR(VLOOKUP(TRIM(A645),Inventory!E:E,1,0),0)=0,"X","_")</f>
        <v>_</v>
      </c>
      <c r="C645" t="str">
        <f>IF(IFERROR(VLOOKUP(TRIM(A645),'Full Inventory'!F:F,1,0),0)=0,"X","_")</f>
        <v>_</v>
      </c>
      <c r="D645" t="str">
        <f t="shared" si="30"/>
        <v>X</v>
      </c>
      <c r="E645" t="str">
        <f ca="1">IFERROR(IF(AND(B645&amp;C645&amp;D645="___",INDIRECT("Inventory!A"&amp;MATCH(VLOOKUP(A645,Inventory!E:E,1,0),Inventory!E:E,0))&lt;&gt;INDIRECT("'Full Inventory'!B"&amp;MATCH(VLOOKUP(A645,'Full Inventory'!F:F,1,0),'Full Inventory'!F:F,0))),"X","_"),"_")</f>
        <v>_</v>
      </c>
      <c r="K645" t="str">
        <f t="shared" ca="1" si="31"/>
        <v>__X_</v>
      </c>
      <c r="L645" t="str">
        <f t="shared" ca="1" si="32"/>
        <v/>
      </c>
      <c r="M645" t="str">
        <f>IFERROR(INDEX(Inventory!A:A,MATCH(Scan!A645,Inventory!E:E,0)),"")</f>
        <v/>
      </c>
    </row>
    <row r="646" spans="2:13" x14ac:dyDescent="0.25">
      <c r="B646" t="str">
        <f>IF(IFERROR(VLOOKUP(TRIM(A646),Inventory!E:E,1,0),0)=0,"X","_")</f>
        <v>_</v>
      </c>
      <c r="C646" t="str">
        <f>IF(IFERROR(VLOOKUP(TRIM(A646),'Full Inventory'!F:F,1,0),0)=0,"X","_")</f>
        <v>_</v>
      </c>
      <c r="D646" t="str">
        <f t="shared" si="30"/>
        <v>X</v>
      </c>
      <c r="E646" t="str">
        <f ca="1">IFERROR(IF(AND(B646&amp;C646&amp;D646="___",INDIRECT("Inventory!A"&amp;MATCH(VLOOKUP(A646,Inventory!E:E,1,0),Inventory!E:E,0))&lt;&gt;INDIRECT("'Full Inventory'!B"&amp;MATCH(VLOOKUP(A646,'Full Inventory'!F:F,1,0),'Full Inventory'!F:F,0))),"X","_"),"_")</f>
        <v>_</v>
      </c>
      <c r="K646" t="str">
        <f t="shared" ca="1" si="31"/>
        <v>__X_</v>
      </c>
      <c r="L646" t="str">
        <f t="shared" ca="1" si="32"/>
        <v/>
      </c>
      <c r="M646" t="str">
        <f>IFERROR(INDEX(Inventory!A:A,MATCH(Scan!A646,Inventory!E:E,0)),"")</f>
        <v/>
      </c>
    </row>
    <row r="647" spans="2:13" x14ac:dyDescent="0.25">
      <c r="B647" t="str">
        <f>IF(IFERROR(VLOOKUP(TRIM(A647),Inventory!E:E,1,0),0)=0,"X","_")</f>
        <v>_</v>
      </c>
      <c r="C647" t="str">
        <f>IF(IFERROR(VLOOKUP(TRIM(A647),'Full Inventory'!F:F,1,0),0)=0,"X","_")</f>
        <v>_</v>
      </c>
      <c r="D647" t="str">
        <f t="shared" si="30"/>
        <v>X</v>
      </c>
      <c r="E647" t="str">
        <f ca="1">IFERROR(IF(AND(B647&amp;C647&amp;D647="___",INDIRECT("Inventory!A"&amp;MATCH(VLOOKUP(A647,Inventory!E:E,1,0),Inventory!E:E,0))&lt;&gt;INDIRECT("'Full Inventory'!B"&amp;MATCH(VLOOKUP(A647,'Full Inventory'!F:F,1,0),'Full Inventory'!F:F,0))),"X","_"),"_")</f>
        <v>_</v>
      </c>
      <c r="K647" t="str">
        <f t="shared" ca="1" si="31"/>
        <v>__X_</v>
      </c>
      <c r="L647" t="str">
        <f t="shared" ca="1" si="32"/>
        <v/>
      </c>
      <c r="M647" t="str">
        <f>IFERROR(INDEX(Inventory!A:A,MATCH(Scan!A647,Inventory!E:E,0)),"")</f>
        <v/>
      </c>
    </row>
    <row r="648" spans="2:13" x14ac:dyDescent="0.25">
      <c r="B648" t="str">
        <f>IF(IFERROR(VLOOKUP(TRIM(A648),Inventory!E:E,1,0),0)=0,"X","_")</f>
        <v>_</v>
      </c>
      <c r="C648" t="str">
        <f>IF(IFERROR(VLOOKUP(TRIM(A648),'Full Inventory'!F:F,1,0),0)=0,"X","_")</f>
        <v>_</v>
      </c>
      <c r="D648" t="str">
        <f t="shared" si="30"/>
        <v>X</v>
      </c>
      <c r="E648" t="str">
        <f ca="1">IFERROR(IF(AND(B648&amp;C648&amp;D648="___",INDIRECT("Inventory!A"&amp;MATCH(VLOOKUP(A648,Inventory!E:E,1,0),Inventory!E:E,0))&lt;&gt;INDIRECT("'Full Inventory'!B"&amp;MATCH(VLOOKUP(A648,'Full Inventory'!F:F,1,0),'Full Inventory'!F:F,0))),"X","_"),"_")</f>
        <v>_</v>
      </c>
      <c r="K648" t="str">
        <f t="shared" ca="1" si="31"/>
        <v>__X_</v>
      </c>
      <c r="L648" t="str">
        <f t="shared" ca="1" si="32"/>
        <v/>
      </c>
      <c r="M648" t="str">
        <f>IFERROR(INDEX(Inventory!A:A,MATCH(Scan!A648,Inventory!E:E,0)),"")</f>
        <v/>
      </c>
    </row>
    <row r="649" spans="2:13" x14ac:dyDescent="0.25">
      <c r="B649" t="str">
        <f>IF(IFERROR(VLOOKUP(TRIM(A649),Inventory!E:E,1,0),0)=0,"X","_")</f>
        <v>_</v>
      </c>
      <c r="C649" t="str">
        <f>IF(IFERROR(VLOOKUP(TRIM(A649),'Full Inventory'!F:F,1,0),0)=0,"X","_")</f>
        <v>_</v>
      </c>
      <c r="D649" t="str">
        <f t="shared" si="30"/>
        <v>X</v>
      </c>
      <c r="E649" t="str">
        <f ca="1">IFERROR(IF(AND(B649&amp;C649&amp;D649="___",INDIRECT("Inventory!A"&amp;MATCH(VLOOKUP(A649,Inventory!E:E,1,0),Inventory!E:E,0))&lt;&gt;INDIRECT("'Full Inventory'!B"&amp;MATCH(VLOOKUP(A649,'Full Inventory'!F:F,1,0),'Full Inventory'!F:F,0))),"X","_"),"_")</f>
        <v>_</v>
      </c>
      <c r="K649" t="str">
        <f t="shared" ca="1" si="31"/>
        <v>__X_</v>
      </c>
      <c r="L649" t="str">
        <f t="shared" ca="1" si="32"/>
        <v/>
      </c>
      <c r="M649" t="str">
        <f>IFERROR(INDEX(Inventory!A:A,MATCH(Scan!A649,Inventory!E:E,0)),"")</f>
        <v/>
      </c>
    </row>
    <row r="650" spans="2:13" x14ac:dyDescent="0.25">
      <c r="B650" t="str">
        <f>IF(IFERROR(VLOOKUP(TRIM(A650),Inventory!E:E,1,0),0)=0,"X","_")</f>
        <v>_</v>
      </c>
      <c r="C650" t="str">
        <f>IF(IFERROR(VLOOKUP(TRIM(A650),'Full Inventory'!F:F,1,0),0)=0,"X","_")</f>
        <v>_</v>
      </c>
      <c r="D650" t="str">
        <f t="shared" si="30"/>
        <v>X</v>
      </c>
      <c r="E650" t="str">
        <f ca="1">IFERROR(IF(AND(B650&amp;C650&amp;D650="___",INDIRECT("Inventory!A"&amp;MATCH(VLOOKUP(A650,Inventory!E:E,1,0),Inventory!E:E,0))&lt;&gt;INDIRECT("'Full Inventory'!B"&amp;MATCH(VLOOKUP(A650,'Full Inventory'!F:F,1,0),'Full Inventory'!F:F,0))),"X","_"),"_")</f>
        <v>_</v>
      </c>
      <c r="K650" t="str">
        <f t="shared" ca="1" si="31"/>
        <v>__X_</v>
      </c>
      <c r="L650" t="str">
        <f t="shared" ca="1" si="32"/>
        <v/>
      </c>
      <c r="M650" t="str">
        <f>IFERROR(INDEX(Inventory!A:A,MATCH(Scan!A650,Inventory!E:E,0)),"")</f>
        <v/>
      </c>
    </row>
    <row r="651" spans="2:13" x14ac:dyDescent="0.25">
      <c r="B651" t="str">
        <f>IF(IFERROR(VLOOKUP(TRIM(A651),Inventory!E:E,1,0),0)=0,"X","_")</f>
        <v>_</v>
      </c>
      <c r="C651" t="str">
        <f>IF(IFERROR(VLOOKUP(TRIM(A651),'Full Inventory'!F:F,1,0),0)=0,"X","_")</f>
        <v>_</v>
      </c>
      <c r="D651" t="str">
        <f t="shared" si="30"/>
        <v>X</v>
      </c>
      <c r="E651" t="str">
        <f ca="1">IFERROR(IF(AND(B651&amp;C651&amp;D651="___",INDIRECT("Inventory!A"&amp;MATCH(VLOOKUP(A651,Inventory!E:E,1,0),Inventory!E:E,0))&lt;&gt;INDIRECT("'Full Inventory'!B"&amp;MATCH(VLOOKUP(A651,'Full Inventory'!F:F,1,0),'Full Inventory'!F:F,0))),"X","_"),"_")</f>
        <v>_</v>
      </c>
      <c r="K651" t="str">
        <f t="shared" ca="1" si="31"/>
        <v>__X_</v>
      </c>
      <c r="L651" t="str">
        <f t="shared" ca="1" si="32"/>
        <v/>
      </c>
      <c r="M651" t="str">
        <f>IFERROR(INDEX(Inventory!A:A,MATCH(Scan!A651,Inventory!E:E,0)),"")</f>
        <v/>
      </c>
    </row>
    <row r="652" spans="2:13" x14ac:dyDescent="0.25">
      <c r="B652" t="str">
        <f>IF(IFERROR(VLOOKUP(TRIM(A652),Inventory!E:E,1,0),0)=0,"X","_")</f>
        <v>_</v>
      </c>
      <c r="C652" t="str">
        <f>IF(IFERROR(VLOOKUP(TRIM(A652),'Full Inventory'!F:F,1,0),0)=0,"X","_")</f>
        <v>_</v>
      </c>
      <c r="D652" t="str">
        <f t="shared" si="30"/>
        <v>X</v>
      </c>
      <c r="E652" t="str">
        <f ca="1">IFERROR(IF(AND(B652&amp;C652&amp;D652="___",INDIRECT("Inventory!A"&amp;MATCH(VLOOKUP(A652,Inventory!E:E,1,0),Inventory!E:E,0))&lt;&gt;INDIRECT("'Full Inventory'!B"&amp;MATCH(VLOOKUP(A652,'Full Inventory'!F:F,1,0),'Full Inventory'!F:F,0))),"X","_"),"_")</f>
        <v>_</v>
      </c>
      <c r="K652" t="str">
        <f t="shared" ca="1" si="31"/>
        <v>__X_</v>
      </c>
      <c r="L652" t="str">
        <f t="shared" ca="1" si="32"/>
        <v/>
      </c>
      <c r="M652" t="str">
        <f>IFERROR(INDEX(Inventory!A:A,MATCH(Scan!A652,Inventory!E:E,0)),"")</f>
        <v/>
      </c>
    </row>
    <row r="653" spans="2:13" x14ac:dyDescent="0.25">
      <c r="B653" t="str">
        <f>IF(IFERROR(VLOOKUP(TRIM(A653),Inventory!E:E,1,0),0)=0,"X","_")</f>
        <v>_</v>
      </c>
      <c r="C653" t="str">
        <f>IF(IFERROR(VLOOKUP(TRIM(A653),'Full Inventory'!F:F,1,0),0)=0,"X","_")</f>
        <v>_</v>
      </c>
      <c r="D653" t="str">
        <f t="shared" si="30"/>
        <v>X</v>
      </c>
      <c r="E653" t="str">
        <f ca="1">IFERROR(IF(AND(B653&amp;C653&amp;D653="___",INDIRECT("Inventory!A"&amp;MATCH(VLOOKUP(A653,Inventory!E:E,1,0),Inventory!E:E,0))&lt;&gt;INDIRECT("'Full Inventory'!B"&amp;MATCH(VLOOKUP(A653,'Full Inventory'!F:F,1,0),'Full Inventory'!F:F,0))),"X","_"),"_")</f>
        <v>_</v>
      </c>
      <c r="K653" t="str">
        <f t="shared" ca="1" si="31"/>
        <v>__X_</v>
      </c>
      <c r="L653" t="str">
        <f t="shared" ca="1" si="32"/>
        <v/>
      </c>
      <c r="M653" t="str">
        <f>IFERROR(INDEX(Inventory!A:A,MATCH(Scan!A653,Inventory!E:E,0)),"")</f>
        <v/>
      </c>
    </row>
    <row r="654" spans="2:13" x14ac:dyDescent="0.25">
      <c r="B654" t="str">
        <f>IF(IFERROR(VLOOKUP(TRIM(A654),Inventory!E:E,1,0),0)=0,"X","_")</f>
        <v>_</v>
      </c>
      <c r="C654" t="str">
        <f>IF(IFERROR(VLOOKUP(TRIM(A654),'Full Inventory'!F:F,1,0),0)=0,"X","_")</f>
        <v>_</v>
      </c>
      <c r="D654" t="str">
        <f t="shared" si="30"/>
        <v>X</v>
      </c>
      <c r="E654" t="str">
        <f ca="1">IFERROR(IF(AND(B654&amp;C654&amp;D654="___",INDIRECT("Inventory!A"&amp;MATCH(VLOOKUP(A654,Inventory!E:E,1,0),Inventory!E:E,0))&lt;&gt;INDIRECT("'Full Inventory'!B"&amp;MATCH(VLOOKUP(A654,'Full Inventory'!F:F,1,0),'Full Inventory'!F:F,0))),"X","_"),"_")</f>
        <v>_</v>
      </c>
      <c r="K654" t="str">
        <f t="shared" ca="1" si="31"/>
        <v>__X_</v>
      </c>
      <c r="L654" t="str">
        <f t="shared" ca="1" si="32"/>
        <v/>
      </c>
      <c r="M654" t="str">
        <f>IFERROR(INDEX(Inventory!A:A,MATCH(Scan!A654,Inventory!E:E,0)),"")</f>
        <v/>
      </c>
    </row>
    <row r="655" spans="2:13" x14ac:dyDescent="0.25">
      <c r="B655" t="str">
        <f>IF(IFERROR(VLOOKUP(TRIM(A655),Inventory!E:E,1,0),0)=0,"X","_")</f>
        <v>_</v>
      </c>
      <c r="C655" t="str">
        <f>IF(IFERROR(VLOOKUP(TRIM(A655),'Full Inventory'!F:F,1,0),0)=0,"X","_")</f>
        <v>_</v>
      </c>
      <c r="D655" t="str">
        <f t="shared" si="30"/>
        <v>X</v>
      </c>
      <c r="E655" t="str">
        <f ca="1">IFERROR(IF(AND(B655&amp;C655&amp;D655="___",INDIRECT("Inventory!A"&amp;MATCH(VLOOKUP(A655,Inventory!E:E,1,0),Inventory!E:E,0))&lt;&gt;INDIRECT("'Full Inventory'!B"&amp;MATCH(VLOOKUP(A655,'Full Inventory'!F:F,1,0),'Full Inventory'!F:F,0))),"X","_"),"_")</f>
        <v>_</v>
      </c>
      <c r="K655" t="str">
        <f t="shared" ca="1" si="31"/>
        <v>__X_</v>
      </c>
      <c r="L655" t="str">
        <f t="shared" ca="1" si="32"/>
        <v/>
      </c>
      <c r="M655" t="str">
        <f>IFERROR(INDEX(Inventory!A:A,MATCH(Scan!A655,Inventory!E:E,0)),"")</f>
        <v/>
      </c>
    </row>
    <row r="656" spans="2:13" x14ac:dyDescent="0.25">
      <c r="B656" t="str">
        <f>IF(IFERROR(VLOOKUP(TRIM(A656),Inventory!E:E,1,0),0)=0,"X","_")</f>
        <v>_</v>
      </c>
      <c r="C656" t="str">
        <f>IF(IFERROR(VLOOKUP(TRIM(A656),'Full Inventory'!F:F,1,0),0)=0,"X","_")</f>
        <v>_</v>
      </c>
      <c r="D656" t="str">
        <f t="shared" si="30"/>
        <v>X</v>
      </c>
      <c r="E656" t="str">
        <f ca="1">IFERROR(IF(AND(B656&amp;C656&amp;D656="___",INDIRECT("Inventory!A"&amp;MATCH(VLOOKUP(A656,Inventory!E:E,1,0),Inventory!E:E,0))&lt;&gt;INDIRECT("'Full Inventory'!B"&amp;MATCH(VLOOKUP(A656,'Full Inventory'!F:F,1,0),'Full Inventory'!F:F,0))),"X","_"),"_")</f>
        <v>_</v>
      </c>
      <c r="K656" t="str">
        <f t="shared" ca="1" si="31"/>
        <v>__X_</v>
      </c>
      <c r="L656" t="str">
        <f t="shared" ca="1" si="32"/>
        <v/>
      </c>
      <c r="M656" t="str">
        <f>IFERROR(INDEX(Inventory!A:A,MATCH(Scan!A656,Inventory!E:E,0)),"")</f>
        <v/>
      </c>
    </row>
    <row r="657" spans="2:13" x14ac:dyDescent="0.25">
      <c r="B657" t="str">
        <f>IF(IFERROR(VLOOKUP(TRIM(A657),Inventory!E:E,1,0),0)=0,"X","_")</f>
        <v>_</v>
      </c>
      <c r="C657" t="str">
        <f>IF(IFERROR(VLOOKUP(TRIM(A657),'Full Inventory'!F:F,1,0),0)=0,"X","_")</f>
        <v>_</v>
      </c>
      <c r="D657" t="str">
        <f t="shared" si="30"/>
        <v>X</v>
      </c>
      <c r="E657" t="str">
        <f ca="1">IFERROR(IF(AND(B657&amp;C657&amp;D657="___",INDIRECT("Inventory!A"&amp;MATCH(VLOOKUP(A657,Inventory!E:E,1,0),Inventory!E:E,0))&lt;&gt;INDIRECT("'Full Inventory'!B"&amp;MATCH(VLOOKUP(A657,'Full Inventory'!F:F,1,0),'Full Inventory'!F:F,0))),"X","_"),"_")</f>
        <v>_</v>
      </c>
      <c r="K657" t="str">
        <f t="shared" ca="1" si="31"/>
        <v>__X_</v>
      </c>
      <c r="L657" t="str">
        <f t="shared" ca="1" si="32"/>
        <v/>
      </c>
      <c r="M657" t="str">
        <f>IFERROR(INDEX(Inventory!A:A,MATCH(Scan!A657,Inventory!E:E,0)),"")</f>
        <v/>
      </c>
    </row>
    <row r="658" spans="2:13" x14ac:dyDescent="0.25">
      <c r="B658" t="str">
        <f>IF(IFERROR(VLOOKUP(TRIM(A658),Inventory!E:E,1,0),0)=0,"X","_")</f>
        <v>_</v>
      </c>
      <c r="C658" t="str">
        <f>IF(IFERROR(VLOOKUP(TRIM(A658),'Full Inventory'!F:F,1,0),0)=0,"X","_")</f>
        <v>_</v>
      </c>
      <c r="D658" t="str">
        <f t="shared" si="30"/>
        <v>X</v>
      </c>
      <c r="E658" t="str">
        <f ca="1">IFERROR(IF(AND(B658&amp;C658&amp;D658="___",INDIRECT("Inventory!A"&amp;MATCH(VLOOKUP(A658,Inventory!E:E,1,0),Inventory!E:E,0))&lt;&gt;INDIRECT("'Full Inventory'!B"&amp;MATCH(VLOOKUP(A658,'Full Inventory'!F:F,1,0),'Full Inventory'!F:F,0))),"X","_"),"_")</f>
        <v>_</v>
      </c>
      <c r="K658" t="str">
        <f t="shared" ca="1" si="31"/>
        <v>__X_</v>
      </c>
      <c r="L658" t="str">
        <f t="shared" ca="1" si="32"/>
        <v/>
      </c>
      <c r="M658" t="str">
        <f>IFERROR(INDEX(Inventory!A:A,MATCH(Scan!A658,Inventory!E:E,0)),"")</f>
        <v/>
      </c>
    </row>
    <row r="659" spans="2:13" x14ac:dyDescent="0.25">
      <c r="B659" t="str">
        <f>IF(IFERROR(VLOOKUP(TRIM(A659),Inventory!E:E,1,0),0)=0,"X","_")</f>
        <v>_</v>
      </c>
      <c r="C659" t="str">
        <f>IF(IFERROR(VLOOKUP(TRIM(A659),'Full Inventory'!F:F,1,0),0)=0,"X","_")</f>
        <v>_</v>
      </c>
      <c r="D659" t="str">
        <f t="shared" si="30"/>
        <v>X</v>
      </c>
      <c r="E659" t="str">
        <f ca="1">IFERROR(IF(AND(B659&amp;C659&amp;D659="___",INDIRECT("Inventory!A"&amp;MATCH(VLOOKUP(A659,Inventory!E:E,1,0),Inventory!E:E,0))&lt;&gt;INDIRECT("'Full Inventory'!B"&amp;MATCH(VLOOKUP(A659,'Full Inventory'!F:F,1,0),'Full Inventory'!F:F,0))),"X","_"),"_")</f>
        <v>_</v>
      </c>
      <c r="K659" t="str">
        <f t="shared" ca="1" si="31"/>
        <v>__X_</v>
      </c>
      <c r="L659" t="str">
        <f t="shared" ca="1" si="32"/>
        <v/>
      </c>
      <c r="M659" t="str">
        <f>IFERROR(INDEX(Inventory!A:A,MATCH(Scan!A659,Inventory!E:E,0)),"")</f>
        <v/>
      </c>
    </row>
    <row r="660" spans="2:13" x14ac:dyDescent="0.25">
      <c r="B660" t="str">
        <f>IF(IFERROR(VLOOKUP(TRIM(A660),Inventory!E:E,1,0),0)=0,"X","_")</f>
        <v>_</v>
      </c>
      <c r="C660" t="str">
        <f>IF(IFERROR(VLOOKUP(TRIM(A660),'Full Inventory'!F:F,1,0),0)=0,"X","_")</f>
        <v>_</v>
      </c>
      <c r="D660" t="str">
        <f t="shared" si="30"/>
        <v>X</v>
      </c>
      <c r="E660" t="str">
        <f ca="1">IFERROR(IF(AND(B660&amp;C660&amp;D660="___",INDIRECT("Inventory!A"&amp;MATCH(VLOOKUP(A660,Inventory!E:E,1,0),Inventory!E:E,0))&lt;&gt;INDIRECT("'Full Inventory'!B"&amp;MATCH(VLOOKUP(A660,'Full Inventory'!F:F,1,0),'Full Inventory'!F:F,0))),"X","_"),"_")</f>
        <v>_</v>
      </c>
      <c r="K660" t="str">
        <f t="shared" ca="1" si="31"/>
        <v>__X_</v>
      </c>
      <c r="L660" t="str">
        <f t="shared" ca="1" si="32"/>
        <v/>
      </c>
      <c r="M660" t="str">
        <f>IFERROR(INDEX(Inventory!A:A,MATCH(Scan!A660,Inventory!E:E,0)),"")</f>
        <v/>
      </c>
    </row>
    <row r="661" spans="2:13" x14ac:dyDescent="0.25">
      <c r="B661" t="str">
        <f>IF(IFERROR(VLOOKUP(TRIM(A661),Inventory!E:E,1,0),0)=0,"X","_")</f>
        <v>_</v>
      </c>
      <c r="C661" t="str">
        <f>IF(IFERROR(VLOOKUP(TRIM(A661),'Full Inventory'!F:F,1,0),0)=0,"X","_")</f>
        <v>_</v>
      </c>
      <c r="D661" t="str">
        <f t="shared" si="30"/>
        <v>X</v>
      </c>
      <c r="E661" t="str">
        <f ca="1">IFERROR(IF(AND(B661&amp;C661&amp;D661="___",INDIRECT("Inventory!A"&amp;MATCH(VLOOKUP(A661,Inventory!E:E,1,0),Inventory!E:E,0))&lt;&gt;INDIRECT("'Full Inventory'!B"&amp;MATCH(VLOOKUP(A661,'Full Inventory'!F:F,1,0),'Full Inventory'!F:F,0))),"X","_"),"_")</f>
        <v>_</v>
      </c>
      <c r="K661" t="str">
        <f t="shared" ca="1" si="31"/>
        <v>__X_</v>
      </c>
      <c r="L661" t="str">
        <f t="shared" ca="1" si="32"/>
        <v/>
      </c>
      <c r="M661" t="str">
        <f>IFERROR(INDEX(Inventory!A:A,MATCH(Scan!A661,Inventory!E:E,0)),"")</f>
        <v/>
      </c>
    </row>
    <row r="662" spans="2:13" x14ac:dyDescent="0.25">
      <c r="B662" t="str">
        <f>IF(IFERROR(VLOOKUP(TRIM(A662),Inventory!E:E,1,0),0)=0,"X","_")</f>
        <v>_</v>
      </c>
      <c r="C662" t="str">
        <f>IF(IFERROR(VLOOKUP(TRIM(A662),'Full Inventory'!F:F,1,0),0)=0,"X","_")</f>
        <v>_</v>
      </c>
      <c r="D662" t="str">
        <f t="shared" si="30"/>
        <v>X</v>
      </c>
      <c r="E662" t="str">
        <f ca="1">IFERROR(IF(AND(B662&amp;C662&amp;D662="___",INDIRECT("Inventory!A"&amp;MATCH(VLOOKUP(A662,Inventory!E:E,1,0),Inventory!E:E,0))&lt;&gt;INDIRECT("'Full Inventory'!B"&amp;MATCH(VLOOKUP(A662,'Full Inventory'!F:F,1,0),'Full Inventory'!F:F,0))),"X","_"),"_")</f>
        <v>_</v>
      </c>
      <c r="K662" t="str">
        <f t="shared" ca="1" si="31"/>
        <v>__X_</v>
      </c>
      <c r="L662" t="str">
        <f t="shared" ca="1" si="32"/>
        <v/>
      </c>
      <c r="M662" t="str">
        <f>IFERROR(INDEX(Inventory!A:A,MATCH(Scan!A662,Inventory!E:E,0)),"")</f>
        <v/>
      </c>
    </row>
    <row r="663" spans="2:13" x14ac:dyDescent="0.25">
      <c r="B663" t="str">
        <f>IF(IFERROR(VLOOKUP(TRIM(A663),Inventory!E:E,1,0),0)=0,"X","_")</f>
        <v>_</v>
      </c>
      <c r="C663" t="str">
        <f>IF(IFERROR(VLOOKUP(TRIM(A663),'Full Inventory'!F:F,1,0),0)=0,"X","_")</f>
        <v>_</v>
      </c>
      <c r="D663" t="str">
        <f t="shared" si="30"/>
        <v>X</v>
      </c>
      <c r="E663" t="str">
        <f ca="1">IFERROR(IF(AND(B663&amp;C663&amp;D663="___",INDIRECT("Inventory!A"&amp;MATCH(VLOOKUP(A663,Inventory!E:E,1,0),Inventory!E:E,0))&lt;&gt;INDIRECT("'Full Inventory'!B"&amp;MATCH(VLOOKUP(A663,'Full Inventory'!F:F,1,0),'Full Inventory'!F:F,0))),"X","_"),"_")</f>
        <v>_</v>
      </c>
      <c r="K663" t="str">
        <f t="shared" ca="1" si="31"/>
        <v>__X_</v>
      </c>
      <c r="L663" t="str">
        <f t="shared" ca="1" si="32"/>
        <v/>
      </c>
      <c r="M663" t="str">
        <f>IFERROR(INDEX(Inventory!A:A,MATCH(Scan!A663,Inventory!E:E,0)),"")</f>
        <v/>
      </c>
    </row>
    <row r="664" spans="2:13" x14ac:dyDescent="0.25">
      <c r="B664" t="str">
        <f>IF(IFERROR(VLOOKUP(TRIM(A664),Inventory!E:E,1,0),0)=0,"X","_")</f>
        <v>_</v>
      </c>
      <c r="C664" t="str">
        <f>IF(IFERROR(VLOOKUP(TRIM(A664),'Full Inventory'!F:F,1,0),0)=0,"X","_")</f>
        <v>_</v>
      </c>
      <c r="D664" t="str">
        <f t="shared" si="30"/>
        <v>X</v>
      </c>
      <c r="E664" t="str">
        <f ca="1">IFERROR(IF(AND(B664&amp;C664&amp;D664="___",INDIRECT("Inventory!A"&amp;MATCH(VLOOKUP(A664,Inventory!E:E,1,0),Inventory!E:E,0))&lt;&gt;INDIRECT("'Full Inventory'!B"&amp;MATCH(VLOOKUP(A664,'Full Inventory'!F:F,1,0),'Full Inventory'!F:F,0))),"X","_"),"_")</f>
        <v>_</v>
      </c>
      <c r="K664" t="str">
        <f t="shared" ca="1" si="31"/>
        <v>__X_</v>
      </c>
      <c r="L664" t="str">
        <f t="shared" ca="1" si="32"/>
        <v/>
      </c>
      <c r="M664" t="str">
        <f>IFERROR(INDEX(Inventory!A:A,MATCH(Scan!A664,Inventory!E:E,0)),"")</f>
        <v/>
      </c>
    </row>
    <row r="665" spans="2:13" x14ac:dyDescent="0.25">
      <c r="B665" t="str">
        <f>IF(IFERROR(VLOOKUP(TRIM(A665),Inventory!E:E,1,0),0)=0,"X","_")</f>
        <v>_</v>
      </c>
      <c r="C665" t="str">
        <f>IF(IFERROR(VLOOKUP(TRIM(A665),'Full Inventory'!F:F,1,0),0)=0,"X","_")</f>
        <v>_</v>
      </c>
      <c r="D665" t="str">
        <f t="shared" si="30"/>
        <v>X</v>
      </c>
      <c r="E665" t="str">
        <f ca="1">IFERROR(IF(AND(B665&amp;C665&amp;D665="___",INDIRECT("Inventory!A"&amp;MATCH(VLOOKUP(A665,Inventory!E:E,1,0),Inventory!E:E,0))&lt;&gt;INDIRECT("'Full Inventory'!B"&amp;MATCH(VLOOKUP(A665,'Full Inventory'!F:F,1,0),'Full Inventory'!F:F,0))),"X","_"),"_")</f>
        <v>_</v>
      </c>
      <c r="K665" t="str">
        <f t="shared" ca="1" si="31"/>
        <v>__X_</v>
      </c>
      <c r="L665" t="str">
        <f t="shared" ca="1" si="32"/>
        <v/>
      </c>
      <c r="M665" t="str">
        <f>IFERROR(INDEX(Inventory!A:A,MATCH(Scan!A665,Inventory!E:E,0)),"")</f>
        <v/>
      </c>
    </row>
    <row r="666" spans="2:13" x14ac:dyDescent="0.25">
      <c r="B666" t="str">
        <f>IF(IFERROR(VLOOKUP(TRIM(A666),Inventory!E:E,1,0),0)=0,"X","_")</f>
        <v>_</v>
      </c>
      <c r="C666" t="str">
        <f>IF(IFERROR(VLOOKUP(TRIM(A666),'Full Inventory'!F:F,1,0),0)=0,"X","_")</f>
        <v>_</v>
      </c>
      <c r="D666" t="str">
        <f t="shared" si="30"/>
        <v>X</v>
      </c>
      <c r="E666" t="str">
        <f ca="1">IFERROR(IF(AND(B666&amp;C666&amp;D666="___",INDIRECT("Inventory!A"&amp;MATCH(VLOOKUP(A666,Inventory!E:E,1,0),Inventory!E:E,0))&lt;&gt;INDIRECT("'Full Inventory'!B"&amp;MATCH(VLOOKUP(A666,'Full Inventory'!F:F,1,0),'Full Inventory'!F:F,0))),"X","_"),"_")</f>
        <v>_</v>
      </c>
      <c r="K666" t="str">
        <f t="shared" ca="1" si="31"/>
        <v>__X_</v>
      </c>
      <c r="L666" t="str">
        <f t="shared" ca="1" si="32"/>
        <v/>
      </c>
      <c r="M666" t="str">
        <f>IFERROR(INDEX(Inventory!A:A,MATCH(Scan!A666,Inventory!E:E,0)),"")</f>
        <v/>
      </c>
    </row>
    <row r="667" spans="2:13" x14ac:dyDescent="0.25">
      <c r="B667" t="str">
        <f>IF(IFERROR(VLOOKUP(TRIM(A667),Inventory!E:E,1,0),0)=0,"X","_")</f>
        <v>_</v>
      </c>
      <c r="C667" t="str">
        <f>IF(IFERROR(VLOOKUP(TRIM(A667),'Full Inventory'!F:F,1,0),0)=0,"X","_")</f>
        <v>_</v>
      </c>
      <c r="D667" t="str">
        <f t="shared" si="30"/>
        <v>X</v>
      </c>
      <c r="E667" t="str">
        <f ca="1">IFERROR(IF(AND(B667&amp;C667&amp;D667="___",INDIRECT("Inventory!A"&amp;MATCH(VLOOKUP(A667,Inventory!E:E,1,0),Inventory!E:E,0))&lt;&gt;INDIRECT("'Full Inventory'!B"&amp;MATCH(VLOOKUP(A667,'Full Inventory'!F:F,1,0),'Full Inventory'!F:F,0))),"X","_"),"_")</f>
        <v>_</v>
      </c>
      <c r="K667" t="str">
        <f t="shared" ca="1" si="31"/>
        <v>__X_</v>
      </c>
      <c r="L667" t="str">
        <f t="shared" ca="1" si="32"/>
        <v/>
      </c>
      <c r="M667" t="str">
        <f>IFERROR(INDEX(Inventory!A:A,MATCH(Scan!A667,Inventory!E:E,0)),"")</f>
        <v/>
      </c>
    </row>
    <row r="668" spans="2:13" x14ac:dyDescent="0.25">
      <c r="B668" t="str">
        <f>IF(IFERROR(VLOOKUP(TRIM(A668),Inventory!E:E,1,0),0)=0,"X","_")</f>
        <v>_</v>
      </c>
      <c r="C668" t="str">
        <f>IF(IFERROR(VLOOKUP(TRIM(A668),'Full Inventory'!F:F,1,0),0)=0,"X","_")</f>
        <v>_</v>
      </c>
      <c r="D668" t="str">
        <f t="shared" si="30"/>
        <v>X</v>
      </c>
      <c r="E668" t="str">
        <f ca="1">IFERROR(IF(AND(B668&amp;C668&amp;D668="___",INDIRECT("Inventory!A"&amp;MATCH(VLOOKUP(A668,Inventory!E:E,1,0),Inventory!E:E,0))&lt;&gt;INDIRECT("'Full Inventory'!B"&amp;MATCH(VLOOKUP(A668,'Full Inventory'!F:F,1,0),'Full Inventory'!F:F,0))),"X","_"),"_")</f>
        <v>_</v>
      </c>
      <c r="K668" t="str">
        <f t="shared" ca="1" si="31"/>
        <v>__X_</v>
      </c>
      <c r="L668" t="str">
        <f t="shared" ca="1" si="32"/>
        <v/>
      </c>
      <c r="M668" t="str">
        <f>IFERROR(INDEX(Inventory!A:A,MATCH(Scan!A668,Inventory!E:E,0)),"")</f>
        <v/>
      </c>
    </row>
    <row r="669" spans="2:13" x14ac:dyDescent="0.25">
      <c r="B669" t="str">
        <f>IF(IFERROR(VLOOKUP(TRIM(A669),Inventory!E:E,1,0),0)=0,"X","_")</f>
        <v>_</v>
      </c>
      <c r="C669" t="str">
        <f>IF(IFERROR(VLOOKUP(TRIM(A669),'Full Inventory'!F:F,1,0),0)=0,"X","_")</f>
        <v>_</v>
      </c>
      <c r="D669" t="str">
        <f t="shared" si="30"/>
        <v>X</v>
      </c>
      <c r="E669" t="str">
        <f ca="1">IFERROR(IF(AND(B669&amp;C669&amp;D669="___",INDIRECT("Inventory!A"&amp;MATCH(VLOOKUP(A669,Inventory!E:E,1,0),Inventory!E:E,0))&lt;&gt;INDIRECT("'Full Inventory'!B"&amp;MATCH(VLOOKUP(A669,'Full Inventory'!F:F,1,0),'Full Inventory'!F:F,0))),"X","_"),"_")</f>
        <v>_</v>
      </c>
      <c r="K669" t="str">
        <f t="shared" ca="1" si="31"/>
        <v>__X_</v>
      </c>
      <c r="L669" t="str">
        <f t="shared" ca="1" si="32"/>
        <v/>
      </c>
      <c r="M669" t="str">
        <f>IFERROR(INDEX(Inventory!A:A,MATCH(Scan!A669,Inventory!E:E,0)),"")</f>
        <v/>
      </c>
    </row>
    <row r="670" spans="2:13" x14ac:dyDescent="0.25">
      <c r="B670" t="str">
        <f>IF(IFERROR(VLOOKUP(TRIM(A670),Inventory!E:E,1,0),0)=0,"X","_")</f>
        <v>_</v>
      </c>
      <c r="C670" t="str">
        <f>IF(IFERROR(VLOOKUP(TRIM(A670),'Full Inventory'!F:F,1,0),0)=0,"X","_")</f>
        <v>_</v>
      </c>
      <c r="D670" t="str">
        <f t="shared" si="30"/>
        <v>X</v>
      </c>
      <c r="E670" t="str">
        <f ca="1">IFERROR(IF(AND(B670&amp;C670&amp;D670="___",INDIRECT("Inventory!A"&amp;MATCH(VLOOKUP(A670,Inventory!E:E,1,0),Inventory!E:E,0))&lt;&gt;INDIRECT("'Full Inventory'!B"&amp;MATCH(VLOOKUP(A670,'Full Inventory'!F:F,1,0),'Full Inventory'!F:F,0))),"X","_"),"_")</f>
        <v>_</v>
      </c>
      <c r="K670" t="str">
        <f t="shared" ca="1" si="31"/>
        <v>__X_</v>
      </c>
      <c r="L670" t="str">
        <f t="shared" ca="1" si="32"/>
        <v/>
      </c>
      <c r="M670" t="str">
        <f>IFERROR(INDEX(Inventory!A:A,MATCH(Scan!A670,Inventory!E:E,0)),"")</f>
        <v/>
      </c>
    </row>
    <row r="671" spans="2:13" x14ac:dyDescent="0.25">
      <c r="B671" t="str">
        <f>IF(IFERROR(VLOOKUP(TRIM(A671),Inventory!E:E,1,0),0)=0,"X","_")</f>
        <v>_</v>
      </c>
      <c r="C671" t="str">
        <f>IF(IFERROR(VLOOKUP(TRIM(A671),'Full Inventory'!F:F,1,0),0)=0,"X","_")</f>
        <v>_</v>
      </c>
      <c r="D671" t="str">
        <f t="shared" si="30"/>
        <v>X</v>
      </c>
      <c r="E671" t="str">
        <f ca="1">IFERROR(IF(AND(B671&amp;C671&amp;D671="___",INDIRECT("Inventory!A"&amp;MATCH(VLOOKUP(A671,Inventory!E:E,1,0),Inventory!E:E,0))&lt;&gt;INDIRECT("'Full Inventory'!B"&amp;MATCH(VLOOKUP(A671,'Full Inventory'!F:F,1,0),'Full Inventory'!F:F,0))),"X","_"),"_")</f>
        <v>_</v>
      </c>
      <c r="K671" t="str">
        <f t="shared" ca="1" si="31"/>
        <v>__X_</v>
      </c>
      <c r="L671" t="str">
        <f t="shared" ca="1" si="32"/>
        <v/>
      </c>
      <c r="M671" t="str">
        <f>IFERROR(INDEX(Inventory!A:A,MATCH(Scan!A671,Inventory!E:E,0)),"")</f>
        <v/>
      </c>
    </row>
    <row r="672" spans="2:13" x14ac:dyDescent="0.25">
      <c r="B672" t="str">
        <f>IF(IFERROR(VLOOKUP(TRIM(A672),Inventory!E:E,1,0),0)=0,"X","_")</f>
        <v>_</v>
      </c>
      <c r="C672" t="str">
        <f>IF(IFERROR(VLOOKUP(TRIM(A672),'Full Inventory'!F:F,1,0),0)=0,"X","_")</f>
        <v>_</v>
      </c>
      <c r="D672" t="str">
        <f t="shared" si="30"/>
        <v>X</v>
      </c>
      <c r="E672" t="str">
        <f ca="1">IFERROR(IF(AND(B672&amp;C672&amp;D672="___",INDIRECT("Inventory!A"&amp;MATCH(VLOOKUP(A672,Inventory!E:E,1,0),Inventory!E:E,0))&lt;&gt;INDIRECT("'Full Inventory'!B"&amp;MATCH(VLOOKUP(A672,'Full Inventory'!F:F,1,0),'Full Inventory'!F:F,0))),"X","_"),"_")</f>
        <v>_</v>
      </c>
      <c r="K672" t="str">
        <f t="shared" ca="1" si="31"/>
        <v>__X_</v>
      </c>
      <c r="L672" t="str">
        <f t="shared" ca="1" si="32"/>
        <v/>
      </c>
      <c r="M672" t="str">
        <f>IFERROR(INDEX(Inventory!A:A,MATCH(Scan!A672,Inventory!E:E,0)),"")</f>
        <v/>
      </c>
    </row>
    <row r="673" spans="2:13" x14ac:dyDescent="0.25">
      <c r="B673" t="str">
        <f>IF(IFERROR(VLOOKUP(TRIM(A673),Inventory!E:E,1,0),0)=0,"X","_")</f>
        <v>_</v>
      </c>
      <c r="C673" t="str">
        <f>IF(IFERROR(VLOOKUP(TRIM(A673),'Full Inventory'!F:F,1,0),0)=0,"X","_")</f>
        <v>_</v>
      </c>
      <c r="D673" t="str">
        <f t="shared" si="30"/>
        <v>X</v>
      </c>
      <c r="E673" t="str">
        <f ca="1">IFERROR(IF(AND(B673&amp;C673&amp;D673="___",INDIRECT("Inventory!A"&amp;MATCH(VLOOKUP(A673,Inventory!E:E,1,0),Inventory!E:E,0))&lt;&gt;INDIRECT("'Full Inventory'!B"&amp;MATCH(VLOOKUP(A673,'Full Inventory'!F:F,1,0),'Full Inventory'!F:F,0))),"X","_"),"_")</f>
        <v>_</v>
      </c>
      <c r="K673" t="str">
        <f t="shared" ca="1" si="31"/>
        <v>__X_</v>
      </c>
      <c r="L673" t="str">
        <f t="shared" ca="1" si="32"/>
        <v/>
      </c>
      <c r="M673" t="str">
        <f>IFERROR(INDEX(Inventory!A:A,MATCH(Scan!A673,Inventory!E:E,0)),"")</f>
        <v/>
      </c>
    </row>
    <row r="674" spans="2:13" x14ac:dyDescent="0.25">
      <c r="B674" t="str">
        <f>IF(IFERROR(VLOOKUP(TRIM(A674),Inventory!E:E,1,0),0)=0,"X","_")</f>
        <v>_</v>
      </c>
      <c r="C674" t="str">
        <f>IF(IFERROR(VLOOKUP(TRIM(A674),'Full Inventory'!F:F,1,0),0)=0,"X","_")</f>
        <v>_</v>
      </c>
      <c r="D674" t="str">
        <f t="shared" si="30"/>
        <v>X</v>
      </c>
      <c r="E674" t="str">
        <f ca="1">IFERROR(IF(AND(B674&amp;C674&amp;D674="___",INDIRECT("Inventory!A"&amp;MATCH(VLOOKUP(A674,Inventory!E:E,1,0),Inventory!E:E,0))&lt;&gt;INDIRECT("'Full Inventory'!B"&amp;MATCH(VLOOKUP(A674,'Full Inventory'!F:F,1,0),'Full Inventory'!F:F,0))),"X","_"),"_")</f>
        <v>_</v>
      </c>
      <c r="K674" t="str">
        <f t="shared" ca="1" si="31"/>
        <v>__X_</v>
      </c>
      <c r="L674" t="str">
        <f t="shared" ca="1" si="32"/>
        <v/>
      </c>
      <c r="M674" t="str">
        <f>IFERROR(INDEX(Inventory!A:A,MATCH(Scan!A674,Inventory!E:E,0)),"")</f>
        <v/>
      </c>
    </row>
    <row r="675" spans="2:13" x14ac:dyDescent="0.25">
      <c r="B675" t="str">
        <f>IF(IFERROR(VLOOKUP(TRIM(A675),Inventory!E:E,1,0),0)=0,"X","_")</f>
        <v>_</v>
      </c>
      <c r="C675" t="str">
        <f>IF(IFERROR(VLOOKUP(TRIM(A675),'Full Inventory'!F:F,1,0),0)=0,"X","_")</f>
        <v>_</v>
      </c>
      <c r="D675" t="str">
        <f t="shared" si="30"/>
        <v>X</v>
      </c>
      <c r="E675" t="str">
        <f ca="1">IFERROR(IF(AND(B675&amp;C675&amp;D675="___",INDIRECT("Inventory!A"&amp;MATCH(VLOOKUP(A675,Inventory!E:E,1,0),Inventory!E:E,0))&lt;&gt;INDIRECT("'Full Inventory'!B"&amp;MATCH(VLOOKUP(A675,'Full Inventory'!F:F,1,0),'Full Inventory'!F:F,0))),"X","_"),"_")</f>
        <v>_</v>
      </c>
      <c r="K675" t="str">
        <f t="shared" ca="1" si="31"/>
        <v>__X_</v>
      </c>
      <c r="L675" t="str">
        <f t="shared" ca="1" si="32"/>
        <v/>
      </c>
      <c r="M675" t="str">
        <f>IFERROR(INDEX(Inventory!A:A,MATCH(Scan!A675,Inventory!E:E,0)),"")</f>
        <v/>
      </c>
    </row>
    <row r="676" spans="2:13" x14ac:dyDescent="0.25">
      <c r="B676" t="str">
        <f>IF(IFERROR(VLOOKUP(TRIM(A676),Inventory!E:E,1,0),0)=0,"X","_")</f>
        <v>_</v>
      </c>
      <c r="C676" t="str">
        <f>IF(IFERROR(VLOOKUP(TRIM(A676),'Full Inventory'!F:F,1,0),0)=0,"X","_")</f>
        <v>_</v>
      </c>
      <c r="D676" t="str">
        <f t="shared" si="30"/>
        <v>X</v>
      </c>
      <c r="E676" t="str">
        <f ca="1">IFERROR(IF(AND(B676&amp;C676&amp;D676="___",INDIRECT("Inventory!A"&amp;MATCH(VLOOKUP(A676,Inventory!E:E,1,0),Inventory!E:E,0))&lt;&gt;INDIRECT("'Full Inventory'!B"&amp;MATCH(VLOOKUP(A676,'Full Inventory'!F:F,1,0),'Full Inventory'!F:F,0))),"X","_"),"_")</f>
        <v>_</v>
      </c>
      <c r="K676" t="str">
        <f t="shared" ca="1" si="31"/>
        <v>__X_</v>
      </c>
      <c r="L676" t="str">
        <f t="shared" ca="1" si="32"/>
        <v/>
      </c>
      <c r="M676" t="str">
        <f>IFERROR(INDEX(Inventory!A:A,MATCH(Scan!A676,Inventory!E:E,0)),"")</f>
        <v/>
      </c>
    </row>
    <row r="677" spans="2:13" x14ac:dyDescent="0.25">
      <c r="B677" t="str">
        <f>IF(IFERROR(VLOOKUP(TRIM(A677),Inventory!E:E,1,0),0)=0,"X","_")</f>
        <v>_</v>
      </c>
      <c r="C677" t="str">
        <f>IF(IFERROR(VLOOKUP(TRIM(A677),'Full Inventory'!F:F,1,0),0)=0,"X","_")</f>
        <v>_</v>
      </c>
      <c r="D677" t="str">
        <f t="shared" si="30"/>
        <v>X</v>
      </c>
      <c r="E677" t="str">
        <f ca="1">IFERROR(IF(AND(B677&amp;C677&amp;D677="___",INDIRECT("Inventory!A"&amp;MATCH(VLOOKUP(A677,Inventory!E:E,1,0),Inventory!E:E,0))&lt;&gt;INDIRECT("'Full Inventory'!B"&amp;MATCH(VLOOKUP(A677,'Full Inventory'!F:F,1,0),'Full Inventory'!F:F,0))),"X","_"),"_")</f>
        <v>_</v>
      </c>
      <c r="K677" t="str">
        <f t="shared" ca="1" si="31"/>
        <v>__X_</v>
      </c>
      <c r="L677" t="str">
        <f t="shared" ca="1" si="32"/>
        <v/>
      </c>
      <c r="M677" t="str">
        <f>IFERROR(INDEX(Inventory!A:A,MATCH(Scan!A677,Inventory!E:E,0)),"")</f>
        <v/>
      </c>
    </row>
    <row r="678" spans="2:13" x14ac:dyDescent="0.25">
      <c r="B678" t="str">
        <f>IF(IFERROR(VLOOKUP(TRIM(A678),Inventory!E:E,1,0),0)=0,"X","_")</f>
        <v>_</v>
      </c>
      <c r="C678" t="str">
        <f>IF(IFERROR(VLOOKUP(TRIM(A678),'Full Inventory'!F:F,1,0),0)=0,"X","_")</f>
        <v>_</v>
      </c>
      <c r="D678" t="str">
        <f t="shared" si="30"/>
        <v>X</v>
      </c>
      <c r="E678" t="str">
        <f ca="1">IFERROR(IF(AND(B678&amp;C678&amp;D678="___",INDIRECT("Inventory!A"&amp;MATCH(VLOOKUP(A678,Inventory!E:E,1,0),Inventory!E:E,0))&lt;&gt;INDIRECT("'Full Inventory'!B"&amp;MATCH(VLOOKUP(A678,'Full Inventory'!F:F,1,0),'Full Inventory'!F:F,0))),"X","_"),"_")</f>
        <v>_</v>
      </c>
      <c r="K678" t="str">
        <f t="shared" ca="1" si="31"/>
        <v>__X_</v>
      </c>
      <c r="L678" t="str">
        <f t="shared" ca="1" si="32"/>
        <v/>
      </c>
      <c r="M678" t="str">
        <f>IFERROR(INDEX(Inventory!A:A,MATCH(Scan!A678,Inventory!E:E,0)),"")</f>
        <v/>
      </c>
    </row>
    <row r="679" spans="2:13" x14ac:dyDescent="0.25">
      <c r="B679" t="str">
        <f>IF(IFERROR(VLOOKUP(TRIM(A679),Inventory!E:E,1,0),0)=0,"X","_")</f>
        <v>_</v>
      </c>
      <c r="C679" t="str">
        <f>IF(IFERROR(VLOOKUP(TRIM(A679),'Full Inventory'!F:F,1,0),0)=0,"X","_")</f>
        <v>_</v>
      </c>
      <c r="D679" t="str">
        <f t="shared" si="30"/>
        <v>X</v>
      </c>
      <c r="E679" t="str">
        <f ca="1">IFERROR(IF(AND(B679&amp;C679&amp;D679="___",INDIRECT("Inventory!A"&amp;MATCH(VLOOKUP(A679,Inventory!E:E,1,0),Inventory!E:E,0))&lt;&gt;INDIRECT("'Full Inventory'!B"&amp;MATCH(VLOOKUP(A679,'Full Inventory'!F:F,1,0),'Full Inventory'!F:F,0))),"X","_"),"_")</f>
        <v>_</v>
      </c>
      <c r="K679" t="str">
        <f t="shared" ca="1" si="31"/>
        <v>__X_</v>
      </c>
      <c r="L679" t="str">
        <f t="shared" ca="1" si="32"/>
        <v/>
      </c>
      <c r="M679" t="str">
        <f>IFERROR(INDEX(Inventory!A:A,MATCH(Scan!A679,Inventory!E:E,0)),"")</f>
        <v/>
      </c>
    </row>
    <row r="680" spans="2:13" x14ac:dyDescent="0.25">
      <c r="B680" t="str">
        <f>IF(IFERROR(VLOOKUP(TRIM(A680),Inventory!E:E,1,0),0)=0,"X","_")</f>
        <v>_</v>
      </c>
      <c r="C680" t="str">
        <f>IF(IFERROR(VLOOKUP(TRIM(A680),'Full Inventory'!F:F,1,0),0)=0,"X","_")</f>
        <v>_</v>
      </c>
      <c r="D680" t="str">
        <f t="shared" si="30"/>
        <v>X</v>
      </c>
      <c r="E680" t="str">
        <f ca="1">IFERROR(IF(AND(B680&amp;C680&amp;D680="___",INDIRECT("Inventory!A"&amp;MATCH(VLOOKUP(A680,Inventory!E:E,1,0),Inventory!E:E,0))&lt;&gt;INDIRECT("'Full Inventory'!B"&amp;MATCH(VLOOKUP(A680,'Full Inventory'!F:F,1,0),'Full Inventory'!F:F,0))),"X","_"),"_")</f>
        <v>_</v>
      </c>
      <c r="K680" t="str">
        <f t="shared" ca="1" si="31"/>
        <v>__X_</v>
      </c>
      <c r="L680" t="str">
        <f t="shared" ca="1" si="32"/>
        <v/>
      </c>
      <c r="M680" t="str">
        <f>IFERROR(INDEX(Inventory!A:A,MATCH(Scan!A680,Inventory!E:E,0)),"")</f>
        <v/>
      </c>
    </row>
    <row r="681" spans="2:13" x14ac:dyDescent="0.25">
      <c r="B681" t="str">
        <f>IF(IFERROR(VLOOKUP(TRIM(A681),Inventory!E:E,1,0),0)=0,"X","_")</f>
        <v>_</v>
      </c>
      <c r="C681" t="str">
        <f>IF(IFERROR(VLOOKUP(TRIM(A681),'Full Inventory'!F:F,1,0),0)=0,"X","_")</f>
        <v>_</v>
      </c>
      <c r="D681" t="str">
        <f t="shared" si="30"/>
        <v>X</v>
      </c>
      <c r="E681" t="str">
        <f ca="1">IFERROR(IF(AND(B681&amp;C681&amp;D681="___",INDIRECT("Inventory!A"&amp;MATCH(VLOOKUP(A681,Inventory!E:E,1,0),Inventory!E:E,0))&lt;&gt;INDIRECT("'Full Inventory'!B"&amp;MATCH(VLOOKUP(A681,'Full Inventory'!F:F,1,0),'Full Inventory'!F:F,0))),"X","_"),"_")</f>
        <v>_</v>
      </c>
      <c r="K681" t="str">
        <f t="shared" ca="1" si="31"/>
        <v>__X_</v>
      </c>
      <c r="L681" t="str">
        <f t="shared" ca="1" si="32"/>
        <v/>
      </c>
      <c r="M681" t="str">
        <f>IFERROR(INDEX(Inventory!A:A,MATCH(Scan!A681,Inventory!E:E,0)),"")</f>
        <v/>
      </c>
    </row>
    <row r="682" spans="2:13" x14ac:dyDescent="0.25">
      <c r="B682" t="str">
        <f>IF(IFERROR(VLOOKUP(TRIM(A682),Inventory!E:E,1,0),0)=0,"X","_")</f>
        <v>_</v>
      </c>
      <c r="C682" t="str">
        <f>IF(IFERROR(VLOOKUP(TRIM(A682),'Full Inventory'!F:F,1,0),0)=0,"X","_")</f>
        <v>_</v>
      </c>
      <c r="D682" t="str">
        <f t="shared" si="30"/>
        <v>X</v>
      </c>
      <c r="E682" t="str">
        <f ca="1">IFERROR(IF(AND(B682&amp;C682&amp;D682="___",INDIRECT("Inventory!A"&amp;MATCH(VLOOKUP(A682,Inventory!E:E,1,0),Inventory!E:E,0))&lt;&gt;INDIRECT("'Full Inventory'!B"&amp;MATCH(VLOOKUP(A682,'Full Inventory'!F:F,1,0),'Full Inventory'!F:F,0))),"X","_"),"_")</f>
        <v>_</v>
      </c>
      <c r="K682" t="str">
        <f t="shared" ca="1" si="31"/>
        <v>__X_</v>
      </c>
      <c r="L682" t="str">
        <f t="shared" ca="1" si="32"/>
        <v/>
      </c>
      <c r="M682" t="str">
        <f>IFERROR(INDEX(Inventory!A:A,MATCH(Scan!A682,Inventory!E:E,0)),"")</f>
        <v/>
      </c>
    </row>
    <row r="683" spans="2:13" x14ac:dyDescent="0.25">
      <c r="B683" t="str">
        <f>IF(IFERROR(VLOOKUP(TRIM(A683),Inventory!E:E,1,0),0)=0,"X","_")</f>
        <v>_</v>
      </c>
      <c r="C683" t="str">
        <f>IF(IFERROR(VLOOKUP(TRIM(A683),'Full Inventory'!F:F,1,0),0)=0,"X","_")</f>
        <v>_</v>
      </c>
      <c r="D683" t="str">
        <f t="shared" si="30"/>
        <v>X</v>
      </c>
      <c r="E683" t="str">
        <f ca="1">IFERROR(IF(AND(B683&amp;C683&amp;D683="___",INDIRECT("Inventory!A"&amp;MATCH(VLOOKUP(A683,Inventory!E:E,1,0),Inventory!E:E,0))&lt;&gt;INDIRECT("'Full Inventory'!B"&amp;MATCH(VLOOKUP(A683,'Full Inventory'!F:F,1,0),'Full Inventory'!F:F,0))),"X","_"),"_")</f>
        <v>_</v>
      </c>
      <c r="K683" t="str">
        <f t="shared" ca="1" si="31"/>
        <v>__X_</v>
      </c>
      <c r="L683" t="str">
        <f t="shared" ca="1" si="32"/>
        <v/>
      </c>
      <c r="M683" t="str">
        <f>IFERROR(INDEX(Inventory!A:A,MATCH(Scan!A683,Inventory!E:E,0)),"")</f>
        <v/>
      </c>
    </row>
    <row r="684" spans="2:13" x14ac:dyDescent="0.25">
      <c r="B684" t="str">
        <f>IF(IFERROR(VLOOKUP(TRIM(A684),Inventory!E:E,1,0),0)=0,"X","_")</f>
        <v>_</v>
      </c>
      <c r="C684" t="str">
        <f>IF(IFERROR(VLOOKUP(TRIM(A684),'Full Inventory'!F:F,1,0),0)=0,"X","_")</f>
        <v>_</v>
      </c>
      <c r="D684" t="str">
        <f t="shared" si="30"/>
        <v>X</v>
      </c>
      <c r="E684" t="str">
        <f ca="1">IFERROR(IF(AND(B684&amp;C684&amp;D684="___",INDIRECT("Inventory!A"&amp;MATCH(VLOOKUP(A684,Inventory!E:E,1,0),Inventory!E:E,0))&lt;&gt;INDIRECT("'Full Inventory'!B"&amp;MATCH(VLOOKUP(A684,'Full Inventory'!F:F,1,0),'Full Inventory'!F:F,0))),"X","_"),"_")</f>
        <v>_</v>
      </c>
      <c r="K684" t="str">
        <f t="shared" ca="1" si="31"/>
        <v>__X_</v>
      </c>
      <c r="L684" t="str">
        <f t="shared" ca="1" si="32"/>
        <v/>
      </c>
      <c r="M684" t="str">
        <f>IFERROR(INDEX(Inventory!A:A,MATCH(Scan!A684,Inventory!E:E,0)),"")</f>
        <v/>
      </c>
    </row>
    <row r="685" spans="2:13" x14ac:dyDescent="0.25">
      <c r="B685" t="str">
        <f>IF(IFERROR(VLOOKUP(TRIM(A685),Inventory!E:E,1,0),0)=0,"X","_")</f>
        <v>_</v>
      </c>
      <c r="C685" t="str">
        <f>IF(IFERROR(VLOOKUP(TRIM(A685),'Full Inventory'!F:F,1,0),0)=0,"X","_")</f>
        <v>_</v>
      </c>
      <c r="D685" t="str">
        <f t="shared" si="30"/>
        <v>X</v>
      </c>
      <c r="E685" t="str">
        <f ca="1">IFERROR(IF(AND(B685&amp;C685&amp;D685="___",INDIRECT("Inventory!A"&amp;MATCH(VLOOKUP(A685,Inventory!E:E,1,0),Inventory!E:E,0))&lt;&gt;INDIRECT("'Full Inventory'!B"&amp;MATCH(VLOOKUP(A685,'Full Inventory'!F:F,1,0),'Full Inventory'!F:F,0))),"X","_"),"_")</f>
        <v>_</v>
      </c>
      <c r="K685" t="str">
        <f t="shared" ca="1" si="31"/>
        <v>__X_</v>
      </c>
      <c r="L685" t="str">
        <f t="shared" ca="1" si="32"/>
        <v/>
      </c>
      <c r="M685" t="str">
        <f>IFERROR(INDEX(Inventory!A:A,MATCH(Scan!A685,Inventory!E:E,0)),"")</f>
        <v/>
      </c>
    </row>
    <row r="686" spans="2:13" x14ac:dyDescent="0.25">
      <c r="B686" t="str">
        <f>IF(IFERROR(VLOOKUP(TRIM(A686),Inventory!E:E,1,0),0)=0,"X","_")</f>
        <v>_</v>
      </c>
      <c r="C686" t="str">
        <f>IF(IFERROR(VLOOKUP(TRIM(A686),'Full Inventory'!F:F,1,0),0)=0,"X","_")</f>
        <v>_</v>
      </c>
      <c r="D686" t="str">
        <f t="shared" si="30"/>
        <v>X</v>
      </c>
      <c r="E686" t="str">
        <f ca="1">IFERROR(IF(AND(B686&amp;C686&amp;D686="___",INDIRECT("Inventory!A"&amp;MATCH(VLOOKUP(A686,Inventory!E:E,1,0),Inventory!E:E,0))&lt;&gt;INDIRECT("'Full Inventory'!B"&amp;MATCH(VLOOKUP(A686,'Full Inventory'!F:F,1,0),'Full Inventory'!F:F,0))),"X","_"),"_")</f>
        <v>_</v>
      </c>
      <c r="K686" t="str">
        <f t="shared" ca="1" si="31"/>
        <v>__X_</v>
      </c>
      <c r="L686" t="str">
        <f t="shared" ca="1" si="32"/>
        <v/>
      </c>
      <c r="M686" t="str">
        <f>IFERROR(INDEX(Inventory!A:A,MATCH(Scan!A686,Inventory!E:E,0)),"")</f>
        <v/>
      </c>
    </row>
    <row r="687" spans="2:13" x14ac:dyDescent="0.25">
      <c r="B687" t="str">
        <f>IF(IFERROR(VLOOKUP(TRIM(A687),Inventory!E:E,1,0),0)=0,"X","_")</f>
        <v>_</v>
      </c>
      <c r="C687" t="str">
        <f>IF(IFERROR(VLOOKUP(TRIM(A687),'Full Inventory'!F:F,1,0),0)=0,"X","_")</f>
        <v>_</v>
      </c>
      <c r="D687" t="str">
        <f t="shared" si="30"/>
        <v>X</v>
      </c>
      <c r="E687" t="str">
        <f ca="1">IFERROR(IF(AND(B687&amp;C687&amp;D687="___",INDIRECT("Inventory!A"&amp;MATCH(VLOOKUP(A687,Inventory!E:E,1,0),Inventory!E:E,0))&lt;&gt;INDIRECT("'Full Inventory'!B"&amp;MATCH(VLOOKUP(A687,'Full Inventory'!F:F,1,0),'Full Inventory'!F:F,0))),"X","_"),"_")</f>
        <v>_</v>
      </c>
      <c r="K687" t="str">
        <f t="shared" ca="1" si="31"/>
        <v>__X_</v>
      </c>
      <c r="L687" t="str">
        <f t="shared" ca="1" si="32"/>
        <v/>
      </c>
      <c r="M687" t="str">
        <f>IFERROR(INDEX(Inventory!A:A,MATCH(Scan!A687,Inventory!E:E,0)),"")</f>
        <v/>
      </c>
    </row>
    <row r="688" spans="2:13" x14ac:dyDescent="0.25">
      <c r="B688" t="str">
        <f>IF(IFERROR(VLOOKUP(TRIM(A688),Inventory!E:E,1,0),0)=0,"X","_")</f>
        <v>_</v>
      </c>
      <c r="C688" t="str">
        <f>IF(IFERROR(VLOOKUP(TRIM(A688),'Full Inventory'!F:F,1,0),0)=0,"X","_")</f>
        <v>_</v>
      </c>
      <c r="D688" t="str">
        <f t="shared" si="30"/>
        <v>X</v>
      </c>
      <c r="E688" t="str">
        <f ca="1">IFERROR(IF(AND(B688&amp;C688&amp;D688="___",INDIRECT("Inventory!A"&amp;MATCH(VLOOKUP(A688,Inventory!E:E,1,0),Inventory!E:E,0))&lt;&gt;INDIRECT("'Full Inventory'!B"&amp;MATCH(VLOOKUP(A688,'Full Inventory'!F:F,1,0),'Full Inventory'!F:F,0))),"X","_"),"_")</f>
        <v>_</v>
      </c>
      <c r="K688" t="str">
        <f t="shared" ca="1" si="31"/>
        <v>__X_</v>
      </c>
      <c r="L688" t="str">
        <f t="shared" ca="1" si="32"/>
        <v/>
      </c>
      <c r="M688" t="str">
        <f>IFERROR(INDEX(Inventory!A:A,MATCH(Scan!A688,Inventory!E:E,0)),"")</f>
        <v/>
      </c>
    </row>
    <row r="689" spans="2:13" x14ac:dyDescent="0.25">
      <c r="B689" t="str">
        <f>IF(IFERROR(VLOOKUP(TRIM(A689),Inventory!E:E,1,0),0)=0,"X","_")</f>
        <v>_</v>
      </c>
      <c r="C689" t="str">
        <f>IF(IFERROR(VLOOKUP(TRIM(A689),'Full Inventory'!F:F,1,0),0)=0,"X","_")</f>
        <v>_</v>
      </c>
      <c r="D689" t="str">
        <f t="shared" si="30"/>
        <v>X</v>
      </c>
      <c r="E689" t="str">
        <f ca="1">IFERROR(IF(AND(B689&amp;C689&amp;D689="___",INDIRECT("Inventory!A"&amp;MATCH(VLOOKUP(A689,Inventory!E:E,1,0),Inventory!E:E,0))&lt;&gt;INDIRECT("'Full Inventory'!B"&amp;MATCH(VLOOKUP(A689,'Full Inventory'!F:F,1,0),'Full Inventory'!F:F,0))),"X","_"),"_")</f>
        <v>_</v>
      </c>
      <c r="K689" t="str">
        <f t="shared" ca="1" si="31"/>
        <v>__X_</v>
      </c>
      <c r="L689" t="str">
        <f t="shared" ca="1" si="32"/>
        <v/>
      </c>
      <c r="M689" t="str">
        <f>IFERROR(INDEX(Inventory!A:A,MATCH(Scan!A689,Inventory!E:E,0)),"")</f>
        <v/>
      </c>
    </row>
    <row r="690" spans="2:13" x14ac:dyDescent="0.25">
      <c r="B690" t="str">
        <f>IF(IFERROR(VLOOKUP(TRIM(A690),Inventory!E:E,1,0),0)=0,"X","_")</f>
        <v>_</v>
      </c>
      <c r="C690" t="str">
        <f>IF(IFERROR(VLOOKUP(TRIM(A690),'Full Inventory'!F:F,1,0),0)=0,"X","_")</f>
        <v>_</v>
      </c>
      <c r="D690" t="str">
        <f t="shared" si="30"/>
        <v>X</v>
      </c>
      <c r="E690" t="str">
        <f ca="1">IFERROR(IF(AND(B690&amp;C690&amp;D690="___",INDIRECT("Inventory!A"&amp;MATCH(VLOOKUP(A690,Inventory!E:E,1,0),Inventory!E:E,0))&lt;&gt;INDIRECT("'Full Inventory'!B"&amp;MATCH(VLOOKUP(A690,'Full Inventory'!F:F,1,0),'Full Inventory'!F:F,0))),"X","_"),"_")</f>
        <v>_</v>
      </c>
      <c r="K690" t="str">
        <f t="shared" ca="1" si="31"/>
        <v>__X_</v>
      </c>
      <c r="L690" t="str">
        <f t="shared" ca="1" si="32"/>
        <v/>
      </c>
      <c r="M690" t="str">
        <f>IFERROR(INDEX(Inventory!A:A,MATCH(Scan!A690,Inventory!E:E,0)),"")</f>
        <v/>
      </c>
    </row>
    <row r="691" spans="2:13" x14ac:dyDescent="0.25">
      <c r="B691" t="str">
        <f>IF(IFERROR(VLOOKUP(TRIM(A691),Inventory!E:E,1,0),0)=0,"X","_")</f>
        <v>_</v>
      </c>
      <c r="C691" t="str">
        <f>IF(IFERROR(VLOOKUP(TRIM(A691),'Full Inventory'!F:F,1,0),0)=0,"X","_")</f>
        <v>_</v>
      </c>
      <c r="D691" t="str">
        <f t="shared" si="30"/>
        <v>X</v>
      </c>
      <c r="E691" t="str">
        <f ca="1">IFERROR(IF(AND(B691&amp;C691&amp;D691="___",INDIRECT("Inventory!A"&amp;MATCH(VLOOKUP(A691,Inventory!E:E,1,0),Inventory!E:E,0))&lt;&gt;INDIRECT("'Full Inventory'!B"&amp;MATCH(VLOOKUP(A691,'Full Inventory'!F:F,1,0),'Full Inventory'!F:F,0))),"X","_"),"_")</f>
        <v>_</v>
      </c>
      <c r="K691" t="str">
        <f t="shared" ca="1" si="31"/>
        <v>__X_</v>
      </c>
      <c r="L691" t="str">
        <f t="shared" ca="1" si="32"/>
        <v/>
      </c>
      <c r="M691" t="str">
        <f>IFERROR(INDEX(Inventory!A:A,MATCH(Scan!A691,Inventory!E:E,0)),"")</f>
        <v/>
      </c>
    </row>
    <row r="692" spans="2:13" x14ac:dyDescent="0.25">
      <c r="B692" t="str">
        <f>IF(IFERROR(VLOOKUP(TRIM(A692),Inventory!E:E,1,0),0)=0,"X","_")</f>
        <v>_</v>
      </c>
      <c r="C692" t="str">
        <f>IF(IFERROR(VLOOKUP(TRIM(A692),'Full Inventory'!F:F,1,0),0)=0,"X","_")</f>
        <v>_</v>
      </c>
      <c r="D692" t="str">
        <f t="shared" si="30"/>
        <v>X</v>
      </c>
      <c r="E692" t="str">
        <f ca="1">IFERROR(IF(AND(B692&amp;C692&amp;D692="___",INDIRECT("Inventory!A"&amp;MATCH(VLOOKUP(A692,Inventory!E:E,1,0),Inventory!E:E,0))&lt;&gt;INDIRECT("'Full Inventory'!B"&amp;MATCH(VLOOKUP(A692,'Full Inventory'!F:F,1,0),'Full Inventory'!F:F,0))),"X","_"),"_")</f>
        <v>_</v>
      </c>
      <c r="K692" t="str">
        <f t="shared" ca="1" si="31"/>
        <v>__X_</v>
      </c>
      <c r="L692" t="str">
        <f t="shared" ca="1" si="32"/>
        <v/>
      </c>
      <c r="M692" t="str">
        <f>IFERROR(INDEX(Inventory!A:A,MATCH(Scan!A692,Inventory!E:E,0)),"")</f>
        <v/>
      </c>
    </row>
    <row r="693" spans="2:13" x14ac:dyDescent="0.25">
      <c r="B693" t="str">
        <f>IF(IFERROR(VLOOKUP(TRIM(A693),Inventory!E:E,1,0),0)=0,"X","_")</f>
        <v>_</v>
      </c>
      <c r="C693" t="str">
        <f>IF(IFERROR(VLOOKUP(TRIM(A693),'Full Inventory'!F:F,1,0),0)=0,"X","_")</f>
        <v>_</v>
      </c>
      <c r="D693" t="str">
        <f t="shared" si="30"/>
        <v>X</v>
      </c>
      <c r="E693" t="str">
        <f ca="1">IFERROR(IF(AND(B693&amp;C693&amp;D693="___",INDIRECT("Inventory!A"&amp;MATCH(VLOOKUP(A693,Inventory!E:E,1,0),Inventory!E:E,0))&lt;&gt;INDIRECT("'Full Inventory'!B"&amp;MATCH(VLOOKUP(A693,'Full Inventory'!F:F,1,0),'Full Inventory'!F:F,0))),"X","_"),"_")</f>
        <v>_</v>
      </c>
      <c r="K693" t="str">
        <f t="shared" ca="1" si="31"/>
        <v>__X_</v>
      </c>
      <c r="L693" t="str">
        <f t="shared" ca="1" si="32"/>
        <v/>
      </c>
      <c r="M693" t="str">
        <f>IFERROR(INDEX(Inventory!A:A,MATCH(Scan!A693,Inventory!E:E,0)),"")</f>
        <v/>
      </c>
    </row>
    <row r="694" spans="2:13" x14ac:dyDescent="0.25">
      <c r="B694" t="str">
        <f>IF(IFERROR(VLOOKUP(TRIM(A694),Inventory!E:E,1,0),0)=0,"X","_")</f>
        <v>_</v>
      </c>
      <c r="C694" t="str">
        <f>IF(IFERROR(VLOOKUP(TRIM(A694),'Full Inventory'!F:F,1,0),0)=0,"X","_")</f>
        <v>_</v>
      </c>
      <c r="D694" t="str">
        <f t="shared" si="30"/>
        <v>X</v>
      </c>
      <c r="E694" t="str">
        <f ca="1">IFERROR(IF(AND(B694&amp;C694&amp;D694="___",INDIRECT("Inventory!A"&amp;MATCH(VLOOKUP(A694,Inventory!E:E,1,0),Inventory!E:E,0))&lt;&gt;INDIRECT("'Full Inventory'!B"&amp;MATCH(VLOOKUP(A694,'Full Inventory'!F:F,1,0),'Full Inventory'!F:F,0))),"X","_"),"_")</f>
        <v>_</v>
      </c>
      <c r="K694" t="str">
        <f t="shared" ca="1" si="31"/>
        <v>__X_</v>
      </c>
      <c r="L694" t="str">
        <f t="shared" ca="1" si="32"/>
        <v/>
      </c>
      <c r="M694" t="str">
        <f>IFERROR(INDEX(Inventory!A:A,MATCH(Scan!A694,Inventory!E:E,0)),"")</f>
        <v/>
      </c>
    </row>
    <row r="695" spans="2:13" x14ac:dyDescent="0.25">
      <c r="B695" t="str">
        <f>IF(IFERROR(VLOOKUP(TRIM(A695),Inventory!E:E,1,0),0)=0,"X","_")</f>
        <v>_</v>
      </c>
      <c r="C695" t="str">
        <f>IF(IFERROR(VLOOKUP(TRIM(A695),'Full Inventory'!F:F,1,0),0)=0,"X","_")</f>
        <v>_</v>
      </c>
      <c r="D695" t="str">
        <f t="shared" si="30"/>
        <v>X</v>
      </c>
      <c r="E695" t="str">
        <f ca="1">IFERROR(IF(AND(B695&amp;C695&amp;D695="___",INDIRECT("Inventory!A"&amp;MATCH(VLOOKUP(A695,Inventory!E:E,1,0),Inventory!E:E,0))&lt;&gt;INDIRECT("'Full Inventory'!B"&amp;MATCH(VLOOKUP(A695,'Full Inventory'!F:F,1,0),'Full Inventory'!F:F,0))),"X","_"),"_")</f>
        <v>_</v>
      </c>
      <c r="K695" t="str">
        <f t="shared" ca="1" si="31"/>
        <v>__X_</v>
      </c>
      <c r="L695" t="str">
        <f t="shared" ca="1" si="32"/>
        <v/>
      </c>
      <c r="M695" t="str">
        <f>IFERROR(INDEX(Inventory!A:A,MATCH(Scan!A695,Inventory!E:E,0)),"")</f>
        <v/>
      </c>
    </row>
    <row r="696" spans="2:13" x14ac:dyDescent="0.25">
      <c r="B696" t="str">
        <f>IF(IFERROR(VLOOKUP(TRIM(A696),Inventory!E:E,1,0),0)=0,"X","_")</f>
        <v>_</v>
      </c>
      <c r="C696" t="str">
        <f>IF(IFERROR(VLOOKUP(TRIM(A696),'Full Inventory'!F:F,1,0),0)=0,"X","_")</f>
        <v>_</v>
      </c>
      <c r="D696" t="str">
        <f t="shared" si="30"/>
        <v>X</v>
      </c>
      <c r="E696" t="str">
        <f ca="1">IFERROR(IF(AND(B696&amp;C696&amp;D696="___",INDIRECT("Inventory!A"&amp;MATCH(VLOOKUP(A696,Inventory!E:E,1,0),Inventory!E:E,0))&lt;&gt;INDIRECT("'Full Inventory'!B"&amp;MATCH(VLOOKUP(A696,'Full Inventory'!F:F,1,0),'Full Inventory'!F:F,0))),"X","_"),"_")</f>
        <v>_</v>
      </c>
      <c r="K696" t="str">
        <f t="shared" ca="1" si="31"/>
        <v>__X_</v>
      </c>
      <c r="L696" t="str">
        <f t="shared" ca="1" si="32"/>
        <v/>
      </c>
      <c r="M696" t="str">
        <f>IFERROR(INDEX(Inventory!A:A,MATCH(Scan!A696,Inventory!E:E,0)),"")</f>
        <v/>
      </c>
    </row>
    <row r="697" spans="2:13" x14ac:dyDescent="0.25">
      <c r="B697" t="str">
        <f>IF(IFERROR(VLOOKUP(TRIM(A697),Inventory!E:E,1,0),0)=0,"X","_")</f>
        <v>_</v>
      </c>
      <c r="C697" t="str">
        <f>IF(IFERROR(VLOOKUP(TRIM(A697),'Full Inventory'!F:F,1,0),0)=0,"X","_")</f>
        <v>_</v>
      </c>
      <c r="D697" t="str">
        <f t="shared" si="30"/>
        <v>X</v>
      </c>
      <c r="E697" t="str">
        <f ca="1">IFERROR(IF(AND(B697&amp;C697&amp;D697="___",INDIRECT("Inventory!A"&amp;MATCH(VLOOKUP(A697,Inventory!E:E,1,0),Inventory!E:E,0))&lt;&gt;INDIRECT("'Full Inventory'!B"&amp;MATCH(VLOOKUP(A697,'Full Inventory'!F:F,1,0),'Full Inventory'!F:F,0))),"X","_"),"_")</f>
        <v>_</v>
      </c>
      <c r="K697" t="str">
        <f t="shared" ca="1" si="31"/>
        <v>__X_</v>
      </c>
      <c r="L697" t="str">
        <f t="shared" ca="1" si="32"/>
        <v/>
      </c>
      <c r="M697" t="str">
        <f>IFERROR(INDEX(Inventory!A:A,MATCH(Scan!A697,Inventory!E:E,0)),"")</f>
        <v/>
      </c>
    </row>
    <row r="698" spans="2:13" x14ac:dyDescent="0.25">
      <c r="B698" t="str">
        <f>IF(IFERROR(VLOOKUP(TRIM(A698),Inventory!E:E,1,0),0)=0,"X","_")</f>
        <v>_</v>
      </c>
      <c r="C698" t="str">
        <f>IF(IFERROR(VLOOKUP(TRIM(A698),'Full Inventory'!F:F,1,0),0)=0,"X","_")</f>
        <v>_</v>
      </c>
      <c r="D698" t="str">
        <f t="shared" si="30"/>
        <v>X</v>
      </c>
      <c r="E698" t="str">
        <f ca="1">IFERROR(IF(AND(B698&amp;C698&amp;D698="___",INDIRECT("Inventory!A"&amp;MATCH(VLOOKUP(A698,Inventory!E:E,1,0),Inventory!E:E,0))&lt;&gt;INDIRECT("'Full Inventory'!B"&amp;MATCH(VLOOKUP(A698,'Full Inventory'!F:F,1,0),'Full Inventory'!F:F,0))),"X","_"),"_")</f>
        <v>_</v>
      </c>
      <c r="K698" t="str">
        <f t="shared" ca="1" si="31"/>
        <v>__X_</v>
      </c>
      <c r="L698" t="str">
        <f t="shared" ca="1" si="32"/>
        <v/>
      </c>
      <c r="M698" t="str">
        <f>IFERROR(INDEX(Inventory!A:A,MATCH(Scan!A698,Inventory!E:E,0)),"")</f>
        <v/>
      </c>
    </row>
    <row r="699" spans="2:13" x14ac:dyDescent="0.25">
      <c r="B699" t="str">
        <f>IF(IFERROR(VLOOKUP(TRIM(A699),Inventory!E:E,1,0),0)=0,"X","_")</f>
        <v>_</v>
      </c>
      <c r="C699" t="str">
        <f>IF(IFERROR(VLOOKUP(TRIM(A699),'Full Inventory'!F:F,1,0),0)=0,"X","_")</f>
        <v>_</v>
      </c>
      <c r="D699" t="str">
        <f t="shared" si="30"/>
        <v>X</v>
      </c>
      <c r="E699" t="str">
        <f ca="1">IFERROR(IF(AND(B699&amp;C699&amp;D699="___",INDIRECT("Inventory!A"&amp;MATCH(VLOOKUP(A699,Inventory!E:E,1,0),Inventory!E:E,0))&lt;&gt;INDIRECT("'Full Inventory'!B"&amp;MATCH(VLOOKUP(A699,'Full Inventory'!F:F,1,0),'Full Inventory'!F:F,0))),"X","_"),"_")</f>
        <v>_</v>
      </c>
      <c r="K699" t="str">
        <f t="shared" ca="1" si="31"/>
        <v>__X_</v>
      </c>
      <c r="L699" t="str">
        <f t="shared" ca="1" si="32"/>
        <v/>
      </c>
      <c r="M699" t="str">
        <f>IFERROR(INDEX(Inventory!A:A,MATCH(Scan!A699,Inventory!E:E,0)),"")</f>
        <v/>
      </c>
    </row>
    <row r="700" spans="2:13" x14ac:dyDescent="0.25">
      <c r="B700" t="str">
        <f>IF(IFERROR(VLOOKUP(TRIM(A700),Inventory!E:E,1,0),0)=0,"X","_")</f>
        <v>_</v>
      </c>
      <c r="C700" t="str">
        <f>IF(IFERROR(VLOOKUP(TRIM(A700),'Full Inventory'!F:F,1,0),0)=0,"X","_")</f>
        <v>_</v>
      </c>
      <c r="D700" t="str">
        <f t="shared" si="30"/>
        <v>X</v>
      </c>
      <c r="E700" t="str">
        <f ca="1">IFERROR(IF(AND(B700&amp;C700&amp;D700="___",INDIRECT("Inventory!A"&amp;MATCH(VLOOKUP(A700,Inventory!E:E,1,0),Inventory!E:E,0))&lt;&gt;INDIRECT("'Full Inventory'!B"&amp;MATCH(VLOOKUP(A700,'Full Inventory'!F:F,1,0),'Full Inventory'!F:F,0))),"X","_"),"_")</f>
        <v>_</v>
      </c>
      <c r="K700" t="str">
        <f t="shared" ca="1" si="31"/>
        <v>__X_</v>
      </c>
      <c r="L700" t="str">
        <f t="shared" ca="1" si="32"/>
        <v/>
      </c>
      <c r="M700" t="str">
        <f>IFERROR(INDEX(Inventory!A:A,MATCH(Scan!A700,Inventory!E:E,0)),"")</f>
        <v/>
      </c>
    </row>
    <row r="701" spans="2:13" x14ac:dyDescent="0.25">
      <c r="B701" t="str">
        <f>IF(IFERROR(VLOOKUP(TRIM(A701),Inventory!E:E,1,0),0)=0,"X","_")</f>
        <v>_</v>
      </c>
      <c r="C701" t="str">
        <f>IF(IFERROR(VLOOKUP(TRIM(A701),'Full Inventory'!F:F,1,0),0)=0,"X","_")</f>
        <v>_</v>
      </c>
      <c r="D701" t="str">
        <f t="shared" si="30"/>
        <v>X</v>
      </c>
      <c r="E701" t="str">
        <f ca="1">IFERROR(IF(AND(B701&amp;C701&amp;D701="___",INDIRECT("Inventory!A"&amp;MATCH(VLOOKUP(A701,Inventory!E:E,1,0),Inventory!E:E,0))&lt;&gt;INDIRECT("'Full Inventory'!B"&amp;MATCH(VLOOKUP(A701,'Full Inventory'!F:F,1,0),'Full Inventory'!F:F,0))),"X","_"),"_")</f>
        <v>_</v>
      </c>
      <c r="K701" t="str">
        <f t="shared" ca="1" si="31"/>
        <v>__X_</v>
      </c>
      <c r="L701" t="str">
        <f t="shared" ca="1" si="32"/>
        <v/>
      </c>
      <c r="M701" t="str">
        <f>IFERROR(INDEX(Inventory!A:A,MATCH(Scan!A701,Inventory!E:E,0)),"")</f>
        <v/>
      </c>
    </row>
    <row r="702" spans="2:13" x14ac:dyDescent="0.25">
      <c r="B702" t="str">
        <f>IF(IFERROR(VLOOKUP(TRIM(A702),Inventory!E:E,1,0),0)=0,"X","_")</f>
        <v>_</v>
      </c>
      <c r="C702" t="str">
        <f>IF(IFERROR(VLOOKUP(TRIM(A702),'Full Inventory'!F:F,1,0),0)=0,"X","_")</f>
        <v>_</v>
      </c>
      <c r="D702" t="str">
        <f t="shared" si="30"/>
        <v>X</v>
      </c>
      <c r="E702" t="str">
        <f ca="1">IFERROR(IF(AND(B702&amp;C702&amp;D702="___",INDIRECT("Inventory!A"&amp;MATCH(VLOOKUP(A702,Inventory!E:E,1,0),Inventory!E:E,0))&lt;&gt;INDIRECT("'Full Inventory'!B"&amp;MATCH(VLOOKUP(A702,'Full Inventory'!F:F,1,0),'Full Inventory'!F:F,0))),"X","_"),"_")</f>
        <v>_</v>
      </c>
      <c r="K702" t="str">
        <f t="shared" ca="1" si="31"/>
        <v>__X_</v>
      </c>
      <c r="L702" t="str">
        <f t="shared" ca="1" si="32"/>
        <v/>
      </c>
      <c r="M702" t="str">
        <f>IFERROR(INDEX(Inventory!A:A,MATCH(Scan!A702,Inventory!E:E,0)),"")</f>
        <v/>
      </c>
    </row>
    <row r="703" spans="2:13" x14ac:dyDescent="0.25">
      <c r="B703" t="str">
        <f>IF(IFERROR(VLOOKUP(TRIM(A703),Inventory!E:E,1,0),0)=0,"X","_")</f>
        <v>_</v>
      </c>
      <c r="C703" t="str">
        <f>IF(IFERROR(VLOOKUP(TRIM(A703),'Full Inventory'!F:F,1,0),0)=0,"X","_")</f>
        <v>_</v>
      </c>
      <c r="D703" t="str">
        <f t="shared" si="30"/>
        <v>X</v>
      </c>
      <c r="E703" t="str">
        <f ca="1">IFERROR(IF(AND(B703&amp;C703&amp;D703="___",INDIRECT("Inventory!A"&amp;MATCH(VLOOKUP(A703,Inventory!E:E,1,0),Inventory!E:E,0))&lt;&gt;INDIRECT("'Full Inventory'!B"&amp;MATCH(VLOOKUP(A703,'Full Inventory'!F:F,1,0),'Full Inventory'!F:F,0))),"X","_"),"_")</f>
        <v>_</v>
      </c>
      <c r="K703" t="str">
        <f t="shared" ca="1" si="31"/>
        <v>__X_</v>
      </c>
      <c r="L703" t="str">
        <f t="shared" ca="1" si="32"/>
        <v/>
      </c>
      <c r="M703" t="str">
        <f>IFERROR(INDEX(Inventory!A:A,MATCH(Scan!A703,Inventory!E:E,0)),"")</f>
        <v/>
      </c>
    </row>
    <row r="704" spans="2:13" x14ac:dyDescent="0.25">
      <c r="B704" t="str">
        <f>IF(IFERROR(VLOOKUP(TRIM(A704),Inventory!E:E,1,0),0)=0,"X","_")</f>
        <v>_</v>
      </c>
      <c r="C704" t="str">
        <f>IF(IFERROR(VLOOKUP(TRIM(A704),'Full Inventory'!F:F,1,0),0)=0,"X","_")</f>
        <v>_</v>
      </c>
      <c r="D704" t="str">
        <f t="shared" si="30"/>
        <v>X</v>
      </c>
      <c r="E704" t="str">
        <f ca="1">IFERROR(IF(AND(B704&amp;C704&amp;D704="___",INDIRECT("Inventory!A"&amp;MATCH(VLOOKUP(A704,Inventory!E:E,1,0),Inventory!E:E,0))&lt;&gt;INDIRECT("'Full Inventory'!B"&amp;MATCH(VLOOKUP(A704,'Full Inventory'!F:F,1,0),'Full Inventory'!F:F,0))),"X","_"),"_")</f>
        <v>_</v>
      </c>
      <c r="K704" t="str">
        <f t="shared" ca="1" si="31"/>
        <v>__X_</v>
      </c>
      <c r="L704" t="str">
        <f t="shared" ca="1" si="32"/>
        <v/>
      </c>
      <c r="M704" t="str">
        <f>IFERROR(INDEX(Inventory!A:A,MATCH(Scan!A704,Inventory!E:E,0)),"")</f>
        <v/>
      </c>
    </row>
    <row r="705" spans="2:13" x14ac:dyDescent="0.25">
      <c r="B705" t="str">
        <f>IF(IFERROR(VLOOKUP(TRIM(A705),Inventory!E:E,1,0),0)=0,"X","_")</f>
        <v>_</v>
      </c>
      <c r="C705" t="str">
        <f>IF(IFERROR(VLOOKUP(TRIM(A705),'Full Inventory'!F:F,1,0),0)=0,"X","_")</f>
        <v>_</v>
      </c>
      <c r="D705" t="str">
        <f t="shared" si="30"/>
        <v>X</v>
      </c>
      <c r="E705" t="str">
        <f ca="1">IFERROR(IF(AND(B705&amp;C705&amp;D705="___",INDIRECT("Inventory!A"&amp;MATCH(VLOOKUP(A705,Inventory!E:E,1,0),Inventory!E:E,0))&lt;&gt;INDIRECT("'Full Inventory'!B"&amp;MATCH(VLOOKUP(A705,'Full Inventory'!F:F,1,0),'Full Inventory'!F:F,0))),"X","_"),"_")</f>
        <v>_</v>
      </c>
      <c r="K705" t="str">
        <f t="shared" ca="1" si="31"/>
        <v>__X_</v>
      </c>
      <c r="L705" t="str">
        <f t="shared" ca="1" si="32"/>
        <v/>
      </c>
      <c r="M705" t="str">
        <f>IFERROR(INDEX(Inventory!A:A,MATCH(Scan!A705,Inventory!E:E,0)),"")</f>
        <v/>
      </c>
    </row>
    <row r="706" spans="2:13" x14ac:dyDescent="0.25">
      <c r="B706" t="str">
        <f>IF(IFERROR(VLOOKUP(TRIM(A706),Inventory!E:E,1,0),0)=0,"X","_")</f>
        <v>_</v>
      </c>
      <c r="C706" t="str">
        <f>IF(IFERROR(VLOOKUP(TRIM(A706),'Full Inventory'!F:F,1,0),0)=0,"X","_")</f>
        <v>_</v>
      </c>
      <c r="D706" t="str">
        <f t="shared" ref="D706:D769" si="33">IF(TRIM(A706)&lt;&gt;"","_","X")</f>
        <v>X</v>
      </c>
      <c r="E706" t="str">
        <f ca="1">IFERROR(IF(AND(B706&amp;C706&amp;D706="___",INDIRECT("Inventory!A"&amp;MATCH(VLOOKUP(A706,Inventory!E:E,1,0),Inventory!E:E,0))&lt;&gt;INDIRECT("'Full Inventory'!B"&amp;MATCH(VLOOKUP(A706,'Full Inventory'!F:F,1,0),'Full Inventory'!F:F,0))),"X","_"),"_")</f>
        <v>_</v>
      </c>
      <c r="K706" t="str">
        <f t="shared" ca="1" si="31"/>
        <v>__X_</v>
      </c>
      <c r="L706" t="str">
        <f t="shared" ca="1" si="32"/>
        <v/>
      </c>
      <c r="M706" t="str">
        <f>IFERROR(INDEX(Inventory!A:A,MATCH(Scan!A706,Inventory!E:E,0)),"")</f>
        <v/>
      </c>
    </row>
    <row r="707" spans="2:13" x14ac:dyDescent="0.25">
      <c r="B707" t="str">
        <f>IF(IFERROR(VLOOKUP(TRIM(A707),Inventory!E:E,1,0),0)=0,"X","_")</f>
        <v>_</v>
      </c>
      <c r="C707" t="str">
        <f>IF(IFERROR(VLOOKUP(TRIM(A707),'Full Inventory'!F:F,1,0),0)=0,"X","_")</f>
        <v>_</v>
      </c>
      <c r="D707" t="str">
        <f t="shared" si="33"/>
        <v>X</v>
      </c>
      <c r="E707" t="str">
        <f ca="1">IFERROR(IF(AND(B707&amp;C707&amp;D707="___",INDIRECT("Inventory!A"&amp;MATCH(VLOOKUP(A707,Inventory!E:E,1,0),Inventory!E:E,0))&lt;&gt;INDIRECT("'Full Inventory'!B"&amp;MATCH(VLOOKUP(A707,'Full Inventory'!F:F,1,0),'Full Inventory'!F:F,0))),"X","_"),"_")</f>
        <v>_</v>
      </c>
      <c r="K707" t="str">
        <f t="shared" ref="K707:K770" ca="1" si="34">B707&amp;C707&amp;D707&amp;E707</f>
        <v>__X_</v>
      </c>
      <c r="L707" t="str">
        <f t="shared" ref="L707:L770" ca="1" si="35">IF(K707="____","OK",IF(K707="_X__","NOT IN FULL INVENTORY",IF(K707="XX__","NOT IN FULL INVENTORY AND INVENTORY",IF(K707="X___","NOT IN INVENTORY",IF(K707="___X","DIFFERENT NAMES IN FULL INVENTORY AND INVENTORY","")))))</f>
        <v/>
      </c>
      <c r="M707" t="str">
        <f>IFERROR(INDEX(Inventory!A:A,MATCH(Scan!A707,Inventory!E:E,0)),"")</f>
        <v/>
      </c>
    </row>
    <row r="708" spans="2:13" x14ac:dyDescent="0.25">
      <c r="B708" t="str">
        <f>IF(IFERROR(VLOOKUP(TRIM(A708),Inventory!E:E,1,0),0)=0,"X","_")</f>
        <v>_</v>
      </c>
      <c r="C708" t="str">
        <f>IF(IFERROR(VLOOKUP(TRIM(A708),'Full Inventory'!F:F,1,0),0)=0,"X","_")</f>
        <v>_</v>
      </c>
      <c r="D708" t="str">
        <f t="shared" si="33"/>
        <v>X</v>
      </c>
      <c r="E708" t="str">
        <f ca="1">IFERROR(IF(AND(B708&amp;C708&amp;D708="___",INDIRECT("Inventory!A"&amp;MATCH(VLOOKUP(A708,Inventory!E:E,1,0),Inventory!E:E,0))&lt;&gt;INDIRECT("'Full Inventory'!B"&amp;MATCH(VLOOKUP(A708,'Full Inventory'!F:F,1,0),'Full Inventory'!F:F,0))),"X","_"),"_")</f>
        <v>_</v>
      </c>
      <c r="K708" t="str">
        <f t="shared" ca="1" si="34"/>
        <v>__X_</v>
      </c>
      <c r="L708" t="str">
        <f t="shared" ca="1" si="35"/>
        <v/>
      </c>
      <c r="M708" t="str">
        <f>IFERROR(INDEX(Inventory!A:A,MATCH(Scan!A708,Inventory!E:E,0)),"")</f>
        <v/>
      </c>
    </row>
    <row r="709" spans="2:13" x14ac:dyDescent="0.25">
      <c r="B709" t="str">
        <f>IF(IFERROR(VLOOKUP(TRIM(A709),Inventory!E:E,1,0),0)=0,"X","_")</f>
        <v>_</v>
      </c>
      <c r="C709" t="str">
        <f>IF(IFERROR(VLOOKUP(TRIM(A709),'Full Inventory'!F:F,1,0),0)=0,"X","_")</f>
        <v>_</v>
      </c>
      <c r="D709" t="str">
        <f t="shared" si="33"/>
        <v>X</v>
      </c>
      <c r="E709" t="str">
        <f ca="1">IFERROR(IF(AND(B709&amp;C709&amp;D709="___",INDIRECT("Inventory!A"&amp;MATCH(VLOOKUP(A709,Inventory!E:E,1,0),Inventory!E:E,0))&lt;&gt;INDIRECT("'Full Inventory'!B"&amp;MATCH(VLOOKUP(A709,'Full Inventory'!F:F,1,0),'Full Inventory'!F:F,0))),"X","_"),"_")</f>
        <v>_</v>
      </c>
      <c r="K709" t="str">
        <f t="shared" ca="1" si="34"/>
        <v>__X_</v>
      </c>
      <c r="L709" t="str">
        <f t="shared" ca="1" si="35"/>
        <v/>
      </c>
      <c r="M709" t="str">
        <f>IFERROR(INDEX(Inventory!A:A,MATCH(Scan!A709,Inventory!E:E,0)),"")</f>
        <v/>
      </c>
    </row>
    <row r="710" spans="2:13" x14ac:dyDescent="0.25">
      <c r="B710" t="str">
        <f>IF(IFERROR(VLOOKUP(TRIM(A710),Inventory!E:E,1,0),0)=0,"X","_")</f>
        <v>_</v>
      </c>
      <c r="C710" t="str">
        <f>IF(IFERROR(VLOOKUP(TRIM(A710),'Full Inventory'!F:F,1,0),0)=0,"X","_")</f>
        <v>_</v>
      </c>
      <c r="D710" t="str">
        <f t="shared" si="33"/>
        <v>X</v>
      </c>
      <c r="E710" t="str">
        <f ca="1">IFERROR(IF(AND(B710&amp;C710&amp;D710="___",INDIRECT("Inventory!A"&amp;MATCH(VLOOKUP(A710,Inventory!E:E,1,0),Inventory!E:E,0))&lt;&gt;INDIRECT("'Full Inventory'!B"&amp;MATCH(VLOOKUP(A710,'Full Inventory'!F:F,1,0),'Full Inventory'!F:F,0))),"X","_"),"_")</f>
        <v>_</v>
      </c>
      <c r="K710" t="str">
        <f t="shared" ca="1" si="34"/>
        <v>__X_</v>
      </c>
      <c r="L710" t="str">
        <f t="shared" ca="1" si="35"/>
        <v/>
      </c>
      <c r="M710" t="str">
        <f>IFERROR(INDEX(Inventory!A:A,MATCH(Scan!A710,Inventory!E:E,0)),"")</f>
        <v/>
      </c>
    </row>
    <row r="711" spans="2:13" x14ac:dyDescent="0.25">
      <c r="B711" t="str">
        <f>IF(IFERROR(VLOOKUP(TRIM(A711),Inventory!E:E,1,0),0)=0,"X","_")</f>
        <v>_</v>
      </c>
      <c r="C711" t="str">
        <f>IF(IFERROR(VLOOKUP(TRIM(A711),'Full Inventory'!F:F,1,0),0)=0,"X","_")</f>
        <v>_</v>
      </c>
      <c r="D711" t="str">
        <f t="shared" si="33"/>
        <v>X</v>
      </c>
      <c r="E711" t="str">
        <f ca="1">IFERROR(IF(AND(B711&amp;C711&amp;D711="___",INDIRECT("Inventory!A"&amp;MATCH(VLOOKUP(A711,Inventory!E:E,1,0),Inventory!E:E,0))&lt;&gt;INDIRECT("'Full Inventory'!B"&amp;MATCH(VLOOKUP(A711,'Full Inventory'!F:F,1,0),'Full Inventory'!F:F,0))),"X","_"),"_")</f>
        <v>_</v>
      </c>
      <c r="K711" t="str">
        <f t="shared" ca="1" si="34"/>
        <v>__X_</v>
      </c>
      <c r="L711" t="str">
        <f t="shared" ca="1" si="35"/>
        <v/>
      </c>
      <c r="M711" t="str">
        <f>IFERROR(INDEX(Inventory!A:A,MATCH(Scan!A711,Inventory!E:E,0)),"")</f>
        <v/>
      </c>
    </row>
    <row r="712" spans="2:13" x14ac:dyDescent="0.25">
      <c r="B712" t="str">
        <f>IF(IFERROR(VLOOKUP(TRIM(A712),Inventory!E:E,1,0),0)=0,"X","_")</f>
        <v>_</v>
      </c>
      <c r="C712" t="str">
        <f>IF(IFERROR(VLOOKUP(TRIM(A712),'Full Inventory'!F:F,1,0),0)=0,"X","_")</f>
        <v>_</v>
      </c>
      <c r="D712" t="str">
        <f t="shared" si="33"/>
        <v>X</v>
      </c>
      <c r="E712" t="str">
        <f ca="1">IFERROR(IF(AND(B712&amp;C712&amp;D712="___",INDIRECT("Inventory!A"&amp;MATCH(VLOOKUP(A712,Inventory!E:E,1,0),Inventory!E:E,0))&lt;&gt;INDIRECT("'Full Inventory'!B"&amp;MATCH(VLOOKUP(A712,'Full Inventory'!F:F,1,0),'Full Inventory'!F:F,0))),"X","_"),"_")</f>
        <v>_</v>
      </c>
      <c r="K712" t="str">
        <f t="shared" ca="1" si="34"/>
        <v>__X_</v>
      </c>
      <c r="L712" t="str">
        <f t="shared" ca="1" si="35"/>
        <v/>
      </c>
      <c r="M712" t="str">
        <f>IFERROR(INDEX(Inventory!A:A,MATCH(Scan!A712,Inventory!E:E,0)),"")</f>
        <v/>
      </c>
    </row>
    <row r="713" spans="2:13" x14ac:dyDescent="0.25">
      <c r="B713" t="str">
        <f>IF(IFERROR(VLOOKUP(TRIM(A713),Inventory!E:E,1,0),0)=0,"X","_")</f>
        <v>_</v>
      </c>
      <c r="C713" t="str">
        <f>IF(IFERROR(VLOOKUP(TRIM(A713),'Full Inventory'!F:F,1,0),0)=0,"X","_")</f>
        <v>_</v>
      </c>
      <c r="D713" t="str">
        <f t="shared" si="33"/>
        <v>X</v>
      </c>
      <c r="E713" t="str">
        <f ca="1">IFERROR(IF(AND(B713&amp;C713&amp;D713="___",INDIRECT("Inventory!A"&amp;MATCH(VLOOKUP(A713,Inventory!E:E,1,0),Inventory!E:E,0))&lt;&gt;INDIRECT("'Full Inventory'!B"&amp;MATCH(VLOOKUP(A713,'Full Inventory'!F:F,1,0),'Full Inventory'!F:F,0))),"X","_"),"_")</f>
        <v>_</v>
      </c>
      <c r="K713" t="str">
        <f t="shared" ca="1" si="34"/>
        <v>__X_</v>
      </c>
      <c r="L713" t="str">
        <f t="shared" ca="1" si="35"/>
        <v/>
      </c>
      <c r="M713" t="str">
        <f>IFERROR(INDEX(Inventory!A:A,MATCH(Scan!A713,Inventory!E:E,0)),"")</f>
        <v/>
      </c>
    </row>
    <row r="714" spans="2:13" x14ac:dyDescent="0.25">
      <c r="B714" t="str">
        <f>IF(IFERROR(VLOOKUP(TRIM(A714),Inventory!E:E,1,0),0)=0,"X","_")</f>
        <v>_</v>
      </c>
      <c r="C714" t="str">
        <f>IF(IFERROR(VLOOKUP(TRIM(A714),'Full Inventory'!F:F,1,0),0)=0,"X","_")</f>
        <v>_</v>
      </c>
      <c r="D714" t="str">
        <f t="shared" si="33"/>
        <v>X</v>
      </c>
      <c r="E714" t="str">
        <f ca="1">IFERROR(IF(AND(B714&amp;C714&amp;D714="___",INDIRECT("Inventory!A"&amp;MATCH(VLOOKUP(A714,Inventory!E:E,1,0),Inventory!E:E,0))&lt;&gt;INDIRECT("'Full Inventory'!B"&amp;MATCH(VLOOKUP(A714,'Full Inventory'!F:F,1,0),'Full Inventory'!F:F,0))),"X","_"),"_")</f>
        <v>_</v>
      </c>
      <c r="K714" t="str">
        <f t="shared" ca="1" si="34"/>
        <v>__X_</v>
      </c>
      <c r="L714" t="str">
        <f t="shared" ca="1" si="35"/>
        <v/>
      </c>
      <c r="M714" t="str">
        <f>IFERROR(INDEX(Inventory!A:A,MATCH(Scan!A714,Inventory!E:E,0)),"")</f>
        <v/>
      </c>
    </row>
    <row r="715" spans="2:13" x14ac:dyDescent="0.25">
      <c r="B715" t="str">
        <f>IF(IFERROR(VLOOKUP(TRIM(A715),Inventory!E:E,1,0),0)=0,"X","_")</f>
        <v>_</v>
      </c>
      <c r="C715" t="str">
        <f>IF(IFERROR(VLOOKUP(TRIM(A715),'Full Inventory'!F:F,1,0),0)=0,"X","_")</f>
        <v>_</v>
      </c>
      <c r="D715" t="str">
        <f t="shared" si="33"/>
        <v>X</v>
      </c>
      <c r="E715" t="str">
        <f ca="1">IFERROR(IF(AND(B715&amp;C715&amp;D715="___",INDIRECT("Inventory!A"&amp;MATCH(VLOOKUP(A715,Inventory!E:E,1,0),Inventory!E:E,0))&lt;&gt;INDIRECT("'Full Inventory'!B"&amp;MATCH(VLOOKUP(A715,'Full Inventory'!F:F,1,0),'Full Inventory'!F:F,0))),"X","_"),"_")</f>
        <v>_</v>
      </c>
      <c r="K715" t="str">
        <f t="shared" ca="1" si="34"/>
        <v>__X_</v>
      </c>
      <c r="L715" t="str">
        <f t="shared" ca="1" si="35"/>
        <v/>
      </c>
      <c r="M715" t="str">
        <f>IFERROR(INDEX(Inventory!A:A,MATCH(Scan!A715,Inventory!E:E,0)),"")</f>
        <v/>
      </c>
    </row>
    <row r="716" spans="2:13" x14ac:dyDescent="0.25">
      <c r="B716" t="str">
        <f>IF(IFERROR(VLOOKUP(TRIM(A716),Inventory!E:E,1,0),0)=0,"X","_")</f>
        <v>_</v>
      </c>
      <c r="C716" t="str">
        <f>IF(IFERROR(VLOOKUP(TRIM(A716),'Full Inventory'!F:F,1,0),0)=0,"X","_")</f>
        <v>_</v>
      </c>
      <c r="D716" t="str">
        <f t="shared" si="33"/>
        <v>X</v>
      </c>
      <c r="E716" t="str">
        <f ca="1">IFERROR(IF(AND(B716&amp;C716&amp;D716="___",INDIRECT("Inventory!A"&amp;MATCH(VLOOKUP(A716,Inventory!E:E,1,0),Inventory!E:E,0))&lt;&gt;INDIRECT("'Full Inventory'!B"&amp;MATCH(VLOOKUP(A716,'Full Inventory'!F:F,1,0),'Full Inventory'!F:F,0))),"X","_"),"_")</f>
        <v>_</v>
      </c>
      <c r="K716" t="str">
        <f t="shared" ca="1" si="34"/>
        <v>__X_</v>
      </c>
      <c r="L716" t="str">
        <f t="shared" ca="1" si="35"/>
        <v/>
      </c>
      <c r="M716" t="str">
        <f>IFERROR(INDEX(Inventory!A:A,MATCH(Scan!A716,Inventory!E:E,0)),"")</f>
        <v/>
      </c>
    </row>
    <row r="717" spans="2:13" x14ac:dyDescent="0.25">
      <c r="B717" t="str">
        <f>IF(IFERROR(VLOOKUP(TRIM(A717),Inventory!E:E,1,0),0)=0,"X","_")</f>
        <v>_</v>
      </c>
      <c r="C717" t="str">
        <f>IF(IFERROR(VLOOKUP(TRIM(A717),'Full Inventory'!F:F,1,0),0)=0,"X","_")</f>
        <v>_</v>
      </c>
      <c r="D717" t="str">
        <f t="shared" si="33"/>
        <v>X</v>
      </c>
      <c r="E717" t="str">
        <f ca="1">IFERROR(IF(AND(B717&amp;C717&amp;D717="___",INDIRECT("Inventory!A"&amp;MATCH(VLOOKUP(A717,Inventory!E:E,1,0),Inventory!E:E,0))&lt;&gt;INDIRECT("'Full Inventory'!B"&amp;MATCH(VLOOKUP(A717,'Full Inventory'!F:F,1,0),'Full Inventory'!F:F,0))),"X","_"),"_")</f>
        <v>_</v>
      </c>
      <c r="K717" t="str">
        <f t="shared" ca="1" si="34"/>
        <v>__X_</v>
      </c>
      <c r="L717" t="str">
        <f t="shared" ca="1" si="35"/>
        <v/>
      </c>
      <c r="M717" t="str">
        <f>IFERROR(INDEX(Inventory!A:A,MATCH(Scan!A717,Inventory!E:E,0)),"")</f>
        <v/>
      </c>
    </row>
    <row r="718" spans="2:13" x14ac:dyDescent="0.25">
      <c r="B718" t="str">
        <f>IF(IFERROR(VLOOKUP(TRIM(A718),Inventory!E:E,1,0),0)=0,"X","_")</f>
        <v>_</v>
      </c>
      <c r="C718" t="str">
        <f>IF(IFERROR(VLOOKUP(TRIM(A718),'Full Inventory'!F:F,1,0),0)=0,"X","_")</f>
        <v>_</v>
      </c>
      <c r="D718" t="str">
        <f t="shared" si="33"/>
        <v>X</v>
      </c>
      <c r="E718" t="str">
        <f ca="1">IFERROR(IF(AND(B718&amp;C718&amp;D718="___",INDIRECT("Inventory!A"&amp;MATCH(VLOOKUP(A718,Inventory!E:E,1,0),Inventory!E:E,0))&lt;&gt;INDIRECT("'Full Inventory'!B"&amp;MATCH(VLOOKUP(A718,'Full Inventory'!F:F,1,0),'Full Inventory'!F:F,0))),"X","_"),"_")</f>
        <v>_</v>
      </c>
      <c r="K718" t="str">
        <f t="shared" ca="1" si="34"/>
        <v>__X_</v>
      </c>
      <c r="L718" t="str">
        <f t="shared" ca="1" si="35"/>
        <v/>
      </c>
      <c r="M718" t="str">
        <f>IFERROR(INDEX(Inventory!A:A,MATCH(Scan!A718,Inventory!E:E,0)),"")</f>
        <v/>
      </c>
    </row>
    <row r="719" spans="2:13" x14ac:dyDescent="0.25">
      <c r="B719" t="str">
        <f>IF(IFERROR(VLOOKUP(TRIM(A719),Inventory!E:E,1,0),0)=0,"X","_")</f>
        <v>_</v>
      </c>
      <c r="C719" t="str">
        <f>IF(IFERROR(VLOOKUP(TRIM(A719),'Full Inventory'!F:F,1,0),0)=0,"X","_")</f>
        <v>_</v>
      </c>
      <c r="D719" t="str">
        <f t="shared" si="33"/>
        <v>X</v>
      </c>
      <c r="E719" t="str">
        <f ca="1">IFERROR(IF(AND(B719&amp;C719&amp;D719="___",INDIRECT("Inventory!A"&amp;MATCH(VLOOKUP(A719,Inventory!E:E,1,0),Inventory!E:E,0))&lt;&gt;INDIRECT("'Full Inventory'!B"&amp;MATCH(VLOOKUP(A719,'Full Inventory'!F:F,1,0),'Full Inventory'!F:F,0))),"X","_"),"_")</f>
        <v>_</v>
      </c>
      <c r="K719" t="str">
        <f t="shared" ca="1" si="34"/>
        <v>__X_</v>
      </c>
      <c r="L719" t="str">
        <f t="shared" ca="1" si="35"/>
        <v/>
      </c>
      <c r="M719" t="str">
        <f>IFERROR(INDEX(Inventory!A:A,MATCH(Scan!A719,Inventory!E:E,0)),"")</f>
        <v/>
      </c>
    </row>
    <row r="720" spans="2:13" x14ac:dyDescent="0.25">
      <c r="B720" t="str">
        <f>IF(IFERROR(VLOOKUP(TRIM(A720),Inventory!E:E,1,0),0)=0,"X","_")</f>
        <v>_</v>
      </c>
      <c r="C720" t="str">
        <f>IF(IFERROR(VLOOKUP(TRIM(A720),'Full Inventory'!F:F,1,0),0)=0,"X","_")</f>
        <v>_</v>
      </c>
      <c r="D720" t="str">
        <f t="shared" si="33"/>
        <v>X</v>
      </c>
      <c r="E720" t="str">
        <f ca="1">IFERROR(IF(AND(B720&amp;C720&amp;D720="___",INDIRECT("Inventory!A"&amp;MATCH(VLOOKUP(A720,Inventory!E:E,1,0),Inventory!E:E,0))&lt;&gt;INDIRECT("'Full Inventory'!B"&amp;MATCH(VLOOKUP(A720,'Full Inventory'!F:F,1,0),'Full Inventory'!F:F,0))),"X","_"),"_")</f>
        <v>_</v>
      </c>
      <c r="K720" t="str">
        <f t="shared" ca="1" si="34"/>
        <v>__X_</v>
      </c>
      <c r="L720" t="str">
        <f t="shared" ca="1" si="35"/>
        <v/>
      </c>
      <c r="M720" t="str">
        <f>IFERROR(INDEX(Inventory!A:A,MATCH(Scan!A720,Inventory!E:E,0)),"")</f>
        <v/>
      </c>
    </row>
    <row r="721" spans="2:13" x14ac:dyDescent="0.25">
      <c r="B721" t="str">
        <f>IF(IFERROR(VLOOKUP(TRIM(A721),Inventory!E:E,1,0),0)=0,"X","_")</f>
        <v>_</v>
      </c>
      <c r="C721" t="str">
        <f>IF(IFERROR(VLOOKUP(TRIM(A721),'Full Inventory'!F:F,1,0),0)=0,"X","_")</f>
        <v>_</v>
      </c>
      <c r="D721" t="str">
        <f t="shared" si="33"/>
        <v>X</v>
      </c>
      <c r="E721" t="str">
        <f ca="1">IFERROR(IF(AND(B721&amp;C721&amp;D721="___",INDIRECT("Inventory!A"&amp;MATCH(VLOOKUP(A721,Inventory!E:E,1,0),Inventory!E:E,0))&lt;&gt;INDIRECT("'Full Inventory'!B"&amp;MATCH(VLOOKUP(A721,'Full Inventory'!F:F,1,0),'Full Inventory'!F:F,0))),"X","_"),"_")</f>
        <v>_</v>
      </c>
      <c r="K721" t="str">
        <f t="shared" ca="1" si="34"/>
        <v>__X_</v>
      </c>
      <c r="L721" t="str">
        <f t="shared" ca="1" si="35"/>
        <v/>
      </c>
      <c r="M721" t="str">
        <f>IFERROR(INDEX(Inventory!A:A,MATCH(Scan!A721,Inventory!E:E,0)),"")</f>
        <v/>
      </c>
    </row>
    <row r="722" spans="2:13" x14ac:dyDescent="0.25">
      <c r="B722" t="str">
        <f>IF(IFERROR(VLOOKUP(TRIM(A722),Inventory!E:E,1,0),0)=0,"X","_")</f>
        <v>_</v>
      </c>
      <c r="C722" t="str">
        <f>IF(IFERROR(VLOOKUP(TRIM(A722),'Full Inventory'!F:F,1,0),0)=0,"X","_")</f>
        <v>_</v>
      </c>
      <c r="D722" t="str">
        <f t="shared" si="33"/>
        <v>X</v>
      </c>
      <c r="E722" t="str">
        <f ca="1">IFERROR(IF(AND(B722&amp;C722&amp;D722="___",INDIRECT("Inventory!A"&amp;MATCH(VLOOKUP(A722,Inventory!E:E,1,0),Inventory!E:E,0))&lt;&gt;INDIRECT("'Full Inventory'!B"&amp;MATCH(VLOOKUP(A722,'Full Inventory'!F:F,1,0),'Full Inventory'!F:F,0))),"X","_"),"_")</f>
        <v>_</v>
      </c>
      <c r="K722" t="str">
        <f t="shared" ca="1" si="34"/>
        <v>__X_</v>
      </c>
      <c r="L722" t="str">
        <f t="shared" ca="1" si="35"/>
        <v/>
      </c>
      <c r="M722" t="str">
        <f>IFERROR(INDEX(Inventory!A:A,MATCH(Scan!A722,Inventory!E:E,0)),"")</f>
        <v/>
      </c>
    </row>
    <row r="723" spans="2:13" x14ac:dyDescent="0.25">
      <c r="B723" t="str">
        <f>IF(IFERROR(VLOOKUP(TRIM(A723),Inventory!E:E,1,0),0)=0,"X","_")</f>
        <v>_</v>
      </c>
      <c r="C723" t="str">
        <f>IF(IFERROR(VLOOKUP(TRIM(A723),'Full Inventory'!F:F,1,0),0)=0,"X","_")</f>
        <v>_</v>
      </c>
      <c r="D723" t="str">
        <f t="shared" si="33"/>
        <v>X</v>
      </c>
      <c r="E723" t="str">
        <f ca="1">IFERROR(IF(AND(B723&amp;C723&amp;D723="___",INDIRECT("Inventory!A"&amp;MATCH(VLOOKUP(A723,Inventory!E:E,1,0),Inventory!E:E,0))&lt;&gt;INDIRECT("'Full Inventory'!B"&amp;MATCH(VLOOKUP(A723,'Full Inventory'!F:F,1,0),'Full Inventory'!F:F,0))),"X","_"),"_")</f>
        <v>_</v>
      </c>
      <c r="K723" t="str">
        <f t="shared" ca="1" si="34"/>
        <v>__X_</v>
      </c>
      <c r="L723" t="str">
        <f t="shared" ca="1" si="35"/>
        <v/>
      </c>
      <c r="M723" t="str">
        <f>IFERROR(INDEX(Inventory!A:A,MATCH(Scan!A723,Inventory!E:E,0)),"")</f>
        <v/>
      </c>
    </row>
    <row r="724" spans="2:13" x14ac:dyDescent="0.25">
      <c r="B724" t="str">
        <f>IF(IFERROR(VLOOKUP(TRIM(A724),Inventory!E:E,1,0),0)=0,"X","_")</f>
        <v>_</v>
      </c>
      <c r="C724" t="str">
        <f>IF(IFERROR(VLOOKUP(TRIM(A724),'Full Inventory'!F:F,1,0),0)=0,"X","_")</f>
        <v>_</v>
      </c>
      <c r="D724" t="str">
        <f t="shared" si="33"/>
        <v>X</v>
      </c>
      <c r="E724" t="str">
        <f ca="1">IFERROR(IF(AND(B724&amp;C724&amp;D724="___",INDIRECT("Inventory!A"&amp;MATCH(VLOOKUP(A724,Inventory!E:E,1,0),Inventory!E:E,0))&lt;&gt;INDIRECT("'Full Inventory'!B"&amp;MATCH(VLOOKUP(A724,'Full Inventory'!F:F,1,0),'Full Inventory'!F:F,0))),"X","_"),"_")</f>
        <v>_</v>
      </c>
      <c r="K724" t="str">
        <f t="shared" ca="1" si="34"/>
        <v>__X_</v>
      </c>
      <c r="L724" t="str">
        <f t="shared" ca="1" si="35"/>
        <v/>
      </c>
      <c r="M724" t="str">
        <f>IFERROR(INDEX(Inventory!A:A,MATCH(Scan!A724,Inventory!E:E,0)),"")</f>
        <v/>
      </c>
    </row>
    <row r="725" spans="2:13" x14ac:dyDescent="0.25">
      <c r="B725" t="str">
        <f>IF(IFERROR(VLOOKUP(TRIM(A725),Inventory!E:E,1,0),0)=0,"X","_")</f>
        <v>_</v>
      </c>
      <c r="C725" t="str">
        <f>IF(IFERROR(VLOOKUP(TRIM(A725),'Full Inventory'!F:F,1,0),0)=0,"X","_")</f>
        <v>_</v>
      </c>
      <c r="D725" t="str">
        <f t="shared" si="33"/>
        <v>X</v>
      </c>
      <c r="E725" t="str">
        <f ca="1">IFERROR(IF(AND(B725&amp;C725&amp;D725="___",INDIRECT("Inventory!A"&amp;MATCH(VLOOKUP(A725,Inventory!E:E,1,0),Inventory!E:E,0))&lt;&gt;INDIRECT("'Full Inventory'!B"&amp;MATCH(VLOOKUP(A725,'Full Inventory'!F:F,1,0),'Full Inventory'!F:F,0))),"X","_"),"_")</f>
        <v>_</v>
      </c>
      <c r="K725" t="str">
        <f t="shared" ca="1" si="34"/>
        <v>__X_</v>
      </c>
      <c r="L725" t="str">
        <f t="shared" ca="1" si="35"/>
        <v/>
      </c>
      <c r="M725" t="str">
        <f>IFERROR(INDEX(Inventory!A:A,MATCH(Scan!A725,Inventory!E:E,0)),"")</f>
        <v/>
      </c>
    </row>
    <row r="726" spans="2:13" x14ac:dyDescent="0.25">
      <c r="B726" t="str">
        <f>IF(IFERROR(VLOOKUP(TRIM(A726),Inventory!E:E,1,0),0)=0,"X","_")</f>
        <v>_</v>
      </c>
      <c r="C726" t="str">
        <f>IF(IFERROR(VLOOKUP(TRIM(A726),'Full Inventory'!F:F,1,0),0)=0,"X","_")</f>
        <v>_</v>
      </c>
      <c r="D726" t="str">
        <f t="shared" si="33"/>
        <v>X</v>
      </c>
      <c r="E726" t="str">
        <f ca="1">IFERROR(IF(AND(B726&amp;C726&amp;D726="___",INDIRECT("Inventory!A"&amp;MATCH(VLOOKUP(A726,Inventory!E:E,1,0),Inventory!E:E,0))&lt;&gt;INDIRECT("'Full Inventory'!B"&amp;MATCH(VLOOKUP(A726,'Full Inventory'!F:F,1,0),'Full Inventory'!F:F,0))),"X","_"),"_")</f>
        <v>_</v>
      </c>
      <c r="K726" t="str">
        <f t="shared" ca="1" si="34"/>
        <v>__X_</v>
      </c>
      <c r="L726" t="str">
        <f t="shared" ca="1" si="35"/>
        <v/>
      </c>
      <c r="M726" t="str">
        <f>IFERROR(INDEX(Inventory!A:A,MATCH(Scan!A726,Inventory!E:E,0)),"")</f>
        <v/>
      </c>
    </row>
    <row r="727" spans="2:13" x14ac:dyDescent="0.25">
      <c r="B727" t="str">
        <f>IF(IFERROR(VLOOKUP(TRIM(A727),Inventory!E:E,1,0),0)=0,"X","_")</f>
        <v>_</v>
      </c>
      <c r="C727" t="str">
        <f>IF(IFERROR(VLOOKUP(TRIM(A727),'Full Inventory'!F:F,1,0),0)=0,"X","_")</f>
        <v>_</v>
      </c>
      <c r="D727" t="str">
        <f t="shared" si="33"/>
        <v>X</v>
      </c>
      <c r="E727" t="str">
        <f ca="1">IFERROR(IF(AND(B727&amp;C727&amp;D727="___",INDIRECT("Inventory!A"&amp;MATCH(VLOOKUP(A727,Inventory!E:E,1,0),Inventory!E:E,0))&lt;&gt;INDIRECT("'Full Inventory'!B"&amp;MATCH(VLOOKUP(A727,'Full Inventory'!F:F,1,0),'Full Inventory'!F:F,0))),"X","_"),"_")</f>
        <v>_</v>
      </c>
      <c r="K727" t="str">
        <f t="shared" ca="1" si="34"/>
        <v>__X_</v>
      </c>
      <c r="L727" t="str">
        <f t="shared" ca="1" si="35"/>
        <v/>
      </c>
      <c r="M727" t="str">
        <f>IFERROR(INDEX(Inventory!A:A,MATCH(Scan!A727,Inventory!E:E,0)),"")</f>
        <v/>
      </c>
    </row>
    <row r="728" spans="2:13" x14ac:dyDescent="0.25">
      <c r="B728" t="str">
        <f>IF(IFERROR(VLOOKUP(TRIM(A728),Inventory!E:E,1,0),0)=0,"X","_")</f>
        <v>_</v>
      </c>
      <c r="C728" t="str">
        <f>IF(IFERROR(VLOOKUP(TRIM(A728),'Full Inventory'!F:F,1,0),0)=0,"X","_")</f>
        <v>_</v>
      </c>
      <c r="D728" t="str">
        <f t="shared" si="33"/>
        <v>X</v>
      </c>
      <c r="E728" t="str">
        <f ca="1">IFERROR(IF(AND(B728&amp;C728&amp;D728="___",INDIRECT("Inventory!A"&amp;MATCH(VLOOKUP(A728,Inventory!E:E,1,0),Inventory!E:E,0))&lt;&gt;INDIRECT("'Full Inventory'!B"&amp;MATCH(VLOOKUP(A728,'Full Inventory'!F:F,1,0),'Full Inventory'!F:F,0))),"X","_"),"_")</f>
        <v>_</v>
      </c>
      <c r="K728" t="str">
        <f t="shared" ca="1" si="34"/>
        <v>__X_</v>
      </c>
      <c r="L728" t="str">
        <f t="shared" ca="1" si="35"/>
        <v/>
      </c>
      <c r="M728" t="str">
        <f>IFERROR(INDEX(Inventory!A:A,MATCH(Scan!A728,Inventory!E:E,0)),"")</f>
        <v/>
      </c>
    </row>
    <row r="729" spans="2:13" x14ac:dyDescent="0.25">
      <c r="B729" t="str">
        <f>IF(IFERROR(VLOOKUP(TRIM(A729),Inventory!E:E,1,0),0)=0,"X","_")</f>
        <v>_</v>
      </c>
      <c r="C729" t="str">
        <f>IF(IFERROR(VLOOKUP(TRIM(A729),'Full Inventory'!F:F,1,0),0)=0,"X","_")</f>
        <v>_</v>
      </c>
      <c r="D729" t="str">
        <f t="shared" si="33"/>
        <v>X</v>
      </c>
      <c r="E729" t="str">
        <f ca="1">IFERROR(IF(AND(B729&amp;C729&amp;D729="___",INDIRECT("Inventory!A"&amp;MATCH(VLOOKUP(A729,Inventory!E:E,1,0),Inventory!E:E,0))&lt;&gt;INDIRECT("'Full Inventory'!B"&amp;MATCH(VLOOKUP(A729,'Full Inventory'!F:F,1,0),'Full Inventory'!F:F,0))),"X","_"),"_")</f>
        <v>_</v>
      </c>
      <c r="K729" t="str">
        <f t="shared" ca="1" si="34"/>
        <v>__X_</v>
      </c>
      <c r="L729" t="str">
        <f t="shared" ca="1" si="35"/>
        <v/>
      </c>
      <c r="M729" t="str">
        <f>IFERROR(INDEX(Inventory!A:A,MATCH(Scan!A729,Inventory!E:E,0)),"")</f>
        <v/>
      </c>
    </row>
    <row r="730" spans="2:13" x14ac:dyDescent="0.25">
      <c r="B730" t="str">
        <f>IF(IFERROR(VLOOKUP(TRIM(A730),Inventory!E:E,1,0),0)=0,"X","_")</f>
        <v>_</v>
      </c>
      <c r="C730" t="str">
        <f>IF(IFERROR(VLOOKUP(TRIM(A730),'Full Inventory'!F:F,1,0),0)=0,"X","_")</f>
        <v>_</v>
      </c>
      <c r="D730" t="str">
        <f t="shared" si="33"/>
        <v>X</v>
      </c>
      <c r="E730" t="str">
        <f ca="1">IFERROR(IF(AND(B730&amp;C730&amp;D730="___",INDIRECT("Inventory!A"&amp;MATCH(VLOOKUP(A730,Inventory!E:E,1,0),Inventory!E:E,0))&lt;&gt;INDIRECT("'Full Inventory'!B"&amp;MATCH(VLOOKUP(A730,'Full Inventory'!F:F,1,0),'Full Inventory'!F:F,0))),"X","_"),"_")</f>
        <v>_</v>
      </c>
      <c r="K730" t="str">
        <f t="shared" ca="1" si="34"/>
        <v>__X_</v>
      </c>
      <c r="L730" t="str">
        <f t="shared" ca="1" si="35"/>
        <v/>
      </c>
      <c r="M730" t="str">
        <f>IFERROR(INDEX(Inventory!A:A,MATCH(Scan!A730,Inventory!E:E,0)),"")</f>
        <v/>
      </c>
    </row>
    <row r="731" spans="2:13" x14ac:dyDescent="0.25">
      <c r="B731" t="str">
        <f>IF(IFERROR(VLOOKUP(TRIM(A731),Inventory!E:E,1,0),0)=0,"X","_")</f>
        <v>_</v>
      </c>
      <c r="C731" t="str">
        <f>IF(IFERROR(VLOOKUP(TRIM(A731),'Full Inventory'!F:F,1,0),0)=0,"X","_")</f>
        <v>_</v>
      </c>
      <c r="D731" t="str">
        <f t="shared" si="33"/>
        <v>X</v>
      </c>
      <c r="E731" t="str">
        <f ca="1">IFERROR(IF(AND(B731&amp;C731&amp;D731="___",INDIRECT("Inventory!A"&amp;MATCH(VLOOKUP(A731,Inventory!E:E,1,0),Inventory!E:E,0))&lt;&gt;INDIRECT("'Full Inventory'!B"&amp;MATCH(VLOOKUP(A731,'Full Inventory'!F:F,1,0),'Full Inventory'!F:F,0))),"X","_"),"_")</f>
        <v>_</v>
      </c>
      <c r="K731" t="str">
        <f t="shared" ca="1" si="34"/>
        <v>__X_</v>
      </c>
      <c r="L731" t="str">
        <f t="shared" ca="1" si="35"/>
        <v/>
      </c>
      <c r="M731" t="str">
        <f>IFERROR(INDEX(Inventory!A:A,MATCH(Scan!A731,Inventory!E:E,0)),"")</f>
        <v/>
      </c>
    </row>
    <row r="732" spans="2:13" x14ac:dyDescent="0.25">
      <c r="B732" t="str">
        <f>IF(IFERROR(VLOOKUP(TRIM(A732),Inventory!E:E,1,0),0)=0,"X","_")</f>
        <v>_</v>
      </c>
      <c r="C732" t="str">
        <f>IF(IFERROR(VLOOKUP(TRIM(A732),'Full Inventory'!F:F,1,0),0)=0,"X","_")</f>
        <v>_</v>
      </c>
      <c r="D732" t="str">
        <f t="shared" si="33"/>
        <v>X</v>
      </c>
      <c r="E732" t="str">
        <f ca="1">IFERROR(IF(AND(B732&amp;C732&amp;D732="___",INDIRECT("Inventory!A"&amp;MATCH(VLOOKUP(A732,Inventory!E:E,1,0),Inventory!E:E,0))&lt;&gt;INDIRECT("'Full Inventory'!B"&amp;MATCH(VLOOKUP(A732,'Full Inventory'!F:F,1,0),'Full Inventory'!F:F,0))),"X","_"),"_")</f>
        <v>_</v>
      </c>
      <c r="K732" t="str">
        <f t="shared" ca="1" si="34"/>
        <v>__X_</v>
      </c>
      <c r="L732" t="str">
        <f t="shared" ca="1" si="35"/>
        <v/>
      </c>
      <c r="M732" t="str">
        <f>IFERROR(INDEX(Inventory!A:A,MATCH(Scan!A732,Inventory!E:E,0)),"")</f>
        <v/>
      </c>
    </row>
    <row r="733" spans="2:13" x14ac:dyDescent="0.25">
      <c r="B733" t="str">
        <f>IF(IFERROR(VLOOKUP(TRIM(A733),Inventory!E:E,1,0),0)=0,"X","_")</f>
        <v>_</v>
      </c>
      <c r="C733" t="str">
        <f>IF(IFERROR(VLOOKUP(TRIM(A733),'Full Inventory'!F:F,1,0),0)=0,"X","_")</f>
        <v>_</v>
      </c>
      <c r="D733" t="str">
        <f t="shared" si="33"/>
        <v>X</v>
      </c>
      <c r="E733" t="str">
        <f ca="1">IFERROR(IF(AND(B733&amp;C733&amp;D733="___",INDIRECT("Inventory!A"&amp;MATCH(VLOOKUP(A733,Inventory!E:E,1,0),Inventory!E:E,0))&lt;&gt;INDIRECT("'Full Inventory'!B"&amp;MATCH(VLOOKUP(A733,'Full Inventory'!F:F,1,0),'Full Inventory'!F:F,0))),"X","_"),"_")</f>
        <v>_</v>
      </c>
      <c r="K733" t="str">
        <f t="shared" ca="1" si="34"/>
        <v>__X_</v>
      </c>
      <c r="L733" t="str">
        <f t="shared" ca="1" si="35"/>
        <v/>
      </c>
      <c r="M733" t="str">
        <f>IFERROR(INDEX(Inventory!A:A,MATCH(Scan!A733,Inventory!E:E,0)),"")</f>
        <v/>
      </c>
    </row>
    <row r="734" spans="2:13" x14ac:dyDescent="0.25">
      <c r="B734" t="str">
        <f>IF(IFERROR(VLOOKUP(TRIM(A734),Inventory!E:E,1,0),0)=0,"X","_")</f>
        <v>_</v>
      </c>
      <c r="C734" t="str">
        <f>IF(IFERROR(VLOOKUP(TRIM(A734),'Full Inventory'!F:F,1,0),0)=0,"X","_")</f>
        <v>_</v>
      </c>
      <c r="D734" t="str">
        <f t="shared" si="33"/>
        <v>X</v>
      </c>
      <c r="E734" t="str">
        <f ca="1">IFERROR(IF(AND(B734&amp;C734&amp;D734="___",INDIRECT("Inventory!A"&amp;MATCH(VLOOKUP(A734,Inventory!E:E,1,0),Inventory!E:E,0))&lt;&gt;INDIRECT("'Full Inventory'!B"&amp;MATCH(VLOOKUP(A734,'Full Inventory'!F:F,1,0),'Full Inventory'!F:F,0))),"X","_"),"_")</f>
        <v>_</v>
      </c>
      <c r="K734" t="str">
        <f t="shared" ca="1" si="34"/>
        <v>__X_</v>
      </c>
      <c r="L734" t="str">
        <f t="shared" ca="1" si="35"/>
        <v/>
      </c>
      <c r="M734" t="str">
        <f>IFERROR(INDEX(Inventory!A:A,MATCH(Scan!A734,Inventory!E:E,0)),"")</f>
        <v/>
      </c>
    </row>
    <row r="735" spans="2:13" x14ac:dyDescent="0.25">
      <c r="B735" t="str">
        <f>IF(IFERROR(VLOOKUP(TRIM(A735),Inventory!E:E,1,0),0)=0,"X","_")</f>
        <v>_</v>
      </c>
      <c r="C735" t="str">
        <f>IF(IFERROR(VLOOKUP(TRIM(A735),'Full Inventory'!F:F,1,0),0)=0,"X","_")</f>
        <v>_</v>
      </c>
      <c r="D735" t="str">
        <f t="shared" si="33"/>
        <v>X</v>
      </c>
      <c r="E735" t="str">
        <f ca="1">IFERROR(IF(AND(B735&amp;C735&amp;D735="___",INDIRECT("Inventory!A"&amp;MATCH(VLOOKUP(A735,Inventory!E:E,1,0),Inventory!E:E,0))&lt;&gt;INDIRECT("'Full Inventory'!B"&amp;MATCH(VLOOKUP(A735,'Full Inventory'!F:F,1,0),'Full Inventory'!F:F,0))),"X","_"),"_")</f>
        <v>_</v>
      </c>
      <c r="K735" t="str">
        <f t="shared" ca="1" si="34"/>
        <v>__X_</v>
      </c>
      <c r="L735" t="str">
        <f t="shared" ca="1" si="35"/>
        <v/>
      </c>
      <c r="M735" t="str">
        <f>IFERROR(INDEX(Inventory!A:A,MATCH(Scan!A735,Inventory!E:E,0)),"")</f>
        <v/>
      </c>
    </row>
    <row r="736" spans="2:13" x14ac:dyDescent="0.25">
      <c r="B736" t="str">
        <f>IF(IFERROR(VLOOKUP(TRIM(A736),Inventory!E:E,1,0),0)=0,"X","_")</f>
        <v>_</v>
      </c>
      <c r="C736" t="str">
        <f>IF(IFERROR(VLOOKUP(TRIM(A736),'Full Inventory'!F:F,1,0),0)=0,"X","_")</f>
        <v>_</v>
      </c>
      <c r="D736" t="str">
        <f t="shared" si="33"/>
        <v>X</v>
      </c>
      <c r="E736" t="str">
        <f ca="1">IFERROR(IF(AND(B736&amp;C736&amp;D736="___",INDIRECT("Inventory!A"&amp;MATCH(VLOOKUP(A736,Inventory!E:E,1,0),Inventory!E:E,0))&lt;&gt;INDIRECT("'Full Inventory'!B"&amp;MATCH(VLOOKUP(A736,'Full Inventory'!F:F,1,0),'Full Inventory'!F:F,0))),"X","_"),"_")</f>
        <v>_</v>
      </c>
      <c r="K736" t="str">
        <f t="shared" ca="1" si="34"/>
        <v>__X_</v>
      </c>
      <c r="L736" t="str">
        <f t="shared" ca="1" si="35"/>
        <v/>
      </c>
      <c r="M736" t="str">
        <f>IFERROR(INDEX(Inventory!A:A,MATCH(Scan!A736,Inventory!E:E,0)),"")</f>
        <v/>
      </c>
    </row>
    <row r="737" spans="2:13" x14ac:dyDescent="0.25">
      <c r="B737" t="str">
        <f>IF(IFERROR(VLOOKUP(TRIM(A737),Inventory!E:E,1,0),0)=0,"X","_")</f>
        <v>_</v>
      </c>
      <c r="C737" t="str">
        <f>IF(IFERROR(VLOOKUP(TRIM(A737),'Full Inventory'!F:F,1,0),0)=0,"X","_")</f>
        <v>_</v>
      </c>
      <c r="D737" t="str">
        <f t="shared" si="33"/>
        <v>X</v>
      </c>
      <c r="E737" t="str">
        <f ca="1">IFERROR(IF(AND(B737&amp;C737&amp;D737="___",INDIRECT("Inventory!A"&amp;MATCH(VLOOKUP(A737,Inventory!E:E,1,0),Inventory!E:E,0))&lt;&gt;INDIRECT("'Full Inventory'!B"&amp;MATCH(VLOOKUP(A737,'Full Inventory'!F:F,1,0),'Full Inventory'!F:F,0))),"X","_"),"_")</f>
        <v>_</v>
      </c>
      <c r="K737" t="str">
        <f t="shared" ca="1" si="34"/>
        <v>__X_</v>
      </c>
      <c r="L737" t="str">
        <f t="shared" ca="1" si="35"/>
        <v/>
      </c>
      <c r="M737" t="str">
        <f>IFERROR(INDEX(Inventory!A:A,MATCH(Scan!A737,Inventory!E:E,0)),"")</f>
        <v/>
      </c>
    </row>
    <row r="738" spans="2:13" x14ac:dyDescent="0.25">
      <c r="B738" t="str">
        <f>IF(IFERROR(VLOOKUP(TRIM(A738),Inventory!E:E,1,0),0)=0,"X","_")</f>
        <v>_</v>
      </c>
      <c r="C738" t="str">
        <f>IF(IFERROR(VLOOKUP(TRIM(A738),'Full Inventory'!F:F,1,0),0)=0,"X","_")</f>
        <v>_</v>
      </c>
      <c r="D738" t="str">
        <f t="shared" si="33"/>
        <v>X</v>
      </c>
      <c r="E738" t="str">
        <f ca="1">IFERROR(IF(AND(B738&amp;C738&amp;D738="___",INDIRECT("Inventory!A"&amp;MATCH(VLOOKUP(A738,Inventory!E:E,1,0),Inventory!E:E,0))&lt;&gt;INDIRECT("'Full Inventory'!B"&amp;MATCH(VLOOKUP(A738,'Full Inventory'!F:F,1,0),'Full Inventory'!F:F,0))),"X","_"),"_")</f>
        <v>_</v>
      </c>
      <c r="K738" t="str">
        <f t="shared" ca="1" si="34"/>
        <v>__X_</v>
      </c>
      <c r="L738" t="str">
        <f t="shared" ca="1" si="35"/>
        <v/>
      </c>
      <c r="M738" t="str">
        <f>IFERROR(INDEX(Inventory!A:A,MATCH(Scan!A738,Inventory!E:E,0)),"")</f>
        <v/>
      </c>
    </row>
    <row r="739" spans="2:13" x14ac:dyDescent="0.25">
      <c r="B739" t="str">
        <f>IF(IFERROR(VLOOKUP(TRIM(A739),Inventory!E:E,1,0),0)=0,"X","_")</f>
        <v>_</v>
      </c>
      <c r="C739" t="str">
        <f>IF(IFERROR(VLOOKUP(TRIM(A739),'Full Inventory'!F:F,1,0),0)=0,"X","_")</f>
        <v>_</v>
      </c>
      <c r="D739" t="str">
        <f t="shared" si="33"/>
        <v>X</v>
      </c>
      <c r="E739" t="str">
        <f ca="1">IFERROR(IF(AND(B739&amp;C739&amp;D739="___",INDIRECT("Inventory!A"&amp;MATCH(VLOOKUP(A739,Inventory!E:E,1,0),Inventory!E:E,0))&lt;&gt;INDIRECT("'Full Inventory'!B"&amp;MATCH(VLOOKUP(A739,'Full Inventory'!F:F,1,0),'Full Inventory'!F:F,0))),"X","_"),"_")</f>
        <v>_</v>
      </c>
      <c r="K739" t="str">
        <f t="shared" ca="1" si="34"/>
        <v>__X_</v>
      </c>
      <c r="L739" t="str">
        <f t="shared" ca="1" si="35"/>
        <v/>
      </c>
      <c r="M739" t="str">
        <f>IFERROR(INDEX(Inventory!A:A,MATCH(Scan!A739,Inventory!E:E,0)),"")</f>
        <v/>
      </c>
    </row>
    <row r="740" spans="2:13" x14ac:dyDescent="0.25">
      <c r="B740" t="str">
        <f>IF(IFERROR(VLOOKUP(TRIM(A740),Inventory!E:E,1,0),0)=0,"X","_")</f>
        <v>_</v>
      </c>
      <c r="C740" t="str">
        <f>IF(IFERROR(VLOOKUP(TRIM(A740),'Full Inventory'!F:F,1,0),0)=0,"X","_")</f>
        <v>_</v>
      </c>
      <c r="D740" t="str">
        <f t="shared" si="33"/>
        <v>X</v>
      </c>
      <c r="E740" t="str">
        <f ca="1">IFERROR(IF(AND(B740&amp;C740&amp;D740="___",INDIRECT("Inventory!A"&amp;MATCH(VLOOKUP(A740,Inventory!E:E,1,0),Inventory!E:E,0))&lt;&gt;INDIRECT("'Full Inventory'!B"&amp;MATCH(VLOOKUP(A740,'Full Inventory'!F:F,1,0),'Full Inventory'!F:F,0))),"X","_"),"_")</f>
        <v>_</v>
      </c>
      <c r="K740" t="str">
        <f t="shared" ca="1" si="34"/>
        <v>__X_</v>
      </c>
      <c r="L740" t="str">
        <f t="shared" ca="1" si="35"/>
        <v/>
      </c>
      <c r="M740" t="str">
        <f>IFERROR(INDEX(Inventory!A:A,MATCH(Scan!A740,Inventory!E:E,0)),"")</f>
        <v/>
      </c>
    </row>
    <row r="741" spans="2:13" x14ac:dyDescent="0.25">
      <c r="B741" t="str">
        <f>IF(IFERROR(VLOOKUP(TRIM(A741),Inventory!E:E,1,0),0)=0,"X","_")</f>
        <v>_</v>
      </c>
      <c r="C741" t="str">
        <f>IF(IFERROR(VLOOKUP(TRIM(A741),'Full Inventory'!F:F,1,0),0)=0,"X","_")</f>
        <v>_</v>
      </c>
      <c r="D741" t="str">
        <f t="shared" si="33"/>
        <v>X</v>
      </c>
      <c r="E741" t="str">
        <f ca="1">IFERROR(IF(AND(B741&amp;C741&amp;D741="___",INDIRECT("Inventory!A"&amp;MATCH(VLOOKUP(A741,Inventory!E:E,1,0),Inventory!E:E,0))&lt;&gt;INDIRECT("'Full Inventory'!B"&amp;MATCH(VLOOKUP(A741,'Full Inventory'!F:F,1,0),'Full Inventory'!F:F,0))),"X","_"),"_")</f>
        <v>_</v>
      </c>
      <c r="K741" t="str">
        <f t="shared" ca="1" si="34"/>
        <v>__X_</v>
      </c>
      <c r="L741" t="str">
        <f t="shared" ca="1" si="35"/>
        <v/>
      </c>
      <c r="M741" t="str">
        <f>IFERROR(INDEX(Inventory!A:A,MATCH(Scan!A741,Inventory!E:E,0)),"")</f>
        <v/>
      </c>
    </row>
    <row r="742" spans="2:13" x14ac:dyDescent="0.25">
      <c r="B742" t="str">
        <f>IF(IFERROR(VLOOKUP(TRIM(A742),Inventory!E:E,1,0),0)=0,"X","_")</f>
        <v>_</v>
      </c>
      <c r="C742" t="str">
        <f>IF(IFERROR(VLOOKUP(TRIM(A742),'Full Inventory'!F:F,1,0),0)=0,"X","_")</f>
        <v>_</v>
      </c>
      <c r="D742" t="str">
        <f t="shared" si="33"/>
        <v>X</v>
      </c>
      <c r="E742" t="str">
        <f ca="1">IFERROR(IF(AND(B742&amp;C742&amp;D742="___",INDIRECT("Inventory!A"&amp;MATCH(VLOOKUP(A742,Inventory!E:E,1,0),Inventory!E:E,0))&lt;&gt;INDIRECT("'Full Inventory'!B"&amp;MATCH(VLOOKUP(A742,'Full Inventory'!F:F,1,0),'Full Inventory'!F:F,0))),"X","_"),"_")</f>
        <v>_</v>
      </c>
      <c r="K742" t="str">
        <f t="shared" ca="1" si="34"/>
        <v>__X_</v>
      </c>
      <c r="L742" t="str">
        <f t="shared" ca="1" si="35"/>
        <v/>
      </c>
      <c r="M742" t="str">
        <f>IFERROR(INDEX(Inventory!A:A,MATCH(Scan!A742,Inventory!E:E,0)),"")</f>
        <v/>
      </c>
    </row>
    <row r="743" spans="2:13" x14ac:dyDescent="0.25">
      <c r="B743" t="str">
        <f>IF(IFERROR(VLOOKUP(TRIM(A743),Inventory!E:E,1,0),0)=0,"X","_")</f>
        <v>_</v>
      </c>
      <c r="C743" t="str">
        <f>IF(IFERROR(VLOOKUP(TRIM(A743),'Full Inventory'!F:F,1,0),0)=0,"X","_")</f>
        <v>_</v>
      </c>
      <c r="D743" t="str">
        <f t="shared" si="33"/>
        <v>X</v>
      </c>
      <c r="E743" t="str">
        <f ca="1">IFERROR(IF(AND(B743&amp;C743&amp;D743="___",INDIRECT("Inventory!A"&amp;MATCH(VLOOKUP(A743,Inventory!E:E,1,0),Inventory!E:E,0))&lt;&gt;INDIRECT("'Full Inventory'!B"&amp;MATCH(VLOOKUP(A743,'Full Inventory'!F:F,1,0),'Full Inventory'!F:F,0))),"X","_"),"_")</f>
        <v>_</v>
      </c>
      <c r="K743" t="str">
        <f t="shared" ca="1" si="34"/>
        <v>__X_</v>
      </c>
      <c r="L743" t="str">
        <f t="shared" ca="1" si="35"/>
        <v/>
      </c>
      <c r="M743" t="str">
        <f>IFERROR(INDEX(Inventory!A:A,MATCH(Scan!A743,Inventory!E:E,0)),"")</f>
        <v/>
      </c>
    </row>
    <row r="744" spans="2:13" x14ac:dyDescent="0.25">
      <c r="B744" t="str">
        <f>IF(IFERROR(VLOOKUP(TRIM(A744),Inventory!E:E,1,0),0)=0,"X","_")</f>
        <v>_</v>
      </c>
      <c r="C744" t="str">
        <f>IF(IFERROR(VLOOKUP(TRIM(A744),'Full Inventory'!F:F,1,0),0)=0,"X","_")</f>
        <v>_</v>
      </c>
      <c r="D744" t="str">
        <f t="shared" si="33"/>
        <v>X</v>
      </c>
      <c r="E744" t="str">
        <f ca="1">IFERROR(IF(AND(B744&amp;C744&amp;D744="___",INDIRECT("Inventory!A"&amp;MATCH(VLOOKUP(A744,Inventory!E:E,1,0),Inventory!E:E,0))&lt;&gt;INDIRECT("'Full Inventory'!B"&amp;MATCH(VLOOKUP(A744,'Full Inventory'!F:F,1,0),'Full Inventory'!F:F,0))),"X","_"),"_")</f>
        <v>_</v>
      </c>
      <c r="K744" t="str">
        <f t="shared" ca="1" si="34"/>
        <v>__X_</v>
      </c>
      <c r="L744" t="str">
        <f t="shared" ca="1" si="35"/>
        <v/>
      </c>
      <c r="M744" t="str">
        <f>IFERROR(INDEX(Inventory!A:A,MATCH(Scan!A744,Inventory!E:E,0)),"")</f>
        <v/>
      </c>
    </row>
    <row r="745" spans="2:13" x14ac:dyDescent="0.25">
      <c r="B745" t="str">
        <f>IF(IFERROR(VLOOKUP(TRIM(A745),Inventory!E:E,1,0),0)=0,"X","_")</f>
        <v>_</v>
      </c>
      <c r="C745" t="str">
        <f>IF(IFERROR(VLOOKUP(TRIM(A745),'Full Inventory'!F:F,1,0),0)=0,"X","_")</f>
        <v>_</v>
      </c>
      <c r="D745" t="str">
        <f t="shared" si="33"/>
        <v>X</v>
      </c>
      <c r="E745" t="str">
        <f ca="1">IFERROR(IF(AND(B745&amp;C745&amp;D745="___",INDIRECT("Inventory!A"&amp;MATCH(VLOOKUP(A745,Inventory!E:E,1,0),Inventory!E:E,0))&lt;&gt;INDIRECT("'Full Inventory'!B"&amp;MATCH(VLOOKUP(A745,'Full Inventory'!F:F,1,0),'Full Inventory'!F:F,0))),"X","_"),"_")</f>
        <v>_</v>
      </c>
      <c r="K745" t="str">
        <f t="shared" ca="1" si="34"/>
        <v>__X_</v>
      </c>
      <c r="L745" t="str">
        <f t="shared" ca="1" si="35"/>
        <v/>
      </c>
      <c r="M745" t="str">
        <f>IFERROR(INDEX(Inventory!A:A,MATCH(Scan!A745,Inventory!E:E,0)),"")</f>
        <v/>
      </c>
    </row>
    <row r="746" spans="2:13" x14ac:dyDescent="0.25">
      <c r="B746" t="str">
        <f>IF(IFERROR(VLOOKUP(TRIM(A746),Inventory!E:E,1,0),0)=0,"X","_")</f>
        <v>_</v>
      </c>
      <c r="C746" t="str">
        <f>IF(IFERROR(VLOOKUP(TRIM(A746),'Full Inventory'!F:F,1,0),0)=0,"X","_")</f>
        <v>_</v>
      </c>
      <c r="D746" t="str">
        <f t="shared" si="33"/>
        <v>X</v>
      </c>
      <c r="E746" t="str">
        <f ca="1">IFERROR(IF(AND(B746&amp;C746&amp;D746="___",INDIRECT("Inventory!A"&amp;MATCH(VLOOKUP(A746,Inventory!E:E,1,0),Inventory!E:E,0))&lt;&gt;INDIRECT("'Full Inventory'!B"&amp;MATCH(VLOOKUP(A746,'Full Inventory'!F:F,1,0),'Full Inventory'!F:F,0))),"X","_"),"_")</f>
        <v>_</v>
      </c>
      <c r="K746" t="str">
        <f t="shared" ca="1" si="34"/>
        <v>__X_</v>
      </c>
      <c r="L746" t="str">
        <f t="shared" ca="1" si="35"/>
        <v/>
      </c>
      <c r="M746" t="str">
        <f>IFERROR(INDEX(Inventory!A:A,MATCH(Scan!A746,Inventory!E:E,0)),"")</f>
        <v/>
      </c>
    </row>
    <row r="747" spans="2:13" x14ac:dyDescent="0.25">
      <c r="B747" t="str">
        <f>IF(IFERROR(VLOOKUP(TRIM(A747),Inventory!E:E,1,0),0)=0,"X","_")</f>
        <v>_</v>
      </c>
      <c r="C747" t="str">
        <f>IF(IFERROR(VLOOKUP(TRIM(A747),'Full Inventory'!F:F,1,0),0)=0,"X","_")</f>
        <v>_</v>
      </c>
      <c r="D747" t="str">
        <f t="shared" si="33"/>
        <v>X</v>
      </c>
      <c r="E747" t="str">
        <f ca="1">IFERROR(IF(AND(B747&amp;C747&amp;D747="___",INDIRECT("Inventory!A"&amp;MATCH(VLOOKUP(A747,Inventory!E:E,1,0),Inventory!E:E,0))&lt;&gt;INDIRECT("'Full Inventory'!B"&amp;MATCH(VLOOKUP(A747,'Full Inventory'!F:F,1,0),'Full Inventory'!F:F,0))),"X","_"),"_")</f>
        <v>_</v>
      </c>
      <c r="K747" t="str">
        <f t="shared" ca="1" si="34"/>
        <v>__X_</v>
      </c>
      <c r="L747" t="str">
        <f t="shared" ca="1" si="35"/>
        <v/>
      </c>
      <c r="M747" t="str">
        <f>IFERROR(INDEX(Inventory!A:A,MATCH(Scan!A747,Inventory!E:E,0)),"")</f>
        <v/>
      </c>
    </row>
    <row r="748" spans="2:13" x14ac:dyDescent="0.25">
      <c r="B748" t="str">
        <f>IF(IFERROR(VLOOKUP(TRIM(A748),Inventory!E:E,1,0),0)=0,"X","_")</f>
        <v>_</v>
      </c>
      <c r="C748" t="str">
        <f>IF(IFERROR(VLOOKUP(TRIM(A748),'Full Inventory'!F:F,1,0),0)=0,"X","_")</f>
        <v>_</v>
      </c>
      <c r="D748" t="str">
        <f t="shared" si="33"/>
        <v>X</v>
      </c>
      <c r="E748" t="str">
        <f ca="1">IFERROR(IF(AND(B748&amp;C748&amp;D748="___",INDIRECT("Inventory!A"&amp;MATCH(VLOOKUP(A748,Inventory!E:E,1,0),Inventory!E:E,0))&lt;&gt;INDIRECT("'Full Inventory'!B"&amp;MATCH(VLOOKUP(A748,'Full Inventory'!F:F,1,0),'Full Inventory'!F:F,0))),"X","_"),"_")</f>
        <v>_</v>
      </c>
      <c r="K748" t="str">
        <f t="shared" ca="1" si="34"/>
        <v>__X_</v>
      </c>
      <c r="L748" t="str">
        <f t="shared" ca="1" si="35"/>
        <v/>
      </c>
      <c r="M748" t="str">
        <f>IFERROR(INDEX(Inventory!A:A,MATCH(Scan!A748,Inventory!E:E,0)),"")</f>
        <v/>
      </c>
    </row>
    <row r="749" spans="2:13" x14ac:dyDescent="0.25">
      <c r="B749" t="str">
        <f>IF(IFERROR(VLOOKUP(TRIM(A749),Inventory!E:E,1,0),0)=0,"X","_")</f>
        <v>_</v>
      </c>
      <c r="C749" t="str">
        <f>IF(IFERROR(VLOOKUP(TRIM(A749),'Full Inventory'!F:F,1,0),0)=0,"X","_")</f>
        <v>_</v>
      </c>
      <c r="D749" t="str">
        <f t="shared" si="33"/>
        <v>X</v>
      </c>
      <c r="E749" t="str">
        <f ca="1">IFERROR(IF(AND(B749&amp;C749&amp;D749="___",INDIRECT("Inventory!A"&amp;MATCH(VLOOKUP(A749,Inventory!E:E,1,0),Inventory!E:E,0))&lt;&gt;INDIRECT("'Full Inventory'!B"&amp;MATCH(VLOOKUP(A749,'Full Inventory'!F:F,1,0),'Full Inventory'!F:F,0))),"X","_"),"_")</f>
        <v>_</v>
      </c>
      <c r="K749" t="str">
        <f t="shared" ca="1" si="34"/>
        <v>__X_</v>
      </c>
      <c r="L749" t="str">
        <f t="shared" ca="1" si="35"/>
        <v/>
      </c>
      <c r="M749" t="str">
        <f>IFERROR(INDEX(Inventory!A:A,MATCH(Scan!A749,Inventory!E:E,0)),"")</f>
        <v/>
      </c>
    </row>
    <row r="750" spans="2:13" x14ac:dyDescent="0.25">
      <c r="B750" t="str">
        <f>IF(IFERROR(VLOOKUP(TRIM(A750),Inventory!E:E,1,0),0)=0,"X","_")</f>
        <v>_</v>
      </c>
      <c r="C750" t="str">
        <f>IF(IFERROR(VLOOKUP(TRIM(A750),'Full Inventory'!F:F,1,0),0)=0,"X","_")</f>
        <v>_</v>
      </c>
      <c r="D750" t="str">
        <f t="shared" si="33"/>
        <v>X</v>
      </c>
      <c r="E750" t="str">
        <f ca="1">IFERROR(IF(AND(B750&amp;C750&amp;D750="___",INDIRECT("Inventory!A"&amp;MATCH(VLOOKUP(A750,Inventory!E:E,1,0),Inventory!E:E,0))&lt;&gt;INDIRECT("'Full Inventory'!B"&amp;MATCH(VLOOKUP(A750,'Full Inventory'!F:F,1,0),'Full Inventory'!F:F,0))),"X","_"),"_")</f>
        <v>_</v>
      </c>
      <c r="K750" t="str">
        <f t="shared" ca="1" si="34"/>
        <v>__X_</v>
      </c>
      <c r="L750" t="str">
        <f t="shared" ca="1" si="35"/>
        <v/>
      </c>
      <c r="M750" t="str">
        <f>IFERROR(INDEX(Inventory!A:A,MATCH(Scan!A750,Inventory!E:E,0)),"")</f>
        <v/>
      </c>
    </row>
    <row r="751" spans="2:13" x14ac:dyDescent="0.25">
      <c r="B751" t="str">
        <f>IF(IFERROR(VLOOKUP(TRIM(A751),Inventory!E:E,1,0),0)=0,"X","_")</f>
        <v>_</v>
      </c>
      <c r="C751" t="str">
        <f>IF(IFERROR(VLOOKUP(TRIM(A751),'Full Inventory'!F:F,1,0),0)=0,"X","_")</f>
        <v>_</v>
      </c>
      <c r="D751" t="str">
        <f t="shared" si="33"/>
        <v>X</v>
      </c>
      <c r="E751" t="str">
        <f ca="1">IFERROR(IF(AND(B751&amp;C751&amp;D751="___",INDIRECT("Inventory!A"&amp;MATCH(VLOOKUP(A751,Inventory!E:E,1,0),Inventory!E:E,0))&lt;&gt;INDIRECT("'Full Inventory'!B"&amp;MATCH(VLOOKUP(A751,'Full Inventory'!F:F,1,0),'Full Inventory'!F:F,0))),"X","_"),"_")</f>
        <v>_</v>
      </c>
      <c r="K751" t="str">
        <f t="shared" ca="1" si="34"/>
        <v>__X_</v>
      </c>
      <c r="L751" t="str">
        <f t="shared" ca="1" si="35"/>
        <v/>
      </c>
      <c r="M751" t="str">
        <f>IFERROR(INDEX(Inventory!A:A,MATCH(Scan!A751,Inventory!E:E,0)),"")</f>
        <v/>
      </c>
    </row>
    <row r="752" spans="2:13" x14ac:dyDescent="0.25">
      <c r="B752" t="str">
        <f>IF(IFERROR(VLOOKUP(TRIM(A752),Inventory!E:E,1,0),0)=0,"X","_")</f>
        <v>_</v>
      </c>
      <c r="C752" t="str">
        <f>IF(IFERROR(VLOOKUP(TRIM(A752),'Full Inventory'!F:F,1,0),0)=0,"X","_")</f>
        <v>_</v>
      </c>
      <c r="D752" t="str">
        <f t="shared" si="33"/>
        <v>X</v>
      </c>
      <c r="E752" t="str">
        <f ca="1">IFERROR(IF(AND(B752&amp;C752&amp;D752="___",INDIRECT("Inventory!A"&amp;MATCH(VLOOKUP(A752,Inventory!E:E,1,0),Inventory!E:E,0))&lt;&gt;INDIRECT("'Full Inventory'!B"&amp;MATCH(VLOOKUP(A752,'Full Inventory'!F:F,1,0),'Full Inventory'!F:F,0))),"X","_"),"_")</f>
        <v>_</v>
      </c>
      <c r="K752" t="str">
        <f t="shared" ca="1" si="34"/>
        <v>__X_</v>
      </c>
      <c r="L752" t="str">
        <f t="shared" ca="1" si="35"/>
        <v/>
      </c>
      <c r="M752" t="str">
        <f>IFERROR(INDEX(Inventory!A:A,MATCH(Scan!A752,Inventory!E:E,0)),"")</f>
        <v/>
      </c>
    </row>
    <row r="753" spans="2:13" x14ac:dyDescent="0.25">
      <c r="B753" t="str">
        <f>IF(IFERROR(VLOOKUP(TRIM(A753),Inventory!E:E,1,0),0)=0,"X","_")</f>
        <v>_</v>
      </c>
      <c r="C753" t="str">
        <f>IF(IFERROR(VLOOKUP(TRIM(A753),'Full Inventory'!F:F,1,0),0)=0,"X","_")</f>
        <v>_</v>
      </c>
      <c r="D753" t="str">
        <f t="shared" si="33"/>
        <v>X</v>
      </c>
      <c r="E753" t="str">
        <f ca="1">IFERROR(IF(AND(B753&amp;C753&amp;D753="___",INDIRECT("Inventory!A"&amp;MATCH(VLOOKUP(A753,Inventory!E:E,1,0),Inventory!E:E,0))&lt;&gt;INDIRECT("'Full Inventory'!B"&amp;MATCH(VLOOKUP(A753,'Full Inventory'!F:F,1,0),'Full Inventory'!F:F,0))),"X","_"),"_")</f>
        <v>_</v>
      </c>
      <c r="K753" t="str">
        <f t="shared" ca="1" si="34"/>
        <v>__X_</v>
      </c>
      <c r="L753" t="str">
        <f t="shared" ca="1" si="35"/>
        <v/>
      </c>
      <c r="M753" t="str">
        <f>IFERROR(INDEX(Inventory!A:A,MATCH(Scan!A753,Inventory!E:E,0)),"")</f>
        <v/>
      </c>
    </row>
    <row r="754" spans="2:13" x14ac:dyDescent="0.25">
      <c r="B754" t="str">
        <f>IF(IFERROR(VLOOKUP(TRIM(A754),Inventory!E:E,1,0),0)=0,"X","_")</f>
        <v>_</v>
      </c>
      <c r="C754" t="str">
        <f>IF(IFERROR(VLOOKUP(TRIM(A754),'Full Inventory'!F:F,1,0),0)=0,"X","_")</f>
        <v>_</v>
      </c>
      <c r="D754" t="str">
        <f t="shared" si="33"/>
        <v>X</v>
      </c>
      <c r="E754" t="str">
        <f ca="1">IFERROR(IF(AND(B754&amp;C754&amp;D754="___",INDIRECT("Inventory!A"&amp;MATCH(VLOOKUP(A754,Inventory!E:E,1,0),Inventory!E:E,0))&lt;&gt;INDIRECT("'Full Inventory'!B"&amp;MATCH(VLOOKUP(A754,'Full Inventory'!F:F,1,0),'Full Inventory'!F:F,0))),"X","_"),"_")</f>
        <v>_</v>
      </c>
      <c r="K754" t="str">
        <f t="shared" ca="1" si="34"/>
        <v>__X_</v>
      </c>
      <c r="L754" t="str">
        <f t="shared" ca="1" si="35"/>
        <v/>
      </c>
      <c r="M754" t="str">
        <f>IFERROR(INDEX(Inventory!A:A,MATCH(Scan!A754,Inventory!E:E,0)),"")</f>
        <v/>
      </c>
    </row>
    <row r="755" spans="2:13" x14ac:dyDescent="0.25">
      <c r="B755" t="str">
        <f>IF(IFERROR(VLOOKUP(TRIM(A755),Inventory!E:E,1,0),0)=0,"X","_")</f>
        <v>_</v>
      </c>
      <c r="C755" t="str">
        <f>IF(IFERROR(VLOOKUP(TRIM(A755),'Full Inventory'!F:F,1,0),0)=0,"X","_")</f>
        <v>_</v>
      </c>
      <c r="D755" t="str">
        <f t="shared" si="33"/>
        <v>X</v>
      </c>
      <c r="E755" t="str">
        <f ca="1">IFERROR(IF(AND(B755&amp;C755&amp;D755="___",INDIRECT("Inventory!A"&amp;MATCH(VLOOKUP(A755,Inventory!E:E,1,0),Inventory!E:E,0))&lt;&gt;INDIRECT("'Full Inventory'!B"&amp;MATCH(VLOOKUP(A755,'Full Inventory'!F:F,1,0),'Full Inventory'!F:F,0))),"X","_"),"_")</f>
        <v>_</v>
      </c>
      <c r="K755" t="str">
        <f t="shared" ca="1" si="34"/>
        <v>__X_</v>
      </c>
      <c r="L755" t="str">
        <f t="shared" ca="1" si="35"/>
        <v/>
      </c>
      <c r="M755" t="str">
        <f>IFERROR(INDEX(Inventory!A:A,MATCH(Scan!A755,Inventory!E:E,0)),"")</f>
        <v/>
      </c>
    </row>
    <row r="756" spans="2:13" x14ac:dyDescent="0.25">
      <c r="B756" t="str">
        <f>IF(IFERROR(VLOOKUP(TRIM(A756),Inventory!E:E,1,0),0)=0,"X","_")</f>
        <v>_</v>
      </c>
      <c r="C756" t="str">
        <f>IF(IFERROR(VLOOKUP(TRIM(A756),'Full Inventory'!F:F,1,0),0)=0,"X","_")</f>
        <v>_</v>
      </c>
      <c r="D756" t="str">
        <f t="shared" si="33"/>
        <v>X</v>
      </c>
      <c r="E756" t="str">
        <f ca="1">IFERROR(IF(AND(B756&amp;C756&amp;D756="___",INDIRECT("Inventory!A"&amp;MATCH(VLOOKUP(A756,Inventory!E:E,1,0),Inventory!E:E,0))&lt;&gt;INDIRECT("'Full Inventory'!B"&amp;MATCH(VLOOKUP(A756,'Full Inventory'!F:F,1,0),'Full Inventory'!F:F,0))),"X","_"),"_")</f>
        <v>_</v>
      </c>
      <c r="K756" t="str">
        <f t="shared" ca="1" si="34"/>
        <v>__X_</v>
      </c>
      <c r="L756" t="str">
        <f t="shared" ca="1" si="35"/>
        <v/>
      </c>
      <c r="M756" t="str">
        <f>IFERROR(INDEX(Inventory!A:A,MATCH(Scan!A756,Inventory!E:E,0)),"")</f>
        <v/>
      </c>
    </row>
    <row r="757" spans="2:13" x14ac:dyDescent="0.25">
      <c r="B757" t="str">
        <f>IF(IFERROR(VLOOKUP(TRIM(A757),Inventory!E:E,1,0),0)=0,"X","_")</f>
        <v>_</v>
      </c>
      <c r="C757" t="str">
        <f>IF(IFERROR(VLOOKUP(TRIM(A757),'Full Inventory'!F:F,1,0),0)=0,"X","_")</f>
        <v>_</v>
      </c>
      <c r="D757" t="str">
        <f t="shared" si="33"/>
        <v>X</v>
      </c>
      <c r="E757" t="str">
        <f ca="1">IFERROR(IF(AND(B757&amp;C757&amp;D757="___",INDIRECT("Inventory!A"&amp;MATCH(VLOOKUP(A757,Inventory!E:E,1,0),Inventory!E:E,0))&lt;&gt;INDIRECT("'Full Inventory'!B"&amp;MATCH(VLOOKUP(A757,'Full Inventory'!F:F,1,0),'Full Inventory'!F:F,0))),"X","_"),"_")</f>
        <v>_</v>
      </c>
      <c r="K757" t="str">
        <f t="shared" ca="1" si="34"/>
        <v>__X_</v>
      </c>
      <c r="L757" t="str">
        <f t="shared" ca="1" si="35"/>
        <v/>
      </c>
      <c r="M757" t="str">
        <f>IFERROR(INDEX(Inventory!A:A,MATCH(Scan!A757,Inventory!E:E,0)),"")</f>
        <v/>
      </c>
    </row>
    <row r="758" spans="2:13" x14ac:dyDescent="0.25">
      <c r="B758" t="str">
        <f>IF(IFERROR(VLOOKUP(TRIM(A758),Inventory!E:E,1,0),0)=0,"X","_")</f>
        <v>_</v>
      </c>
      <c r="C758" t="str">
        <f>IF(IFERROR(VLOOKUP(TRIM(A758),'Full Inventory'!F:F,1,0),0)=0,"X","_")</f>
        <v>_</v>
      </c>
      <c r="D758" t="str">
        <f t="shared" si="33"/>
        <v>X</v>
      </c>
      <c r="E758" t="str">
        <f ca="1">IFERROR(IF(AND(B758&amp;C758&amp;D758="___",INDIRECT("Inventory!A"&amp;MATCH(VLOOKUP(A758,Inventory!E:E,1,0),Inventory!E:E,0))&lt;&gt;INDIRECT("'Full Inventory'!B"&amp;MATCH(VLOOKUP(A758,'Full Inventory'!F:F,1,0),'Full Inventory'!F:F,0))),"X","_"),"_")</f>
        <v>_</v>
      </c>
      <c r="K758" t="str">
        <f t="shared" ca="1" si="34"/>
        <v>__X_</v>
      </c>
      <c r="L758" t="str">
        <f t="shared" ca="1" si="35"/>
        <v/>
      </c>
      <c r="M758" t="str">
        <f>IFERROR(INDEX(Inventory!A:A,MATCH(Scan!A758,Inventory!E:E,0)),"")</f>
        <v/>
      </c>
    </row>
    <row r="759" spans="2:13" x14ac:dyDescent="0.25">
      <c r="B759" t="str">
        <f>IF(IFERROR(VLOOKUP(TRIM(A759),Inventory!E:E,1,0),0)=0,"X","_")</f>
        <v>_</v>
      </c>
      <c r="C759" t="str">
        <f>IF(IFERROR(VLOOKUP(TRIM(A759),'Full Inventory'!F:F,1,0),0)=0,"X","_")</f>
        <v>_</v>
      </c>
      <c r="D759" t="str">
        <f t="shared" si="33"/>
        <v>X</v>
      </c>
      <c r="E759" t="str">
        <f ca="1">IFERROR(IF(AND(B759&amp;C759&amp;D759="___",INDIRECT("Inventory!A"&amp;MATCH(VLOOKUP(A759,Inventory!E:E,1,0),Inventory!E:E,0))&lt;&gt;INDIRECT("'Full Inventory'!B"&amp;MATCH(VLOOKUP(A759,'Full Inventory'!F:F,1,0),'Full Inventory'!F:F,0))),"X","_"),"_")</f>
        <v>_</v>
      </c>
      <c r="K759" t="str">
        <f t="shared" ca="1" si="34"/>
        <v>__X_</v>
      </c>
      <c r="L759" t="str">
        <f t="shared" ca="1" si="35"/>
        <v/>
      </c>
      <c r="M759" t="str">
        <f>IFERROR(INDEX(Inventory!A:A,MATCH(Scan!A759,Inventory!E:E,0)),"")</f>
        <v/>
      </c>
    </row>
    <row r="760" spans="2:13" x14ac:dyDescent="0.25">
      <c r="B760" t="str">
        <f>IF(IFERROR(VLOOKUP(TRIM(A760),Inventory!E:E,1,0),0)=0,"X","_")</f>
        <v>_</v>
      </c>
      <c r="C760" t="str">
        <f>IF(IFERROR(VLOOKUP(TRIM(A760),'Full Inventory'!F:F,1,0),0)=0,"X","_")</f>
        <v>_</v>
      </c>
      <c r="D760" t="str">
        <f t="shared" si="33"/>
        <v>X</v>
      </c>
      <c r="E760" t="str">
        <f ca="1">IFERROR(IF(AND(B760&amp;C760&amp;D760="___",INDIRECT("Inventory!A"&amp;MATCH(VLOOKUP(A760,Inventory!E:E,1,0),Inventory!E:E,0))&lt;&gt;INDIRECT("'Full Inventory'!B"&amp;MATCH(VLOOKUP(A760,'Full Inventory'!F:F,1,0),'Full Inventory'!F:F,0))),"X","_"),"_")</f>
        <v>_</v>
      </c>
      <c r="K760" t="str">
        <f t="shared" ca="1" si="34"/>
        <v>__X_</v>
      </c>
      <c r="L760" t="str">
        <f t="shared" ca="1" si="35"/>
        <v/>
      </c>
      <c r="M760" t="str">
        <f>IFERROR(INDEX(Inventory!A:A,MATCH(Scan!A760,Inventory!E:E,0)),"")</f>
        <v/>
      </c>
    </row>
    <row r="761" spans="2:13" x14ac:dyDescent="0.25">
      <c r="B761" t="str">
        <f>IF(IFERROR(VLOOKUP(TRIM(A761),Inventory!E:E,1,0),0)=0,"X","_")</f>
        <v>_</v>
      </c>
      <c r="C761" t="str">
        <f>IF(IFERROR(VLOOKUP(TRIM(A761),'Full Inventory'!F:F,1,0),0)=0,"X","_")</f>
        <v>_</v>
      </c>
      <c r="D761" t="str">
        <f t="shared" si="33"/>
        <v>X</v>
      </c>
      <c r="E761" t="str">
        <f ca="1">IFERROR(IF(AND(B761&amp;C761&amp;D761="___",INDIRECT("Inventory!A"&amp;MATCH(VLOOKUP(A761,Inventory!E:E,1,0),Inventory!E:E,0))&lt;&gt;INDIRECT("'Full Inventory'!B"&amp;MATCH(VLOOKUP(A761,'Full Inventory'!F:F,1,0),'Full Inventory'!F:F,0))),"X","_"),"_")</f>
        <v>_</v>
      </c>
      <c r="K761" t="str">
        <f t="shared" ca="1" si="34"/>
        <v>__X_</v>
      </c>
      <c r="L761" t="str">
        <f t="shared" ca="1" si="35"/>
        <v/>
      </c>
      <c r="M761" t="str">
        <f>IFERROR(INDEX(Inventory!A:A,MATCH(Scan!A761,Inventory!E:E,0)),"")</f>
        <v/>
      </c>
    </row>
    <row r="762" spans="2:13" x14ac:dyDescent="0.25">
      <c r="B762" t="str">
        <f>IF(IFERROR(VLOOKUP(TRIM(A762),Inventory!E:E,1,0),0)=0,"X","_")</f>
        <v>_</v>
      </c>
      <c r="C762" t="str">
        <f>IF(IFERROR(VLOOKUP(TRIM(A762),'Full Inventory'!F:F,1,0),0)=0,"X","_")</f>
        <v>_</v>
      </c>
      <c r="D762" t="str">
        <f t="shared" si="33"/>
        <v>X</v>
      </c>
      <c r="E762" t="str">
        <f ca="1">IFERROR(IF(AND(B762&amp;C762&amp;D762="___",INDIRECT("Inventory!A"&amp;MATCH(VLOOKUP(A762,Inventory!E:E,1,0),Inventory!E:E,0))&lt;&gt;INDIRECT("'Full Inventory'!B"&amp;MATCH(VLOOKUP(A762,'Full Inventory'!F:F,1,0),'Full Inventory'!F:F,0))),"X","_"),"_")</f>
        <v>_</v>
      </c>
      <c r="K762" t="str">
        <f t="shared" ca="1" si="34"/>
        <v>__X_</v>
      </c>
      <c r="L762" t="str">
        <f t="shared" ca="1" si="35"/>
        <v/>
      </c>
      <c r="M762" t="str">
        <f>IFERROR(INDEX(Inventory!A:A,MATCH(Scan!A762,Inventory!E:E,0)),"")</f>
        <v/>
      </c>
    </row>
    <row r="763" spans="2:13" x14ac:dyDescent="0.25">
      <c r="B763" t="str">
        <f>IF(IFERROR(VLOOKUP(TRIM(A763),Inventory!E:E,1,0),0)=0,"X","_")</f>
        <v>_</v>
      </c>
      <c r="C763" t="str">
        <f>IF(IFERROR(VLOOKUP(TRIM(A763),'Full Inventory'!F:F,1,0),0)=0,"X","_")</f>
        <v>_</v>
      </c>
      <c r="D763" t="str">
        <f t="shared" si="33"/>
        <v>X</v>
      </c>
      <c r="E763" t="str">
        <f ca="1">IFERROR(IF(AND(B763&amp;C763&amp;D763="___",INDIRECT("Inventory!A"&amp;MATCH(VLOOKUP(A763,Inventory!E:E,1,0),Inventory!E:E,0))&lt;&gt;INDIRECT("'Full Inventory'!B"&amp;MATCH(VLOOKUP(A763,'Full Inventory'!F:F,1,0),'Full Inventory'!F:F,0))),"X","_"),"_")</f>
        <v>_</v>
      </c>
      <c r="K763" t="str">
        <f t="shared" ca="1" si="34"/>
        <v>__X_</v>
      </c>
      <c r="L763" t="str">
        <f t="shared" ca="1" si="35"/>
        <v/>
      </c>
      <c r="M763" t="str">
        <f>IFERROR(INDEX(Inventory!A:A,MATCH(Scan!A763,Inventory!E:E,0)),"")</f>
        <v/>
      </c>
    </row>
    <row r="764" spans="2:13" x14ac:dyDescent="0.25">
      <c r="B764" t="str">
        <f>IF(IFERROR(VLOOKUP(TRIM(A764),Inventory!E:E,1,0),0)=0,"X","_")</f>
        <v>_</v>
      </c>
      <c r="C764" t="str">
        <f>IF(IFERROR(VLOOKUP(TRIM(A764),'Full Inventory'!F:F,1,0),0)=0,"X","_")</f>
        <v>_</v>
      </c>
      <c r="D764" t="str">
        <f t="shared" si="33"/>
        <v>X</v>
      </c>
      <c r="E764" t="str">
        <f ca="1">IFERROR(IF(AND(B764&amp;C764&amp;D764="___",INDIRECT("Inventory!A"&amp;MATCH(VLOOKUP(A764,Inventory!E:E,1,0),Inventory!E:E,0))&lt;&gt;INDIRECT("'Full Inventory'!B"&amp;MATCH(VLOOKUP(A764,'Full Inventory'!F:F,1,0),'Full Inventory'!F:F,0))),"X","_"),"_")</f>
        <v>_</v>
      </c>
      <c r="K764" t="str">
        <f t="shared" ca="1" si="34"/>
        <v>__X_</v>
      </c>
      <c r="L764" t="str">
        <f t="shared" ca="1" si="35"/>
        <v/>
      </c>
      <c r="M764" t="str">
        <f>IFERROR(INDEX(Inventory!A:A,MATCH(Scan!A764,Inventory!E:E,0)),"")</f>
        <v/>
      </c>
    </row>
    <row r="765" spans="2:13" x14ac:dyDescent="0.25">
      <c r="B765" t="str">
        <f>IF(IFERROR(VLOOKUP(TRIM(A765),Inventory!E:E,1,0),0)=0,"X","_")</f>
        <v>_</v>
      </c>
      <c r="C765" t="str">
        <f>IF(IFERROR(VLOOKUP(TRIM(A765),'Full Inventory'!F:F,1,0),0)=0,"X","_")</f>
        <v>_</v>
      </c>
      <c r="D765" t="str">
        <f t="shared" si="33"/>
        <v>X</v>
      </c>
      <c r="E765" t="str">
        <f ca="1">IFERROR(IF(AND(B765&amp;C765&amp;D765="___",INDIRECT("Inventory!A"&amp;MATCH(VLOOKUP(A765,Inventory!E:E,1,0),Inventory!E:E,0))&lt;&gt;INDIRECT("'Full Inventory'!B"&amp;MATCH(VLOOKUP(A765,'Full Inventory'!F:F,1,0),'Full Inventory'!F:F,0))),"X","_"),"_")</f>
        <v>_</v>
      </c>
      <c r="K765" t="str">
        <f t="shared" ca="1" si="34"/>
        <v>__X_</v>
      </c>
      <c r="L765" t="str">
        <f t="shared" ca="1" si="35"/>
        <v/>
      </c>
      <c r="M765" t="str">
        <f>IFERROR(INDEX(Inventory!A:A,MATCH(Scan!A765,Inventory!E:E,0)),"")</f>
        <v/>
      </c>
    </row>
    <row r="766" spans="2:13" x14ac:dyDescent="0.25">
      <c r="B766" t="str">
        <f>IF(IFERROR(VLOOKUP(TRIM(A766),Inventory!E:E,1,0),0)=0,"X","_")</f>
        <v>_</v>
      </c>
      <c r="C766" t="str">
        <f>IF(IFERROR(VLOOKUP(TRIM(A766),'Full Inventory'!F:F,1,0),0)=0,"X","_")</f>
        <v>_</v>
      </c>
      <c r="D766" t="str">
        <f t="shared" si="33"/>
        <v>X</v>
      </c>
      <c r="E766" t="str">
        <f ca="1">IFERROR(IF(AND(B766&amp;C766&amp;D766="___",INDIRECT("Inventory!A"&amp;MATCH(VLOOKUP(A766,Inventory!E:E,1,0),Inventory!E:E,0))&lt;&gt;INDIRECT("'Full Inventory'!B"&amp;MATCH(VLOOKUP(A766,'Full Inventory'!F:F,1,0),'Full Inventory'!F:F,0))),"X","_"),"_")</f>
        <v>_</v>
      </c>
      <c r="K766" t="str">
        <f t="shared" ca="1" si="34"/>
        <v>__X_</v>
      </c>
      <c r="L766" t="str">
        <f t="shared" ca="1" si="35"/>
        <v/>
      </c>
      <c r="M766" t="str">
        <f>IFERROR(INDEX(Inventory!A:A,MATCH(Scan!A766,Inventory!E:E,0)),"")</f>
        <v/>
      </c>
    </row>
    <row r="767" spans="2:13" x14ac:dyDescent="0.25">
      <c r="B767" t="str">
        <f>IF(IFERROR(VLOOKUP(TRIM(A767),Inventory!E:E,1,0),0)=0,"X","_")</f>
        <v>_</v>
      </c>
      <c r="C767" t="str">
        <f>IF(IFERROR(VLOOKUP(TRIM(A767),'Full Inventory'!F:F,1,0),0)=0,"X","_")</f>
        <v>_</v>
      </c>
      <c r="D767" t="str">
        <f t="shared" si="33"/>
        <v>X</v>
      </c>
      <c r="E767" t="str">
        <f ca="1">IFERROR(IF(AND(B767&amp;C767&amp;D767="___",INDIRECT("Inventory!A"&amp;MATCH(VLOOKUP(A767,Inventory!E:E,1,0),Inventory!E:E,0))&lt;&gt;INDIRECT("'Full Inventory'!B"&amp;MATCH(VLOOKUP(A767,'Full Inventory'!F:F,1,0),'Full Inventory'!F:F,0))),"X","_"),"_")</f>
        <v>_</v>
      </c>
      <c r="K767" t="str">
        <f t="shared" ca="1" si="34"/>
        <v>__X_</v>
      </c>
      <c r="L767" t="str">
        <f t="shared" ca="1" si="35"/>
        <v/>
      </c>
      <c r="M767" t="str">
        <f>IFERROR(INDEX(Inventory!A:A,MATCH(Scan!A767,Inventory!E:E,0)),"")</f>
        <v/>
      </c>
    </row>
    <row r="768" spans="2:13" x14ac:dyDescent="0.25">
      <c r="B768" t="str">
        <f>IF(IFERROR(VLOOKUP(TRIM(A768),Inventory!E:E,1,0),0)=0,"X","_")</f>
        <v>_</v>
      </c>
      <c r="C768" t="str">
        <f>IF(IFERROR(VLOOKUP(TRIM(A768),'Full Inventory'!F:F,1,0),0)=0,"X","_")</f>
        <v>_</v>
      </c>
      <c r="D768" t="str">
        <f t="shared" si="33"/>
        <v>X</v>
      </c>
      <c r="E768" t="str">
        <f ca="1">IFERROR(IF(AND(B768&amp;C768&amp;D768="___",INDIRECT("Inventory!A"&amp;MATCH(VLOOKUP(A768,Inventory!E:E,1,0),Inventory!E:E,0))&lt;&gt;INDIRECT("'Full Inventory'!B"&amp;MATCH(VLOOKUP(A768,'Full Inventory'!F:F,1,0),'Full Inventory'!F:F,0))),"X","_"),"_")</f>
        <v>_</v>
      </c>
      <c r="K768" t="str">
        <f t="shared" ca="1" si="34"/>
        <v>__X_</v>
      </c>
      <c r="L768" t="str">
        <f t="shared" ca="1" si="35"/>
        <v/>
      </c>
      <c r="M768" t="str">
        <f>IFERROR(INDEX(Inventory!A:A,MATCH(Scan!A768,Inventory!E:E,0)),"")</f>
        <v/>
      </c>
    </row>
    <row r="769" spans="2:13" x14ac:dyDescent="0.25">
      <c r="B769" t="str">
        <f>IF(IFERROR(VLOOKUP(TRIM(A769),Inventory!E:E,1,0),0)=0,"X","_")</f>
        <v>_</v>
      </c>
      <c r="C769" t="str">
        <f>IF(IFERROR(VLOOKUP(TRIM(A769),'Full Inventory'!F:F,1,0),0)=0,"X","_")</f>
        <v>_</v>
      </c>
      <c r="D769" t="str">
        <f t="shared" si="33"/>
        <v>X</v>
      </c>
      <c r="E769" t="str">
        <f ca="1">IFERROR(IF(AND(B769&amp;C769&amp;D769="___",INDIRECT("Inventory!A"&amp;MATCH(VLOOKUP(A769,Inventory!E:E,1,0),Inventory!E:E,0))&lt;&gt;INDIRECT("'Full Inventory'!B"&amp;MATCH(VLOOKUP(A769,'Full Inventory'!F:F,1,0),'Full Inventory'!F:F,0))),"X","_"),"_")</f>
        <v>_</v>
      </c>
      <c r="K769" t="str">
        <f t="shared" ca="1" si="34"/>
        <v>__X_</v>
      </c>
      <c r="L769" t="str">
        <f t="shared" ca="1" si="35"/>
        <v/>
      </c>
      <c r="M769" t="str">
        <f>IFERROR(INDEX(Inventory!A:A,MATCH(Scan!A769,Inventory!E:E,0)),"")</f>
        <v/>
      </c>
    </row>
    <row r="770" spans="2:13" x14ac:dyDescent="0.25">
      <c r="B770" t="str">
        <f>IF(IFERROR(VLOOKUP(TRIM(A770),Inventory!E:E,1,0),0)=0,"X","_")</f>
        <v>_</v>
      </c>
      <c r="C770" t="str">
        <f>IF(IFERROR(VLOOKUP(TRIM(A770),'Full Inventory'!F:F,1,0),0)=0,"X","_")</f>
        <v>_</v>
      </c>
      <c r="D770" t="str">
        <f t="shared" ref="D770:D833" si="36">IF(TRIM(A770)&lt;&gt;"","_","X")</f>
        <v>X</v>
      </c>
      <c r="E770" t="str">
        <f ca="1">IFERROR(IF(AND(B770&amp;C770&amp;D770="___",INDIRECT("Inventory!A"&amp;MATCH(VLOOKUP(A770,Inventory!E:E,1,0),Inventory!E:E,0))&lt;&gt;INDIRECT("'Full Inventory'!B"&amp;MATCH(VLOOKUP(A770,'Full Inventory'!F:F,1,0),'Full Inventory'!F:F,0))),"X","_"),"_")</f>
        <v>_</v>
      </c>
      <c r="K770" t="str">
        <f t="shared" ca="1" si="34"/>
        <v>__X_</v>
      </c>
      <c r="L770" t="str">
        <f t="shared" ca="1" si="35"/>
        <v/>
      </c>
      <c r="M770" t="str">
        <f>IFERROR(INDEX(Inventory!A:A,MATCH(Scan!A770,Inventory!E:E,0)),"")</f>
        <v/>
      </c>
    </row>
    <row r="771" spans="2:13" x14ac:dyDescent="0.25">
      <c r="B771" t="str">
        <f>IF(IFERROR(VLOOKUP(TRIM(A771),Inventory!E:E,1,0),0)=0,"X","_")</f>
        <v>_</v>
      </c>
      <c r="C771" t="str">
        <f>IF(IFERROR(VLOOKUP(TRIM(A771),'Full Inventory'!F:F,1,0),0)=0,"X","_")</f>
        <v>_</v>
      </c>
      <c r="D771" t="str">
        <f t="shared" si="36"/>
        <v>X</v>
      </c>
      <c r="E771" t="str">
        <f ca="1">IFERROR(IF(AND(B771&amp;C771&amp;D771="___",INDIRECT("Inventory!A"&amp;MATCH(VLOOKUP(A771,Inventory!E:E,1,0),Inventory!E:E,0))&lt;&gt;INDIRECT("'Full Inventory'!B"&amp;MATCH(VLOOKUP(A771,'Full Inventory'!F:F,1,0),'Full Inventory'!F:F,0))),"X","_"),"_")</f>
        <v>_</v>
      </c>
      <c r="K771" t="str">
        <f t="shared" ref="K771:K834" ca="1" si="37">B771&amp;C771&amp;D771&amp;E771</f>
        <v>__X_</v>
      </c>
      <c r="L771" t="str">
        <f t="shared" ref="L771:L834" ca="1" si="38">IF(K771="____","OK",IF(K771="_X__","NOT IN FULL INVENTORY",IF(K771="XX__","NOT IN FULL INVENTORY AND INVENTORY",IF(K771="X___","NOT IN INVENTORY",IF(K771="___X","DIFFERENT NAMES IN FULL INVENTORY AND INVENTORY","")))))</f>
        <v/>
      </c>
      <c r="M771" t="str">
        <f>IFERROR(INDEX(Inventory!A:A,MATCH(Scan!A771,Inventory!E:E,0)),"")</f>
        <v/>
      </c>
    </row>
    <row r="772" spans="2:13" x14ac:dyDescent="0.25">
      <c r="B772" t="str">
        <f>IF(IFERROR(VLOOKUP(TRIM(A772),Inventory!E:E,1,0),0)=0,"X","_")</f>
        <v>_</v>
      </c>
      <c r="C772" t="str">
        <f>IF(IFERROR(VLOOKUP(TRIM(A772),'Full Inventory'!F:F,1,0),0)=0,"X","_")</f>
        <v>_</v>
      </c>
      <c r="D772" t="str">
        <f t="shared" si="36"/>
        <v>X</v>
      </c>
      <c r="E772" t="str">
        <f ca="1">IFERROR(IF(AND(B772&amp;C772&amp;D772="___",INDIRECT("Inventory!A"&amp;MATCH(VLOOKUP(A772,Inventory!E:E,1,0),Inventory!E:E,0))&lt;&gt;INDIRECT("'Full Inventory'!B"&amp;MATCH(VLOOKUP(A772,'Full Inventory'!F:F,1,0),'Full Inventory'!F:F,0))),"X","_"),"_")</f>
        <v>_</v>
      </c>
      <c r="K772" t="str">
        <f t="shared" ca="1" si="37"/>
        <v>__X_</v>
      </c>
      <c r="L772" t="str">
        <f t="shared" ca="1" si="38"/>
        <v/>
      </c>
      <c r="M772" t="str">
        <f>IFERROR(INDEX(Inventory!A:A,MATCH(Scan!A772,Inventory!E:E,0)),"")</f>
        <v/>
      </c>
    </row>
    <row r="773" spans="2:13" x14ac:dyDescent="0.25">
      <c r="B773" t="str">
        <f>IF(IFERROR(VLOOKUP(TRIM(A773),Inventory!E:E,1,0),0)=0,"X","_")</f>
        <v>_</v>
      </c>
      <c r="C773" t="str">
        <f>IF(IFERROR(VLOOKUP(TRIM(A773),'Full Inventory'!F:F,1,0),0)=0,"X","_")</f>
        <v>_</v>
      </c>
      <c r="D773" t="str">
        <f t="shared" si="36"/>
        <v>X</v>
      </c>
      <c r="E773" t="str">
        <f ca="1">IFERROR(IF(AND(B773&amp;C773&amp;D773="___",INDIRECT("Inventory!A"&amp;MATCH(VLOOKUP(A773,Inventory!E:E,1,0),Inventory!E:E,0))&lt;&gt;INDIRECT("'Full Inventory'!B"&amp;MATCH(VLOOKUP(A773,'Full Inventory'!F:F,1,0),'Full Inventory'!F:F,0))),"X","_"),"_")</f>
        <v>_</v>
      </c>
      <c r="K773" t="str">
        <f t="shared" ca="1" si="37"/>
        <v>__X_</v>
      </c>
      <c r="L773" t="str">
        <f t="shared" ca="1" si="38"/>
        <v/>
      </c>
      <c r="M773" t="str">
        <f>IFERROR(INDEX(Inventory!A:A,MATCH(Scan!A773,Inventory!E:E,0)),"")</f>
        <v/>
      </c>
    </row>
    <row r="774" spans="2:13" x14ac:dyDescent="0.25">
      <c r="B774" t="str">
        <f>IF(IFERROR(VLOOKUP(TRIM(A774),Inventory!E:E,1,0),0)=0,"X","_")</f>
        <v>_</v>
      </c>
      <c r="C774" t="str">
        <f>IF(IFERROR(VLOOKUP(TRIM(A774),'Full Inventory'!F:F,1,0),0)=0,"X","_")</f>
        <v>_</v>
      </c>
      <c r="D774" t="str">
        <f t="shared" si="36"/>
        <v>X</v>
      </c>
      <c r="E774" t="str">
        <f ca="1">IFERROR(IF(AND(B774&amp;C774&amp;D774="___",INDIRECT("Inventory!A"&amp;MATCH(VLOOKUP(A774,Inventory!E:E,1,0),Inventory!E:E,0))&lt;&gt;INDIRECT("'Full Inventory'!B"&amp;MATCH(VLOOKUP(A774,'Full Inventory'!F:F,1,0),'Full Inventory'!F:F,0))),"X","_"),"_")</f>
        <v>_</v>
      </c>
      <c r="K774" t="str">
        <f t="shared" ca="1" si="37"/>
        <v>__X_</v>
      </c>
      <c r="L774" t="str">
        <f t="shared" ca="1" si="38"/>
        <v/>
      </c>
      <c r="M774" t="str">
        <f>IFERROR(INDEX(Inventory!A:A,MATCH(Scan!A774,Inventory!E:E,0)),"")</f>
        <v/>
      </c>
    </row>
    <row r="775" spans="2:13" x14ac:dyDescent="0.25">
      <c r="B775" t="str">
        <f>IF(IFERROR(VLOOKUP(TRIM(A775),Inventory!E:E,1,0),0)=0,"X","_")</f>
        <v>_</v>
      </c>
      <c r="C775" t="str">
        <f>IF(IFERROR(VLOOKUP(TRIM(A775),'Full Inventory'!F:F,1,0),0)=0,"X","_")</f>
        <v>_</v>
      </c>
      <c r="D775" t="str">
        <f t="shared" si="36"/>
        <v>X</v>
      </c>
      <c r="E775" t="str">
        <f ca="1">IFERROR(IF(AND(B775&amp;C775&amp;D775="___",INDIRECT("Inventory!A"&amp;MATCH(VLOOKUP(A775,Inventory!E:E,1,0),Inventory!E:E,0))&lt;&gt;INDIRECT("'Full Inventory'!B"&amp;MATCH(VLOOKUP(A775,'Full Inventory'!F:F,1,0),'Full Inventory'!F:F,0))),"X","_"),"_")</f>
        <v>_</v>
      </c>
      <c r="K775" t="str">
        <f t="shared" ca="1" si="37"/>
        <v>__X_</v>
      </c>
      <c r="L775" t="str">
        <f t="shared" ca="1" si="38"/>
        <v/>
      </c>
      <c r="M775" t="str">
        <f>IFERROR(INDEX(Inventory!A:A,MATCH(Scan!A775,Inventory!E:E,0)),"")</f>
        <v/>
      </c>
    </row>
    <row r="776" spans="2:13" x14ac:dyDescent="0.25">
      <c r="B776" t="str">
        <f>IF(IFERROR(VLOOKUP(TRIM(A776),Inventory!E:E,1,0),0)=0,"X","_")</f>
        <v>_</v>
      </c>
      <c r="C776" t="str">
        <f>IF(IFERROR(VLOOKUP(TRIM(A776),'Full Inventory'!F:F,1,0),0)=0,"X","_")</f>
        <v>_</v>
      </c>
      <c r="D776" t="str">
        <f t="shared" si="36"/>
        <v>X</v>
      </c>
      <c r="E776" t="str">
        <f ca="1">IFERROR(IF(AND(B776&amp;C776&amp;D776="___",INDIRECT("Inventory!A"&amp;MATCH(VLOOKUP(A776,Inventory!E:E,1,0),Inventory!E:E,0))&lt;&gt;INDIRECT("'Full Inventory'!B"&amp;MATCH(VLOOKUP(A776,'Full Inventory'!F:F,1,0),'Full Inventory'!F:F,0))),"X","_"),"_")</f>
        <v>_</v>
      </c>
      <c r="K776" t="str">
        <f t="shared" ca="1" si="37"/>
        <v>__X_</v>
      </c>
      <c r="L776" t="str">
        <f t="shared" ca="1" si="38"/>
        <v/>
      </c>
      <c r="M776" t="str">
        <f>IFERROR(INDEX(Inventory!A:A,MATCH(Scan!A776,Inventory!E:E,0)),"")</f>
        <v/>
      </c>
    </row>
    <row r="777" spans="2:13" x14ac:dyDescent="0.25">
      <c r="B777" t="str">
        <f>IF(IFERROR(VLOOKUP(TRIM(A777),Inventory!E:E,1,0),0)=0,"X","_")</f>
        <v>_</v>
      </c>
      <c r="C777" t="str">
        <f>IF(IFERROR(VLOOKUP(TRIM(A777),'Full Inventory'!F:F,1,0),0)=0,"X","_")</f>
        <v>_</v>
      </c>
      <c r="D777" t="str">
        <f t="shared" si="36"/>
        <v>X</v>
      </c>
      <c r="E777" t="str">
        <f ca="1">IFERROR(IF(AND(B777&amp;C777&amp;D777="___",INDIRECT("Inventory!A"&amp;MATCH(VLOOKUP(A777,Inventory!E:E,1,0),Inventory!E:E,0))&lt;&gt;INDIRECT("'Full Inventory'!B"&amp;MATCH(VLOOKUP(A777,'Full Inventory'!F:F,1,0),'Full Inventory'!F:F,0))),"X","_"),"_")</f>
        <v>_</v>
      </c>
      <c r="K777" t="str">
        <f t="shared" ca="1" si="37"/>
        <v>__X_</v>
      </c>
      <c r="L777" t="str">
        <f t="shared" ca="1" si="38"/>
        <v/>
      </c>
      <c r="M777" t="str">
        <f>IFERROR(INDEX(Inventory!A:A,MATCH(Scan!A777,Inventory!E:E,0)),"")</f>
        <v/>
      </c>
    </row>
    <row r="778" spans="2:13" x14ac:dyDescent="0.25">
      <c r="B778" t="str">
        <f>IF(IFERROR(VLOOKUP(TRIM(A778),Inventory!E:E,1,0),0)=0,"X","_")</f>
        <v>_</v>
      </c>
      <c r="C778" t="str">
        <f>IF(IFERROR(VLOOKUP(TRIM(A778),'Full Inventory'!F:F,1,0),0)=0,"X","_")</f>
        <v>_</v>
      </c>
      <c r="D778" t="str">
        <f t="shared" si="36"/>
        <v>X</v>
      </c>
      <c r="E778" t="str">
        <f ca="1">IFERROR(IF(AND(B778&amp;C778&amp;D778="___",INDIRECT("Inventory!A"&amp;MATCH(VLOOKUP(A778,Inventory!E:E,1,0),Inventory!E:E,0))&lt;&gt;INDIRECT("'Full Inventory'!B"&amp;MATCH(VLOOKUP(A778,'Full Inventory'!F:F,1,0),'Full Inventory'!F:F,0))),"X","_"),"_")</f>
        <v>_</v>
      </c>
      <c r="K778" t="str">
        <f t="shared" ca="1" si="37"/>
        <v>__X_</v>
      </c>
      <c r="L778" t="str">
        <f t="shared" ca="1" si="38"/>
        <v/>
      </c>
      <c r="M778" t="str">
        <f>IFERROR(INDEX(Inventory!A:A,MATCH(Scan!A778,Inventory!E:E,0)),"")</f>
        <v/>
      </c>
    </row>
    <row r="779" spans="2:13" x14ac:dyDescent="0.25">
      <c r="B779" t="str">
        <f>IF(IFERROR(VLOOKUP(TRIM(A779),Inventory!E:E,1,0),0)=0,"X","_")</f>
        <v>_</v>
      </c>
      <c r="C779" t="str">
        <f>IF(IFERROR(VLOOKUP(TRIM(A779),'Full Inventory'!F:F,1,0),0)=0,"X","_")</f>
        <v>_</v>
      </c>
      <c r="D779" t="str">
        <f t="shared" si="36"/>
        <v>X</v>
      </c>
      <c r="E779" t="str">
        <f ca="1">IFERROR(IF(AND(B779&amp;C779&amp;D779="___",INDIRECT("Inventory!A"&amp;MATCH(VLOOKUP(A779,Inventory!E:E,1,0),Inventory!E:E,0))&lt;&gt;INDIRECT("'Full Inventory'!B"&amp;MATCH(VLOOKUP(A779,'Full Inventory'!F:F,1,0),'Full Inventory'!F:F,0))),"X","_"),"_")</f>
        <v>_</v>
      </c>
      <c r="K779" t="str">
        <f t="shared" ca="1" si="37"/>
        <v>__X_</v>
      </c>
      <c r="L779" t="str">
        <f t="shared" ca="1" si="38"/>
        <v/>
      </c>
      <c r="M779" t="str">
        <f>IFERROR(INDEX(Inventory!A:A,MATCH(Scan!A779,Inventory!E:E,0)),"")</f>
        <v/>
      </c>
    </row>
    <row r="780" spans="2:13" x14ac:dyDescent="0.25">
      <c r="B780" t="str">
        <f>IF(IFERROR(VLOOKUP(TRIM(A780),Inventory!E:E,1,0),0)=0,"X","_")</f>
        <v>_</v>
      </c>
      <c r="C780" t="str">
        <f>IF(IFERROR(VLOOKUP(TRIM(A780),'Full Inventory'!F:F,1,0),0)=0,"X","_")</f>
        <v>_</v>
      </c>
      <c r="D780" t="str">
        <f t="shared" si="36"/>
        <v>X</v>
      </c>
      <c r="E780" t="str">
        <f ca="1">IFERROR(IF(AND(B780&amp;C780&amp;D780="___",INDIRECT("Inventory!A"&amp;MATCH(VLOOKUP(A780,Inventory!E:E,1,0),Inventory!E:E,0))&lt;&gt;INDIRECT("'Full Inventory'!B"&amp;MATCH(VLOOKUP(A780,'Full Inventory'!F:F,1,0),'Full Inventory'!F:F,0))),"X","_"),"_")</f>
        <v>_</v>
      </c>
      <c r="K780" t="str">
        <f t="shared" ca="1" si="37"/>
        <v>__X_</v>
      </c>
      <c r="L780" t="str">
        <f t="shared" ca="1" si="38"/>
        <v/>
      </c>
      <c r="M780" t="str">
        <f>IFERROR(INDEX(Inventory!A:A,MATCH(Scan!A780,Inventory!E:E,0)),"")</f>
        <v/>
      </c>
    </row>
    <row r="781" spans="2:13" x14ac:dyDescent="0.25">
      <c r="B781" t="str">
        <f>IF(IFERROR(VLOOKUP(TRIM(A781),Inventory!E:E,1,0),0)=0,"X","_")</f>
        <v>_</v>
      </c>
      <c r="C781" t="str">
        <f>IF(IFERROR(VLOOKUP(TRIM(A781),'Full Inventory'!F:F,1,0),0)=0,"X","_")</f>
        <v>_</v>
      </c>
      <c r="D781" t="str">
        <f t="shared" si="36"/>
        <v>X</v>
      </c>
      <c r="E781" t="str">
        <f ca="1">IFERROR(IF(AND(B781&amp;C781&amp;D781="___",INDIRECT("Inventory!A"&amp;MATCH(VLOOKUP(A781,Inventory!E:E,1,0),Inventory!E:E,0))&lt;&gt;INDIRECT("'Full Inventory'!B"&amp;MATCH(VLOOKUP(A781,'Full Inventory'!F:F,1,0),'Full Inventory'!F:F,0))),"X","_"),"_")</f>
        <v>_</v>
      </c>
      <c r="K781" t="str">
        <f t="shared" ca="1" si="37"/>
        <v>__X_</v>
      </c>
      <c r="L781" t="str">
        <f t="shared" ca="1" si="38"/>
        <v/>
      </c>
      <c r="M781" t="str">
        <f>IFERROR(INDEX(Inventory!A:A,MATCH(Scan!A781,Inventory!E:E,0)),"")</f>
        <v/>
      </c>
    </row>
    <row r="782" spans="2:13" x14ac:dyDescent="0.25">
      <c r="B782" t="str">
        <f>IF(IFERROR(VLOOKUP(TRIM(A782),Inventory!E:E,1,0),0)=0,"X","_")</f>
        <v>_</v>
      </c>
      <c r="C782" t="str">
        <f>IF(IFERROR(VLOOKUP(TRIM(A782),'Full Inventory'!F:F,1,0),0)=0,"X","_")</f>
        <v>_</v>
      </c>
      <c r="D782" t="str">
        <f t="shared" si="36"/>
        <v>X</v>
      </c>
      <c r="E782" t="str">
        <f ca="1">IFERROR(IF(AND(B782&amp;C782&amp;D782="___",INDIRECT("Inventory!A"&amp;MATCH(VLOOKUP(A782,Inventory!E:E,1,0),Inventory!E:E,0))&lt;&gt;INDIRECT("'Full Inventory'!B"&amp;MATCH(VLOOKUP(A782,'Full Inventory'!F:F,1,0),'Full Inventory'!F:F,0))),"X","_"),"_")</f>
        <v>_</v>
      </c>
      <c r="K782" t="str">
        <f t="shared" ca="1" si="37"/>
        <v>__X_</v>
      </c>
      <c r="L782" t="str">
        <f t="shared" ca="1" si="38"/>
        <v/>
      </c>
      <c r="M782" t="str">
        <f>IFERROR(INDEX(Inventory!A:A,MATCH(Scan!A782,Inventory!E:E,0)),"")</f>
        <v/>
      </c>
    </row>
    <row r="783" spans="2:13" x14ac:dyDescent="0.25">
      <c r="B783" t="str">
        <f>IF(IFERROR(VLOOKUP(TRIM(A783),Inventory!E:E,1,0),0)=0,"X","_")</f>
        <v>_</v>
      </c>
      <c r="C783" t="str">
        <f>IF(IFERROR(VLOOKUP(TRIM(A783),'Full Inventory'!F:F,1,0),0)=0,"X","_")</f>
        <v>_</v>
      </c>
      <c r="D783" t="str">
        <f t="shared" si="36"/>
        <v>X</v>
      </c>
      <c r="E783" t="str">
        <f ca="1">IFERROR(IF(AND(B783&amp;C783&amp;D783="___",INDIRECT("Inventory!A"&amp;MATCH(VLOOKUP(A783,Inventory!E:E,1,0),Inventory!E:E,0))&lt;&gt;INDIRECT("'Full Inventory'!B"&amp;MATCH(VLOOKUP(A783,'Full Inventory'!F:F,1,0),'Full Inventory'!F:F,0))),"X","_"),"_")</f>
        <v>_</v>
      </c>
      <c r="K783" t="str">
        <f t="shared" ca="1" si="37"/>
        <v>__X_</v>
      </c>
      <c r="L783" t="str">
        <f t="shared" ca="1" si="38"/>
        <v/>
      </c>
      <c r="M783" t="str">
        <f>IFERROR(INDEX(Inventory!A:A,MATCH(Scan!A783,Inventory!E:E,0)),"")</f>
        <v/>
      </c>
    </row>
    <row r="784" spans="2:13" x14ac:dyDescent="0.25">
      <c r="B784" t="str">
        <f>IF(IFERROR(VLOOKUP(TRIM(A784),Inventory!E:E,1,0),0)=0,"X","_")</f>
        <v>_</v>
      </c>
      <c r="C784" t="str">
        <f>IF(IFERROR(VLOOKUP(TRIM(A784),'Full Inventory'!F:F,1,0),0)=0,"X","_")</f>
        <v>_</v>
      </c>
      <c r="D784" t="str">
        <f t="shared" si="36"/>
        <v>X</v>
      </c>
      <c r="E784" t="str">
        <f ca="1">IFERROR(IF(AND(B784&amp;C784&amp;D784="___",INDIRECT("Inventory!A"&amp;MATCH(VLOOKUP(A784,Inventory!E:E,1,0),Inventory!E:E,0))&lt;&gt;INDIRECT("'Full Inventory'!B"&amp;MATCH(VLOOKUP(A784,'Full Inventory'!F:F,1,0),'Full Inventory'!F:F,0))),"X","_"),"_")</f>
        <v>_</v>
      </c>
      <c r="K784" t="str">
        <f t="shared" ca="1" si="37"/>
        <v>__X_</v>
      </c>
      <c r="L784" t="str">
        <f t="shared" ca="1" si="38"/>
        <v/>
      </c>
      <c r="M784" t="str">
        <f>IFERROR(INDEX(Inventory!A:A,MATCH(Scan!A784,Inventory!E:E,0)),"")</f>
        <v/>
      </c>
    </row>
    <row r="785" spans="2:13" x14ac:dyDescent="0.25">
      <c r="B785" t="str">
        <f>IF(IFERROR(VLOOKUP(TRIM(A785),Inventory!E:E,1,0),0)=0,"X","_")</f>
        <v>_</v>
      </c>
      <c r="C785" t="str">
        <f>IF(IFERROR(VLOOKUP(TRIM(A785),'Full Inventory'!F:F,1,0),0)=0,"X","_")</f>
        <v>_</v>
      </c>
      <c r="D785" t="str">
        <f t="shared" si="36"/>
        <v>X</v>
      </c>
      <c r="E785" t="str">
        <f ca="1">IFERROR(IF(AND(B785&amp;C785&amp;D785="___",INDIRECT("Inventory!A"&amp;MATCH(VLOOKUP(A785,Inventory!E:E,1,0),Inventory!E:E,0))&lt;&gt;INDIRECT("'Full Inventory'!B"&amp;MATCH(VLOOKUP(A785,'Full Inventory'!F:F,1,0),'Full Inventory'!F:F,0))),"X","_"),"_")</f>
        <v>_</v>
      </c>
      <c r="K785" t="str">
        <f t="shared" ca="1" si="37"/>
        <v>__X_</v>
      </c>
      <c r="L785" t="str">
        <f t="shared" ca="1" si="38"/>
        <v/>
      </c>
      <c r="M785" t="str">
        <f>IFERROR(INDEX(Inventory!A:A,MATCH(Scan!A785,Inventory!E:E,0)),"")</f>
        <v/>
      </c>
    </row>
    <row r="786" spans="2:13" x14ac:dyDescent="0.25">
      <c r="B786" t="str">
        <f>IF(IFERROR(VLOOKUP(TRIM(A786),Inventory!E:E,1,0),0)=0,"X","_")</f>
        <v>_</v>
      </c>
      <c r="C786" t="str">
        <f>IF(IFERROR(VLOOKUP(TRIM(A786),'Full Inventory'!F:F,1,0),0)=0,"X","_")</f>
        <v>_</v>
      </c>
      <c r="D786" t="str">
        <f t="shared" si="36"/>
        <v>X</v>
      </c>
      <c r="E786" t="str">
        <f ca="1">IFERROR(IF(AND(B786&amp;C786&amp;D786="___",INDIRECT("Inventory!A"&amp;MATCH(VLOOKUP(A786,Inventory!E:E,1,0),Inventory!E:E,0))&lt;&gt;INDIRECT("'Full Inventory'!B"&amp;MATCH(VLOOKUP(A786,'Full Inventory'!F:F,1,0),'Full Inventory'!F:F,0))),"X","_"),"_")</f>
        <v>_</v>
      </c>
      <c r="K786" t="str">
        <f t="shared" ca="1" si="37"/>
        <v>__X_</v>
      </c>
      <c r="L786" t="str">
        <f t="shared" ca="1" si="38"/>
        <v/>
      </c>
      <c r="M786" t="str">
        <f>IFERROR(INDEX(Inventory!A:A,MATCH(Scan!A786,Inventory!E:E,0)),"")</f>
        <v/>
      </c>
    </row>
    <row r="787" spans="2:13" x14ac:dyDescent="0.25">
      <c r="B787" t="str">
        <f>IF(IFERROR(VLOOKUP(TRIM(A787),Inventory!E:E,1,0),0)=0,"X","_")</f>
        <v>_</v>
      </c>
      <c r="C787" t="str">
        <f>IF(IFERROR(VLOOKUP(TRIM(A787),'Full Inventory'!F:F,1,0),0)=0,"X","_")</f>
        <v>_</v>
      </c>
      <c r="D787" t="str">
        <f t="shared" si="36"/>
        <v>X</v>
      </c>
      <c r="E787" t="str">
        <f ca="1">IFERROR(IF(AND(B787&amp;C787&amp;D787="___",INDIRECT("Inventory!A"&amp;MATCH(VLOOKUP(A787,Inventory!E:E,1,0),Inventory!E:E,0))&lt;&gt;INDIRECT("'Full Inventory'!B"&amp;MATCH(VLOOKUP(A787,'Full Inventory'!F:F,1,0),'Full Inventory'!F:F,0))),"X","_"),"_")</f>
        <v>_</v>
      </c>
      <c r="K787" t="str">
        <f t="shared" ca="1" si="37"/>
        <v>__X_</v>
      </c>
      <c r="L787" t="str">
        <f t="shared" ca="1" si="38"/>
        <v/>
      </c>
      <c r="M787" t="str">
        <f>IFERROR(INDEX(Inventory!A:A,MATCH(Scan!A787,Inventory!E:E,0)),"")</f>
        <v/>
      </c>
    </row>
    <row r="788" spans="2:13" x14ac:dyDescent="0.25">
      <c r="B788" t="str">
        <f>IF(IFERROR(VLOOKUP(TRIM(A788),Inventory!E:E,1,0),0)=0,"X","_")</f>
        <v>_</v>
      </c>
      <c r="C788" t="str">
        <f>IF(IFERROR(VLOOKUP(TRIM(A788),'Full Inventory'!F:F,1,0),0)=0,"X","_")</f>
        <v>_</v>
      </c>
      <c r="D788" t="str">
        <f t="shared" si="36"/>
        <v>X</v>
      </c>
      <c r="E788" t="str">
        <f ca="1">IFERROR(IF(AND(B788&amp;C788&amp;D788="___",INDIRECT("Inventory!A"&amp;MATCH(VLOOKUP(A788,Inventory!E:E,1,0),Inventory!E:E,0))&lt;&gt;INDIRECT("'Full Inventory'!B"&amp;MATCH(VLOOKUP(A788,'Full Inventory'!F:F,1,0),'Full Inventory'!F:F,0))),"X","_"),"_")</f>
        <v>_</v>
      </c>
      <c r="K788" t="str">
        <f t="shared" ca="1" si="37"/>
        <v>__X_</v>
      </c>
      <c r="L788" t="str">
        <f t="shared" ca="1" si="38"/>
        <v/>
      </c>
      <c r="M788" t="str">
        <f>IFERROR(INDEX(Inventory!A:A,MATCH(Scan!A788,Inventory!E:E,0)),"")</f>
        <v/>
      </c>
    </row>
    <row r="789" spans="2:13" x14ac:dyDescent="0.25">
      <c r="B789" t="str">
        <f>IF(IFERROR(VLOOKUP(TRIM(A789),Inventory!E:E,1,0),0)=0,"X","_")</f>
        <v>_</v>
      </c>
      <c r="C789" t="str">
        <f>IF(IFERROR(VLOOKUP(TRIM(A789),'Full Inventory'!F:F,1,0),0)=0,"X","_")</f>
        <v>_</v>
      </c>
      <c r="D789" t="str">
        <f t="shared" si="36"/>
        <v>X</v>
      </c>
      <c r="E789" t="str">
        <f ca="1">IFERROR(IF(AND(B789&amp;C789&amp;D789="___",INDIRECT("Inventory!A"&amp;MATCH(VLOOKUP(A789,Inventory!E:E,1,0),Inventory!E:E,0))&lt;&gt;INDIRECT("'Full Inventory'!B"&amp;MATCH(VLOOKUP(A789,'Full Inventory'!F:F,1,0),'Full Inventory'!F:F,0))),"X","_"),"_")</f>
        <v>_</v>
      </c>
      <c r="K789" t="str">
        <f t="shared" ca="1" si="37"/>
        <v>__X_</v>
      </c>
      <c r="L789" t="str">
        <f t="shared" ca="1" si="38"/>
        <v/>
      </c>
      <c r="M789" t="str">
        <f>IFERROR(INDEX(Inventory!A:A,MATCH(Scan!A789,Inventory!E:E,0)),"")</f>
        <v/>
      </c>
    </row>
    <row r="790" spans="2:13" x14ac:dyDescent="0.25">
      <c r="B790" t="str">
        <f>IF(IFERROR(VLOOKUP(TRIM(A790),Inventory!E:E,1,0),0)=0,"X","_")</f>
        <v>_</v>
      </c>
      <c r="C790" t="str">
        <f>IF(IFERROR(VLOOKUP(TRIM(A790),'Full Inventory'!F:F,1,0),0)=0,"X","_")</f>
        <v>_</v>
      </c>
      <c r="D790" t="str">
        <f t="shared" si="36"/>
        <v>X</v>
      </c>
      <c r="E790" t="str">
        <f ca="1">IFERROR(IF(AND(B790&amp;C790&amp;D790="___",INDIRECT("Inventory!A"&amp;MATCH(VLOOKUP(A790,Inventory!E:E,1,0),Inventory!E:E,0))&lt;&gt;INDIRECT("'Full Inventory'!B"&amp;MATCH(VLOOKUP(A790,'Full Inventory'!F:F,1,0),'Full Inventory'!F:F,0))),"X","_"),"_")</f>
        <v>_</v>
      </c>
      <c r="K790" t="str">
        <f t="shared" ca="1" si="37"/>
        <v>__X_</v>
      </c>
      <c r="L790" t="str">
        <f t="shared" ca="1" si="38"/>
        <v/>
      </c>
      <c r="M790" t="str">
        <f>IFERROR(INDEX(Inventory!A:A,MATCH(Scan!A790,Inventory!E:E,0)),"")</f>
        <v/>
      </c>
    </row>
    <row r="791" spans="2:13" x14ac:dyDescent="0.25">
      <c r="B791" t="str">
        <f>IF(IFERROR(VLOOKUP(TRIM(A791),Inventory!E:E,1,0),0)=0,"X","_")</f>
        <v>_</v>
      </c>
      <c r="C791" t="str">
        <f>IF(IFERROR(VLOOKUP(TRIM(A791),'Full Inventory'!F:F,1,0),0)=0,"X","_")</f>
        <v>_</v>
      </c>
      <c r="D791" t="str">
        <f t="shared" si="36"/>
        <v>X</v>
      </c>
      <c r="E791" t="str">
        <f ca="1">IFERROR(IF(AND(B791&amp;C791&amp;D791="___",INDIRECT("Inventory!A"&amp;MATCH(VLOOKUP(A791,Inventory!E:E,1,0),Inventory!E:E,0))&lt;&gt;INDIRECT("'Full Inventory'!B"&amp;MATCH(VLOOKUP(A791,'Full Inventory'!F:F,1,0),'Full Inventory'!F:F,0))),"X","_"),"_")</f>
        <v>_</v>
      </c>
      <c r="K791" t="str">
        <f t="shared" ca="1" si="37"/>
        <v>__X_</v>
      </c>
      <c r="L791" t="str">
        <f t="shared" ca="1" si="38"/>
        <v/>
      </c>
      <c r="M791" t="str">
        <f>IFERROR(INDEX(Inventory!A:A,MATCH(Scan!A791,Inventory!E:E,0)),"")</f>
        <v/>
      </c>
    </row>
    <row r="792" spans="2:13" x14ac:dyDescent="0.25">
      <c r="B792" t="str">
        <f>IF(IFERROR(VLOOKUP(TRIM(A792),Inventory!E:E,1,0),0)=0,"X","_")</f>
        <v>_</v>
      </c>
      <c r="C792" t="str">
        <f>IF(IFERROR(VLOOKUP(TRIM(A792),'Full Inventory'!F:F,1,0),0)=0,"X","_")</f>
        <v>_</v>
      </c>
      <c r="D792" t="str">
        <f t="shared" si="36"/>
        <v>X</v>
      </c>
      <c r="E792" t="str">
        <f ca="1">IFERROR(IF(AND(B792&amp;C792&amp;D792="___",INDIRECT("Inventory!A"&amp;MATCH(VLOOKUP(A792,Inventory!E:E,1,0),Inventory!E:E,0))&lt;&gt;INDIRECT("'Full Inventory'!B"&amp;MATCH(VLOOKUP(A792,'Full Inventory'!F:F,1,0),'Full Inventory'!F:F,0))),"X","_"),"_")</f>
        <v>_</v>
      </c>
      <c r="K792" t="str">
        <f t="shared" ca="1" si="37"/>
        <v>__X_</v>
      </c>
      <c r="L792" t="str">
        <f t="shared" ca="1" si="38"/>
        <v/>
      </c>
      <c r="M792" t="str">
        <f>IFERROR(INDEX(Inventory!A:A,MATCH(Scan!A792,Inventory!E:E,0)),"")</f>
        <v/>
      </c>
    </row>
    <row r="793" spans="2:13" x14ac:dyDescent="0.25">
      <c r="B793" t="str">
        <f>IF(IFERROR(VLOOKUP(TRIM(A793),Inventory!E:E,1,0),0)=0,"X","_")</f>
        <v>_</v>
      </c>
      <c r="C793" t="str">
        <f>IF(IFERROR(VLOOKUP(TRIM(A793),'Full Inventory'!F:F,1,0),0)=0,"X","_")</f>
        <v>_</v>
      </c>
      <c r="D793" t="str">
        <f t="shared" si="36"/>
        <v>X</v>
      </c>
      <c r="E793" t="str">
        <f ca="1">IFERROR(IF(AND(B793&amp;C793&amp;D793="___",INDIRECT("Inventory!A"&amp;MATCH(VLOOKUP(A793,Inventory!E:E,1,0),Inventory!E:E,0))&lt;&gt;INDIRECT("'Full Inventory'!B"&amp;MATCH(VLOOKUP(A793,'Full Inventory'!F:F,1,0),'Full Inventory'!F:F,0))),"X","_"),"_")</f>
        <v>_</v>
      </c>
      <c r="K793" t="str">
        <f t="shared" ca="1" si="37"/>
        <v>__X_</v>
      </c>
      <c r="L793" t="str">
        <f t="shared" ca="1" si="38"/>
        <v/>
      </c>
      <c r="M793" t="str">
        <f>IFERROR(INDEX(Inventory!A:A,MATCH(Scan!A793,Inventory!E:E,0)),"")</f>
        <v/>
      </c>
    </row>
    <row r="794" spans="2:13" x14ac:dyDescent="0.25">
      <c r="B794" t="str">
        <f>IF(IFERROR(VLOOKUP(TRIM(A794),Inventory!E:E,1,0),0)=0,"X","_")</f>
        <v>_</v>
      </c>
      <c r="C794" t="str">
        <f>IF(IFERROR(VLOOKUP(TRIM(A794),'Full Inventory'!F:F,1,0),0)=0,"X","_")</f>
        <v>_</v>
      </c>
      <c r="D794" t="str">
        <f t="shared" si="36"/>
        <v>X</v>
      </c>
      <c r="E794" t="str">
        <f ca="1">IFERROR(IF(AND(B794&amp;C794&amp;D794="___",INDIRECT("Inventory!A"&amp;MATCH(VLOOKUP(A794,Inventory!E:E,1,0),Inventory!E:E,0))&lt;&gt;INDIRECT("'Full Inventory'!B"&amp;MATCH(VLOOKUP(A794,'Full Inventory'!F:F,1,0),'Full Inventory'!F:F,0))),"X","_"),"_")</f>
        <v>_</v>
      </c>
      <c r="K794" t="str">
        <f t="shared" ca="1" si="37"/>
        <v>__X_</v>
      </c>
      <c r="L794" t="str">
        <f t="shared" ca="1" si="38"/>
        <v/>
      </c>
      <c r="M794" t="str">
        <f>IFERROR(INDEX(Inventory!A:A,MATCH(Scan!A794,Inventory!E:E,0)),"")</f>
        <v/>
      </c>
    </row>
    <row r="795" spans="2:13" x14ac:dyDescent="0.25">
      <c r="B795" t="str">
        <f>IF(IFERROR(VLOOKUP(TRIM(A795),Inventory!E:E,1,0),0)=0,"X","_")</f>
        <v>_</v>
      </c>
      <c r="C795" t="str">
        <f>IF(IFERROR(VLOOKUP(TRIM(A795),'Full Inventory'!F:F,1,0),0)=0,"X","_")</f>
        <v>_</v>
      </c>
      <c r="D795" t="str">
        <f t="shared" si="36"/>
        <v>X</v>
      </c>
      <c r="E795" t="str">
        <f ca="1">IFERROR(IF(AND(B795&amp;C795&amp;D795="___",INDIRECT("Inventory!A"&amp;MATCH(VLOOKUP(A795,Inventory!E:E,1,0),Inventory!E:E,0))&lt;&gt;INDIRECT("'Full Inventory'!B"&amp;MATCH(VLOOKUP(A795,'Full Inventory'!F:F,1,0),'Full Inventory'!F:F,0))),"X","_"),"_")</f>
        <v>_</v>
      </c>
      <c r="K795" t="str">
        <f t="shared" ca="1" si="37"/>
        <v>__X_</v>
      </c>
      <c r="L795" t="str">
        <f t="shared" ca="1" si="38"/>
        <v/>
      </c>
      <c r="M795" t="str">
        <f>IFERROR(INDEX(Inventory!A:A,MATCH(Scan!A795,Inventory!E:E,0)),"")</f>
        <v/>
      </c>
    </row>
    <row r="796" spans="2:13" x14ac:dyDescent="0.25">
      <c r="B796" t="str">
        <f>IF(IFERROR(VLOOKUP(TRIM(A796),Inventory!E:E,1,0),0)=0,"X","_")</f>
        <v>_</v>
      </c>
      <c r="C796" t="str">
        <f>IF(IFERROR(VLOOKUP(TRIM(A796),'Full Inventory'!F:F,1,0),0)=0,"X","_")</f>
        <v>_</v>
      </c>
      <c r="D796" t="str">
        <f t="shared" si="36"/>
        <v>X</v>
      </c>
      <c r="E796" t="str">
        <f ca="1">IFERROR(IF(AND(B796&amp;C796&amp;D796="___",INDIRECT("Inventory!A"&amp;MATCH(VLOOKUP(A796,Inventory!E:E,1,0),Inventory!E:E,0))&lt;&gt;INDIRECT("'Full Inventory'!B"&amp;MATCH(VLOOKUP(A796,'Full Inventory'!F:F,1,0),'Full Inventory'!F:F,0))),"X","_"),"_")</f>
        <v>_</v>
      </c>
      <c r="K796" t="str">
        <f t="shared" ca="1" si="37"/>
        <v>__X_</v>
      </c>
      <c r="L796" t="str">
        <f t="shared" ca="1" si="38"/>
        <v/>
      </c>
      <c r="M796" t="str">
        <f>IFERROR(INDEX(Inventory!A:A,MATCH(Scan!A796,Inventory!E:E,0)),"")</f>
        <v/>
      </c>
    </row>
    <row r="797" spans="2:13" x14ac:dyDescent="0.25">
      <c r="B797" t="str">
        <f>IF(IFERROR(VLOOKUP(TRIM(A797),Inventory!E:E,1,0),0)=0,"X","_")</f>
        <v>_</v>
      </c>
      <c r="C797" t="str">
        <f>IF(IFERROR(VLOOKUP(TRIM(A797),'Full Inventory'!F:F,1,0),0)=0,"X","_")</f>
        <v>_</v>
      </c>
      <c r="D797" t="str">
        <f t="shared" si="36"/>
        <v>X</v>
      </c>
      <c r="E797" t="str">
        <f ca="1">IFERROR(IF(AND(B797&amp;C797&amp;D797="___",INDIRECT("Inventory!A"&amp;MATCH(VLOOKUP(A797,Inventory!E:E,1,0),Inventory!E:E,0))&lt;&gt;INDIRECT("'Full Inventory'!B"&amp;MATCH(VLOOKUP(A797,'Full Inventory'!F:F,1,0),'Full Inventory'!F:F,0))),"X","_"),"_")</f>
        <v>_</v>
      </c>
      <c r="K797" t="str">
        <f t="shared" ca="1" si="37"/>
        <v>__X_</v>
      </c>
      <c r="L797" t="str">
        <f t="shared" ca="1" si="38"/>
        <v/>
      </c>
      <c r="M797" t="str">
        <f>IFERROR(INDEX(Inventory!A:A,MATCH(Scan!A797,Inventory!E:E,0)),"")</f>
        <v/>
      </c>
    </row>
    <row r="798" spans="2:13" x14ac:dyDescent="0.25">
      <c r="B798" t="str">
        <f>IF(IFERROR(VLOOKUP(TRIM(A798),Inventory!E:E,1,0),0)=0,"X","_")</f>
        <v>_</v>
      </c>
      <c r="C798" t="str">
        <f>IF(IFERROR(VLOOKUP(TRIM(A798),'Full Inventory'!F:F,1,0),0)=0,"X","_")</f>
        <v>_</v>
      </c>
      <c r="D798" t="str">
        <f t="shared" si="36"/>
        <v>X</v>
      </c>
      <c r="E798" t="str">
        <f ca="1">IFERROR(IF(AND(B798&amp;C798&amp;D798="___",INDIRECT("Inventory!A"&amp;MATCH(VLOOKUP(A798,Inventory!E:E,1,0),Inventory!E:E,0))&lt;&gt;INDIRECT("'Full Inventory'!B"&amp;MATCH(VLOOKUP(A798,'Full Inventory'!F:F,1,0),'Full Inventory'!F:F,0))),"X","_"),"_")</f>
        <v>_</v>
      </c>
      <c r="K798" t="str">
        <f t="shared" ca="1" si="37"/>
        <v>__X_</v>
      </c>
      <c r="L798" t="str">
        <f t="shared" ca="1" si="38"/>
        <v/>
      </c>
      <c r="M798" t="str">
        <f>IFERROR(INDEX(Inventory!A:A,MATCH(Scan!A798,Inventory!E:E,0)),"")</f>
        <v/>
      </c>
    </row>
    <row r="799" spans="2:13" x14ac:dyDescent="0.25">
      <c r="B799" t="str">
        <f>IF(IFERROR(VLOOKUP(TRIM(A799),Inventory!E:E,1,0),0)=0,"X","_")</f>
        <v>_</v>
      </c>
      <c r="C799" t="str">
        <f>IF(IFERROR(VLOOKUP(TRIM(A799),'Full Inventory'!F:F,1,0),0)=0,"X","_")</f>
        <v>_</v>
      </c>
      <c r="D799" t="str">
        <f t="shared" si="36"/>
        <v>X</v>
      </c>
      <c r="E799" t="str">
        <f ca="1">IFERROR(IF(AND(B799&amp;C799&amp;D799="___",INDIRECT("Inventory!A"&amp;MATCH(VLOOKUP(A799,Inventory!E:E,1,0),Inventory!E:E,0))&lt;&gt;INDIRECT("'Full Inventory'!B"&amp;MATCH(VLOOKUP(A799,'Full Inventory'!F:F,1,0),'Full Inventory'!F:F,0))),"X","_"),"_")</f>
        <v>_</v>
      </c>
      <c r="K799" t="str">
        <f t="shared" ca="1" si="37"/>
        <v>__X_</v>
      </c>
      <c r="L799" t="str">
        <f t="shared" ca="1" si="38"/>
        <v/>
      </c>
      <c r="M799" t="str">
        <f>IFERROR(INDEX(Inventory!A:A,MATCH(Scan!A799,Inventory!E:E,0)),"")</f>
        <v/>
      </c>
    </row>
    <row r="800" spans="2:13" x14ac:dyDescent="0.25">
      <c r="B800" t="str">
        <f>IF(IFERROR(VLOOKUP(TRIM(A800),Inventory!E:E,1,0),0)=0,"X","_")</f>
        <v>_</v>
      </c>
      <c r="C800" t="str">
        <f>IF(IFERROR(VLOOKUP(TRIM(A800),'Full Inventory'!F:F,1,0),0)=0,"X","_")</f>
        <v>_</v>
      </c>
      <c r="D800" t="str">
        <f t="shared" si="36"/>
        <v>X</v>
      </c>
      <c r="E800" t="str">
        <f ca="1">IFERROR(IF(AND(B800&amp;C800&amp;D800="___",INDIRECT("Inventory!A"&amp;MATCH(VLOOKUP(A800,Inventory!E:E,1,0),Inventory!E:E,0))&lt;&gt;INDIRECT("'Full Inventory'!B"&amp;MATCH(VLOOKUP(A800,'Full Inventory'!F:F,1,0),'Full Inventory'!F:F,0))),"X","_"),"_")</f>
        <v>_</v>
      </c>
      <c r="K800" t="str">
        <f t="shared" ca="1" si="37"/>
        <v>__X_</v>
      </c>
      <c r="L800" t="str">
        <f t="shared" ca="1" si="38"/>
        <v/>
      </c>
      <c r="M800" t="str">
        <f>IFERROR(INDEX(Inventory!A:A,MATCH(Scan!A800,Inventory!E:E,0)),"")</f>
        <v/>
      </c>
    </row>
    <row r="801" spans="2:13" x14ac:dyDescent="0.25">
      <c r="B801" t="str">
        <f>IF(IFERROR(VLOOKUP(TRIM(A801),Inventory!E:E,1,0),0)=0,"X","_")</f>
        <v>_</v>
      </c>
      <c r="C801" t="str">
        <f>IF(IFERROR(VLOOKUP(TRIM(A801),'Full Inventory'!F:F,1,0),0)=0,"X","_")</f>
        <v>_</v>
      </c>
      <c r="D801" t="str">
        <f t="shared" si="36"/>
        <v>X</v>
      </c>
      <c r="E801" t="str">
        <f ca="1">IFERROR(IF(AND(B801&amp;C801&amp;D801="___",INDIRECT("Inventory!A"&amp;MATCH(VLOOKUP(A801,Inventory!E:E,1,0),Inventory!E:E,0))&lt;&gt;INDIRECT("'Full Inventory'!B"&amp;MATCH(VLOOKUP(A801,'Full Inventory'!F:F,1,0),'Full Inventory'!F:F,0))),"X","_"),"_")</f>
        <v>_</v>
      </c>
      <c r="K801" t="str">
        <f t="shared" ca="1" si="37"/>
        <v>__X_</v>
      </c>
      <c r="L801" t="str">
        <f t="shared" ca="1" si="38"/>
        <v/>
      </c>
      <c r="M801" t="str">
        <f>IFERROR(INDEX(Inventory!A:A,MATCH(Scan!A801,Inventory!E:E,0)),"")</f>
        <v/>
      </c>
    </row>
    <row r="802" spans="2:13" x14ac:dyDescent="0.25">
      <c r="B802" t="str">
        <f>IF(IFERROR(VLOOKUP(TRIM(A802),Inventory!E:E,1,0),0)=0,"X","_")</f>
        <v>_</v>
      </c>
      <c r="C802" t="str">
        <f>IF(IFERROR(VLOOKUP(TRIM(A802),'Full Inventory'!F:F,1,0),0)=0,"X","_")</f>
        <v>_</v>
      </c>
      <c r="D802" t="str">
        <f t="shared" si="36"/>
        <v>X</v>
      </c>
      <c r="E802" t="str">
        <f ca="1">IFERROR(IF(AND(B802&amp;C802&amp;D802="___",INDIRECT("Inventory!A"&amp;MATCH(VLOOKUP(A802,Inventory!E:E,1,0),Inventory!E:E,0))&lt;&gt;INDIRECT("'Full Inventory'!B"&amp;MATCH(VLOOKUP(A802,'Full Inventory'!F:F,1,0),'Full Inventory'!F:F,0))),"X","_"),"_")</f>
        <v>_</v>
      </c>
      <c r="K802" t="str">
        <f t="shared" ca="1" si="37"/>
        <v>__X_</v>
      </c>
      <c r="L802" t="str">
        <f t="shared" ca="1" si="38"/>
        <v/>
      </c>
      <c r="M802" t="str">
        <f>IFERROR(INDEX(Inventory!A:A,MATCH(Scan!A802,Inventory!E:E,0)),"")</f>
        <v/>
      </c>
    </row>
    <row r="803" spans="2:13" x14ac:dyDescent="0.25">
      <c r="B803" t="str">
        <f>IF(IFERROR(VLOOKUP(TRIM(A803),Inventory!E:E,1,0),0)=0,"X","_")</f>
        <v>_</v>
      </c>
      <c r="C803" t="str">
        <f>IF(IFERROR(VLOOKUP(TRIM(A803),'Full Inventory'!F:F,1,0),0)=0,"X","_")</f>
        <v>_</v>
      </c>
      <c r="D803" t="str">
        <f t="shared" si="36"/>
        <v>X</v>
      </c>
      <c r="E803" t="str">
        <f ca="1">IFERROR(IF(AND(B803&amp;C803&amp;D803="___",INDIRECT("Inventory!A"&amp;MATCH(VLOOKUP(A803,Inventory!E:E,1,0),Inventory!E:E,0))&lt;&gt;INDIRECT("'Full Inventory'!B"&amp;MATCH(VLOOKUP(A803,'Full Inventory'!F:F,1,0),'Full Inventory'!F:F,0))),"X","_"),"_")</f>
        <v>_</v>
      </c>
      <c r="K803" t="str">
        <f t="shared" ca="1" si="37"/>
        <v>__X_</v>
      </c>
      <c r="L803" t="str">
        <f t="shared" ca="1" si="38"/>
        <v/>
      </c>
      <c r="M803" t="str">
        <f>IFERROR(INDEX(Inventory!A:A,MATCH(Scan!A803,Inventory!E:E,0)),"")</f>
        <v/>
      </c>
    </row>
    <row r="804" spans="2:13" x14ac:dyDescent="0.25">
      <c r="B804" t="str">
        <f>IF(IFERROR(VLOOKUP(TRIM(A804),Inventory!E:E,1,0),0)=0,"X","_")</f>
        <v>_</v>
      </c>
      <c r="C804" t="str">
        <f>IF(IFERROR(VLOOKUP(TRIM(A804),'Full Inventory'!F:F,1,0),0)=0,"X","_")</f>
        <v>_</v>
      </c>
      <c r="D804" t="str">
        <f t="shared" si="36"/>
        <v>X</v>
      </c>
      <c r="E804" t="str">
        <f ca="1">IFERROR(IF(AND(B804&amp;C804&amp;D804="___",INDIRECT("Inventory!A"&amp;MATCH(VLOOKUP(A804,Inventory!E:E,1,0),Inventory!E:E,0))&lt;&gt;INDIRECT("'Full Inventory'!B"&amp;MATCH(VLOOKUP(A804,'Full Inventory'!F:F,1,0),'Full Inventory'!F:F,0))),"X","_"),"_")</f>
        <v>_</v>
      </c>
      <c r="K804" t="str">
        <f t="shared" ca="1" si="37"/>
        <v>__X_</v>
      </c>
      <c r="L804" t="str">
        <f t="shared" ca="1" si="38"/>
        <v/>
      </c>
      <c r="M804" t="str">
        <f>IFERROR(INDEX(Inventory!A:A,MATCH(Scan!A804,Inventory!E:E,0)),"")</f>
        <v/>
      </c>
    </row>
    <row r="805" spans="2:13" x14ac:dyDescent="0.25">
      <c r="B805" t="str">
        <f>IF(IFERROR(VLOOKUP(TRIM(A805),Inventory!E:E,1,0),0)=0,"X","_")</f>
        <v>_</v>
      </c>
      <c r="C805" t="str">
        <f>IF(IFERROR(VLOOKUP(TRIM(A805),'Full Inventory'!F:F,1,0),0)=0,"X","_")</f>
        <v>_</v>
      </c>
      <c r="D805" t="str">
        <f t="shared" si="36"/>
        <v>X</v>
      </c>
      <c r="E805" t="str">
        <f ca="1">IFERROR(IF(AND(B805&amp;C805&amp;D805="___",INDIRECT("Inventory!A"&amp;MATCH(VLOOKUP(A805,Inventory!E:E,1,0),Inventory!E:E,0))&lt;&gt;INDIRECT("'Full Inventory'!B"&amp;MATCH(VLOOKUP(A805,'Full Inventory'!F:F,1,0),'Full Inventory'!F:F,0))),"X","_"),"_")</f>
        <v>_</v>
      </c>
      <c r="K805" t="str">
        <f t="shared" ca="1" si="37"/>
        <v>__X_</v>
      </c>
      <c r="L805" t="str">
        <f t="shared" ca="1" si="38"/>
        <v/>
      </c>
      <c r="M805" t="str">
        <f>IFERROR(INDEX(Inventory!A:A,MATCH(Scan!A805,Inventory!E:E,0)),"")</f>
        <v/>
      </c>
    </row>
    <row r="806" spans="2:13" x14ac:dyDescent="0.25">
      <c r="B806" t="str">
        <f>IF(IFERROR(VLOOKUP(TRIM(A806),Inventory!E:E,1,0),0)=0,"X","_")</f>
        <v>_</v>
      </c>
      <c r="C806" t="str">
        <f>IF(IFERROR(VLOOKUP(TRIM(A806),'Full Inventory'!F:F,1,0),0)=0,"X","_")</f>
        <v>_</v>
      </c>
      <c r="D806" t="str">
        <f t="shared" si="36"/>
        <v>X</v>
      </c>
      <c r="E806" t="str">
        <f ca="1">IFERROR(IF(AND(B806&amp;C806&amp;D806="___",INDIRECT("Inventory!A"&amp;MATCH(VLOOKUP(A806,Inventory!E:E,1,0),Inventory!E:E,0))&lt;&gt;INDIRECT("'Full Inventory'!B"&amp;MATCH(VLOOKUP(A806,'Full Inventory'!F:F,1,0),'Full Inventory'!F:F,0))),"X","_"),"_")</f>
        <v>_</v>
      </c>
      <c r="K806" t="str">
        <f t="shared" ca="1" si="37"/>
        <v>__X_</v>
      </c>
      <c r="L806" t="str">
        <f t="shared" ca="1" si="38"/>
        <v/>
      </c>
      <c r="M806" t="str">
        <f>IFERROR(INDEX(Inventory!A:A,MATCH(Scan!A806,Inventory!E:E,0)),"")</f>
        <v/>
      </c>
    </row>
    <row r="807" spans="2:13" x14ac:dyDescent="0.25">
      <c r="B807" t="str">
        <f>IF(IFERROR(VLOOKUP(TRIM(A807),Inventory!E:E,1,0),0)=0,"X","_")</f>
        <v>_</v>
      </c>
      <c r="C807" t="str">
        <f>IF(IFERROR(VLOOKUP(TRIM(A807),'Full Inventory'!F:F,1,0),0)=0,"X","_")</f>
        <v>_</v>
      </c>
      <c r="D807" t="str">
        <f t="shared" si="36"/>
        <v>X</v>
      </c>
      <c r="E807" t="str">
        <f ca="1">IFERROR(IF(AND(B807&amp;C807&amp;D807="___",INDIRECT("Inventory!A"&amp;MATCH(VLOOKUP(A807,Inventory!E:E,1,0),Inventory!E:E,0))&lt;&gt;INDIRECT("'Full Inventory'!B"&amp;MATCH(VLOOKUP(A807,'Full Inventory'!F:F,1,0),'Full Inventory'!F:F,0))),"X","_"),"_")</f>
        <v>_</v>
      </c>
      <c r="K807" t="str">
        <f t="shared" ca="1" si="37"/>
        <v>__X_</v>
      </c>
      <c r="L807" t="str">
        <f t="shared" ca="1" si="38"/>
        <v/>
      </c>
      <c r="M807" t="str">
        <f>IFERROR(INDEX(Inventory!A:A,MATCH(Scan!A807,Inventory!E:E,0)),"")</f>
        <v/>
      </c>
    </row>
    <row r="808" spans="2:13" x14ac:dyDescent="0.25">
      <c r="B808" t="str">
        <f>IF(IFERROR(VLOOKUP(TRIM(A808),Inventory!E:E,1,0),0)=0,"X","_")</f>
        <v>_</v>
      </c>
      <c r="C808" t="str">
        <f>IF(IFERROR(VLOOKUP(TRIM(A808),'Full Inventory'!F:F,1,0),0)=0,"X","_")</f>
        <v>_</v>
      </c>
      <c r="D808" t="str">
        <f t="shared" si="36"/>
        <v>X</v>
      </c>
      <c r="E808" t="str">
        <f ca="1">IFERROR(IF(AND(B808&amp;C808&amp;D808="___",INDIRECT("Inventory!A"&amp;MATCH(VLOOKUP(A808,Inventory!E:E,1,0),Inventory!E:E,0))&lt;&gt;INDIRECT("'Full Inventory'!B"&amp;MATCH(VLOOKUP(A808,'Full Inventory'!F:F,1,0),'Full Inventory'!F:F,0))),"X","_"),"_")</f>
        <v>_</v>
      </c>
      <c r="K808" t="str">
        <f t="shared" ca="1" si="37"/>
        <v>__X_</v>
      </c>
      <c r="L808" t="str">
        <f t="shared" ca="1" si="38"/>
        <v/>
      </c>
      <c r="M808" t="str">
        <f>IFERROR(INDEX(Inventory!A:A,MATCH(Scan!A808,Inventory!E:E,0)),"")</f>
        <v/>
      </c>
    </row>
    <row r="809" spans="2:13" x14ac:dyDescent="0.25">
      <c r="B809" t="str">
        <f>IF(IFERROR(VLOOKUP(TRIM(A809),Inventory!E:E,1,0),0)=0,"X","_")</f>
        <v>_</v>
      </c>
      <c r="C809" t="str">
        <f>IF(IFERROR(VLOOKUP(TRIM(A809),'Full Inventory'!F:F,1,0),0)=0,"X","_")</f>
        <v>_</v>
      </c>
      <c r="D809" t="str">
        <f t="shared" si="36"/>
        <v>X</v>
      </c>
      <c r="E809" t="str">
        <f ca="1">IFERROR(IF(AND(B809&amp;C809&amp;D809="___",INDIRECT("Inventory!A"&amp;MATCH(VLOOKUP(A809,Inventory!E:E,1,0),Inventory!E:E,0))&lt;&gt;INDIRECT("'Full Inventory'!B"&amp;MATCH(VLOOKUP(A809,'Full Inventory'!F:F,1,0),'Full Inventory'!F:F,0))),"X","_"),"_")</f>
        <v>_</v>
      </c>
      <c r="K809" t="str">
        <f t="shared" ca="1" si="37"/>
        <v>__X_</v>
      </c>
      <c r="L809" t="str">
        <f t="shared" ca="1" si="38"/>
        <v/>
      </c>
      <c r="M809" t="str">
        <f>IFERROR(INDEX(Inventory!A:A,MATCH(Scan!A809,Inventory!E:E,0)),"")</f>
        <v/>
      </c>
    </row>
    <row r="810" spans="2:13" x14ac:dyDescent="0.25">
      <c r="B810" t="str">
        <f>IF(IFERROR(VLOOKUP(TRIM(A810),Inventory!E:E,1,0),0)=0,"X","_")</f>
        <v>_</v>
      </c>
      <c r="C810" t="str">
        <f>IF(IFERROR(VLOOKUP(TRIM(A810),'Full Inventory'!F:F,1,0),0)=0,"X","_")</f>
        <v>_</v>
      </c>
      <c r="D810" t="str">
        <f t="shared" si="36"/>
        <v>X</v>
      </c>
      <c r="E810" t="str">
        <f ca="1">IFERROR(IF(AND(B810&amp;C810&amp;D810="___",INDIRECT("Inventory!A"&amp;MATCH(VLOOKUP(A810,Inventory!E:E,1,0),Inventory!E:E,0))&lt;&gt;INDIRECT("'Full Inventory'!B"&amp;MATCH(VLOOKUP(A810,'Full Inventory'!F:F,1,0),'Full Inventory'!F:F,0))),"X","_"),"_")</f>
        <v>_</v>
      </c>
      <c r="K810" t="str">
        <f t="shared" ca="1" si="37"/>
        <v>__X_</v>
      </c>
      <c r="L810" t="str">
        <f t="shared" ca="1" si="38"/>
        <v/>
      </c>
      <c r="M810" t="str">
        <f>IFERROR(INDEX(Inventory!A:A,MATCH(Scan!A810,Inventory!E:E,0)),"")</f>
        <v/>
      </c>
    </row>
    <row r="811" spans="2:13" x14ac:dyDescent="0.25">
      <c r="B811" t="str">
        <f>IF(IFERROR(VLOOKUP(TRIM(A811),Inventory!E:E,1,0),0)=0,"X","_")</f>
        <v>_</v>
      </c>
      <c r="C811" t="str">
        <f>IF(IFERROR(VLOOKUP(TRIM(A811),'Full Inventory'!F:F,1,0),0)=0,"X","_")</f>
        <v>_</v>
      </c>
      <c r="D811" t="str">
        <f t="shared" si="36"/>
        <v>X</v>
      </c>
      <c r="E811" t="str">
        <f ca="1">IFERROR(IF(AND(B811&amp;C811&amp;D811="___",INDIRECT("Inventory!A"&amp;MATCH(VLOOKUP(A811,Inventory!E:E,1,0),Inventory!E:E,0))&lt;&gt;INDIRECT("'Full Inventory'!B"&amp;MATCH(VLOOKUP(A811,'Full Inventory'!F:F,1,0),'Full Inventory'!F:F,0))),"X","_"),"_")</f>
        <v>_</v>
      </c>
      <c r="K811" t="str">
        <f t="shared" ca="1" si="37"/>
        <v>__X_</v>
      </c>
      <c r="L811" t="str">
        <f t="shared" ca="1" si="38"/>
        <v/>
      </c>
      <c r="M811" t="str">
        <f>IFERROR(INDEX(Inventory!A:A,MATCH(Scan!A811,Inventory!E:E,0)),"")</f>
        <v/>
      </c>
    </row>
    <row r="812" spans="2:13" x14ac:dyDescent="0.25">
      <c r="B812" t="str">
        <f>IF(IFERROR(VLOOKUP(TRIM(A812),Inventory!E:E,1,0),0)=0,"X","_")</f>
        <v>_</v>
      </c>
      <c r="C812" t="str">
        <f>IF(IFERROR(VLOOKUP(TRIM(A812),'Full Inventory'!F:F,1,0),0)=0,"X","_")</f>
        <v>_</v>
      </c>
      <c r="D812" t="str">
        <f t="shared" si="36"/>
        <v>X</v>
      </c>
      <c r="E812" t="str">
        <f ca="1">IFERROR(IF(AND(B812&amp;C812&amp;D812="___",INDIRECT("Inventory!A"&amp;MATCH(VLOOKUP(A812,Inventory!E:E,1,0),Inventory!E:E,0))&lt;&gt;INDIRECT("'Full Inventory'!B"&amp;MATCH(VLOOKUP(A812,'Full Inventory'!F:F,1,0),'Full Inventory'!F:F,0))),"X","_"),"_")</f>
        <v>_</v>
      </c>
      <c r="K812" t="str">
        <f t="shared" ca="1" si="37"/>
        <v>__X_</v>
      </c>
      <c r="L812" t="str">
        <f t="shared" ca="1" si="38"/>
        <v/>
      </c>
      <c r="M812" t="str">
        <f>IFERROR(INDEX(Inventory!A:A,MATCH(Scan!A812,Inventory!E:E,0)),"")</f>
        <v/>
      </c>
    </row>
    <row r="813" spans="2:13" x14ac:dyDescent="0.25">
      <c r="B813" t="str">
        <f>IF(IFERROR(VLOOKUP(TRIM(A813),Inventory!E:E,1,0),0)=0,"X","_")</f>
        <v>_</v>
      </c>
      <c r="C813" t="str">
        <f>IF(IFERROR(VLOOKUP(TRIM(A813),'Full Inventory'!F:F,1,0),0)=0,"X","_")</f>
        <v>_</v>
      </c>
      <c r="D813" t="str">
        <f t="shared" si="36"/>
        <v>X</v>
      </c>
      <c r="E813" t="str">
        <f ca="1">IFERROR(IF(AND(B813&amp;C813&amp;D813="___",INDIRECT("Inventory!A"&amp;MATCH(VLOOKUP(A813,Inventory!E:E,1,0),Inventory!E:E,0))&lt;&gt;INDIRECT("'Full Inventory'!B"&amp;MATCH(VLOOKUP(A813,'Full Inventory'!F:F,1,0),'Full Inventory'!F:F,0))),"X","_"),"_")</f>
        <v>_</v>
      </c>
      <c r="K813" t="str">
        <f t="shared" ca="1" si="37"/>
        <v>__X_</v>
      </c>
      <c r="L813" t="str">
        <f t="shared" ca="1" si="38"/>
        <v/>
      </c>
      <c r="M813" t="str">
        <f>IFERROR(INDEX(Inventory!A:A,MATCH(Scan!A813,Inventory!E:E,0)),"")</f>
        <v/>
      </c>
    </row>
    <row r="814" spans="2:13" x14ac:dyDescent="0.25">
      <c r="B814" t="str">
        <f>IF(IFERROR(VLOOKUP(TRIM(A814),Inventory!E:E,1,0),0)=0,"X","_")</f>
        <v>_</v>
      </c>
      <c r="C814" t="str">
        <f>IF(IFERROR(VLOOKUP(TRIM(A814),'Full Inventory'!F:F,1,0),0)=0,"X","_")</f>
        <v>_</v>
      </c>
      <c r="D814" t="str">
        <f t="shared" si="36"/>
        <v>X</v>
      </c>
      <c r="E814" t="str">
        <f ca="1">IFERROR(IF(AND(B814&amp;C814&amp;D814="___",INDIRECT("Inventory!A"&amp;MATCH(VLOOKUP(A814,Inventory!E:E,1,0),Inventory!E:E,0))&lt;&gt;INDIRECT("'Full Inventory'!B"&amp;MATCH(VLOOKUP(A814,'Full Inventory'!F:F,1,0),'Full Inventory'!F:F,0))),"X","_"),"_")</f>
        <v>_</v>
      </c>
      <c r="K814" t="str">
        <f t="shared" ca="1" si="37"/>
        <v>__X_</v>
      </c>
      <c r="L814" t="str">
        <f t="shared" ca="1" si="38"/>
        <v/>
      </c>
      <c r="M814" t="str">
        <f>IFERROR(INDEX(Inventory!A:A,MATCH(Scan!A814,Inventory!E:E,0)),"")</f>
        <v/>
      </c>
    </row>
    <row r="815" spans="2:13" x14ac:dyDescent="0.25">
      <c r="B815" t="str">
        <f>IF(IFERROR(VLOOKUP(TRIM(A815),Inventory!E:E,1,0),0)=0,"X","_")</f>
        <v>_</v>
      </c>
      <c r="C815" t="str">
        <f>IF(IFERROR(VLOOKUP(TRIM(A815),'Full Inventory'!F:F,1,0),0)=0,"X","_")</f>
        <v>_</v>
      </c>
      <c r="D815" t="str">
        <f t="shared" si="36"/>
        <v>X</v>
      </c>
      <c r="E815" t="str">
        <f ca="1">IFERROR(IF(AND(B815&amp;C815&amp;D815="___",INDIRECT("Inventory!A"&amp;MATCH(VLOOKUP(A815,Inventory!E:E,1,0),Inventory!E:E,0))&lt;&gt;INDIRECT("'Full Inventory'!B"&amp;MATCH(VLOOKUP(A815,'Full Inventory'!F:F,1,0),'Full Inventory'!F:F,0))),"X","_"),"_")</f>
        <v>_</v>
      </c>
      <c r="K815" t="str">
        <f t="shared" ca="1" si="37"/>
        <v>__X_</v>
      </c>
      <c r="L815" t="str">
        <f t="shared" ca="1" si="38"/>
        <v/>
      </c>
      <c r="M815" t="str">
        <f>IFERROR(INDEX(Inventory!A:A,MATCH(Scan!A815,Inventory!E:E,0)),"")</f>
        <v/>
      </c>
    </row>
    <row r="816" spans="2:13" x14ac:dyDescent="0.25">
      <c r="B816" t="str">
        <f>IF(IFERROR(VLOOKUP(TRIM(A816),Inventory!E:E,1,0),0)=0,"X","_")</f>
        <v>_</v>
      </c>
      <c r="C816" t="str">
        <f>IF(IFERROR(VLOOKUP(TRIM(A816),'Full Inventory'!F:F,1,0),0)=0,"X","_")</f>
        <v>_</v>
      </c>
      <c r="D816" t="str">
        <f t="shared" si="36"/>
        <v>X</v>
      </c>
      <c r="E816" t="str">
        <f ca="1">IFERROR(IF(AND(B816&amp;C816&amp;D816="___",INDIRECT("Inventory!A"&amp;MATCH(VLOOKUP(A816,Inventory!E:E,1,0),Inventory!E:E,0))&lt;&gt;INDIRECT("'Full Inventory'!B"&amp;MATCH(VLOOKUP(A816,'Full Inventory'!F:F,1,0),'Full Inventory'!F:F,0))),"X","_"),"_")</f>
        <v>_</v>
      </c>
      <c r="K816" t="str">
        <f t="shared" ca="1" si="37"/>
        <v>__X_</v>
      </c>
      <c r="L816" t="str">
        <f t="shared" ca="1" si="38"/>
        <v/>
      </c>
      <c r="M816" t="str">
        <f>IFERROR(INDEX(Inventory!A:A,MATCH(Scan!A816,Inventory!E:E,0)),"")</f>
        <v/>
      </c>
    </row>
    <row r="817" spans="2:13" x14ac:dyDescent="0.25">
      <c r="B817" t="str">
        <f>IF(IFERROR(VLOOKUP(TRIM(A817),Inventory!E:E,1,0),0)=0,"X","_")</f>
        <v>_</v>
      </c>
      <c r="C817" t="str">
        <f>IF(IFERROR(VLOOKUP(TRIM(A817),'Full Inventory'!F:F,1,0),0)=0,"X","_")</f>
        <v>_</v>
      </c>
      <c r="D817" t="str">
        <f t="shared" si="36"/>
        <v>X</v>
      </c>
      <c r="E817" t="str">
        <f ca="1">IFERROR(IF(AND(B817&amp;C817&amp;D817="___",INDIRECT("Inventory!A"&amp;MATCH(VLOOKUP(A817,Inventory!E:E,1,0),Inventory!E:E,0))&lt;&gt;INDIRECT("'Full Inventory'!B"&amp;MATCH(VLOOKUP(A817,'Full Inventory'!F:F,1,0),'Full Inventory'!F:F,0))),"X","_"),"_")</f>
        <v>_</v>
      </c>
      <c r="K817" t="str">
        <f t="shared" ca="1" si="37"/>
        <v>__X_</v>
      </c>
      <c r="L817" t="str">
        <f t="shared" ca="1" si="38"/>
        <v/>
      </c>
      <c r="M817" t="str">
        <f>IFERROR(INDEX(Inventory!A:A,MATCH(Scan!A817,Inventory!E:E,0)),"")</f>
        <v/>
      </c>
    </row>
    <row r="818" spans="2:13" x14ac:dyDescent="0.25">
      <c r="B818" t="str">
        <f>IF(IFERROR(VLOOKUP(TRIM(A818),Inventory!E:E,1,0),0)=0,"X","_")</f>
        <v>_</v>
      </c>
      <c r="C818" t="str">
        <f>IF(IFERROR(VLOOKUP(TRIM(A818),'Full Inventory'!F:F,1,0),0)=0,"X","_")</f>
        <v>_</v>
      </c>
      <c r="D818" t="str">
        <f t="shared" si="36"/>
        <v>X</v>
      </c>
      <c r="E818" t="str">
        <f ca="1">IFERROR(IF(AND(B818&amp;C818&amp;D818="___",INDIRECT("Inventory!A"&amp;MATCH(VLOOKUP(A818,Inventory!E:E,1,0),Inventory!E:E,0))&lt;&gt;INDIRECT("'Full Inventory'!B"&amp;MATCH(VLOOKUP(A818,'Full Inventory'!F:F,1,0),'Full Inventory'!F:F,0))),"X","_"),"_")</f>
        <v>_</v>
      </c>
      <c r="K818" t="str">
        <f t="shared" ca="1" si="37"/>
        <v>__X_</v>
      </c>
      <c r="L818" t="str">
        <f t="shared" ca="1" si="38"/>
        <v/>
      </c>
      <c r="M818" t="str">
        <f>IFERROR(INDEX(Inventory!A:A,MATCH(Scan!A818,Inventory!E:E,0)),"")</f>
        <v/>
      </c>
    </row>
    <row r="819" spans="2:13" x14ac:dyDescent="0.25">
      <c r="B819" t="str">
        <f>IF(IFERROR(VLOOKUP(TRIM(A819),Inventory!E:E,1,0),0)=0,"X","_")</f>
        <v>_</v>
      </c>
      <c r="C819" t="str">
        <f>IF(IFERROR(VLOOKUP(TRIM(A819),'Full Inventory'!F:F,1,0),0)=0,"X","_")</f>
        <v>_</v>
      </c>
      <c r="D819" t="str">
        <f t="shared" si="36"/>
        <v>X</v>
      </c>
      <c r="E819" t="str">
        <f ca="1">IFERROR(IF(AND(B819&amp;C819&amp;D819="___",INDIRECT("Inventory!A"&amp;MATCH(VLOOKUP(A819,Inventory!E:E,1,0),Inventory!E:E,0))&lt;&gt;INDIRECT("'Full Inventory'!B"&amp;MATCH(VLOOKUP(A819,'Full Inventory'!F:F,1,0),'Full Inventory'!F:F,0))),"X","_"),"_")</f>
        <v>_</v>
      </c>
      <c r="K819" t="str">
        <f t="shared" ca="1" si="37"/>
        <v>__X_</v>
      </c>
      <c r="L819" t="str">
        <f t="shared" ca="1" si="38"/>
        <v/>
      </c>
      <c r="M819" t="str">
        <f>IFERROR(INDEX(Inventory!A:A,MATCH(Scan!A819,Inventory!E:E,0)),"")</f>
        <v/>
      </c>
    </row>
    <row r="820" spans="2:13" x14ac:dyDescent="0.25">
      <c r="B820" t="str">
        <f>IF(IFERROR(VLOOKUP(TRIM(A820),Inventory!E:E,1,0),0)=0,"X","_")</f>
        <v>_</v>
      </c>
      <c r="C820" t="str">
        <f>IF(IFERROR(VLOOKUP(TRIM(A820),'Full Inventory'!F:F,1,0),0)=0,"X","_")</f>
        <v>_</v>
      </c>
      <c r="D820" t="str">
        <f t="shared" si="36"/>
        <v>X</v>
      </c>
      <c r="E820" t="str">
        <f ca="1">IFERROR(IF(AND(B820&amp;C820&amp;D820="___",INDIRECT("Inventory!A"&amp;MATCH(VLOOKUP(A820,Inventory!E:E,1,0),Inventory!E:E,0))&lt;&gt;INDIRECT("'Full Inventory'!B"&amp;MATCH(VLOOKUP(A820,'Full Inventory'!F:F,1,0),'Full Inventory'!F:F,0))),"X","_"),"_")</f>
        <v>_</v>
      </c>
      <c r="K820" t="str">
        <f t="shared" ca="1" si="37"/>
        <v>__X_</v>
      </c>
      <c r="L820" t="str">
        <f t="shared" ca="1" si="38"/>
        <v/>
      </c>
      <c r="M820" t="str">
        <f>IFERROR(INDEX(Inventory!A:A,MATCH(Scan!A820,Inventory!E:E,0)),"")</f>
        <v/>
      </c>
    </row>
    <row r="821" spans="2:13" x14ac:dyDescent="0.25">
      <c r="B821" t="str">
        <f>IF(IFERROR(VLOOKUP(TRIM(A821),Inventory!E:E,1,0),0)=0,"X","_")</f>
        <v>_</v>
      </c>
      <c r="C821" t="str">
        <f>IF(IFERROR(VLOOKUP(TRIM(A821),'Full Inventory'!F:F,1,0),0)=0,"X","_")</f>
        <v>_</v>
      </c>
      <c r="D821" t="str">
        <f t="shared" si="36"/>
        <v>X</v>
      </c>
      <c r="E821" t="str">
        <f ca="1">IFERROR(IF(AND(B821&amp;C821&amp;D821="___",INDIRECT("Inventory!A"&amp;MATCH(VLOOKUP(A821,Inventory!E:E,1,0),Inventory!E:E,0))&lt;&gt;INDIRECT("'Full Inventory'!B"&amp;MATCH(VLOOKUP(A821,'Full Inventory'!F:F,1,0),'Full Inventory'!F:F,0))),"X","_"),"_")</f>
        <v>_</v>
      </c>
      <c r="K821" t="str">
        <f t="shared" ca="1" si="37"/>
        <v>__X_</v>
      </c>
      <c r="L821" t="str">
        <f t="shared" ca="1" si="38"/>
        <v/>
      </c>
      <c r="M821" t="str">
        <f>IFERROR(INDEX(Inventory!A:A,MATCH(Scan!A821,Inventory!E:E,0)),"")</f>
        <v/>
      </c>
    </row>
    <row r="822" spans="2:13" x14ac:dyDescent="0.25">
      <c r="B822" t="str">
        <f>IF(IFERROR(VLOOKUP(TRIM(A822),Inventory!E:E,1,0),0)=0,"X","_")</f>
        <v>_</v>
      </c>
      <c r="C822" t="str">
        <f>IF(IFERROR(VLOOKUP(TRIM(A822),'Full Inventory'!F:F,1,0),0)=0,"X","_")</f>
        <v>_</v>
      </c>
      <c r="D822" t="str">
        <f t="shared" si="36"/>
        <v>X</v>
      </c>
      <c r="E822" t="str">
        <f ca="1">IFERROR(IF(AND(B822&amp;C822&amp;D822="___",INDIRECT("Inventory!A"&amp;MATCH(VLOOKUP(A822,Inventory!E:E,1,0),Inventory!E:E,0))&lt;&gt;INDIRECT("'Full Inventory'!B"&amp;MATCH(VLOOKUP(A822,'Full Inventory'!F:F,1,0),'Full Inventory'!F:F,0))),"X","_"),"_")</f>
        <v>_</v>
      </c>
      <c r="K822" t="str">
        <f t="shared" ca="1" si="37"/>
        <v>__X_</v>
      </c>
      <c r="L822" t="str">
        <f t="shared" ca="1" si="38"/>
        <v/>
      </c>
      <c r="M822" t="str">
        <f>IFERROR(INDEX(Inventory!A:A,MATCH(Scan!A822,Inventory!E:E,0)),"")</f>
        <v/>
      </c>
    </row>
    <row r="823" spans="2:13" x14ac:dyDescent="0.25">
      <c r="B823" t="str">
        <f>IF(IFERROR(VLOOKUP(TRIM(A823),Inventory!E:E,1,0),0)=0,"X","_")</f>
        <v>_</v>
      </c>
      <c r="C823" t="str">
        <f>IF(IFERROR(VLOOKUP(TRIM(A823),'Full Inventory'!F:F,1,0),0)=0,"X","_")</f>
        <v>_</v>
      </c>
      <c r="D823" t="str">
        <f t="shared" si="36"/>
        <v>X</v>
      </c>
      <c r="E823" t="str">
        <f ca="1">IFERROR(IF(AND(B823&amp;C823&amp;D823="___",INDIRECT("Inventory!A"&amp;MATCH(VLOOKUP(A823,Inventory!E:E,1,0),Inventory!E:E,0))&lt;&gt;INDIRECT("'Full Inventory'!B"&amp;MATCH(VLOOKUP(A823,'Full Inventory'!F:F,1,0),'Full Inventory'!F:F,0))),"X","_"),"_")</f>
        <v>_</v>
      </c>
      <c r="K823" t="str">
        <f t="shared" ca="1" si="37"/>
        <v>__X_</v>
      </c>
      <c r="L823" t="str">
        <f t="shared" ca="1" si="38"/>
        <v/>
      </c>
      <c r="M823" t="str">
        <f>IFERROR(INDEX(Inventory!A:A,MATCH(Scan!A823,Inventory!E:E,0)),"")</f>
        <v/>
      </c>
    </row>
    <row r="824" spans="2:13" x14ac:dyDescent="0.25">
      <c r="B824" t="str">
        <f>IF(IFERROR(VLOOKUP(TRIM(A824),Inventory!E:E,1,0),0)=0,"X","_")</f>
        <v>_</v>
      </c>
      <c r="C824" t="str">
        <f>IF(IFERROR(VLOOKUP(TRIM(A824),'Full Inventory'!F:F,1,0),0)=0,"X","_")</f>
        <v>_</v>
      </c>
      <c r="D824" t="str">
        <f t="shared" si="36"/>
        <v>X</v>
      </c>
      <c r="E824" t="str">
        <f ca="1">IFERROR(IF(AND(B824&amp;C824&amp;D824="___",INDIRECT("Inventory!A"&amp;MATCH(VLOOKUP(A824,Inventory!E:E,1,0),Inventory!E:E,0))&lt;&gt;INDIRECT("'Full Inventory'!B"&amp;MATCH(VLOOKUP(A824,'Full Inventory'!F:F,1,0),'Full Inventory'!F:F,0))),"X","_"),"_")</f>
        <v>_</v>
      </c>
      <c r="K824" t="str">
        <f t="shared" ca="1" si="37"/>
        <v>__X_</v>
      </c>
      <c r="L824" t="str">
        <f t="shared" ca="1" si="38"/>
        <v/>
      </c>
      <c r="M824" t="str">
        <f>IFERROR(INDEX(Inventory!A:A,MATCH(Scan!A824,Inventory!E:E,0)),"")</f>
        <v/>
      </c>
    </row>
    <row r="825" spans="2:13" x14ac:dyDescent="0.25">
      <c r="B825" t="str">
        <f>IF(IFERROR(VLOOKUP(TRIM(A825),Inventory!E:E,1,0),0)=0,"X","_")</f>
        <v>_</v>
      </c>
      <c r="C825" t="str">
        <f>IF(IFERROR(VLOOKUP(TRIM(A825),'Full Inventory'!F:F,1,0),0)=0,"X","_")</f>
        <v>_</v>
      </c>
      <c r="D825" t="str">
        <f t="shared" si="36"/>
        <v>X</v>
      </c>
      <c r="E825" t="str">
        <f ca="1">IFERROR(IF(AND(B825&amp;C825&amp;D825="___",INDIRECT("Inventory!A"&amp;MATCH(VLOOKUP(A825,Inventory!E:E,1,0),Inventory!E:E,0))&lt;&gt;INDIRECT("'Full Inventory'!B"&amp;MATCH(VLOOKUP(A825,'Full Inventory'!F:F,1,0),'Full Inventory'!F:F,0))),"X","_"),"_")</f>
        <v>_</v>
      </c>
      <c r="K825" t="str">
        <f t="shared" ca="1" si="37"/>
        <v>__X_</v>
      </c>
      <c r="L825" t="str">
        <f t="shared" ca="1" si="38"/>
        <v/>
      </c>
      <c r="M825" t="str">
        <f>IFERROR(INDEX(Inventory!A:A,MATCH(Scan!A825,Inventory!E:E,0)),"")</f>
        <v/>
      </c>
    </row>
    <row r="826" spans="2:13" x14ac:dyDescent="0.25">
      <c r="B826" t="str">
        <f>IF(IFERROR(VLOOKUP(TRIM(A826),Inventory!E:E,1,0),0)=0,"X","_")</f>
        <v>_</v>
      </c>
      <c r="C826" t="str">
        <f>IF(IFERROR(VLOOKUP(TRIM(A826),'Full Inventory'!F:F,1,0),0)=0,"X","_")</f>
        <v>_</v>
      </c>
      <c r="D826" t="str">
        <f t="shared" si="36"/>
        <v>X</v>
      </c>
      <c r="E826" t="str">
        <f ca="1">IFERROR(IF(AND(B826&amp;C826&amp;D826="___",INDIRECT("Inventory!A"&amp;MATCH(VLOOKUP(A826,Inventory!E:E,1,0),Inventory!E:E,0))&lt;&gt;INDIRECT("'Full Inventory'!B"&amp;MATCH(VLOOKUP(A826,'Full Inventory'!F:F,1,0),'Full Inventory'!F:F,0))),"X","_"),"_")</f>
        <v>_</v>
      </c>
      <c r="K826" t="str">
        <f t="shared" ca="1" si="37"/>
        <v>__X_</v>
      </c>
      <c r="L826" t="str">
        <f t="shared" ca="1" si="38"/>
        <v/>
      </c>
      <c r="M826" t="str">
        <f>IFERROR(INDEX(Inventory!A:A,MATCH(Scan!A826,Inventory!E:E,0)),"")</f>
        <v/>
      </c>
    </row>
    <row r="827" spans="2:13" x14ac:dyDescent="0.25">
      <c r="B827" t="str">
        <f>IF(IFERROR(VLOOKUP(TRIM(A827),Inventory!E:E,1,0),0)=0,"X","_")</f>
        <v>_</v>
      </c>
      <c r="C827" t="str">
        <f>IF(IFERROR(VLOOKUP(TRIM(A827),'Full Inventory'!F:F,1,0),0)=0,"X","_")</f>
        <v>_</v>
      </c>
      <c r="D827" t="str">
        <f t="shared" si="36"/>
        <v>X</v>
      </c>
      <c r="E827" t="str">
        <f ca="1">IFERROR(IF(AND(B827&amp;C827&amp;D827="___",INDIRECT("Inventory!A"&amp;MATCH(VLOOKUP(A827,Inventory!E:E,1,0),Inventory!E:E,0))&lt;&gt;INDIRECT("'Full Inventory'!B"&amp;MATCH(VLOOKUP(A827,'Full Inventory'!F:F,1,0),'Full Inventory'!F:F,0))),"X","_"),"_")</f>
        <v>_</v>
      </c>
      <c r="K827" t="str">
        <f t="shared" ca="1" si="37"/>
        <v>__X_</v>
      </c>
      <c r="L827" t="str">
        <f t="shared" ca="1" si="38"/>
        <v/>
      </c>
      <c r="M827" t="str">
        <f>IFERROR(INDEX(Inventory!A:A,MATCH(Scan!A827,Inventory!E:E,0)),"")</f>
        <v/>
      </c>
    </row>
    <row r="828" spans="2:13" x14ac:dyDescent="0.25">
      <c r="B828" t="str">
        <f>IF(IFERROR(VLOOKUP(TRIM(A828),Inventory!E:E,1,0),0)=0,"X","_")</f>
        <v>_</v>
      </c>
      <c r="C828" t="str">
        <f>IF(IFERROR(VLOOKUP(TRIM(A828),'Full Inventory'!F:F,1,0),0)=0,"X","_")</f>
        <v>_</v>
      </c>
      <c r="D828" t="str">
        <f t="shared" si="36"/>
        <v>X</v>
      </c>
      <c r="E828" t="str">
        <f ca="1">IFERROR(IF(AND(B828&amp;C828&amp;D828="___",INDIRECT("Inventory!A"&amp;MATCH(VLOOKUP(A828,Inventory!E:E,1,0),Inventory!E:E,0))&lt;&gt;INDIRECT("'Full Inventory'!B"&amp;MATCH(VLOOKUP(A828,'Full Inventory'!F:F,1,0),'Full Inventory'!F:F,0))),"X","_"),"_")</f>
        <v>_</v>
      </c>
      <c r="K828" t="str">
        <f t="shared" ca="1" si="37"/>
        <v>__X_</v>
      </c>
      <c r="L828" t="str">
        <f t="shared" ca="1" si="38"/>
        <v/>
      </c>
      <c r="M828" t="str">
        <f>IFERROR(INDEX(Inventory!A:A,MATCH(Scan!A828,Inventory!E:E,0)),"")</f>
        <v/>
      </c>
    </row>
    <row r="829" spans="2:13" x14ac:dyDescent="0.25">
      <c r="B829" t="str">
        <f>IF(IFERROR(VLOOKUP(TRIM(A829),Inventory!E:E,1,0),0)=0,"X","_")</f>
        <v>_</v>
      </c>
      <c r="C829" t="str">
        <f>IF(IFERROR(VLOOKUP(TRIM(A829),'Full Inventory'!F:F,1,0),0)=0,"X","_")</f>
        <v>_</v>
      </c>
      <c r="D829" t="str">
        <f t="shared" si="36"/>
        <v>X</v>
      </c>
      <c r="E829" t="str">
        <f ca="1">IFERROR(IF(AND(B829&amp;C829&amp;D829="___",INDIRECT("Inventory!A"&amp;MATCH(VLOOKUP(A829,Inventory!E:E,1,0),Inventory!E:E,0))&lt;&gt;INDIRECT("'Full Inventory'!B"&amp;MATCH(VLOOKUP(A829,'Full Inventory'!F:F,1,0),'Full Inventory'!F:F,0))),"X","_"),"_")</f>
        <v>_</v>
      </c>
      <c r="K829" t="str">
        <f t="shared" ca="1" si="37"/>
        <v>__X_</v>
      </c>
      <c r="L829" t="str">
        <f t="shared" ca="1" si="38"/>
        <v/>
      </c>
      <c r="M829" t="str">
        <f>IFERROR(INDEX(Inventory!A:A,MATCH(Scan!A829,Inventory!E:E,0)),"")</f>
        <v/>
      </c>
    </row>
    <row r="830" spans="2:13" x14ac:dyDescent="0.25">
      <c r="B830" t="str">
        <f>IF(IFERROR(VLOOKUP(TRIM(A830),Inventory!E:E,1,0),0)=0,"X","_")</f>
        <v>_</v>
      </c>
      <c r="C830" t="str">
        <f>IF(IFERROR(VLOOKUP(TRIM(A830),'Full Inventory'!F:F,1,0),0)=0,"X","_")</f>
        <v>_</v>
      </c>
      <c r="D830" t="str">
        <f t="shared" si="36"/>
        <v>X</v>
      </c>
      <c r="E830" t="str">
        <f ca="1">IFERROR(IF(AND(B830&amp;C830&amp;D830="___",INDIRECT("Inventory!A"&amp;MATCH(VLOOKUP(A830,Inventory!E:E,1,0),Inventory!E:E,0))&lt;&gt;INDIRECT("'Full Inventory'!B"&amp;MATCH(VLOOKUP(A830,'Full Inventory'!F:F,1,0),'Full Inventory'!F:F,0))),"X","_"),"_")</f>
        <v>_</v>
      </c>
      <c r="K830" t="str">
        <f t="shared" ca="1" si="37"/>
        <v>__X_</v>
      </c>
      <c r="L830" t="str">
        <f t="shared" ca="1" si="38"/>
        <v/>
      </c>
      <c r="M830" t="str">
        <f>IFERROR(INDEX(Inventory!A:A,MATCH(Scan!A830,Inventory!E:E,0)),"")</f>
        <v/>
      </c>
    </row>
    <row r="831" spans="2:13" x14ac:dyDescent="0.25">
      <c r="B831" t="str">
        <f>IF(IFERROR(VLOOKUP(TRIM(A831),Inventory!E:E,1,0),0)=0,"X","_")</f>
        <v>_</v>
      </c>
      <c r="C831" t="str">
        <f>IF(IFERROR(VLOOKUP(TRIM(A831),'Full Inventory'!F:F,1,0),0)=0,"X","_")</f>
        <v>_</v>
      </c>
      <c r="D831" t="str">
        <f t="shared" si="36"/>
        <v>X</v>
      </c>
      <c r="E831" t="str">
        <f ca="1">IFERROR(IF(AND(B831&amp;C831&amp;D831="___",INDIRECT("Inventory!A"&amp;MATCH(VLOOKUP(A831,Inventory!E:E,1,0),Inventory!E:E,0))&lt;&gt;INDIRECT("'Full Inventory'!B"&amp;MATCH(VLOOKUP(A831,'Full Inventory'!F:F,1,0),'Full Inventory'!F:F,0))),"X","_"),"_")</f>
        <v>_</v>
      </c>
      <c r="K831" t="str">
        <f t="shared" ca="1" si="37"/>
        <v>__X_</v>
      </c>
      <c r="L831" t="str">
        <f t="shared" ca="1" si="38"/>
        <v/>
      </c>
      <c r="M831" t="str">
        <f>IFERROR(INDEX(Inventory!A:A,MATCH(Scan!A831,Inventory!E:E,0)),"")</f>
        <v/>
      </c>
    </row>
    <row r="832" spans="2:13" x14ac:dyDescent="0.25">
      <c r="B832" t="str">
        <f>IF(IFERROR(VLOOKUP(TRIM(A832),Inventory!E:E,1,0),0)=0,"X","_")</f>
        <v>_</v>
      </c>
      <c r="C832" t="str">
        <f>IF(IFERROR(VLOOKUP(TRIM(A832),'Full Inventory'!F:F,1,0),0)=0,"X","_")</f>
        <v>_</v>
      </c>
      <c r="D832" t="str">
        <f t="shared" si="36"/>
        <v>X</v>
      </c>
      <c r="E832" t="str">
        <f ca="1">IFERROR(IF(AND(B832&amp;C832&amp;D832="___",INDIRECT("Inventory!A"&amp;MATCH(VLOOKUP(A832,Inventory!E:E,1,0),Inventory!E:E,0))&lt;&gt;INDIRECT("'Full Inventory'!B"&amp;MATCH(VLOOKUP(A832,'Full Inventory'!F:F,1,0),'Full Inventory'!F:F,0))),"X","_"),"_")</f>
        <v>_</v>
      </c>
      <c r="K832" t="str">
        <f t="shared" ca="1" si="37"/>
        <v>__X_</v>
      </c>
      <c r="L832" t="str">
        <f t="shared" ca="1" si="38"/>
        <v/>
      </c>
      <c r="M832" t="str">
        <f>IFERROR(INDEX(Inventory!A:A,MATCH(Scan!A832,Inventory!E:E,0)),"")</f>
        <v/>
      </c>
    </row>
    <row r="833" spans="2:13" x14ac:dyDescent="0.25">
      <c r="B833" t="str">
        <f>IF(IFERROR(VLOOKUP(TRIM(A833),Inventory!E:E,1,0),0)=0,"X","_")</f>
        <v>_</v>
      </c>
      <c r="C833" t="str">
        <f>IF(IFERROR(VLOOKUP(TRIM(A833),'Full Inventory'!F:F,1,0),0)=0,"X","_")</f>
        <v>_</v>
      </c>
      <c r="D833" t="str">
        <f t="shared" si="36"/>
        <v>X</v>
      </c>
      <c r="E833" t="str">
        <f ca="1">IFERROR(IF(AND(B833&amp;C833&amp;D833="___",INDIRECT("Inventory!A"&amp;MATCH(VLOOKUP(A833,Inventory!E:E,1,0),Inventory!E:E,0))&lt;&gt;INDIRECT("'Full Inventory'!B"&amp;MATCH(VLOOKUP(A833,'Full Inventory'!F:F,1,0),'Full Inventory'!F:F,0))),"X","_"),"_")</f>
        <v>_</v>
      </c>
      <c r="K833" t="str">
        <f t="shared" ca="1" si="37"/>
        <v>__X_</v>
      </c>
      <c r="L833" t="str">
        <f t="shared" ca="1" si="38"/>
        <v/>
      </c>
      <c r="M833" t="str">
        <f>IFERROR(INDEX(Inventory!A:A,MATCH(Scan!A833,Inventory!E:E,0)),"")</f>
        <v/>
      </c>
    </row>
    <row r="834" spans="2:13" x14ac:dyDescent="0.25">
      <c r="B834" t="str">
        <f>IF(IFERROR(VLOOKUP(TRIM(A834),Inventory!E:E,1,0),0)=0,"X","_")</f>
        <v>_</v>
      </c>
      <c r="C834" t="str">
        <f>IF(IFERROR(VLOOKUP(TRIM(A834),'Full Inventory'!F:F,1,0),0)=0,"X","_")</f>
        <v>_</v>
      </c>
      <c r="D834" t="str">
        <f t="shared" ref="D834:D897" si="39">IF(TRIM(A834)&lt;&gt;"","_","X")</f>
        <v>X</v>
      </c>
      <c r="E834" t="str">
        <f ca="1">IFERROR(IF(AND(B834&amp;C834&amp;D834="___",INDIRECT("Inventory!A"&amp;MATCH(VLOOKUP(A834,Inventory!E:E,1,0),Inventory!E:E,0))&lt;&gt;INDIRECT("'Full Inventory'!B"&amp;MATCH(VLOOKUP(A834,'Full Inventory'!F:F,1,0),'Full Inventory'!F:F,0))),"X","_"),"_")</f>
        <v>_</v>
      </c>
      <c r="K834" t="str">
        <f t="shared" ca="1" si="37"/>
        <v>__X_</v>
      </c>
      <c r="L834" t="str">
        <f t="shared" ca="1" si="38"/>
        <v/>
      </c>
      <c r="M834" t="str">
        <f>IFERROR(INDEX(Inventory!A:A,MATCH(Scan!A834,Inventory!E:E,0)),"")</f>
        <v/>
      </c>
    </row>
    <row r="835" spans="2:13" x14ac:dyDescent="0.25">
      <c r="B835" t="str">
        <f>IF(IFERROR(VLOOKUP(TRIM(A835),Inventory!E:E,1,0),0)=0,"X","_")</f>
        <v>_</v>
      </c>
      <c r="C835" t="str">
        <f>IF(IFERROR(VLOOKUP(TRIM(A835),'Full Inventory'!F:F,1,0),0)=0,"X","_")</f>
        <v>_</v>
      </c>
      <c r="D835" t="str">
        <f t="shared" si="39"/>
        <v>X</v>
      </c>
      <c r="E835" t="str">
        <f ca="1">IFERROR(IF(AND(B835&amp;C835&amp;D835="___",INDIRECT("Inventory!A"&amp;MATCH(VLOOKUP(A835,Inventory!E:E,1,0),Inventory!E:E,0))&lt;&gt;INDIRECT("'Full Inventory'!B"&amp;MATCH(VLOOKUP(A835,'Full Inventory'!F:F,1,0),'Full Inventory'!F:F,0))),"X","_"),"_")</f>
        <v>_</v>
      </c>
      <c r="K835" t="str">
        <f t="shared" ref="K835:K898" ca="1" si="40">B835&amp;C835&amp;D835&amp;E835</f>
        <v>__X_</v>
      </c>
      <c r="L835" t="str">
        <f t="shared" ref="L835:L898" ca="1" si="41">IF(K835="____","OK",IF(K835="_X__","NOT IN FULL INVENTORY",IF(K835="XX__","NOT IN FULL INVENTORY AND INVENTORY",IF(K835="X___","NOT IN INVENTORY",IF(K835="___X","DIFFERENT NAMES IN FULL INVENTORY AND INVENTORY","")))))</f>
        <v/>
      </c>
      <c r="M835" t="str">
        <f>IFERROR(INDEX(Inventory!A:A,MATCH(Scan!A835,Inventory!E:E,0)),"")</f>
        <v/>
      </c>
    </row>
    <row r="836" spans="2:13" x14ac:dyDescent="0.25">
      <c r="B836" t="str">
        <f>IF(IFERROR(VLOOKUP(TRIM(A836),Inventory!E:E,1,0),0)=0,"X","_")</f>
        <v>_</v>
      </c>
      <c r="C836" t="str">
        <f>IF(IFERROR(VLOOKUP(TRIM(A836),'Full Inventory'!F:F,1,0),0)=0,"X","_")</f>
        <v>_</v>
      </c>
      <c r="D836" t="str">
        <f t="shared" si="39"/>
        <v>X</v>
      </c>
      <c r="E836" t="str">
        <f ca="1">IFERROR(IF(AND(B836&amp;C836&amp;D836="___",INDIRECT("Inventory!A"&amp;MATCH(VLOOKUP(A836,Inventory!E:E,1,0),Inventory!E:E,0))&lt;&gt;INDIRECT("'Full Inventory'!B"&amp;MATCH(VLOOKUP(A836,'Full Inventory'!F:F,1,0),'Full Inventory'!F:F,0))),"X","_"),"_")</f>
        <v>_</v>
      </c>
      <c r="K836" t="str">
        <f t="shared" ca="1" si="40"/>
        <v>__X_</v>
      </c>
      <c r="L836" t="str">
        <f t="shared" ca="1" si="41"/>
        <v/>
      </c>
      <c r="M836" t="str">
        <f>IFERROR(INDEX(Inventory!A:A,MATCH(Scan!A836,Inventory!E:E,0)),"")</f>
        <v/>
      </c>
    </row>
    <row r="837" spans="2:13" x14ac:dyDescent="0.25">
      <c r="B837" t="str">
        <f>IF(IFERROR(VLOOKUP(TRIM(A837),Inventory!E:E,1,0),0)=0,"X","_")</f>
        <v>_</v>
      </c>
      <c r="C837" t="str">
        <f>IF(IFERROR(VLOOKUP(TRIM(A837),'Full Inventory'!F:F,1,0),0)=0,"X","_")</f>
        <v>_</v>
      </c>
      <c r="D837" t="str">
        <f t="shared" si="39"/>
        <v>X</v>
      </c>
      <c r="E837" t="str">
        <f ca="1">IFERROR(IF(AND(B837&amp;C837&amp;D837="___",INDIRECT("Inventory!A"&amp;MATCH(VLOOKUP(A837,Inventory!E:E,1,0),Inventory!E:E,0))&lt;&gt;INDIRECT("'Full Inventory'!B"&amp;MATCH(VLOOKUP(A837,'Full Inventory'!F:F,1,0),'Full Inventory'!F:F,0))),"X","_"),"_")</f>
        <v>_</v>
      </c>
      <c r="K837" t="str">
        <f t="shared" ca="1" si="40"/>
        <v>__X_</v>
      </c>
      <c r="L837" t="str">
        <f t="shared" ca="1" si="41"/>
        <v/>
      </c>
      <c r="M837" t="str">
        <f>IFERROR(INDEX(Inventory!A:A,MATCH(Scan!A837,Inventory!E:E,0)),"")</f>
        <v/>
      </c>
    </row>
    <row r="838" spans="2:13" x14ac:dyDescent="0.25">
      <c r="B838" t="str">
        <f>IF(IFERROR(VLOOKUP(TRIM(A838),Inventory!E:E,1,0),0)=0,"X","_")</f>
        <v>_</v>
      </c>
      <c r="C838" t="str">
        <f>IF(IFERROR(VLOOKUP(TRIM(A838),'Full Inventory'!F:F,1,0),0)=0,"X","_")</f>
        <v>_</v>
      </c>
      <c r="D838" t="str">
        <f t="shared" si="39"/>
        <v>X</v>
      </c>
      <c r="E838" t="str">
        <f ca="1">IFERROR(IF(AND(B838&amp;C838&amp;D838="___",INDIRECT("Inventory!A"&amp;MATCH(VLOOKUP(A838,Inventory!E:E,1,0),Inventory!E:E,0))&lt;&gt;INDIRECT("'Full Inventory'!B"&amp;MATCH(VLOOKUP(A838,'Full Inventory'!F:F,1,0),'Full Inventory'!F:F,0))),"X","_"),"_")</f>
        <v>_</v>
      </c>
      <c r="K838" t="str">
        <f t="shared" ca="1" si="40"/>
        <v>__X_</v>
      </c>
      <c r="L838" t="str">
        <f t="shared" ca="1" si="41"/>
        <v/>
      </c>
      <c r="M838" t="str">
        <f>IFERROR(INDEX(Inventory!A:A,MATCH(Scan!A838,Inventory!E:E,0)),"")</f>
        <v/>
      </c>
    </row>
    <row r="839" spans="2:13" x14ac:dyDescent="0.25">
      <c r="B839" t="str">
        <f>IF(IFERROR(VLOOKUP(TRIM(A839),Inventory!E:E,1,0),0)=0,"X","_")</f>
        <v>_</v>
      </c>
      <c r="C839" t="str">
        <f>IF(IFERROR(VLOOKUP(TRIM(A839),'Full Inventory'!F:F,1,0),0)=0,"X","_")</f>
        <v>_</v>
      </c>
      <c r="D839" t="str">
        <f t="shared" si="39"/>
        <v>X</v>
      </c>
      <c r="E839" t="str">
        <f ca="1">IFERROR(IF(AND(B839&amp;C839&amp;D839="___",INDIRECT("Inventory!A"&amp;MATCH(VLOOKUP(A839,Inventory!E:E,1,0),Inventory!E:E,0))&lt;&gt;INDIRECT("'Full Inventory'!B"&amp;MATCH(VLOOKUP(A839,'Full Inventory'!F:F,1,0),'Full Inventory'!F:F,0))),"X","_"),"_")</f>
        <v>_</v>
      </c>
      <c r="K839" t="str">
        <f t="shared" ca="1" si="40"/>
        <v>__X_</v>
      </c>
      <c r="L839" t="str">
        <f t="shared" ca="1" si="41"/>
        <v/>
      </c>
      <c r="M839" t="str">
        <f>IFERROR(INDEX(Inventory!A:A,MATCH(Scan!A839,Inventory!E:E,0)),"")</f>
        <v/>
      </c>
    </row>
    <row r="840" spans="2:13" x14ac:dyDescent="0.25">
      <c r="B840" t="str">
        <f>IF(IFERROR(VLOOKUP(TRIM(A840),Inventory!E:E,1,0),0)=0,"X","_")</f>
        <v>_</v>
      </c>
      <c r="C840" t="str">
        <f>IF(IFERROR(VLOOKUP(TRIM(A840),'Full Inventory'!F:F,1,0),0)=0,"X","_")</f>
        <v>_</v>
      </c>
      <c r="D840" t="str">
        <f t="shared" si="39"/>
        <v>X</v>
      </c>
      <c r="E840" t="str">
        <f ca="1">IFERROR(IF(AND(B840&amp;C840&amp;D840="___",INDIRECT("Inventory!A"&amp;MATCH(VLOOKUP(A840,Inventory!E:E,1,0),Inventory!E:E,0))&lt;&gt;INDIRECT("'Full Inventory'!B"&amp;MATCH(VLOOKUP(A840,'Full Inventory'!F:F,1,0),'Full Inventory'!F:F,0))),"X","_"),"_")</f>
        <v>_</v>
      </c>
      <c r="K840" t="str">
        <f t="shared" ca="1" si="40"/>
        <v>__X_</v>
      </c>
      <c r="L840" t="str">
        <f t="shared" ca="1" si="41"/>
        <v/>
      </c>
      <c r="M840" t="str">
        <f>IFERROR(INDEX(Inventory!A:A,MATCH(Scan!A840,Inventory!E:E,0)),"")</f>
        <v/>
      </c>
    </row>
    <row r="841" spans="2:13" x14ac:dyDescent="0.25">
      <c r="B841" t="str">
        <f>IF(IFERROR(VLOOKUP(TRIM(A841),Inventory!E:E,1,0),0)=0,"X","_")</f>
        <v>_</v>
      </c>
      <c r="C841" t="str">
        <f>IF(IFERROR(VLOOKUP(TRIM(A841),'Full Inventory'!F:F,1,0),0)=0,"X","_")</f>
        <v>_</v>
      </c>
      <c r="D841" t="str">
        <f t="shared" si="39"/>
        <v>X</v>
      </c>
      <c r="E841" t="str">
        <f ca="1">IFERROR(IF(AND(B841&amp;C841&amp;D841="___",INDIRECT("Inventory!A"&amp;MATCH(VLOOKUP(A841,Inventory!E:E,1,0),Inventory!E:E,0))&lt;&gt;INDIRECT("'Full Inventory'!B"&amp;MATCH(VLOOKUP(A841,'Full Inventory'!F:F,1,0),'Full Inventory'!F:F,0))),"X","_"),"_")</f>
        <v>_</v>
      </c>
      <c r="K841" t="str">
        <f t="shared" ca="1" si="40"/>
        <v>__X_</v>
      </c>
      <c r="L841" t="str">
        <f t="shared" ca="1" si="41"/>
        <v/>
      </c>
      <c r="M841" t="str">
        <f>IFERROR(INDEX(Inventory!A:A,MATCH(Scan!A841,Inventory!E:E,0)),"")</f>
        <v/>
      </c>
    </row>
    <row r="842" spans="2:13" x14ac:dyDescent="0.25">
      <c r="B842" t="str">
        <f>IF(IFERROR(VLOOKUP(TRIM(A842),Inventory!E:E,1,0),0)=0,"X","_")</f>
        <v>_</v>
      </c>
      <c r="C842" t="str">
        <f>IF(IFERROR(VLOOKUP(TRIM(A842),'Full Inventory'!F:F,1,0),0)=0,"X","_")</f>
        <v>_</v>
      </c>
      <c r="D842" t="str">
        <f t="shared" si="39"/>
        <v>X</v>
      </c>
      <c r="E842" t="str">
        <f ca="1">IFERROR(IF(AND(B842&amp;C842&amp;D842="___",INDIRECT("Inventory!A"&amp;MATCH(VLOOKUP(A842,Inventory!E:E,1,0),Inventory!E:E,0))&lt;&gt;INDIRECT("'Full Inventory'!B"&amp;MATCH(VLOOKUP(A842,'Full Inventory'!F:F,1,0),'Full Inventory'!F:F,0))),"X","_"),"_")</f>
        <v>_</v>
      </c>
      <c r="K842" t="str">
        <f t="shared" ca="1" si="40"/>
        <v>__X_</v>
      </c>
      <c r="L842" t="str">
        <f t="shared" ca="1" si="41"/>
        <v/>
      </c>
      <c r="M842" t="str">
        <f>IFERROR(INDEX(Inventory!A:A,MATCH(Scan!A842,Inventory!E:E,0)),"")</f>
        <v/>
      </c>
    </row>
    <row r="843" spans="2:13" x14ac:dyDescent="0.25">
      <c r="B843" t="str">
        <f>IF(IFERROR(VLOOKUP(TRIM(A843),Inventory!E:E,1,0),0)=0,"X","_")</f>
        <v>_</v>
      </c>
      <c r="C843" t="str">
        <f>IF(IFERROR(VLOOKUP(TRIM(A843),'Full Inventory'!F:F,1,0),0)=0,"X","_")</f>
        <v>_</v>
      </c>
      <c r="D843" t="str">
        <f t="shared" si="39"/>
        <v>X</v>
      </c>
      <c r="E843" t="str">
        <f ca="1">IFERROR(IF(AND(B843&amp;C843&amp;D843="___",INDIRECT("Inventory!A"&amp;MATCH(VLOOKUP(A843,Inventory!E:E,1,0),Inventory!E:E,0))&lt;&gt;INDIRECT("'Full Inventory'!B"&amp;MATCH(VLOOKUP(A843,'Full Inventory'!F:F,1,0),'Full Inventory'!F:F,0))),"X","_"),"_")</f>
        <v>_</v>
      </c>
      <c r="K843" t="str">
        <f t="shared" ca="1" si="40"/>
        <v>__X_</v>
      </c>
      <c r="L843" t="str">
        <f t="shared" ca="1" si="41"/>
        <v/>
      </c>
      <c r="M843" t="str">
        <f>IFERROR(INDEX(Inventory!A:A,MATCH(Scan!A843,Inventory!E:E,0)),"")</f>
        <v/>
      </c>
    </row>
    <row r="844" spans="2:13" x14ac:dyDescent="0.25">
      <c r="B844" t="str">
        <f>IF(IFERROR(VLOOKUP(TRIM(A844),Inventory!E:E,1,0),0)=0,"X","_")</f>
        <v>_</v>
      </c>
      <c r="C844" t="str">
        <f>IF(IFERROR(VLOOKUP(TRIM(A844),'Full Inventory'!F:F,1,0),0)=0,"X","_")</f>
        <v>_</v>
      </c>
      <c r="D844" t="str">
        <f t="shared" si="39"/>
        <v>X</v>
      </c>
      <c r="E844" t="str">
        <f ca="1">IFERROR(IF(AND(B844&amp;C844&amp;D844="___",INDIRECT("Inventory!A"&amp;MATCH(VLOOKUP(A844,Inventory!E:E,1,0),Inventory!E:E,0))&lt;&gt;INDIRECT("'Full Inventory'!B"&amp;MATCH(VLOOKUP(A844,'Full Inventory'!F:F,1,0),'Full Inventory'!F:F,0))),"X","_"),"_")</f>
        <v>_</v>
      </c>
      <c r="K844" t="str">
        <f t="shared" ca="1" si="40"/>
        <v>__X_</v>
      </c>
      <c r="L844" t="str">
        <f t="shared" ca="1" si="41"/>
        <v/>
      </c>
      <c r="M844" t="str">
        <f>IFERROR(INDEX(Inventory!A:A,MATCH(Scan!A844,Inventory!E:E,0)),"")</f>
        <v/>
      </c>
    </row>
    <row r="845" spans="2:13" x14ac:dyDescent="0.25">
      <c r="B845" t="str">
        <f>IF(IFERROR(VLOOKUP(TRIM(A845),Inventory!E:E,1,0),0)=0,"X","_")</f>
        <v>_</v>
      </c>
      <c r="C845" t="str">
        <f>IF(IFERROR(VLOOKUP(TRIM(A845),'Full Inventory'!F:F,1,0),0)=0,"X","_")</f>
        <v>_</v>
      </c>
      <c r="D845" t="str">
        <f t="shared" si="39"/>
        <v>X</v>
      </c>
      <c r="E845" t="str">
        <f ca="1">IFERROR(IF(AND(B845&amp;C845&amp;D845="___",INDIRECT("Inventory!A"&amp;MATCH(VLOOKUP(A845,Inventory!E:E,1,0),Inventory!E:E,0))&lt;&gt;INDIRECT("'Full Inventory'!B"&amp;MATCH(VLOOKUP(A845,'Full Inventory'!F:F,1,0),'Full Inventory'!F:F,0))),"X","_"),"_")</f>
        <v>_</v>
      </c>
      <c r="K845" t="str">
        <f t="shared" ca="1" si="40"/>
        <v>__X_</v>
      </c>
      <c r="L845" t="str">
        <f t="shared" ca="1" si="41"/>
        <v/>
      </c>
      <c r="M845" t="str">
        <f>IFERROR(INDEX(Inventory!A:A,MATCH(Scan!A845,Inventory!E:E,0)),"")</f>
        <v/>
      </c>
    </row>
    <row r="846" spans="2:13" x14ac:dyDescent="0.25">
      <c r="B846" t="str">
        <f>IF(IFERROR(VLOOKUP(TRIM(A846),Inventory!E:E,1,0),0)=0,"X","_")</f>
        <v>_</v>
      </c>
      <c r="C846" t="str">
        <f>IF(IFERROR(VLOOKUP(TRIM(A846),'Full Inventory'!F:F,1,0),0)=0,"X","_")</f>
        <v>_</v>
      </c>
      <c r="D846" t="str">
        <f t="shared" si="39"/>
        <v>X</v>
      </c>
      <c r="E846" t="str">
        <f ca="1">IFERROR(IF(AND(B846&amp;C846&amp;D846="___",INDIRECT("Inventory!A"&amp;MATCH(VLOOKUP(A846,Inventory!E:E,1,0),Inventory!E:E,0))&lt;&gt;INDIRECT("'Full Inventory'!B"&amp;MATCH(VLOOKUP(A846,'Full Inventory'!F:F,1,0),'Full Inventory'!F:F,0))),"X","_"),"_")</f>
        <v>_</v>
      </c>
      <c r="K846" t="str">
        <f t="shared" ca="1" si="40"/>
        <v>__X_</v>
      </c>
      <c r="L846" t="str">
        <f t="shared" ca="1" si="41"/>
        <v/>
      </c>
      <c r="M846" t="str">
        <f>IFERROR(INDEX(Inventory!A:A,MATCH(Scan!A846,Inventory!E:E,0)),"")</f>
        <v/>
      </c>
    </row>
    <row r="847" spans="2:13" x14ac:dyDescent="0.25">
      <c r="B847" t="str">
        <f>IF(IFERROR(VLOOKUP(TRIM(A847),Inventory!E:E,1,0),0)=0,"X","_")</f>
        <v>_</v>
      </c>
      <c r="C847" t="str">
        <f>IF(IFERROR(VLOOKUP(TRIM(A847),'Full Inventory'!F:F,1,0),0)=0,"X","_")</f>
        <v>_</v>
      </c>
      <c r="D847" t="str">
        <f t="shared" si="39"/>
        <v>X</v>
      </c>
      <c r="E847" t="str">
        <f ca="1">IFERROR(IF(AND(B847&amp;C847&amp;D847="___",INDIRECT("Inventory!A"&amp;MATCH(VLOOKUP(A847,Inventory!E:E,1,0),Inventory!E:E,0))&lt;&gt;INDIRECT("'Full Inventory'!B"&amp;MATCH(VLOOKUP(A847,'Full Inventory'!F:F,1,0),'Full Inventory'!F:F,0))),"X","_"),"_")</f>
        <v>_</v>
      </c>
      <c r="K847" t="str">
        <f t="shared" ca="1" si="40"/>
        <v>__X_</v>
      </c>
      <c r="L847" t="str">
        <f t="shared" ca="1" si="41"/>
        <v/>
      </c>
      <c r="M847" t="str">
        <f>IFERROR(INDEX(Inventory!A:A,MATCH(Scan!A847,Inventory!E:E,0)),"")</f>
        <v/>
      </c>
    </row>
    <row r="848" spans="2:13" x14ac:dyDescent="0.25">
      <c r="B848" t="str">
        <f>IF(IFERROR(VLOOKUP(TRIM(A848),Inventory!E:E,1,0),0)=0,"X","_")</f>
        <v>_</v>
      </c>
      <c r="C848" t="str">
        <f>IF(IFERROR(VLOOKUP(TRIM(A848),'Full Inventory'!F:F,1,0),0)=0,"X","_")</f>
        <v>_</v>
      </c>
      <c r="D848" t="str">
        <f t="shared" si="39"/>
        <v>X</v>
      </c>
      <c r="E848" t="str">
        <f ca="1">IFERROR(IF(AND(B848&amp;C848&amp;D848="___",INDIRECT("Inventory!A"&amp;MATCH(VLOOKUP(A848,Inventory!E:E,1,0),Inventory!E:E,0))&lt;&gt;INDIRECT("'Full Inventory'!B"&amp;MATCH(VLOOKUP(A848,'Full Inventory'!F:F,1,0),'Full Inventory'!F:F,0))),"X","_"),"_")</f>
        <v>_</v>
      </c>
      <c r="K848" t="str">
        <f t="shared" ca="1" si="40"/>
        <v>__X_</v>
      </c>
      <c r="L848" t="str">
        <f t="shared" ca="1" si="41"/>
        <v/>
      </c>
      <c r="M848" t="str">
        <f>IFERROR(INDEX(Inventory!A:A,MATCH(Scan!A848,Inventory!E:E,0)),"")</f>
        <v/>
      </c>
    </row>
    <row r="849" spans="2:13" x14ac:dyDescent="0.25">
      <c r="B849" t="str">
        <f>IF(IFERROR(VLOOKUP(TRIM(A849),Inventory!E:E,1,0),0)=0,"X","_")</f>
        <v>_</v>
      </c>
      <c r="C849" t="str">
        <f>IF(IFERROR(VLOOKUP(TRIM(A849),'Full Inventory'!F:F,1,0),0)=0,"X","_")</f>
        <v>_</v>
      </c>
      <c r="D849" t="str">
        <f t="shared" si="39"/>
        <v>X</v>
      </c>
      <c r="E849" t="str">
        <f ca="1">IFERROR(IF(AND(B849&amp;C849&amp;D849="___",INDIRECT("Inventory!A"&amp;MATCH(VLOOKUP(A849,Inventory!E:E,1,0),Inventory!E:E,0))&lt;&gt;INDIRECT("'Full Inventory'!B"&amp;MATCH(VLOOKUP(A849,'Full Inventory'!F:F,1,0),'Full Inventory'!F:F,0))),"X","_"),"_")</f>
        <v>_</v>
      </c>
      <c r="K849" t="str">
        <f t="shared" ca="1" si="40"/>
        <v>__X_</v>
      </c>
      <c r="L849" t="str">
        <f t="shared" ca="1" si="41"/>
        <v/>
      </c>
      <c r="M849" t="str">
        <f>IFERROR(INDEX(Inventory!A:A,MATCH(Scan!A849,Inventory!E:E,0)),"")</f>
        <v/>
      </c>
    </row>
    <row r="850" spans="2:13" x14ac:dyDescent="0.25">
      <c r="B850" t="str">
        <f>IF(IFERROR(VLOOKUP(TRIM(A850),Inventory!E:E,1,0),0)=0,"X","_")</f>
        <v>_</v>
      </c>
      <c r="C850" t="str">
        <f>IF(IFERROR(VLOOKUP(TRIM(A850),'Full Inventory'!F:F,1,0),0)=0,"X","_")</f>
        <v>_</v>
      </c>
      <c r="D850" t="str">
        <f t="shared" si="39"/>
        <v>X</v>
      </c>
      <c r="E850" t="str">
        <f ca="1">IFERROR(IF(AND(B850&amp;C850&amp;D850="___",INDIRECT("Inventory!A"&amp;MATCH(VLOOKUP(A850,Inventory!E:E,1,0),Inventory!E:E,0))&lt;&gt;INDIRECT("'Full Inventory'!B"&amp;MATCH(VLOOKUP(A850,'Full Inventory'!F:F,1,0),'Full Inventory'!F:F,0))),"X","_"),"_")</f>
        <v>_</v>
      </c>
      <c r="K850" t="str">
        <f t="shared" ca="1" si="40"/>
        <v>__X_</v>
      </c>
      <c r="L850" t="str">
        <f t="shared" ca="1" si="41"/>
        <v/>
      </c>
      <c r="M850" t="str">
        <f>IFERROR(INDEX(Inventory!A:A,MATCH(Scan!A850,Inventory!E:E,0)),"")</f>
        <v/>
      </c>
    </row>
    <row r="851" spans="2:13" x14ac:dyDescent="0.25">
      <c r="B851" t="str">
        <f>IF(IFERROR(VLOOKUP(TRIM(A851),Inventory!E:E,1,0),0)=0,"X","_")</f>
        <v>_</v>
      </c>
      <c r="C851" t="str">
        <f>IF(IFERROR(VLOOKUP(TRIM(A851),'Full Inventory'!F:F,1,0),0)=0,"X","_")</f>
        <v>_</v>
      </c>
      <c r="D851" t="str">
        <f t="shared" si="39"/>
        <v>X</v>
      </c>
      <c r="E851" t="str">
        <f ca="1">IFERROR(IF(AND(B851&amp;C851&amp;D851="___",INDIRECT("Inventory!A"&amp;MATCH(VLOOKUP(A851,Inventory!E:E,1,0),Inventory!E:E,0))&lt;&gt;INDIRECT("'Full Inventory'!B"&amp;MATCH(VLOOKUP(A851,'Full Inventory'!F:F,1,0),'Full Inventory'!F:F,0))),"X","_"),"_")</f>
        <v>_</v>
      </c>
      <c r="K851" t="str">
        <f t="shared" ca="1" si="40"/>
        <v>__X_</v>
      </c>
      <c r="L851" t="str">
        <f t="shared" ca="1" si="41"/>
        <v/>
      </c>
      <c r="M851" t="str">
        <f>IFERROR(INDEX(Inventory!A:A,MATCH(Scan!A851,Inventory!E:E,0)),"")</f>
        <v/>
      </c>
    </row>
    <row r="852" spans="2:13" x14ac:dyDescent="0.25">
      <c r="B852" t="str">
        <f>IF(IFERROR(VLOOKUP(TRIM(A852),Inventory!E:E,1,0),0)=0,"X","_")</f>
        <v>_</v>
      </c>
      <c r="C852" t="str">
        <f>IF(IFERROR(VLOOKUP(TRIM(A852),'Full Inventory'!F:F,1,0),0)=0,"X","_")</f>
        <v>_</v>
      </c>
      <c r="D852" t="str">
        <f t="shared" si="39"/>
        <v>X</v>
      </c>
      <c r="E852" t="str">
        <f ca="1">IFERROR(IF(AND(B852&amp;C852&amp;D852="___",INDIRECT("Inventory!A"&amp;MATCH(VLOOKUP(A852,Inventory!E:E,1,0),Inventory!E:E,0))&lt;&gt;INDIRECT("'Full Inventory'!B"&amp;MATCH(VLOOKUP(A852,'Full Inventory'!F:F,1,0),'Full Inventory'!F:F,0))),"X","_"),"_")</f>
        <v>_</v>
      </c>
      <c r="K852" t="str">
        <f t="shared" ca="1" si="40"/>
        <v>__X_</v>
      </c>
      <c r="L852" t="str">
        <f t="shared" ca="1" si="41"/>
        <v/>
      </c>
      <c r="M852" t="str">
        <f>IFERROR(INDEX(Inventory!A:A,MATCH(Scan!A852,Inventory!E:E,0)),"")</f>
        <v/>
      </c>
    </row>
    <row r="853" spans="2:13" x14ac:dyDescent="0.25">
      <c r="B853" t="str">
        <f>IF(IFERROR(VLOOKUP(TRIM(A853),Inventory!E:E,1,0),0)=0,"X","_")</f>
        <v>_</v>
      </c>
      <c r="C853" t="str">
        <f>IF(IFERROR(VLOOKUP(TRIM(A853),'Full Inventory'!F:F,1,0),0)=0,"X","_")</f>
        <v>_</v>
      </c>
      <c r="D853" t="str">
        <f t="shared" si="39"/>
        <v>X</v>
      </c>
      <c r="E853" t="str">
        <f ca="1">IFERROR(IF(AND(B853&amp;C853&amp;D853="___",INDIRECT("Inventory!A"&amp;MATCH(VLOOKUP(A853,Inventory!E:E,1,0),Inventory!E:E,0))&lt;&gt;INDIRECT("'Full Inventory'!B"&amp;MATCH(VLOOKUP(A853,'Full Inventory'!F:F,1,0),'Full Inventory'!F:F,0))),"X","_"),"_")</f>
        <v>_</v>
      </c>
      <c r="K853" t="str">
        <f t="shared" ca="1" si="40"/>
        <v>__X_</v>
      </c>
      <c r="L853" t="str">
        <f t="shared" ca="1" si="41"/>
        <v/>
      </c>
      <c r="M853" t="str">
        <f>IFERROR(INDEX(Inventory!A:A,MATCH(Scan!A853,Inventory!E:E,0)),"")</f>
        <v/>
      </c>
    </row>
    <row r="854" spans="2:13" x14ac:dyDescent="0.25">
      <c r="B854" t="str">
        <f>IF(IFERROR(VLOOKUP(TRIM(A854),Inventory!E:E,1,0),0)=0,"X","_")</f>
        <v>_</v>
      </c>
      <c r="C854" t="str">
        <f>IF(IFERROR(VLOOKUP(TRIM(A854),'Full Inventory'!F:F,1,0),0)=0,"X","_")</f>
        <v>_</v>
      </c>
      <c r="D854" t="str">
        <f t="shared" si="39"/>
        <v>X</v>
      </c>
      <c r="E854" t="str">
        <f ca="1">IFERROR(IF(AND(B854&amp;C854&amp;D854="___",INDIRECT("Inventory!A"&amp;MATCH(VLOOKUP(A854,Inventory!E:E,1,0),Inventory!E:E,0))&lt;&gt;INDIRECT("'Full Inventory'!B"&amp;MATCH(VLOOKUP(A854,'Full Inventory'!F:F,1,0),'Full Inventory'!F:F,0))),"X","_"),"_")</f>
        <v>_</v>
      </c>
      <c r="K854" t="str">
        <f t="shared" ca="1" si="40"/>
        <v>__X_</v>
      </c>
      <c r="L854" t="str">
        <f t="shared" ca="1" si="41"/>
        <v/>
      </c>
      <c r="M854" t="str">
        <f>IFERROR(INDEX(Inventory!A:A,MATCH(Scan!A854,Inventory!E:E,0)),"")</f>
        <v/>
      </c>
    </row>
    <row r="855" spans="2:13" x14ac:dyDescent="0.25">
      <c r="B855" t="str">
        <f>IF(IFERROR(VLOOKUP(TRIM(A855),Inventory!E:E,1,0),0)=0,"X","_")</f>
        <v>_</v>
      </c>
      <c r="C855" t="str">
        <f>IF(IFERROR(VLOOKUP(TRIM(A855),'Full Inventory'!F:F,1,0),0)=0,"X","_")</f>
        <v>_</v>
      </c>
      <c r="D855" t="str">
        <f t="shared" si="39"/>
        <v>X</v>
      </c>
      <c r="E855" t="str">
        <f ca="1">IFERROR(IF(AND(B855&amp;C855&amp;D855="___",INDIRECT("Inventory!A"&amp;MATCH(VLOOKUP(A855,Inventory!E:E,1,0),Inventory!E:E,0))&lt;&gt;INDIRECT("'Full Inventory'!B"&amp;MATCH(VLOOKUP(A855,'Full Inventory'!F:F,1,0),'Full Inventory'!F:F,0))),"X","_"),"_")</f>
        <v>_</v>
      </c>
      <c r="K855" t="str">
        <f t="shared" ca="1" si="40"/>
        <v>__X_</v>
      </c>
      <c r="L855" t="str">
        <f t="shared" ca="1" si="41"/>
        <v/>
      </c>
      <c r="M855" t="str">
        <f>IFERROR(INDEX(Inventory!A:A,MATCH(Scan!A855,Inventory!E:E,0)),"")</f>
        <v/>
      </c>
    </row>
    <row r="856" spans="2:13" x14ac:dyDescent="0.25">
      <c r="B856" t="str">
        <f>IF(IFERROR(VLOOKUP(TRIM(A856),Inventory!E:E,1,0),0)=0,"X","_")</f>
        <v>_</v>
      </c>
      <c r="C856" t="str">
        <f>IF(IFERROR(VLOOKUP(TRIM(A856),'Full Inventory'!F:F,1,0),0)=0,"X","_")</f>
        <v>_</v>
      </c>
      <c r="D856" t="str">
        <f t="shared" si="39"/>
        <v>X</v>
      </c>
      <c r="E856" t="str">
        <f ca="1">IFERROR(IF(AND(B856&amp;C856&amp;D856="___",INDIRECT("Inventory!A"&amp;MATCH(VLOOKUP(A856,Inventory!E:E,1,0),Inventory!E:E,0))&lt;&gt;INDIRECT("'Full Inventory'!B"&amp;MATCH(VLOOKUP(A856,'Full Inventory'!F:F,1,0),'Full Inventory'!F:F,0))),"X","_"),"_")</f>
        <v>_</v>
      </c>
      <c r="K856" t="str">
        <f t="shared" ca="1" si="40"/>
        <v>__X_</v>
      </c>
      <c r="L856" t="str">
        <f t="shared" ca="1" si="41"/>
        <v/>
      </c>
      <c r="M856" t="str">
        <f>IFERROR(INDEX(Inventory!A:A,MATCH(Scan!A856,Inventory!E:E,0)),"")</f>
        <v/>
      </c>
    </row>
    <row r="857" spans="2:13" x14ac:dyDescent="0.25">
      <c r="B857" t="str">
        <f>IF(IFERROR(VLOOKUP(TRIM(A857),Inventory!E:E,1,0),0)=0,"X","_")</f>
        <v>_</v>
      </c>
      <c r="C857" t="str">
        <f>IF(IFERROR(VLOOKUP(TRIM(A857),'Full Inventory'!F:F,1,0),0)=0,"X","_")</f>
        <v>_</v>
      </c>
      <c r="D857" t="str">
        <f t="shared" si="39"/>
        <v>X</v>
      </c>
      <c r="E857" t="str">
        <f ca="1">IFERROR(IF(AND(B857&amp;C857&amp;D857="___",INDIRECT("Inventory!A"&amp;MATCH(VLOOKUP(A857,Inventory!E:E,1,0),Inventory!E:E,0))&lt;&gt;INDIRECT("'Full Inventory'!B"&amp;MATCH(VLOOKUP(A857,'Full Inventory'!F:F,1,0),'Full Inventory'!F:F,0))),"X","_"),"_")</f>
        <v>_</v>
      </c>
      <c r="K857" t="str">
        <f t="shared" ca="1" si="40"/>
        <v>__X_</v>
      </c>
      <c r="L857" t="str">
        <f t="shared" ca="1" si="41"/>
        <v/>
      </c>
      <c r="M857" t="str">
        <f>IFERROR(INDEX(Inventory!A:A,MATCH(Scan!A857,Inventory!E:E,0)),"")</f>
        <v/>
      </c>
    </row>
    <row r="858" spans="2:13" x14ac:dyDescent="0.25">
      <c r="B858" t="str">
        <f>IF(IFERROR(VLOOKUP(TRIM(A858),Inventory!E:E,1,0),0)=0,"X","_")</f>
        <v>_</v>
      </c>
      <c r="C858" t="str">
        <f>IF(IFERROR(VLOOKUP(TRIM(A858),'Full Inventory'!F:F,1,0),0)=0,"X","_")</f>
        <v>_</v>
      </c>
      <c r="D858" t="str">
        <f t="shared" si="39"/>
        <v>X</v>
      </c>
      <c r="E858" t="str">
        <f ca="1">IFERROR(IF(AND(B858&amp;C858&amp;D858="___",INDIRECT("Inventory!A"&amp;MATCH(VLOOKUP(A858,Inventory!E:E,1,0),Inventory!E:E,0))&lt;&gt;INDIRECT("'Full Inventory'!B"&amp;MATCH(VLOOKUP(A858,'Full Inventory'!F:F,1,0),'Full Inventory'!F:F,0))),"X","_"),"_")</f>
        <v>_</v>
      </c>
      <c r="K858" t="str">
        <f t="shared" ca="1" si="40"/>
        <v>__X_</v>
      </c>
      <c r="L858" t="str">
        <f t="shared" ca="1" si="41"/>
        <v/>
      </c>
      <c r="M858" t="str">
        <f>IFERROR(INDEX(Inventory!A:A,MATCH(Scan!A858,Inventory!E:E,0)),"")</f>
        <v/>
      </c>
    </row>
    <row r="859" spans="2:13" x14ac:dyDescent="0.25">
      <c r="B859" t="str">
        <f>IF(IFERROR(VLOOKUP(TRIM(A859),Inventory!E:E,1,0),0)=0,"X","_")</f>
        <v>_</v>
      </c>
      <c r="C859" t="str">
        <f>IF(IFERROR(VLOOKUP(TRIM(A859),'Full Inventory'!F:F,1,0),0)=0,"X","_")</f>
        <v>_</v>
      </c>
      <c r="D859" t="str">
        <f t="shared" si="39"/>
        <v>X</v>
      </c>
      <c r="E859" t="str">
        <f ca="1">IFERROR(IF(AND(B859&amp;C859&amp;D859="___",INDIRECT("Inventory!A"&amp;MATCH(VLOOKUP(A859,Inventory!E:E,1,0),Inventory!E:E,0))&lt;&gt;INDIRECT("'Full Inventory'!B"&amp;MATCH(VLOOKUP(A859,'Full Inventory'!F:F,1,0),'Full Inventory'!F:F,0))),"X","_"),"_")</f>
        <v>_</v>
      </c>
      <c r="K859" t="str">
        <f t="shared" ca="1" si="40"/>
        <v>__X_</v>
      </c>
      <c r="L859" t="str">
        <f t="shared" ca="1" si="41"/>
        <v/>
      </c>
      <c r="M859" t="str">
        <f>IFERROR(INDEX(Inventory!A:A,MATCH(Scan!A859,Inventory!E:E,0)),"")</f>
        <v/>
      </c>
    </row>
    <row r="860" spans="2:13" x14ac:dyDescent="0.25">
      <c r="B860" t="str">
        <f>IF(IFERROR(VLOOKUP(TRIM(A860),Inventory!E:E,1,0),0)=0,"X","_")</f>
        <v>_</v>
      </c>
      <c r="C860" t="str">
        <f>IF(IFERROR(VLOOKUP(TRIM(A860),'Full Inventory'!F:F,1,0),0)=0,"X","_")</f>
        <v>_</v>
      </c>
      <c r="D860" t="str">
        <f t="shared" si="39"/>
        <v>X</v>
      </c>
      <c r="E860" t="str">
        <f ca="1">IFERROR(IF(AND(B860&amp;C860&amp;D860="___",INDIRECT("Inventory!A"&amp;MATCH(VLOOKUP(A860,Inventory!E:E,1,0),Inventory!E:E,0))&lt;&gt;INDIRECT("'Full Inventory'!B"&amp;MATCH(VLOOKUP(A860,'Full Inventory'!F:F,1,0),'Full Inventory'!F:F,0))),"X","_"),"_")</f>
        <v>_</v>
      </c>
      <c r="K860" t="str">
        <f t="shared" ca="1" si="40"/>
        <v>__X_</v>
      </c>
      <c r="L860" t="str">
        <f t="shared" ca="1" si="41"/>
        <v/>
      </c>
      <c r="M860" t="str">
        <f>IFERROR(INDEX(Inventory!A:A,MATCH(Scan!A860,Inventory!E:E,0)),"")</f>
        <v/>
      </c>
    </row>
    <row r="861" spans="2:13" x14ac:dyDescent="0.25">
      <c r="B861" t="str">
        <f>IF(IFERROR(VLOOKUP(TRIM(A861),Inventory!E:E,1,0),0)=0,"X","_")</f>
        <v>_</v>
      </c>
      <c r="C861" t="str">
        <f>IF(IFERROR(VLOOKUP(TRIM(A861),'Full Inventory'!F:F,1,0),0)=0,"X","_")</f>
        <v>_</v>
      </c>
      <c r="D861" t="str">
        <f t="shared" si="39"/>
        <v>X</v>
      </c>
      <c r="E861" t="str">
        <f ca="1">IFERROR(IF(AND(B861&amp;C861&amp;D861="___",INDIRECT("Inventory!A"&amp;MATCH(VLOOKUP(A861,Inventory!E:E,1,0),Inventory!E:E,0))&lt;&gt;INDIRECT("'Full Inventory'!B"&amp;MATCH(VLOOKUP(A861,'Full Inventory'!F:F,1,0),'Full Inventory'!F:F,0))),"X","_"),"_")</f>
        <v>_</v>
      </c>
      <c r="K861" t="str">
        <f t="shared" ca="1" si="40"/>
        <v>__X_</v>
      </c>
      <c r="L861" t="str">
        <f t="shared" ca="1" si="41"/>
        <v/>
      </c>
      <c r="M861" t="str">
        <f>IFERROR(INDEX(Inventory!A:A,MATCH(Scan!A861,Inventory!E:E,0)),"")</f>
        <v/>
      </c>
    </row>
    <row r="862" spans="2:13" x14ac:dyDescent="0.25">
      <c r="B862" t="str">
        <f>IF(IFERROR(VLOOKUP(TRIM(A862),Inventory!E:E,1,0),0)=0,"X","_")</f>
        <v>_</v>
      </c>
      <c r="C862" t="str">
        <f>IF(IFERROR(VLOOKUP(TRIM(A862),'Full Inventory'!F:F,1,0),0)=0,"X","_")</f>
        <v>_</v>
      </c>
      <c r="D862" t="str">
        <f t="shared" si="39"/>
        <v>X</v>
      </c>
      <c r="E862" t="str">
        <f ca="1">IFERROR(IF(AND(B862&amp;C862&amp;D862="___",INDIRECT("Inventory!A"&amp;MATCH(VLOOKUP(A862,Inventory!E:E,1,0),Inventory!E:E,0))&lt;&gt;INDIRECT("'Full Inventory'!B"&amp;MATCH(VLOOKUP(A862,'Full Inventory'!F:F,1,0),'Full Inventory'!F:F,0))),"X","_"),"_")</f>
        <v>_</v>
      </c>
      <c r="K862" t="str">
        <f t="shared" ca="1" si="40"/>
        <v>__X_</v>
      </c>
      <c r="L862" t="str">
        <f t="shared" ca="1" si="41"/>
        <v/>
      </c>
      <c r="M862" t="str">
        <f>IFERROR(INDEX(Inventory!A:A,MATCH(Scan!A862,Inventory!E:E,0)),"")</f>
        <v/>
      </c>
    </row>
    <row r="863" spans="2:13" x14ac:dyDescent="0.25">
      <c r="B863" t="str">
        <f>IF(IFERROR(VLOOKUP(TRIM(A863),Inventory!E:E,1,0),0)=0,"X","_")</f>
        <v>_</v>
      </c>
      <c r="C863" t="str">
        <f>IF(IFERROR(VLOOKUP(TRIM(A863),'Full Inventory'!F:F,1,0),0)=0,"X","_")</f>
        <v>_</v>
      </c>
      <c r="D863" t="str">
        <f t="shared" si="39"/>
        <v>X</v>
      </c>
      <c r="E863" t="str">
        <f ca="1">IFERROR(IF(AND(B863&amp;C863&amp;D863="___",INDIRECT("Inventory!A"&amp;MATCH(VLOOKUP(A863,Inventory!E:E,1,0),Inventory!E:E,0))&lt;&gt;INDIRECT("'Full Inventory'!B"&amp;MATCH(VLOOKUP(A863,'Full Inventory'!F:F,1,0),'Full Inventory'!F:F,0))),"X","_"),"_")</f>
        <v>_</v>
      </c>
      <c r="K863" t="str">
        <f t="shared" ca="1" si="40"/>
        <v>__X_</v>
      </c>
      <c r="L863" t="str">
        <f t="shared" ca="1" si="41"/>
        <v/>
      </c>
      <c r="M863" t="str">
        <f>IFERROR(INDEX(Inventory!A:A,MATCH(Scan!A863,Inventory!E:E,0)),"")</f>
        <v/>
      </c>
    </row>
    <row r="864" spans="2:13" x14ac:dyDescent="0.25">
      <c r="B864" t="str">
        <f>IF(IFERROR(VLOOKUP(TRIM(A864),Inventory!E:E,1,0),0)=0,"X","_")</f>
        <v>_</v>
      </c>
      <c r="C864" t="str">
        <f>IF(IFERROR(VLOOKUP(TRIM(A864),'Full Inventory'!F:F,1,0),0)=0,"X","_")</f>
        <v>_</v>
      </c>
      <c r="D864" t="str">
        <f t="shared" si="39"/>
        <v>X</v>
      </c>
      <c r="E864" t="str">
        <f ca="1">IFERROR(IF(AND(B864&amp;C864&amp;D864="___",INDIRECT("Inventory!A"&amp;MATCH(VLOOKUP(A864,Inventory!E:E,1,0),Inventory!E:E,0))&lt;&gt;INDIRECT("'Full Inventory'!B"&amp;MATCH(VLOOKUP(A864,'Full Inventory'!F:F,1,0),'Full Inventory'!F:F,0))),"X","_"),"_")</f>
        <v>_</v>
      </c>
      <c r="K864" t="str">
        <f t="shared" ca="1" si="40"/>
        <v>__X_</v>
      </c>
      <c r="L864" t="str">
        <f t="shared" ca="1" si="41"/>
        <v/>
      </c>
      <c r="M864" t="str">
        <f>IFERROR(INDEX(Inventory!A:A,MATCH(Scan!A864,Inventory!E:E,0)),"")</f>
        <v/>
      </c>
    </row>
    <row r="865" spans="2:13" x14ac:dyDescent="0.25">
      <c r="B865" t="str">
        <f>IF(IFERROR(VLOOKUP(TRIM(A865),Inventory!E:E,1,0),0)=0,"X","_")</f>
        <v>_</v>
      </c>
      <c r="C865" t="str">
        <f>IF(IFERROR(VLOOKUP(TRIM(A865),'Full Inventory'!F:F,1,0),0)=0,"X","_")</f>
        <v>_</v>
      </c>
      <c r="D865" t="str">
        <f t="shared" si="39"/>
        <v>X</v>
      </c>
      <c r="E865" t="str">
        <f ca="1">IFERROR(IF(AND(B865&amp;C865&amp;D865="___",INDIRECT("Inventory!A"&amp;MATCH(VLOOKUP(A865,Inventory!E:E,1,0),Inventory!E:E,0))&lt;&gt;INDIRECT("'Full Inventory'!B"&amp;MATCH(VLOOKUP(A865,'Full Inventory'!F:F,1,0),'Full Inventory'!F:F,0))),"X","_"),"_")</f>
        <v>_</v>
      </c>
      <c r="K865" t="str">
        <f t="shared" ca="1" si="40"/>
        <v>__X_</v>
      </c>
      <c r="L865" t="str">
        <f t="shared" ca="1" si="41"/>
        <v/>
      </c>
      <c r="M865" t="str">
        <f>IFERROR(INDEX(Inventory!A:A,MATCH(Scan!A865,Inventory!E:E,0)),"")</f>
        <v/>
      </c>
    </row>
    <row r="866" spans="2:13" x14ac:dyDescent="0.25">
      <c r="B866" t="str">
        <f>IF(IFERROR(VLOOKUP(TRIM(A866),Inventory!E:E,1,0),0)=0,"X","_")</f>
        <v>_</v>
      </c>
      <c r="C866" t="str">
        <f>IF(IFERROR(VLOOKUP(TRIM(A866),'Full Inventory'!F:F,1,0),0)=0,"X","_")</f>
        <v>_</v>
      </c>
      <c r="D866" t="str">
        <f t="shared" si="39"/>
        <v>X</v>
      </c>
      <c r="E866" t="str">
        <f ca="1">IFERROR(IF(AND(B866&amp;C866&amp;D866="___",INDIRECT("Inventory!A"&amp;MATCH(VLOOKUP(A866,Inventory!E:E,1,0),Inventory!E:E,0))&lt;&gt;INDIRECT("'Full Inventory'!B"&amp;MATCH(VLOOKUP(A866,'Full Inventory'!F:F,1,0),'Full Inventory'!F:F,0))),"X","_"),"_")</f>
        <v>_</v>
      </c>
      <c r="K866" t="str">
        <f t="shared" ca="1" si="40"/>
        <v>__X_</v>
      </c>
      <c r="L866" t="str">
        <f t="shared" ca="1" si="41"/>
        <v/>
      </c>
      <c r="M866" t="str">
        <f>IFERROR(INDEX(Inventory!A:A,MATCH(Scan!A866,Inventory!E:E,0)),"")</f>
        <v/>
      </c>
    </row>
    <row r="867" spans="2:13" x14ac:dyDescent="0.25">
      <c r="B867" t="str">
        <f>IF(IFERROR(VLOOKUP(TRIM(A867),Inventory!E:E,1,0),0)=0,"X","_")</f>
        <v>_</v>
      </c>
      <c r="C867" t="str">
        <f>IF(IFERROR(VLOOKUP(TRIM(A867),'Full Inventory'!F:F,1,0),0)=0,"X","_")</f>
        <v>_</v>
      </c>
      <c r="D867" t="str">
        <f t="shared" si="39"/>
        <v>X</v>
      </c>
      <c r="E867" t="str">
        <f ca="1">IFERROR(IF(AND(B867&amp;C867&amp;D867="___",INDIRECT("Inventory!A"&amp;MATCH(VLOOKUP(A867,Inventory!E:E,1,0),Inventory!E:E,0))&lt;&gt;INDIRECT("'Full Inventory'!B"&amp;MATCH(VLOOKUP(A867,'Full Inventory'!F:F,1,0),'Full Inventory'!F:F,0))),"X","_"),"_")</f>
        <v>_</v>
      </c>
      <c r="K867" t="str">
        <f t="shared" ca="1" si="40"/>
        <v>__X_</v>
      </c>
      <c r="L867" t="str">
        <f t="shared" ca="1" si="41"/>
        <v/>
      </c>
      <c r="M867" t="str">
        <f>IFERROR(INDEX(Inventory!A:A,MATCH(Scan!A867,Inventory!E:E,0)),"")</f>
        <v/>
      </c>
    </row>
    <row r="868" spans="2:13" x14ac:dyDescent="0.25">
      <c r="B868" t="str">
        <f>IF(IFERROR(VLOOKUP(TRIM(A868),Inventory!E:E,1,0),0)=0,"X","_")</f>
        <v>_</v>
      </c>
      <c r="C868" t="str">
        <f>IF(IFERROR(VLOOKUP(TRIM(A868),'Full Inventory'!F:F,1,0),0)=0,"X","_")</f>
        <v>_</v>
      </c>
      <c r="D868" t="str">
        <f t="shared" si="39"/>
        <v>X</v>
      </c>
      <c r="E868" t="str">
        <f ca="1">IFERROR(IF(AND(B868&amp;C868&amp;D868="___",INDIRECT("Inventory!A"&amp;MATCH(VLOOKUP(A868,Inventory!E:E,1,0),Inventory!E:E,0))&lt;&gt;INDIRECT("'Full Inventory'!B"&amp;MATCH(VLOOKUP(A868,'Full Inventory'!F:F,1,0),'Full Inventory'!F:F,0))),"X","_"),"_")</f>
        <v>_</v>
      </c>
      <c r="K868" t="str">
        <f t="shared" ca="1" si="40"/>
        <v>__X_</v>
      </c>
      <c r="L868" t="str">
        <f t="shared" ca="1" si="41"/>
        <v/>
      </c>
      <c r="M868" t="str">
        <f>IFERROR(INDEX(Inventory!A:A,MATCH(Scan!A868,Inventory!E:E,0)),"")</f>
        <v/>
      </c>
    </row>
    <row r="869" spans="2:13" x14ac:dyDescent="0.25">
      <c r="B869" t="str">
        <f>IF(IFERROR(VLOOKUP(TRIM(A869),Inventory!E:E,1,0),0)=0,"X","_")</f>
        <v>_</v>
      </c>
      <c r="C869" t="str">
        <f>IF(IFERROR(VLOOKUP(TRIM(A869),'Full Inventory'!F:F,1,0),0)=0,"X","_")</f>
        <v>_</v>
      </c>
      <c r="D869" t="str">
        <f t="shared" si="39"/>
        <v>X</v>
      </c>
      <c r="E869" t="str">
        <f ca="1">IFERROR(IF(AND(B869&amp;C869&amp;D869="___",INDIRECT("Inventory!A"&amp;MATCH(VLOOKUP(A869,Inventory!E:E,1,0),Inventory!E:E,0))&lt;&gt;INDIRECT("'Full Inventory'!B"&amp;MATCH(VLOOKUP(A869,'Full Inventory'!F:F,1,0),'Full Inventory'!F:F,0))),"X","_"),"_")</f>
        <v>_</v>
      </c>
      <c r="K869" t="str">
        <f t="shared" ca="1" si="40"/>
        <v>__X_</v>
      </c>
      <c r="L869" t="str">
        <f t="shared" ca="1" si="41"/>
        <v/>
      </c>
      <c r="M869" t="str">
        <f>IFERROR(INDEX(Inventory!A:A,MATCH(Scan!A869,Inventory!E:E,0)),"")</f>
        <v/>
      </c>
    </row>
    <row r="870" spans="2:13" x14ac:dyDescent="0.25">
      <c r="B870" t="str">
        <f>IF(IFERROR(VLOOKUP(TRIM(A870),Inventory!E:E,1,0),0)=0,"X","_")</f>
        <v>_</v>
      </c>
      <c r="C870" t="str">
        <f>IF(IFERROR(VLOOKUP(TRIM(A870),'Full Inventory'!F:F,1,0),0)=0,"X","_")</f>
        <v>_</v>
      </c>
      <c r="D870" t="str">
        <f t="shared" si="39"/>
        <v>X</v>
      </c>
      <c r="E870" t="str">
        <f ca="1">IFERROR(IF(AND(B870&amp;C870&amp;D870="___",INDIRECT("Inventory!A"&amp;MATCH(VLOOKUP(A870,Inventory!E:E,1,0),Inventory!E:E,0))&lt;&gt;INDIRECT("'Full Inventory'!B"&amp;MATCH(VLOOKUP(A870,'Full Inventory'!F:F,1,0),'Full Inventory'!F:F,0))),"X","_"),"_")</f>
        <v>_</v>
      </c>
      <c r="K870" t="str">
        <f t="shared" ca="1" si="40"/>
        <v>__X_</v>
      </c>
      <c r="L870" t="str">
        <f t="shared" ca="1" si="41"/>
        <v/>
      </c>
      <c r="M870" t="str">
        <f>IFERROR(INDEX(Inventory!A:A,MATCH(Scan!A870,Inventory!E:E,0)),"")</f>
        <v/>
      </c>
    </row>
    <row r="871" spans="2:13" x14ac:dyDescent="0.25">
      <c r="B871" t="str">
        <f>IF(IFERROR(VLOOKUP(TRIM(A871),Inventory!E:E,1,0),0)=0,"X","_")</f>
        <v>_</v>
      </c>
      <c r="C871" t="str">
        <f>IF(IFERROR(VLOOKUP(TRIM(A871),'Full Inventory'!F:F,1,0),0)=0,"X","_")</f>
        <v>_</v>
      </c>
      <c r="D871" t="str">
        <f t="shared" si="39"/>
        <v>X</v>
      </c>
      <c r="E871" t="str">
        <f ca="1">IFERROR(IF(AND(B871&amp;C871&amp;D871="___",INDIRECT("Inventory!A"&amp;MATCH(VLOOKUP(A871,Inventory!E:E,1,0),Inventory!E:E,0))&lt;&gt;INDIRECT("'Full Inventory'!B"&amp;MATCH(VLOOKUP(A871,'Full Inventory'!F:F,1,0),'Full Inventory'!F:F,0))),"X","_"),"_")</f>
        <v>_</v>
      </c>
      <c r="K871" t="str">
        <f t="shared" ca="1" si="40"/>
        <v>__X_</v>
      </c>
      <c r="L871" t="str">
        <f t="shared" ca="1" si="41"/>
        <v/>
      </c>
      <c r="M871" t="str">
        <f>IFERROR(INDEX(Inventory!A:A,MATCH(Scan!A871,Inventory!E:E,0)),"")</f>
        <v/>
      </c>
    </row>
    <row r="872" spans="2:13" x14ac:dyDescent="0.25">
      <c r="B872" t="str">
        <f>IF(IFERROR(VLOOKUP(TRIM(A872),Inventory!E:E,1,0),0)=0,"X","_")</f>
        <v>_</v>
      </c>
      <c r="C872" t="str">
        <f>IF(IFERROR(VLOOKUP(TRIM(A872),'Full Inventory'!F:F,1,0),0)=0,"X","_")</f>
        <v>_</v>
      </c>
      <c r="D872" t="str">
        <f t="shared" si="39"/>
        <v>X</v>
      </c>
      <c r="E872" t="str">
        <f ca="1">IFERROR(IF(AND(B872&amp;C872&amp;D872="___",INDIRECT("Inventory!A"&amp;MATCH(VLOOKUP(A872,Inventory!E:E,1,0),Inventory!E:E,0))&lt;&gt;INDIRECT("'Full Inventory'!B"&amp;MATCH(VLOOKUP(A872,'Full Inventory'!F:F,1,0),'Full Inventory'!F:F,0))),"X","_"),"_")</f>
        <v>_</v>
      </c>
      <c r="K872" t="str">
        <f t="shared" ca="1" si="40"/>
        <v>__X_</v>
      </c>
      <c r="L872" t="str">
        <f t="shared" ca="1" si="41"/>
        <v/>
      </c>
      <c r="M872" t="str">
        <f>IFERROR(INDEX(Inventory!A:A,MATCH(Scan!A872,Inventory!E:E,0)),"")</f>
        <v/>
      </c>
    </row>
    <row r="873" spans="2:13" x14ac:dyDescent="0.25">
      <c r="B873" t="str">
        <f>IF(IFERROR(VLOOKUP(TRIM(A873),Inventory!E:E,1,0),0)=0,"X","_")</f>
        <v>_</v>
      </c>
      <c r="C873" t="str">
        <f>IF(IFERROR(VLOOKUP(TRIM(A873),'Full Inventory'!F:F,1,0),0)=0,"X","_")</f>
        <v>_</v>
      </c>
      <c r="D873" t="str">
        <f t="shared" si="39"/>
        <v>X</v>
      </c>
      <c r="E873" t="str">
        <f ca="1">IFERROR(IF(AND(B873&amp;C873&amp;D873="___",INDIRECT("Inventory!A"&amp;MATCH(VLOOKUP(A873,Inventory!E:E,1,0),Inventory!E:E,0))&lt;&gt;INDIRECT("'Full Inventory'!B"&amp;MATCH(VLOOKUP(A873,'Full Inventory'!F:F,1,0),'Full Inventory'!F:F,0))),"X","_"),"_")</f>
        <v>_</v>
      </c>
      <c r="K873" t="str">
        <f t="shared" ca="1" si="40"/>
        <v>__X_</v>
      </c>
      <c r="L873" t="str">
        <f t="shared" ca="1" si="41"/>
        <v/>
      </c>
      <c r="M873" t="str">
        <f>IFERROR(INDEX(Inventory!A:A,MATCH(Scan!A873,Inventory!E:E,0)),"")</f>
        <v/>
      </c>
    </row>
    <row r="874" spans="2:13" x14ac:dyDescent="0.25">
      <c r="B874" t="str">
        <f>IF(IFERROR(VLOOKUP(TRIM(A874),Inventory!E:E,1,0),0)=0,"X","_")</f>
        <v>_</v>
      </c>
      <c r="C874" t="str">
        <f>IF(IFERROR(VLOOKUP(TRIM(A874),'Full Inventory'!F:F,1,0),0)=0,"X","_")</f>
        <v>_</v>
      </c>
      <c r="D874" t="str">
        <f t="shared" si="39"/>
        <v>X</v>
      </c>
      <c r="E874" t="str">
        <f ca="1">IFERROR(IF(AND(B874&amp;C874&amp;D874="___",INDIRECT("Inventory!A"&amp;MATCH(VLOOKUP(A874,Inventory!E:E,1,0),Inventory!E:E,0))&lt;&gt;INDIRECT("'Full Inventory'!B"&amp;MATCH(VLOOKUP(A874,'Full Inventory'!F:F,1,0),'Full Inventory'!F:F,0))),"X","_"),"_")</f>
        <v>_</v>
      </c>
      <c r="K874" t="str">
        <f t="shared" ca="1" si="40"/>
        <v>__X_</v>
      </c>
      <c r="L874" t="str">
        <f t="shared" ca="1" si="41"/>
        <v/>
      </c>
      <c r="M874" t="str">
        <f>IFERROR(INDEX(Inventory!A:A,MATCH(Scan!A874,Inventory!E:E,0)),"")</f>
        <v/>
      </c>
    </row>
    <row r="875" spans="2:13" x14ac:dyDescent="0.25">
      <c r="B875" t="str">
        <f>IF(IFERROR(VLOOKUP(TRIM(A875),Inventory!E:E,1,0),0)=0,"X","_")</f>
        <v>_</v>
      </c>
      <c r="C875" t="str">
        <f>IF(IFERROR(VLOOKUP(TRIM(A875),'Full Inventory'!F:F,1,0),0)=0,"X","_")</f>
        <v>_</v>
      </c>
      <c r="D875" t="str">
        <f t="shared" si="39"/>
        <v>X</v>
      </c>
      <c r="E875" t="str">
        <f ca="1">IFERROR(IF(AND(B875&amp;C875&amp;D875="___",INDIRECT("Inventory!A"&amp;MATCH(VLOOKUP(A875,Inventory!E:E,1,0),Inventory!E:E,0))&lt;&gt;INDIRECT("'Full Inventory'!B"&amp;MATCH(VLOOKUP(A875,'Full Inventory'!F:F,1,0),'Full Inventory'!F:F,0))),"X","_"),"_")</f>
        <v>_</v>
      </c>
      <c r="K875" t="str">
        <f t="shared" ca="1" si="40"/>
        <v>__X_</v>
      </c>
      <c r="L875" t="str">
        <f t="shared" ca="1" si="41"/>
        <v/>
      </c>
      <c r="M875" t="str">
        <f>IFERROR(INDEX(Inventory!A:A,MATCH(Scan!A875,Inventory!E:E,0)),"")</f>
        <v/>
      </c>
    </row>
    <row r="876" spans="2:13" x14ac:dyDescent="0.25">
      <c r="B876" t="str">
        <f>IF(IFERROR(VLOOKUP(TRIM(A876),Inventory!E:E,1,0),0)=0,"X","_")</f>
        <v>_</v>
      </c>
      <c r="C876" t="str">
        <f>IF(IFERROR(VLOOKUP(TRIM(A876),'Full Inventory'!F:F,1,0),0)=0,"X","_")</f>
        <v>_</v>
      </c>
      <c r="D876" t="str">
        <f t="shared" si="39"/>
        <v>X</v>
      </c>
      <c r="E876" t="str">
        <f ca="1">IFERROR(IF(AND(B876&amp;C876&amp;D876="___",INDIRECT("Inventory!A"&amp;MATCH(VLOOKUP(A876,Inventory!E:E,1,0),Inventory!E:E,0))&lt;&gt;INDIRECT("'Full Inventory'!B"&amp;MATCH(VLOOKUP(A876,'Full Inventory'!F:F,1,0),'Full Inventory'!F:F,0))),"X","_"),"_")</f>
        <v>_</v>
      </c>
      <c r="K876" t="str">
        <f t="shared" ca="1" si="40"/>
        <v>__X_</v>
      </c>
      <c r="L876" t="str">
        <f t="shared" ca="1" si="41"/>
        <v/>
      </c>
      <c r="M876" t="str">
        <f>IFERROR(INDEX(Inventory!A:A,MATCH(Scan!A876,Inventory!E:E,0)),"")</f>
        <v/>
      </c>
    </row>
    <row r="877" spans="2:13" x14ac:dyDescent="0.25">
      <c r="B877" t="str">
        <f>IF(IFERROR(VLOOKUP(TRIM(A877),Inventory!E:E,1,0),0)=0,"X","_")</f>
        <v>_</v>
      </c>
      <c r="C877" t="str">
        <f>IF(IFERROR(VLOOKUP(TRIM(A877),'Full Inventory'!F:F,1,0),0)=0,"X","_")</f>
        <v>_</v>
      </c>
      <c r="D877" t="str">
        <f t="shared" si="39"/>
        <v>X</v>
      </c>
      <c r="E877" t="str">
        <f ca="1">IFERROR(IF(AND(B877&amp;C877&amp;D877="___",INDIRECT("Inventory!A"&amp;MATCH(VLOOKUP(A877,Inventory!E:E,1,0),Inventory!E:E,0))&lt;&gt;INDIRECT("'Full Inventory'!B"&amp;MATCH(VLOOKUP(A877,'Full Inventory'!F:F,1,0),'Full Inventory'!F:F,0))),"X","_"),"_")</f>
        <v>_</v>
      </c>
      <c r="K877" t="str">
        <f t="shared" ca="1" si="40"/>
        <v>__X_</v>
      </c>
      <c r="L877" t="str">
        <f t="shared" ca="1" si="41"/>
        <v/>
      </c>
      <c r="M877" t="str">
        <f>IFERROR(INDEX(Inventory!A:A,MATCH(Scan!A877,Inventory!E:E,0)),"")</f>
        <v/>
      </c>
    </row>
    <row r="878" spans="2:13" x14ac:dyDescent="0.25">
      <c r="B878" t="str">
        <f>IF(IFERROR(VLOOKUP(TRIM(A878),Inventory!E:E,1,0),0)=0,"X","_")</f>
        <v>_</v>
      </c>
      <c r="C878" t="str">
        <f>IF(IFERROR(VLOOKUP(TRIM(A878),'Full Inventory'!F:F,1,0),0)=0,"X","_")</f>
        <v>_</v>
      </c>
      <c r="D878" t="str">
        <f t="shared" si="39"/>
        <v>X</v>
      </c>
      <c r="E878" t="str">
        <f ca="1">IFERROR(IF(AND(B878&amp;C878&amp;D878="___",INDIRECT("Inventory!A"&amp;MATCH(VLOOKUP(A878,Inventory!E:E,1,0),Inventory!E:E,0))&lt;&gt;INDIRECT("'Full Inventory'!B"&amp;MATCH(VLOOKUP(A878,'Full Inventory'!F:F,1,0),'Full Inventory'!F:F,0))),"X","_"),"_")</f>
        <v>_</v>
      </c>
      <c r="K878" t="str">
        <f t="shared" ca="1" si="40"/>
        <v>__X_</v>
      </c>
      <c r="L878" t="str">
        <f t="shared" ca="1" si="41"/>
        <v/>
      </c>
      <c r="M878" t="str">
        <f>IFERROR(INDEX(Inventory!A:A,MATCH(Scan!A878,Inventory!E:E,0)),"")</f>
        <v/>
      </c>
    </row>
    <row r="879" spans="2:13" x14ac:dyDescent="0.25">
      <c r="B879" t="str">
        <f>IF(IFERROR(VLOOKUP(TRIM(A879),Inventory!E:E,1,0),0)=0,"X","_")</f>
        <v>_</v>
      </c>
      <c r="C879" t="str">
        <f>IF(IFERROR(VLOOKUP(TRIM(A879),'Full Inventory'!F:F,1,0),0)=0,"X","_")</f>
        <v>_</v>
      </c>
      <c r="D879" t="str">
        <f t="shared" si="39"/>
        <v>X</v>
      </c>
      <c r="E879" t="str">
        <f ca="1">IFERROR(IF(AND(B879&amp;C879&amp;D879="___",INDIRECT("Inventory!A"&amp;MATCH(VLOOKUP(A879,Inventory!E:E,1,0),Inventory!E:E,0))&lt;&gt;INDIRECT("'Full Inventory'!B"&amp;MATCH(VLOOKUP(A879,'Full Inventory'!F:F,1,0),'Full Inventory'!F:F,0))),"X","_"),"_")</f>
        <v>_</v>
      </c>
      <c r="K879" t="str">
        <f t="shared" ca="1" si="40"/>
        <v>__X_</v>
      </c>
      <c r="L879" t="str">
        <f t="shared" ca="1" si="41"/>
        <v/>
      </c>
      <c r="M879" t="str">
        <f>IFERROR(INDEX(Inventory!A:A,MATCH(Scan!A879,Inventory!E:E,0)),"")</f>
        <v/>
      </c>
    </row>
    <row r="880" spans="2:13" x14ac:dyDescent="0.25">
      <c r="B880" t="str">
        <f>IF(IFERROR(VLOOKUP(TRIM(A880),Inventory!E:E,1,0),0)=0,"X","_")</f>
        <v>_</v>
      </c>
      <c r="C880" t="str">
        <f>IF(IFERROR(VLOOKUP(TRIM(A880),'Full Inventory'!F:F,1,0),0)=0,"X","_")</f>
        <v>_</v>
      </c>
      <c r="D880" t="str">
        <f t="shared" si="39"/>
        <v>X</v>
      </c>
      <c r="E880" t="str">
        <f ca="1">IFERROR(IF(AND(B880&amp;C880&amp;D880="___",INDIRECT("Inventory!A"&amp;MATCH(VLOOKUP(A880,Inventory!E:E,1,0),Inventory!E:E,0))&lt;&gt;INDIRECT("'Full Inventory'!B"&amp;MATCH(VLOOKUP(A880,'Full Inventory'!F:F,1,0),'Full Inventory'!F:F,0))),"X","_"),"_")</f>
        <v>_</v>
      </c>
      <c r="K880" t="str">
        <f t="shared" ca="1" si="40"/>
        <v>__X_</v>
      </c>
      <c r="L880" t="str">
        <f t="shared" ca="1" si="41"/>
        <v/>
      </c>
      <c r="M880" t="str">
        <f>IFERROR(INDEX(Inventory!A:A,MATCH(Scan!A880,Inventory!E:E,0)),"")</f>
        <v/>
      </c>
    </row>
    <row r="881" spans="2:13" x14ac:dyDescent="0.25">
      <c r="B881" t="str">
        <f>IF(IFERROR(VLOOKUP(TRIM(A881),Inventory!E:E,1,0),0)=0,"X","_")</f>
        <v>_</v>
      </c>
      <c r="C881" t="str">
        <f>IF(IFERROR(VLOOKUP(TRIM(A881),'Full Inventory'!F:F,1,0),0)=0,"X","_")</f>
        <v>_</v>
      </c>
      <c r="D881" t="str">
        <f t="shared" si="39"/>
        <v>X</v>
      </c>
      <c r="E881" t="str">
        <f ca="1">IFERROR(IF(AND(B881&amp;C881&amp;D881="___",INDIRECT("Inventory!A"&amp;MATCH(VLOOKUP(A881,Inventory!E:E,1,0),Inventory!E:E,0))&lt;&gt;INDIRECT("'Full Inventory'!B"&amp;MATCH(VLOOKUP(A881,'Full Inventory'!F:F,1,0),'Full Inventory'!F:F,0))),"X","_"),"_")</f>
        <v>_</v>
      </c>
      <c r="K881" t="str">
        <f t="shared" ca="1" si="40"/>
        <v>__X_</v>
      </c>
      <c r="L881" t="str">
        <f t="shared" ca="1" si="41"/>
        <v/>
      </c>
      <c r="M881" t="str">
        <f>IFERROR(INDEX(Inventory!A:A,MATCH(Scan!A881,Inventory!E:E,0)),"")</f>
        <v/>
      </c>
    </row>
    <row r="882" spans="2:13" x14ac:dyDescent="0.25">
      <c r="B882" t="str">
        <f>IF(IFERROR(VLOOKUP(TRIM(A882),Inventory!E:E,1,0),0)=0,"X","_")</f>
        <v>_</v>
      </c>
      <c r="C882" t="str">
        <f>IF(IFERROR(VLOOKUP(TRIM(A882),'Full Inventory'!F:F,1,0),0)=0,"X","_")</f>
        <v>_</v>
      </c>
      <c r="D882" t="str">
        <f t="shared" si="39"/>
        <v>X</v>
      </c>
      <c r="E882" t="str">
        <f ca="1">IFERROR(IF(AND(B882&amp;C882&amp;D882="___",INDIRECT("Inventory!A"&amp;MATCH(VLOOKUP(A882,Inventory!E:E,1,0),Inventory!E:E,0))&lt;&gt;INDIRECT("'Full Inventory'!B"&amp;MATCH(VLOOKUP(A882,'Full Inventory'!F:F,1,0),'Full Inventory'!F:F,0))),"X","_"),"_")</f>
        <v>_</v>
      </c>
      <c r="K882" t="str">
        <f t="shared" ca="1" si="40"/>
        <v>__X_</v>
      </c>
      <c r="L882" t="str">
        <f t="shared" ca="1" si="41"/>
        <v/>
      </c>
      <c r="M882" t="str">
        <f>IFERROR(INDEX(Inventory!A:A,MATCH(Scan!A882,Inventory!E:E,0)),"")</f>
        <v/>
      </c>
    </row>
    <row r="883" spans="2:13" x14ac:dyDescent="0.25">
      <c r="B883" t="str">
        <f>IF(IFERROR(VLOOKUP(TRIM(A883),Inventory!E:E,1,0),0)=0,"X","_")</f>
        <v>_</v>
      </c>
      <c r="C883" t="str">
        <f>IF(IFERROR(VLOOKUP(TRIM(A883),'Full Inventory'!F:F,1,0),0)=0,"X","_")</f>
        <v>_</v>
      </c>
      <c r="D883" t="str">
        <f t="shared" si="39"/>
        <v>X</v>
      </c>
      <c r="E883" t="str">
        <f ca="1">IFERROR(IF(AND(B883&amp;C883&amp;D883="___",INDIRECT("Inventory!A"&amp;MATCH(VLOOKUP(A883,Inventory!E:E,1,0),Inventory!E:E,0))&lt;&gt;INDIRECT("'Full Inventory'!B"&amp;MATCH(VLOOKUP(A883,'Full Inventory'!F:F,1,0),'Full Inventory'!F:F,0))),"X","_"),"_")</f>
        <v>_</v>
      </c>
      <c r="K883" t="str">
        <f t="shared" ca="1" si="40"/>
        <v>__X_</v>
      </c>
      <c r="L883" t="str">
        <f t="shared" ca="1" si="41"/>
        <v/>
      </c>
      <c r="M883" t="str">
        <f>IFERROR(INDEX(Inventory!A:A,MATCH(Scan!A883,Inventory!E:E,0)),"")</f>
        <v/>
      </c>
    </row>
    <row r="884" spans="2:13" x14ac:dyDescent="0.25">
      <c r="B884" t="str">
        <f>IF(IFERROR(VLOOKUP(TRIM(A884),Inventory!E:E,1,0),0)=0,"X","_")</f>
        <v>_</v>
      </c>
      <c r="C884" t="str">
        <f>IF(IFERROR(VLOOKUP(TRIM(A884),'Full Inventory'!F:F,1,0),0)=0,"X","_")</f>
        <v>_</v>
      </c>
      <c r="D884" t="str">
        <f t="shared" si="39"/>
        <v>X</v>
      </c>
      <c r="E884" t="str">
        <f ca="1">IFERROR(IF(AND(B884&amp;C884&amp;D884="___",INDIRECT("Inventory!A"&amp;MATCH(VLOOKUP(A884,Inventory!E:E,1,0),Inventory!E:E,0))&lt;&gt;INDIRECT("'Full Inventory'!B"&amp;MATCH(VLOOKUP(A884,'Full Inventory'!F:F,1,0),'Full Inventory'!F:F,0))),"X","_"),"_")</f>
        <v>_</v>
      </c>
      <c r="K884" t="str">
        <f t="shared" ca="1" si="40"/>
        <v>__X_</v>
      </c>
      <c r="L884" t="str">
        <f t="shared" ca="1" si="41"/>
        <v/>
      </c>
      <c r="M884" t="str">
        <f>IFERROR(INDEX(Inventory!A:A,MATCH(Scan!A884,Inventory!E:E,0)),"")</f>
        <v/>
      </c>
    </row>
    <row r="885" spans="2:13" x14ac:dyDescent="0.25">
      <c r="B885" t="str">
        <f>IF(IFERROR(VLOOKUP(TRIM(A885),Inventory!E:E,1,0),0)=0,"X","_")</f>
        <v>_</v>
      </c>
      <c r="C885" t="str">
        <f>IF(IFERROR(VLOOKUP(TRIM(A885),'Full Inventory'!F:F,1,0),0)=0,"X","_")</f>
        <v>_</v>
      </c>
      <c r="D885" t="str">
        <f t="shared" si="39"/>
        <v>X</v>
      </c>
      <c r="E885" t="str">
        <f ca="1">IFERROR(IF(AND(B885&amp;C885&amp;D885="___",INDIRECT("Inventory!A"&amp;MATCH(VLOOKUP(A885,Inventory!E:E,1,0),Inventory!E:E,0))&lt;&gt;INDIRECT("'Full Inventory'!B"&amp;MATCH(VLOOKUP(A885,'Full Inventory'!F:F,1,0),'Full Inventory'!F:F,0))),"X","_"),"_")</f>
        <v>_</v>
      </c>
      <c r="K885" t="str">
        <f t="shared" ca="1" si="40"/>
        <v>__X_</v>
      </c>
      <c r="L885" t="str">
        <f t="shared" ca="1" si="41"/>
        <v/>
      </c>
      <c r="M885" t="str">
        <f>IFERROR(INDEX(Inventory!A:A,MATCH(Scan!A885,Inventory!E:E,0)),"")</f>
        <v/>
      </c>
    </row>
    <row r="886" spans="2:13" x14ac:dyDescent="0.25">
      <c r="B886" t="str">
        <f>IF(IFERROR(VLOOKUP(TRIM(A886),Inventory!E:E,1,0),0)=0,"X","_")</f>
        <v>_</v>
      </c>
      <c r="C886" t="str">
        <f>IF(IFERROR(VLOOKUP(TRIM(A886),'Full Inventory'!F:F,1,0),0)=0,"X","_")</f>
        <v>_</v>
      </c>
      <c r="D886" t="str">
        <f t="shared" si="39"/>
        <v>X</v>
      </c>
      <c r="E886" t="str">
        <f ca="1">IFERROR(IF(AND(B886&amp;C886&amp;D886="___",INDIRECT("Inventory!A"&amp;MATCH(VLOOKUP(A886,Inventory!E:E,1,0),Inventory!E:E,0))&lt;&gt;INDIRECT("'Full Inventory'!B"&amp;MATCH(VLOOKUP(A886,'Full Inventory'!F:F,1,0),'Full Inventory'!F:F,0))),"X","_"),"_")</f>
        <v>_</v>
      </c>
      <c r="K886" t="str">
        <f t="shared" ca="1" si="40"/>
        <v>__X_</v>
      </c>
      <c r="L886" t="str">
        <f t="shared" ca="1" si="41"/>
        <v/>
      </c>
      <c r="M886" t="str">
        <f>IFERROR(INDEX(Inventory!A:A,MATCH(Scan!A886,Inventory!E:E,0)),"")</f>
        <v/>
      </c>
    </row>
    <row r="887" spans="2:13" x14ac:dyDescent="0.25">
      <c r="B887" t="str">
        <f>IF(IFERROR(VLOOKUP(TRIM(A887),Inventory!E:E,1,0),0)=0,"X","_")</f>
        <v>_</v>
      </c>
      <c r="C887" t="str">
        <f>IF(IFERROR(VLOOKUP(TRIM(A887),'Full Inventory'!F:F,1,0),0)=0,"X","_")</f>
        <v>_</v>
      </c>
      <c r="D887" t="str">
        <f t="shared" si="39"/>
        <v>X</v>
      </c>
      <c r="E887" t="str">
        <f ca="1">IFERROR(IF(AND(B887&amp;C887&amp;D887="___",INDIRECT("Inventory!A"&amp;MATCH(VLOOKUP(A887,Inventory!E:E,1,0),Inventory!E:E,0))&lt;&gt;INDIRECT("'Full Inventory'!B"&amp;MATCH(VLOOKUP(A887,'Full Inventory'!F:F,1,0),'Full Inventory'!F:F,0))),"X","_"),"_")</f>
        <v>_</v>
      </c>
      <c r="K887" t="str">
        <f t="shared" ca="1" si="40"/>
        <v>__X_</v>
      </c>
      <c r="L887" t="str">
        <f t="shared" ca="1" si="41"/>
        <v/>
      </c>
      <c r="M887" t="str">
        <f>IFERROR(INDEX(Inventory!A:A,MATCH(Scan!A887,Inventory!E:E,0)),"")</f>
        <v/>
      </c>
    </row>
    <row r="888" spans="2:13" x14ac:dyDescent="0.25">
      <c r="B888" t="str">
        <f>IF(IFERROR(VLOOKUP(TRIM(A888),Inventory!E:E,1,0),0)=0,"X","_")</f>
        <v>_</v>
      </c>
      <c r="C888" t="str">
        <f>IF(IFERROR(VLOOKUP(TRIM(A888),'Full Inventory'!F:F,1,0),0)=0,"X","_")</f>
        <v>_</v>
      </c>
      <c r="D888" t="str">
        <f t="shared" si="39"/>
        <v>X</v>
      </c>
      <c r="E888" t="str">
        <f ca="1">IFERROR(IF(AND(B888&amp;C888&amp;D888="___",INDIRECT("Inventory!A"&amp;MATCH(VLOOKUP(A888,Inventory!E:E,1,0),Inventory!E:E,0))&lt;&gt;INDIRECT("'Full Inventory'!B"&amp;MATCH(VLOOKUP(A888,'Full Inventory'!F:F,1,0),'Full Inventory'!F:F,0))),"X","_"),"_")</f>
        <v>_</v>
      </c>
      <c r="K888" t="str">
        <f t="shared" ca="1" si="40"/>
        <v>__X_</v>
      </c>
      <c r="L888" t="str">
        <f t="shared" ca="1" si="41"/>
        <v/>
      </c>
      <c r="M888" t="str">
        <f>IFERROR(INDEX(Inventory!A:A,MATCH(Scan!A888,Inventory!E:E,0)),"")</f>
        <v/>
      </c>
    </row>
    <row r="889" spans="2:13" x14ac:dyDescent="0.25">
      <c r="B889" t="str">
        <f>IF(IFERROR(VLOOKUP(TRIM(A889),Inventory!E:E,1,0),0)=0,"X","_")</f>
        <v>_</v>
      </c>
      <c r="C889" t="str">
        <f>IF(IFERROR(VLOOKUP(TRIM(A889),'Full Inventory'!F:F,1,0),0)=0,"X","_")</f>
        <v>_</v>
      </c>
      <c r="D889" t="str">
        <f t="shared" si="39"/>
        <v>X</v>
      </c>
      <c r="E889" t="str">
        <f ca="1">IFERROR(IF(AND(B889&amp;C889&amp;D889="___",INDIRECT("Inventory!A"&amp;MATCH(VLOOKUP(A889,Inventory!E:E,1,0),Inventory!E:E,0))&lt;&gt;INDIRECT("'Full Inventory'!B"&amp;MATCH(VLOOKUP(A889,'Full Inventory'!F:F,1,0),'Full Inventory'!F:F,0))),"X","_"),"_")</f>
        <v>_</v>
      </c>
      <c r="K889" t="str">
        <f t="shared" ca="1" si="40"/>
        <v>__X_</v>
      </c>
      <c r="L889" t="str">
        <f t="shared" ca="1" si="41"/>
        <v/>
      </c>
      <c r="M889" t="str">
        <f>IFERROR(INDEX(Inventory!A:A,MATCH(Scan!A889,Inventory!E:E,0)),"")</f>
        <v/>
      </c>
    </row>
    <row r="890" spans="2:13" x14ac:dyDescent="0.25">
      <c r="B890" t="str">
        <f>IF(IFERROR(VLOOKUP(TRIM(A890),Inventory!E:E,1,0),0)=0,"X","_")</f>
        <v>_</v>
      </c>
      <c r="C890" t="str">
        <f>IF(IFERROR(VLOOKUP(TRIM(A890),'Full Inventory'!F:F,1,0),0)=0,"X","_")</f>
        <v>_</v>
      </c>
      <c r="D890" t="str">
        <f t="shared" si="39"/>
        <v>X</v>
      </c>
      <c r="E890" t="str">
        <f ca="1">IFERROR(IF(AND(B890&amp;C890&amp;D890="___",INDIRECT("Inventory!A"&amp;MATCH(VLOOKUP(A890,Inventory!E:E,1,0),Inventory!E:E,0))&lt;&gt;INDIRECT("'Full Inventory'!B"&amp;MATCH(VLOOKUP(A890,'Full Inventory'!F:F,1,0),'Full Inventory'!F:F,0))),"X","_"),"_")</f>
        <v>_</v>
      </c>
      <c r="K890" t="str">
        <f t="shared" ca="1" si="40"/>
        <v>__X_</v>
      </c>
      <c r="L890" t="str">
        <f t="shared" ca="1" si="41"/>
        <v/>
      </c>
      <c r="M890" t="str">
        <f>IFERROR(INDEX(Inventory!A:A,MATCH(Scan!A890,Inventory!E:E,0)),"")</f>
        <v/>
      </c>
    </row>
    <row r="891" spans="2:13" x14ac:dyDescent="0.25">
      <c r="B891" t="str">
        <f>IF(IFERROR(VLOOKUP(TRIM(A891),Inventory!E:E,1,0),0)=0,"X","_")</f>
        <v>_</v>
      </c>
      <c r="C891" t="str">
        <f>IF(IFERROR(VLOOKUP(TRIM(A891),'Full Inventory'!F:F,1,0),0)=0,"X","_")</f>
        <v>_</v>
      </c>
      <c r="D891" t="str">
        <f t="shared" si="39"/>
        <v>X</v>
      </c>
      <c r="E891" t="str">
        <f ca="1">IFERROR(IF(AND(B891&amp;C891&amp;D891="___",INDIRECT("Inventory!A"&amp;MATCH(VLOOKUP(A891,Inventory!E:E,1,0),Inventory!E:E,0))&lt;&gt;INDIRECT("'Full Inventory'!B"&amp;MATCH(VLOOKUP(A891,'Full Inventory'!F:F,1,0),'Full Inventory'!F:F,0))),"X","_"),"_")</f>
        <v>_</v>
      </c>
      <c r="K891" t="str">
        <f t="shared" ca="1" si="40"/>
        <v>__X_</v>
      </c>
      <c r="L891" t="str">
        <f t="shared" ca="1" si="41"/>
        <v/>
      </c>
      <c r="M891" t="str">
        <f>IFERROR(INDEX(Inventory!A:A,MATCH(Scan!A891,Inventory!E:E,0)),"")</f>
        <v/>
      </c>
    </row>
    <row r="892" spans="2:13" x14ac:dyDescent="0.25">
      <c r="B892" t="str">
        <f>IF(IFERROR(VLOOKUP(TRIM(A892),Inventory!E:E,1,0),0)=0,"X","_")</f>
        <v>_</v>
      </c>
      <c r="C892" t="str">
        <f>IF(IFERROR(VLOOKUP(TRIM(A892),'Full Inventory'!F:F,1,0),0)=0,"X","_")</f>
        <v>_</v>
      </c>
      <c r="D892" t="str">
        <f t="shared" si="39"/>
        <v>X</v>
      </c>
      <c r="E892" t="str">
        <f ca="1">IFERROR(IF(AND(B892&amp;C892&amp;D892="___",INDIRECT("Inventory!A"&amp;MATCH(VLOOKUP(A892,Inventory!E:E,1,0),Inventory!E:E,0))&lt;&gt;INDIRECT("'Full Inventory'!B"&amp;MATCH(VLOOKUP(A892,'Full Inventory'!F:F,1,0),'Full Inventory'!F:F,0))),"X","_"),"_")</f>
        <v>_</v>
      </c>
      <c r="K892" t="str">
        <f t="shared" ca="1" si="40"/>
        <v>__X_</v>
      </c>
      <c r="L892" t="str">
        <f t="shared" ca="1" si="41"/>
        <v/>
      </c>
      <c r="M892" t="str">
        <f>IFERROR(INDEX(Inventory!A:A,MATCH(Scan!A892,Inventory!E:E,0)),"")</f>
        <v/>
      </c>
    </row>
    <row r="893" spans="2:13" x14ac:dyDescent="0.25">
      <c r="B893" t="str">
        <f>IF(IFERROR(VLOOKUP(TRIM(A893),Inventory!E:E,1,0),0)=0,"X","_")</f>
        <v>_</v>
      </c>
      <c r="C893" t="str">
        <f>IF(IFERROR(VLOOKUP(TRIM(A893),'Full Inventory'!F:F,1,0),0)=0,"X","_")</f>
        <v>_</v>
      </c>
      <c r="D893" t="str">
        <f t="shared" si="39"/>
        <v>X</v>
      </c>
      <c r="E893" t="str">
        <f ca="1">IFERROR(IF(AND(B893&amp;C893&amp;D893="___",INDIRECT("Inventory!A"&amp;MATCH(VLOOKUP(A893,Inventory!E:E,1,0),Inventory!E:E,0))&lt;&gt;INDIRECT("'Full Inventory'!B"&amp;MATCH(VLOOKUP(A893,'Full Inventory'!F:F,1,0),'Full Inventory'!F:F,0))),"X","_"),"_")</f>
        <v>_</v>
      </c>
      <c r="K893" t="str">
        <f t="shared" ca="1" si="40"/>
        <v>__X_</v>
      </c>
      <c r="L893" t="str">
        <f t="shared" ca="1" si="41"/>
        <v/>
      </c>
      <c r="M893" t="str">
        <f>IFERROR(INDEX(Inventory!A:A,MATCH(Scan!A893,Inventory!E:E,0)),"")</f>
        <v/>
      </c>
    </row>
    <row r="894" spans="2:13" x14ac:dyDescent="0.25">
      <c r="B894" t="str">
        <f>IF(IFERROR(VLOOKUP(TRIM(A894),Inventory!E:E,1,0),0)=0,"X","_")</f>
        <v>_</v>
      </c>
      <c r="C894" t="str">
        <f>IF(IFERROR(VLOOKUP(TRIM(A894),'Full Inventory'!F:F,1,0),0)=0,"X","_")</f>
        <v>_</v>
      </c>
      <c r="D894" t="str">
        <f t="shared" si="39"/>
        <v>X</v>
      </c>
      <c r="E894" t="str">
        <f ca="1">IFERROR(IF(AND(B894&amp;C894&amp;D894="___",INDIRECT("Inventory!A"&amp;MATCH(VLOOKUP(A894,Inventory!E:E,1,0),Inventory!E:E,0))&lt;&gt;INDIRECT("'Full Inventory'!B"&amp;MATCH(VLOOKUP(A894,'Full Inventory'!F:F,1,0),'Full Inventory'!F:F,0))),"X","_"),"_")</f>
        <v>_</v>
      </c>
      <c r="K894" t="str">
        <f t="shared" ca="1" si="40"/>
        <v>__X_</v>
      </c>
      <c r="L894" t="str">
        <f t="shared" ca="1" si="41"/>
        <v/>
      </c>
      <c r="M894" t="str">
        <f>IFERROR(INDEX(Inventory!A:A,MATCH(Scan!A894,Inventory!E:E,0)),"")</f>
        <v/>
      </c>
    </row>
    <row r="895" spans="2:13" x14ac:dyDescent="0.25">
      <c r="B895" t="str">
        <f>IF(IFERROR(VLOOKUP(TRIM(A895),Inventory!E:E,1,0),0)=0,"X","_")</f>
        <v>_</v>
      </c>
      <c r="C895" t="str">
        <f>IF(IFERROR(VLOOKUP(TRIM(A895),'Full Inventory'!F:F,1,0),0)=0,"X","_")</f>
        <v>_</v>
      </c>
      <c r="D895" t="str">
        <f t="shared" si="39"/>
        <v>X</v>
      </c>
      <c r="E895" t="str">
        <f ca="1">IFERROR(IF(AND(B895&amp;C895&amp;D895="___",INDIRECT("Inventory!A"&amp;MATCH(VLOOKUP(A895,Inventory!E:E,1,0),Inventory!E:E,0))&lt;&gt;INDIRECT("'Full Inventory'!B"&amp;MATCH(VLOOKUP(A895,'Full Inventory'!F:F,1,0),'Full Inventory'!F:F,0))),"X","_"),"_")</f>
        <v>_</v>
      </c>
      <c r="K895" t="str">
        <f t="shared" ca="1" si="40"/>
        <v>__X_</v>
      </c>
      <c r="L895" t="str">
        <f t="shared" ca="1" si="41"/>
        <v/>
      </c>
      <c r="M895" t="str">
        <f>IFERROR(INDEX(Inventory!A:A,MATCH(Scan!A895,Inventory!E:E,0)),"")</f>
        <v/>
      </c>
    </row>
    <row r="896" spans="2:13" x14ac:dyDescent="0.25">
      <c r="B896" t="str">
        <f>IF(IFERROR(VLOOKUP(TRIM(A896),Inventory!E:E,1,0),0)=0,"X","_")</f>
        <v>_</v>
      </c>
      <c r="C896" t="str">
        <f>IF(IFERROR(VLOOKUP(TRIM(A896),'Full Inventory'!F:F,1,0),0)=0,"X","_")</f>
        <v>_</v>
      </c>
      <c r="D896" t="str">
        <f t="shared" si="39"/>
        <v>X</v>
      </c>
      <c r="E896" t="str">
        <f ca="1">IFERROR(IF(AND(B896&amp;C896&amp;D896="___",INDIRECT("Inventory!A"&amp;MATCH(VLOOKUP(A896,Inventory!E:E,1,0),Inventory!E:E,0))&lt;&gt;INDIRECT("'Full Inventory'!B"&amp;MATCH(VLOOKUP(A896,'Full Inventory'!F:F,1,0),'Full Inventory'!F:F,0))),"X","_"),"_")</f>
        <v>_</v>
      </c>
      <c r="K896" t="str">
        <f t="shared" ca="1" si="40"/>
        <v>__X_</v>
      </c>
      <c r="L896" t="str">
        <f t="shared" ca="1" si="41"/>
        <v/>
      </c>
      <c r="M896" t="str">
        <f>IFERROR(INDEX(Inventory!A:A,MATCH(Scan!A896,Inventory!E:E,0)),"")</f>
        <v/>
      </c>
    </row>
    <row r="897" spans="2:13" x14ac:dyDescent="0.25">
      <c r="B897" t="str">
        <f>IF(IFERROR(VLOOKUP(TRIM(A897),Inventory!E:E,1,0),0)=0,"X","_")</f>
        <v>_</v>
      </c>
      <c r="C897" t="str">
        <f>IF(IFERROR(VLOOKUP(TRIM(A897),'Full Inventory'!F:F,1,0),0)=0,"X","_")</f>
        <v>_</v>
      </c>
      <c r="D897" t="str">
        <f t="shared" si="39"/>
        <v>X</v>
      </c>
      <c r="E897" t="str">
        <f ca="1">IFERROR(IF(AND(B897&amp;C897&amp;D897="___",INDIRECT("Inventory!A"&amp;MATCH(VLOOKUP(A897,Inventory!E:E,1,0),Inventory!E:E,0))&lt;&gt;INDIRECT("'Full Inventory'!B"&amp;MATCH(VLOOKUP(A897,'Full Inventory'!F:F,1,0),'Full Inventory'!F:F,0))),"X","_"),"_")</f>
        <v>_</v>
      </c>
      <c r="K897" t="str">
        <f t="shared" ca="1" si="40"/>
        <v>__X_</v>
      </c>
      <c r="L897" t="str">
        <f t="shared" ca="1" si="41"/>
        <v/>
      </c>
      <c r="M897" t="str">
        <f>IFERROR(INDEX(Inventory!A:A,MATCH(Scan!A897,Inventory!E:E,0)),"")</f>
        <v/>
      </c>
    </row>
    <row r="898" spans="2:13" x14ac:dyDescent="0.25">
      <c r="B898" t="str">
        <f>IF(IFERROR(VLOOKUP(TRIM(A898),Inventory!E:E,1,0),0)=0,"X","_")</f>
        <v>_</v>
      </c>
      <c r="C898" t="str">
        <f>IF(IFERROR(VLOOKUP(TRIM(A898),'Full Inventory'!F:F,1,0),0)=0,"X","_")</f>
        <v>_</v>
      </c>
      <c r="D898" t="str">
        <f t="shared" ref="D898:D961" si="42">IF(TRIM(A898)&lt;&gt;"","_","X")</f>
        <v>X</v>
      </c>
      <c r="E898" t="str">
        <f ca="1">IFERROR(IF(AND(B898&amp;C898&amp;D898="___",INDIRECT("Inventory!A"&amp;MATCH(VLOOKUP(A898,Inventory!E:E,1,0),Inventory!E:E,0))&lt;&gt;INDIRECT("'Full Inventory'!B"&amp;MATCH(VLOOKUP(A898,'Full Inventory'!F:F,1,0),'Full Inventory'!F:F,0))),"X","_"),"_")</f>
        <v>_</v>
      </c>
      <c r="K898" t="str">
        <f t="shared" ca="1" si="40"/>
        <v>__X_</v>
      </c>
      <c r="L898" t="str">
        <f t="shared" ca="1" si="41"/>
        <v/>
      </c>
      <c r="M898" t="str">
        <f>IFERROR(INDEX(Inventory!A:A,MATCH(Scan!A898,Inventory!E:E,0)),"")</f>
        <v/>
      </c>
    </row>
    <row r="899" spans="2:13" x14ac:dyDescent="0.25">
      <c r="B899" t="str">
        <f>IF(IFERROR(VLOOKUP(TRIM(A899),Inventory!E:E,1,0),0)=0,"X","_")</f>
        <v>_</v>
      </c>
      <c r="C899" t="str">
        <f>IF(IFERROR(VLOOKUP(TRIM(A899),'Full Inventory'!F:F,1,0),0)=0,"X","_")</f>
        <v>_</v>
      </c>
      <c r="D899" t="str">
        <f t="shared" si="42"/>
        <v>X</v>
      </c>
      <c r="E899" t="str">
        <f ca="1">IFERROR(IF(AND(B899&amp;C899&amp;D899="___",INDIRECT("Inventory!A"&amp;MATCH(VLOOKUP(A899,Inventory!E:E,1,0),Inventory!E:E,0))&lt;&gt;INDIRECT("'Full Inventory'!B"&amp;MATCH(VLOOKUP(A899,'Full Inventory'!F:F,1,0),'Full Inventory'!F:F,0))),"X","_"),"_")</f>
        <v>_</v>
      </c>
      <c r="K899" t="str">
        <f t="shared" ref="K899:K962" ca="1" si="43">B899&amp;C899&amp;D899&amp;E899</f>
        <v>__X_</v>
      </c>
      <c r="L899" t="str">
        <f t="shared" ref="L899:L962" ca="1" si="44">IF(K899="____","OK",IF(K899="_X__","NOT IN FULL INVENTORY",IF(K899="XX__","NOT IN FULL INVENTORY AND INVENTORY",IF(K899="X___","NOT IN INVENTORY",IF(K899="___X","DIFFERENT NAMES IN FULL INVENTORY AND INVENTORY","")))))</f>
        <v/>
      </c>
      <c r="M899" t="str">
        <f>IFERROR(INDEX(Inventory!A:A,MATCH(Scan!A899,Inventory!E:E,0)),"")</f>
        <v/>
      </c>
    </row>
    <row r="900" spans="2:13" x14ac:dyDescent="0.25">
      <c r="B900" t="str">
        <f>IF(IFERROR(VLOOKUP(TRIM(A900),Inventory!E:E,1,0),0)=0,"X","_")</f>
        <v>_</v>
      </c>
      <c r="C900" t="str">
        <f>IF(IFERROR(VLOOKUP(TRIM(A900),'Full Inventory'!F:F,1,0),0)=0,"X","_")</f>
        <v>_</v>
      </c>
      <c r="D900" t="str">
        <f t="shared" si="42"/>
        <v>X</v>
      </c>
      <c r="E900" t="str">
        <f ca="1">IFERROR(IF(AND(B900&amp;C900&amp;D900="___",INDIRECT("Inventory!A"&amp;MATCH(VLOOKUP(A900,Inventory!E:E,1,0),Inventory!E:E,0))&lt;&gt;INDIRECT("'Full Inventory'!B"&amp;MATCH(VLOOKUP(A900,'Full Inventory'!F:F,1,0),'Full Inventory'!F:F,0))),"X","_"),"_")</f>
        <v>_</v>
      </c>
      <c r="K900" t="str">
        <f t="shared" ca="1" si="43"/>
        <v>__X_</v>
      </c>
      <c r="L900" t="str">
        <f t="shared" ca="1" si="44"/>
        <v/>
      </c>
      <c r="M900" t="str">
        <f>IFERROR(INDEX(Inventory!A:A,MATCH(Scan!A900,Inventory!E:E,0)),"")</f>
        <v/>
      </c>
    </row>
    <row r="901" spans="2:13" x14ac:dyDescent="0.25">
      <c r="B901" t="str">
        <f>IF(IFERROR(VLOOKUP(TRIM(A901),Inventory!E:E,1,0),0)=0,"X","_")</f>
        <v>_</v>
      </c>
      <c r="C901" t="str">
        <f>IF(IFERROR(VLOOKUP(TRIM(A901),'Full Inventory'!F:F,1,0),0)=0,"X","_")</f>
        <v>_</v>
      </c>
      <c r="D901" t="str">
        <f t="shared" si="42"/>
        <v>X</v>
      </c>
      <c r="E901" t="str">
        <f ca="1">IFERROR(IF(AND(B901&amp;C901&amp;D901="___",INDIRECT("Inventory!A"&amp;MATCH(VLOOKUP(A901,Inventory!E:E,1,0),Inventory!E:E,0))&lt;&gt;INDIRECT("'Full Inventory'!B"&amp;MATCH(VLOOKUP(A901,'Full Inventory'!F:F,1,0),'Full Inventory'!F:F,0))),"X","_"),"_")</f>
        <v>_</v>
      </c>
      <c r="K901" t="str">
        <f t="shared" ca="1" si="43"/>
        <v>__X_</v>
      </c>
      <c r="L901" t="str">
        <f t="shared" ca="1" si="44"/>
        <v/>
      </c>
      <c r="M901" t="str">
        <f>IFERROR(INDEX(Inventory!A:A,MATCH(Scan!A901,Inventory!E:E,0)),"")</f>
        <v/>
      </c>
    </row>
    <row r="902" spans="2:13" x14ac:dyDescent="0.25">
      <c r="B902" t="str">
        <f>IF(IFERROR(VLOOKUP(TRIM(A902),Inventory!E:E,1,0),0)=0,"X","_")</f>
        <v>_</v>
      </c>
      <c r="C902" t="str">
        <f>IF(IFERROR(VLOOKUP(TRIM(A902),'Full Inventory'!F:F,1,0),0)=0,"X","_")</f>
        <v>_</v>
      </c>
      <c r="D902" t="str">
        <f t="shared" si="42"/>
        <v>X</v>
      </c>
      <c r="E902" t="str">
        <f ca="1">IFERROR(IF(AND(B902&amp;C902&amp;D902="___",INDIRECT("Inventory!A"&amp;MATCH(VLOOKUP(A902,Inventory!E:E,1,0),Inventory!E:E,0))&lt;&gt;INDIRECT("'Full Inventory'!B"&amp;MATCH(VLOOKUP(A902,'Full Inventory'!F:F,1,0),'Full Inventory'!F:F,0))),"X","_"),"_")</f>
        <v>_</v>
      </c>
      <c r="K902" t="str">
        <f t="shared" ca="1" si="43"/>
        <v>__X_</v>
      </c>
      <c r="L902" t="str">
        <f t="shared" ca="1" si="44"/>
        <v/>
      </c>
      <c r="M902" t="str">
        <f>IFERROR(INDEX(Inventory!A:A,MATCH(Scan!A902,Inventory!E:E,0)),"")</f>
        <v/>
      </c>
    </row>
    <row r="903" spans="2:13" x14ac:dyDescent="0.25">
      <c r="B903" t="str">
        <f>IF(IFERROR(VLOOKUP(TRIM(A903),Inventory!E:E,1,0),0)=0,"X","_")</f>
        <v>_</v>
      </c>
      <c r="C903" t="str">
        <f>IF(IFERROR(VLOOKUP(TRIM(A903),'Full Inventory'!F:F,1,0),0)=0,"X","_")</f>
        <v>_</v>
      </c>
      <c r="D903" t="str">
        <f t="shared" si="42"/>
        <v>X</v>
      </c>
      <c r="E903" t="str">
        <f ca="1">IFERROR(IF(AND(B903&amp;C903&amp;D903="___",INDIRECT("Inventory!A"&amp;MATCH(VLOOKUP(A903,Inventory!E:E,1,0),Inventory!E:E,0))&lt;&gt;INDIRECT("'Full Inventory'!B"&amp;MATCH(VLOOKUP(A903,'Full Inventory'!F:F,1,0),'Full Inventory'!F:F,0))),"X","_"),"_")</f>
        <v>_</v>
      </c>
      <c r="K903" t="str">
        <f t="shared" ca="1" si="43"/>
        <v>__X_</v>
      </c>
      <c r="L903" t="str">
        <f t="shared" ca="1" si="44"/>
        <v/>
      </c>
      <c r="M903" t="str">
        <f>IFERROR(INDEX(Inventory!A:A,MATCH(Scan!A903,Inventory!E:E,0)),"")</f>
        <v/>
      </c>
    </row>
    <row r="904" spans="2:13" x14ac:dyDescent="0.25">
      <c r="B904" t="str">
        <f>IF(IFERROR(VLOOKUP(TRIM(A904),Inventory!E:E,1,0),0)=0,"X","_")</f>
        <v>_</v>
      </c>
      <c r="C904" t="str">
        <f>IF(IFERROR(VLOOKUP(TRIM(A904),'Full Inventory'!F:F,1,0),0)=0,"X","_")</f>
        <v>_</v>
      </c>
      <c r="D904" t="str">
        <f t="shared" si="42"/>
        <v>X</v>
      </c>
      <c r="E904" t="str">
        <f ca="1">IFERROR(IF(AND(B904&amp;C904&amp;D904="___",INDIRECT("Inventory!A"&amp;MATCH(VLOOKUP(A904,Inventory!E:E,1,0),Inventory!E:E,0))&lt;&gt;INDIRECT("'Full Inventory'!B"&amp;MATCH(VLOOKUP(A904,'Full Inventory'!F:F,1,0),'Full Inventory'!F:F,0))),"X","_"),"_")</f>
        <v>_</v>
      </c>
      <c r="K904" t="str">
        <f t="shared" ca="1" si="43"/>
        <v>__X_</v>
      </c>
      <c r="L904" t="str">
        <f t="shared" ca="1" si="44"/>
        <v/>
      </c>
      <c r="M904" t="str">
        <f>IFERROR(INDEX(Inventory!A:A,MATCH(Scan!A904,Inventory!E:E,0)),"")</f>
        <v/>
      </c>
    </row>
    <row r="905" spans="2:13" x14ac:dyDescent="0.25">
      <c r="B905" t="str">
        <f>IF(IFERROR(VLOOKUP(TRIM(A905),Inventory!E:E,1,0),0)=0,"X","_")</f>
        <v>_</v>
      </c>
      <c r="C905" t="str">
        <f>IF(IFERROR(VLOOKUP(TRIM(A905),'Full Inventory'!F:F,1,0),0)=0,"X","_")</f>
        <v>_</v>
      </c>
      <c r="D905" t="str">
        <f t="shared" si="42"/>
        <v>X</v>
      </c>
      <c r="E905" t="str">
        <f ca="1">IFERROR(IF(AND(B905&amp;C905&amp;D905="___",INDIRECT("Inventory!A"&amp;MATCH(VLOOKUP(A905,Inventory!E:E,1,0),Inventory!E:E,0))&lt;&gt;INDIRECT("'Full Inventory'!B"&amp;MATCH(VLOOKUP(A905,'Full Inventory'!F:F,1,0),'Full Inventory'!F:F,0))),"X","_"),"_")</f>
        <v>_</v>
      </c>
      <c r="K905" t="str">
        <f t="shared" ca="1" si="43"/>
        <v>__X_</v>
      </c>
      <c r="L905" t="str">
        <f t="shared" ca="1" si="44"/>
        <v/>
      </c>
      <c r="M905" t="str">
        <f>IFERROR(INDEX(Inventory!A:A,MATCH(Scan!A905,Inventory!E:E,0)),"")</f>
        <v/>
      </c>
    </row>
    <row r="906" spans="2:13" x14ac:dyDescent="0.25">
      <c r="B906" t="str">
        <f>IF(IFERROR(VLOOKUP(TRIM(A906),Inventory!E:E,1,0),0)=0,"X","_")</f>
        <v>_</v>
      </c>
      <c r="C906" t="str">
        <f>IF(IFERROR(VLOOKUP(TRIM(A906),'Full Inventory'!F:F,1,0),0)=0,"X","_")</f>
        <v>_</v>
      </c>
      <c r="D906" t="str">
        <f t="shared" si="42"/>
        <v>X</v>
      </c>
      <c r="E906" t="str">
        <f ca="1">IFERROR(IF(AND(B906&amp;C906&amp;D906="___",INDIRECT("Inventory!A"&amp;MATCH(VLOOKUP(A906,Inventory!E:E,1,0),Inventory!E:E,0))&lt;&gt;INDIRECT("'Full Inventory'!B"&amp;MATCH(VLOOKUP(A906,'Full Inventory'!F:F,1,0),'Full Inventory'!F:F,0))),"X","_"),"_")</f>
        <v>_</v>
      </c>
      <c r="K906" t="str">
        <f t="shared" ca="1" si="43"/>
        <v>__X_</v>
      </c>
      <c r="L906" t="str">
        <f t="shared" ca="1" si="44"/>
        <v/>
      </c>
      <c r="M906" t="str">
        <f>IFERROR(INDEX(Inventory!A:A,MATCH(Scan!A906,Inventory!E:E,0)),"")</f>
        <v/>
      </c>
    </row>
    <row r="907" spans="2:13" x14ac:dyDescent="0.25">
      <c r="B907" t="str">
        <f>IF(IFERROR(VLOOKUP(TRIM(A907),Inventory!E:E,1,0),0)=0,"X","_")</f>
        <v>_</v>
      </c>
      <c r="C907" t="str">
        <f>IF(IFERROR(VLOOKUP(TRIM(A907),'Full Inventory'!F:F,1,0),0)=0,"X","_")</f>
        <v>_</v>
      </c>
      <c r="D907" t="str">
        <f t="shared" si="42"/>
        <v>X</v>
      </c>
      <c r="E907" t="str">
        <f ca="1">IFERROR(IF(AND(B907&amp;C907&amp;D907="___",INDIRECT("Inventory!A"&amp;MATCH(VLOOKUP(A907,Inventory!E:E,1,0),Inventory!E:E,0))&lt;&gt;INDIRECT("'Full Inventory'!B"&amp;MATCH(VLOOKUP(A907,'Full Inventory'!F:F,1,0),'Full Inventory'!F:F,0))),"X","_"),"_")</f>
        <v>_</v>
      </c>
      <c r="K907" t="str">
        <f t="shared" ca="1" si="43"/>
        <v>__X_</v>
      </c>
      <c r="L907" t="str">
        <f t="shared" ca="1" si="44"/>
        <v/>
      </c>
      <c r="M907" t="str">
        <f>IFERROR(INDEX(Inventory!A:A,MATCH(Scan!A907,Inventory!E:E,0)),"")</f>
        <v/>
      </c>
    </row>
    <row r="908" spans="2:13" x14ac:dyDescent="0.25">
      <c r="B908" t="str">
        <f>IF(IFERROR(VLOOKUP(TRIM(A908),Inventory!E:E,1,0),0)=0,"X","_")</f>
        <v>_</v>
      </c>
      <c r="C908" t="str">
        <f>IF(IFERROR(VLOOKUP(TRIM(A908),'Full Inventory'!F:F,1,0),0)=0,"X","_")</f>
        <v>_</v>
      </c>
      <c r="D908" t="str">
        <f t="shared" si="42"/>
        <v>X</v>
      </c>
      <c r="E908" t="str">
        <f ca="1">IFERROR(IF(AND(B908&amp;C908&amp;D908="___",INDIRECT("Inventory!A"&amp;MATCH(VLOOKUP(A908,Inventory!E:E,1,0),Inventory!E:E,0))&lt;&gt;INDIRECT("'Full Inventory'!B"&amp;MATCH(VLOOKUP(A908,'Full Inventory'!F:F,1,0),'Full Inventory'!F:F,0))),"X","_"),"_")</f>
        <v>_</v>
      </c>
      <c r="K908" t="str">
        <f t="shared" ca="1" si="43"/>
        <v>__X_</v>
      </c>
      <c r="L908" t="str">
        <f t="shared" ca="1" si="44"/>
        <v/>
      </c>
      <c r="M908" t="str">
        <f>IFERROR(INDEX(Inventory!A:A,MATCH(Scan!A908,Inventory!E:E,0)),"")</f>
        <v/>
      </c>
    </row>
    <row r="909" spans="2:13" x14ac:dyDescent="0.25">
      <c r="B909" t="str">
        <f>IF(IFERROR(VLOOKUP(TRIM(A909),Inventory!E:E,1,0),0)=0,"X","_")</f>
        <v>_</v>
      </c>
      <c r="C909" t="str">
        <f>IF(IFERROR(VLOOKUP(TRIM(A909),'Full Inventory'!F:F,1,0),0)=0,"X","_")</f>
        <v>_</v>
      </c>
      <c r="D909" t="str">
        <f t="shared" si="42"/>
        <v>X</v>
      </c>
      <c r="E909" t="str">
        <f ca="1">IFERROR(IF(AND(B909&amp;C909&amp;D909="___",INDIRECT("Inventory!A"&amp;MATCH(VLOOKUP(A909,Inventory!E:E,1,0),Inventory!E:E,0))&lt;&gt;INDIRECT("'Full Inventory'!B"&amp;MATCH(VLOOKUP(A909,'Full Inventory'!F:F,1,0),'Full Inventory'!F:F,0))),"X","_"),"_")</f>
        <v>_</v>
      </c>
      <c r="K909" t="str">
        <f t="shared" ca="1" si="43"/>
        <v>__X_</v>
      </c>
      <c r="L909" t="str">
        <f t="shared" ca="1" si="44"/>
        <v/>
      </c>
      <c r="M909" t="str">
        <f>IFERROR(INDEX(Inventory!A:A,MATCH(Scan!A909,Inventory!E:E,0)),"")</f>
        <v/>
      </c>
    </row>
    <row r="910" spans="2:13" x14ac:dyDescent="0.25">
      <c r="B910" t="str">
        <f>IF(IFERROR(VLOOKUP(TRIM(A910),Inventory!E:E,1,0),0)=0,"X","_")</f>
        <v>_</v>
      </c>
      <c r="C910" t="str">
        <f>IF(IFERROR(VLOOKUP(TRIM(A910),'Full Inventory'!F:F,1,0),0)=0,"X","_")</f>
        <v>_</v>
      </c>
      <c r="D910" t="str">
        <f t="shared" si="42"/>
        <v>X</v>
      </c>
      <c r="E910" t="str">
        <f ca="1">IFERROR(IF(AND(B910&amp;C910&amp;D910="___",INDIRECT("Inventory!A"&amp;MATCH(VLOOKUP(A910,Inventory!E:E,1,0),Inventory!E:E,0))&lt;&gt;INDIRECT("'Full Inventory'!B"&amp;MATCH(VLOOKUP(A910,'Full Inventory'!F:F,1,0),'Full Inventory'!F:F,0))),"X","_"),"_")</f>
        <v>_</v>
      </c>
      <c r="K910" t="str">
        <f t="shared" ca="1" si="43"/>
        <v>__X_</v>
      </c>
      <c r="L910" t="str">
        <f t="shared" ca="1" si="44"/>
        <v/>
      </c>
      <c r="M910" t="str">
        <f>IFERROR(INDEX(Inventory!A:A,MATCH(Scan!A910,Inventory!E:E,0)),"")</f>
        <v/>
      </c>
    </row>
    <row r="911" spans="2:13" x14ac:dyDescent="0.25">
      <c r="B911" t="str">
        <f>IF(IFERROR(VLOOKUP(TRIM(A911),Inventory!E:E,1,0),0)=0,"X","_")</f>
        <v>_</v>
      </c>
      <c r="C911" t="str">
        <f>IF(IFERROR(VLOOKUP(TRIM(A911),'Full Inventory'!F:F,1,0),0)=0,"X","_")</f>
        <v>_</v>
      </c>
      <c r="D911" t="str">
        <f t="shared" si="42"/>
        <v>X</v>
      </c>
      <c r="E911" t="str">
        <f ca="1">IFERROR(IF(AND(B911&amp;C911&amp;D911="___",INDIRECT("Inventory!A"&amp;MATCH(VLOOKUP(A911,Inventory!E:E,1,0),Inventory!E:E,0))&lt;&gt;INDIRECT("'Full Inventory'!B"&amp;MATCH(VLOOKUP(A911,'Full Inventory'!F:F,1,0),'Full Inventory'!F:F,0))),"X","_"),"_")</f>
        <v>_</v>
      </c>
      <c r="K911" t="str">
        <f t="shared" ca="1" si="43"/>
        <v>__X_</v>
      </c>
      <c r="L911" t="str">
        <f t="shared" ca="1" si="44"/>
        <v/>
      </c>
      <c r="M911" t="str">
        <f>IFERROR(INDEX(Inventory!A:A,MATCH(Scan!A911,Inventory!E:E,0)),"")</f>
        <v/>
      </c>
    </row>
    <row r="912" spans="2:13" x14ac:dyDescent="0.25">
      <c r="B912" t="str">
        <f>IF(IFERROR(VLOOKUP(TRIM(A912),Inventory!E:E,1,0),0)=0,"X","_")</f>
        <v>_</v>
      </c>
      <c r="C912" t="str">
        <f>IF(IFERROR(VLOOKUP(TRIM(A912),'Full Inventory'!F:F,1,0),0)=0,"X","_")</f>
        <v>_</v>
      </c>
      <c r="D912" t="str">
        <f t="shared" si="42"/>
        <v>X</v>
      </c>
      <c r="E912" t="str">
        <f ca="1">IFERROR(IF(AND(B912&amp;C912&amp;D912="___",INDIRECT("Inventory!A"&amp;MATCH(VLOOKUP(A912,Inventory!E:E,1,0),Inventory!E:E,0))&lt;&gt;INDIRECT("'Full Inventory'!B"&amp;MATCH(VLOOKUP(A912,'Full Inventory'!F:F,1,0),'Full Inventory'!F:F,0))),"X","_"),"_")</f>
        <v>_</v>
      </c>
      <c r="K912" t="str">
        <f t="shared" ca="1" si="43"/>
        <v>__X_</v>
      </c>
      <c r="L912" t="str">
        <f t="shared" ca="1" si="44"/>
        <v/>
      </c>
      <c r="M912" t="str">
        <f>IFERROR(INDEX(Inventory!A:A,MATCH(Scan!A912,Inventory!E:E,0)),"")</f>
        <v/>
      </c>
    </row>
    <row r="913" spans="2:13" x14ac:dyDescent="0.25">
      <c r="B913" t="str">
        <f>IF(IFERROR(VLOOKUP(TRIM(A913),Inventory!E:E,1,0),0)=0,"X","_")</f>
        <v>_</v>
      </c>
      <c r="C913" t="str">
        <f>IF(IFERROR(VLOOKUP(TRIM(A913),'Full Inventory'!F:F,1,0),0)=0,"X","_")</f>
        <v>_</v>
      </c>
      <c r="D913" t="str">
        <f t="shared" si="42"/>
        <v>X</v>
      </c>
      <c r="E913" t="str">
        <f ca="1">IFERROR(IF(AND(B913&amp;C913&amp;D913="___",INDIRECT("Inventory!A"&amp;MATCH(VLOOKUP(A913,Inventory!E:E,1,0),Inventory!E:E,0))&lt;&gt;INDIRECT("'Full Inventory'!B"&amp;MATCH(VLOOKUP(A913,'Full Inventory'!F:F,1,0),'Full Inventory'!F:F,0))),"X","_"),"_")</f>
        <v>_</v>
      </c>
      <c r="K913" t="str">
        <f t="shared" ca="1" si="43"/>
        <v>__X_</v>
      </c>
      <c r="L913" t="str">
        <f t="shared" ca="1" si="44"/>
        <v/>
      </c>
      <c r="M913" t="str">
        <f>IFERROR(INDEX(Inventory!A:A,MATCH(Scan!A913,Inventory!E:E,0)),"")</f>
        <v/>
      </c>
    </row>
    <row r="914" spans="2:13" x14ac:dyDescent="0.25">
      <c r="B914" t="str">
        <f>IF(IFERROR(VLOOKUP(TRIM(A914),Inventory!E:E,1,0),0)=0,"X","_")</f>
        <v>_</v>
      </c>
      <c r="C914" t="str">
        <f>IF(IFERROR(VLOOKUP(TRIM(A914),'Full Inventory'!F:F,1,0),0)=0,"X","_")</f>
        <v>_</v>
      </c>
      <c r="D914" t="str">
        <f t="shared" si="42"/>
        <v>X</v>
      </c>
      <c r="E914" t="str">
        <f ca="1">IFERROR(IF(AND(B914&amp;C914&amp;D914="___",INDIRECT("Inventory!A"&amp;MATCH(VLOOKUP(A914,Inventory!E:E,1,0),Inventory!E:E,0))&lt;&gt;INDIRECT("'Full Inventory'!B"&amp;MATCH(VLOOKUP(A914,'Full Inventory'!F:F,1,0),'Full Inventory'!F:F,0))),"X","_"),"_")</f>
        <v>_</v>
      </c>
      <c r="K914" t="str">
        <f t="shared" ca="1" si="43"/>
        <v>__X_</v>
      </c>
      <c r="L914" t="str">
        <f t="shared" ca="1" si="44"/>
        <v/>
      </c>
      <c r="M914" t="str">
        <f>IFERROR(INDEX(Inventory!A:A,MATCH(Scan!A914,Inventory!E:E,0)),"")</f>
        <v/>
      </c>
    </row>
    <row r="915" spans="2:13" x14ac:dyDescent="0.25">
      <c r="B915" t="str">
        <f>IF(IFERROR(VLOOKUP(TRIM(A915),Inventory!E:E,1,0),0)=0,"X","_")</f>
        <v>_</v>
      </c>
      <c r="C915" t="str">
        <f>IF(IFERROR(VLOOKUP(TRIM(A915),'Full Inventory'!F:F,1,0),0)=0,"X","_")</f>
        <v>_</v>
      </c>
      <c r="D915" t="str">
        <f t="shared" si="42"/>
        <v>X</v>
      </c>
      <c r="E915" t="str">
        <f ca="1">IFERROR(IF(AND(B915&amp;C915&amp;D915="___",INDIRECT("Inventory!A"&amp;MATCH(VLOOKUP(A915,Inventory!E:E,1,0),Inventory!E:E,0))&lt;&gt;INDIRECT("'Full Inventory'!B"&amp;MATCH(VLOOKUP(A915,'Full Inventory'!F:F,1,0),'Full Inventory'!F:F,0))),"X","_"),"_")</f>
        <v>_</v>
      </c>
      <c r="K915" t="str">
        <f t="shared" ca="1" si="43"/>
        <v>__X_</v>
      </c>
      <c r="L915" t="str">
        <f t="shared" ca="1" si="44"/>
        <v/>
      </c>
      <c r="M915" t="str">
        <f>IFERROR(INDEX(Inventory!A:A,MATCH(Scan!A915,Inventory!E:E,0)),"")</f>
        <v/>
      </c>
    </row>
    <row r="916" spans="2:13" x14ac:dyDescent="0.25">
      <c r="B916" t="str">
        <f>IF(IFERROR(VLOOKUP(TRIM(A916),Inventory!E:E,1,0),0)=0,"X","_")</f>
        <v>_</v>
      </c>
      <c r="C916" t="str">
        <f>IF(IFERROR(VLOOKUP(TRIM(A916),'Full Inventory'!F:F,1,0),0)=0,"X","_")</f>
        <v>_</v>
      </c>
      <c r="D916" t="str">
        <f t="shared" si="42"/>
        <v>X</v>
      </c>
      <c r="E916" t="str">
        <f ca="1">IFERROR(IF(AND(B916&amp;C916&amp;D916="___",INDIRECT("Inventory!A"&amp;MATCH(VLOOKUP(A916,Inventory!E:E,1,0),Inventory!E:E,0))&lt;&gt;INDIRECT("'Full Inventory'!B"&amp;MATCH(VLOOKUP(A916,'Full Inventory'!F:F,1,0),'Full Inventory'!F:F,0))),"X","_"),"_")</f>
        <v>_</v>
      </c>
      <c r="K916" t="str">
        <f t="shared" ca="1" si="43"/>
        <v>__X_</v>
      </c>
      <c r="L916" t="str">
        <f t="shared" ca="1" si="44"/>
        <v/>
      </c>
      <c r="M916" t="str">
        <f>IFERROR(INDEX(Inventory!A:A,MATCH(Scan!A916,Inventory!E:E,0)),"")</f>
        <v/>
      </c>
    </row>
    <row r="917" spans="2:13" x14ac:dyDescent="0.25">
      <c r="B917" t="str">
        <f>IF(IFERROR(VLOOKUP(TRIM(A917),Inventory!E:E,1,0),0)=0,"X","_")</f>
        <v>_</v>
      </c>
      <c r="C917" t="str">
        <f>IF(IFERROR(VLOOKUP(TRIM(A917),'Full Inventory'!F:F,1,0),0)=0,"X","_")</f>
        <v>_</v>
      </c>
      <c r="D917" t="str">
        <f t="shared" si="42"/>
        <v>X</v>
      </c>
      <c r="E917" t="str">
        <f ca="1">IFERROR(IF(AND(B917&amp;C917&amp;D917="___",INDIRECT("Inventory!A"&amp;MATCH(VLOOKUP(A917,Inventory!E:E,1,0),Inventory!E:E,0))&lt;&gt;INDIRECT("'Full Inventory'!B"&amp;MATCH(VLOOKUP(A917,'Full Inventory'!F:F,1,0),'Full Inventory'!F:F,0))),"X","_"),"_")</f>
        <v>_</v>
      </c>
      <c r="K917" t="str">
        <f t="shared" ca="1" si="43"/>
        <v>__X_</v>
      </c>
      <c r="L917" t="str">
        <f t="shared" ca="1" si="44"/>
        <v/>
      </c>
      <c r="M917" t="str">
        <f>IFERROR(INDEX(Inventory!A:A,MATCH(Scan!A917,Inventory!E:E,0)),"")</f>
        <v/>
      </c>
    </row>
    <row r="918" spans="2:13" x14ac:dyDescent="0.25">
      <c r="B918" t="str">
        <f>IF(IFERROR(VLOOKUP(TRIM(A918),Inventory!E:E,1,0),0)=0,"X","_")</f>
        <v>_</v>
      </c>
      <c r="C918" t="str">
        <f>IF(IFERROR(VLOOKUP(TRIM(A918),'Full Inventory'!F:F,1,0),0)=0,"X","_")</f>
        <v>_</v>
      </c>
      <c r="D918" t="str">
        <f t="shared" si="42"/>
        <v>X</v>
      </c>
      <c r="E918" t="str">
        <f ca="1">IFERROR(IF(AND(B918&amp;C918&amp;D918="___",INDIRECT("Inventory!A"&amp;MATCH(VLOOKUP(A918,Inventory!E:E,1,0),Inventory!E:E,0))&lt;&gt;INDIRECT("'Full Inventory'!B"&amp;MATCH(VLOOKUP(A918,'Full Inventory'!F:F,1,0),'Full Inventory'!F:F,0))),"X","_"),"_")</f>
        <v>_</v>
      </c>
      <c r="K918" t="str">
        <f t="shared" ca="1" si="43"/>
        <v>__X_</v>
      </c>
      <c r="L918" t="str">
        <f t="shared" ca="1" si="44"/>
        <v/>
      </c>
      <c r="M918" t="str">
        <f>IFERROR(INDEX(Inventory!A:A,MATCH(Scan!A918,Inventory!E:E,0)),"")</f>
        <v/>
      </c>
    </row>
    <row r="919" spans="2:13" x14ac:dyDescent="0.25">
      <c r="B919" t="str">
        <f>IF(IFERROR(VLOOKUP(TRIM(A919),Inventory!E:E,1,0),0)=0,"X","_")</f>
        <v>_</v>
      </c>
      <c r="C919" t="str">
        <f>IF(IFERROR(VLOOKUP(TRIM(A919),'Full Inventory'!F:F,1,0),0)=0,"X","_")</f>
        <v>_</v>
      </c>
      <c r="D919" t="str">
        <f t="shared" si="42"/>
        <v>X</v>
      </c>
      <c r="E919" t="str">
        <f ca="1">IFERROR(IF(AND(B919&amp;C919&amp;D919="___",INDIRECT("Inventory!A"&amp;MATCH(VLOOKUP(A919,Inventory!E:E,1,0),Inventory!E:E,0))&lt;&gt;INDIRECT("'Full Inventory'!B"&amp;MATCH(VLOOKUP(A919,'Full Inventory'!F:F,1,0),'Full Inventory'!F:F,0))),"X","_"),"_")</f>
        <v>_</v>
      </c>
      <c r="K919" t="str">
        <f t="shared" ca="1" si="43"/>
        <v>__X_</v>
      </c>
      <c r="L919" t="str">
        <f t="shared" ca="1" si="44"/>
        <v/>
      </c>
      <c r="M919" t="str">
        <f>IFERROR(INDEX(Inventory!A:A,MATCH(Scan!A919,Inventory!E:E,0)),"")</f>
        <v/>
      </c>
    </row>
    <row r="920" spans="2:13" x14ac:dyDescent="0.25">
      <c r="B920" t="str">
        <f>IF(IFERROR(VLOOKUP(TRIM(A920),Inventory!E:E,1,0),0)=0,"X","_")</f>
        <v>_</v>
      </c>
      <c r="C920" t="str">
        <f>IF(IFERROR(VLOOKUP(TRIM(A920),'Full Inventory'!F:F,1,0),0)=0,"X","_")</f>
        <v>_</v>
      </c>
      <c r="D920" t="str">
        <f t="shared" si="42"/>
        <v>X</v>
      </c>
      <c r="E920" t="str">
        <f ca="1">IFERROR(IF(AND(B920&amp;C920&amp;D920="___",INDIRECT("Inventory!A"&amp;MATCH(VLOOKUP(A920,Inventory!E:E,1,0),Inventory!E:E,0))&lt;&gt;INDIRECT("'Full Inventory'!B"&amp;MATCH(VLOOKUP(A920,'Full Inventory'!F:F,1,0),'Full Inventory'!F:F,0))),"X","_"),"_")</f>
        <v>_</v>
      </c>
      <c r="K920" t="str">
        <f t="shared" ca="1" si="43"/>
        <v>__X_</v>
      </c>
      <c r="L920" t="str">
        <f t="shared" ca="1" si="44"/>
        <v/>
      </c>
      <c r="M920" t="str">
        <f>IFERROR(INDEX(Inventory!A:A,MATCH(Scan!A920,Inventory!E:E,0)),"")</f>
        <v/>
      </c>
    </row>
    <row r="921" spans="2:13" x14ac:dyDescent="0.25">
      <c r="B921" t="str">
        <f>IF(IFERROR(VLOOKUP(TRIM(A921),Inventory!E:E,1,0),0)=0,"X","_")</f>
        <v>_</v>
      </c>
      <c r="C921" t="str">
        <f>IF(IFERROR(VLOOKUP(TRIM(A921),'Full Inventory'!F:F,1,0),0)=0,"X","_")</f>
        <v>_</v>
      </c>
      <c r="D921" t="str">
        <f t="shared" si="42"/>
        <v>X</v>
      </c>
      <c r="E921" t="str">
        <f ca="1">IFERROR(IF(AND(B921&amp;C921&amp;D921="___",INDIRECT("Inventory!A"&amp;MATCH(VLOOKUP(A921,Inventory!E:E,1,0),Inventory!E:E,0))&lt;&gt;INDIRECT("'Full Inventory'!B"&amp;MATCH(VLOOKUP(A921,'Full Inventory'!F:F,1,0),'Full Inventory'!F:F,0))),"X","_"),"_")</f>
        <v>_</v>
      </c>
      <c r="K921" t="str">
        <f t="shared" ca="1" si="43"/>
        <v>__X_</v>
      </c>
      <c r="L921" t="str">
        <f t="shared" ca="1" si="44"/>
        <v/>
      </c>
      <c r="M921" t="str">
        <f>IFERROR(INDEX(Inventory!A:A,MATCH(Scan!A921,Inventory!E:E,0)),"")</f>
        <v/>
      </c>
    </row>
    <row r="922" spans="2:13" x14ac:dyDescent="0.25">
      <c r="B922" t="str">
        <f>IF(IFERROR(VLOOKUP(TRIM(A922),Inventory!E:E,1,0),0)=0,"X","_")</f>
        <v>_</v>
      </c>
      <c r="C922" t="str">
        <f>IF(IFERROR(VLOOKUP(TRIM(A922),'Full Inventory'!F:F,1,0),0)=0,"X","_")</f>
        <v>_</v>
      </c>
      <c r="D922" t="str">
        <f t="shared" si="42"/>
        <v>X</v>
      </c>
      <c r="E922" t="str">
        <f ca="1">IFERROR(IF(AND(B922&amp;C922&amp;D922="___",INDIRECT("Inventory!A"&amp;MATCH(VLOOKUP(A922,Inventory!E:E,1,0),Inventory!E:E,0))&lt;&gt;INDIRECT("'Full Inventory'!B"&amp;MATCH(VLOOKUP(A922,'Full Inventory'!F:F,1,0),'Full Inventory'!F:F,0))),"X","_"),"_")</f>
        <v>_</v>
      </c>
      <c r="K922" t="str">
        <f t="shared" ca="1" si="43"/>
        <v>__X_</v>
      </c>
      <c r="L922" t="str">
        <f t="shared" ca="1" si="44"/>
        <v/>
      </c>
      <c r="M922" t="str">
        <f>IFERROR(INDEX(Inventory!A:A,MATCH(Scan!A922,Inventory!E:E,0)),"")</f>
        <v/>
      </c>
    </row>
    <row r="923" spans="2:13" x14ac:dyDescent="0.25">
      <c r="B923" t="str">
        <f>IF(IFERROR(VLOOKUP(TRIM(A923),Inventory!E:E,1,0),0)=0,"X","_")</f>
        <v>_</v>
      </c>
      <c r="C923" t="str">
        <f>IF(IFERROR(VLOOKUP(TRIM(A923),'Full Inventory'!F:F,1,0),0)=0,"X","_")</f>
        <v>_</v>
      </c>
      <c r="D923" t="str">
        <f t="shared" si="42"/>
        <v>X</v>
      </c>
      <c r="E923" t="str">
        <f ca="1">IFERROR(IF(AND(B923&amp;C923&amp;D923="___",INDIRECT("Inventory!A"&amp;MATCH(VLOOKUP(A923,Inventory!E:E,1,0),Inventory!E:E,0))&lt;&gt;INDIRECT("'Full Inventory'!B"&amp;MATCH(VLOOKUP(A923,'Full Inventory'!F:F,1,0),'Full Inventory'!F:F,0))),"X","_"),"_")</f>
        <v>_</v>
      </c>
      <c r="K923" t="str">
        <f t="shared" ca="1" si="43"/>
        <v>__X_</v>
      </c>
      <c r="L923" t="str">
        <f t="shared" ca="1" si="44"/>
        <v/>
      </c>
      <c r="M923" t="str">
        <f>IFERROR(INDEX(Inventory!A:A,MATCH(Scan!A923,Inventory!E:E,0)),"")</f>
        <v/>
      </c>
    </row>
    <row r="924" spans="2:13" x14ac:dyDescent="0.25">
      <c r="B924" t="str">
        <f>IF(IFERROR(VLOOKUP(TRIM(A924),Inventory!E:E,1,0),0)=0,"X","_")</f>
        <v>_</v>
      </c>
      <c r="C924" t="str">
        <f>IF(IFERROR(VLOOKUP(TRIM(A924),'Full Inventory'!F:F,1,0),0)=0,"X","_")</f>
        <v>_</v>
      </c>
      <c r="D924" t="str">
        <f t="shared" si="42"/>
        <v>X</v>
      </c>
      <c r="E924" t="str">
        <f ca="1">IFERROR(IF(AND(B924&amp;C924&amp;D924="___",INDIRECT("Inventory!A"&amp;MATCH(VLOOKUP(A924,Inventory!E:E,1,0),Inventory!E:E,0))&lt;&gt;INDIRECT("'Full Inventory'!B"&amp;MATCH(VLOOKUP(A924,'Full Inventory'!F:F,1,0),'Full Inventory'!F:F,0))),"X","_"),"_")</f>
        <v>_</v>
      </c>
      <c r="K924" t="str">
        <f t="shared" ca="1" si="43"/>
        <v>__X_</v>
      </c>
      <c r="L924" t="str">
        <f t="shared" ca="1" si="44"/>
        <v/>
      </c>
      <c r="M924" t="str">
        <f>IFERROR(INDEX(Inventory!A:A,MATCH(Scan!A924,Inventory!E:E,0)),"")</f>
        <v/>
      </c>
    </row>
    <row r="925" spans="2:13" x14ac:dyDescent="0.25">
      <c r="B925" t="str">
        <f>IF(IFERROR(VLOOKUP(TRIM(A925),Inventory!E:E,1,0),0)=0,"X","_")</f>
        <v>_</v>
      </c>
      <c r="C925" t="str">
        <f>IF(IFERROR(VLOOKUP(TRIM(A925),'Full Inventory'!F:F,1,0),0)=0,"X","_")</f>
        <v>_</v>
      </c>
      <c r="D925" t="str">
        <f t="shared" si="42"/>
        <v>X</v>
      </c>
      <c r="E925" t="str">
        <f ca="1">IFERROR(IF(AND(B925&amp;C925&amp;D925="___",INDIRECT("Inventory!A"&amp;MATCH(VLOOKUP(A925,Inventory!E:E,1,0),Inventory!E:E,0))&lt;&gt;INDIRECT("'Full Inventory'!B"&amp;MATCH(VLOOKUP(A925,'Full Inventory'!F:F,1,0),'Full Inventory'!F:F,0))),"X","_"),"_")</f>
        <v>_</v>
      </c>
      <c r="K925" t="str">
        <f t="shared" ca="1" si="43"/>
        <v>__X_</v>
      </c>
      <c r="L925" t="str">
        <f t="shared" ca="1" si="44"/>
        <v/>
      </c>
      <c r="M925" t="str">
        <f>IFERROR(INDEX(Inventory!A:A,MATCH(Scan!A925,Inventory!E:E,0)),"")</f>
        <v/>
      </c>
    </row>
    <row r="926" spans="2:13" x14ac:dyDescent="0.25">
      <c r="B926" t="str">
        <f>IF(IFERROR(VLOOKUP(TRIM(A926),Inventory!E:E,1,0),0)=0,"X","_")</f>
        <v>_</v>
      </c>
      <c r="C926" t="str">
        <f>IF(IFERROR(VLOOKUP(TRIM(A926),'Full Inventory'!F:F,1,0),0)=0,"X","_")</f>
        <v>_</v>
      </c>
      <c r="D926" t="str">
        <f t="shared" si="42"/>
        <v>X</v>
      </c>
      <c r="E926" t="str">
        <f ca="1">IFERROR(IF(AND(B926&amp;C926&amp;D926="___",INDIRECT("Inventory!A"&amp;MATCH(VLOOKUP(A926,Inventory!E:E,1,0),Inventory!E:E,0))&lt;&gt;INDIRECT("'Full Inventory'!B"&amp;MATCH(VLOOKUP(A926,'Full Inventory'!F:F,1,0),'Full Inventory'!F:F,0))),"X","_"),"_")</f>
        <v>_</v>
      </c>
      <c r="K926" t="str">
        <f t="shared" ca="1" si="43"/>
        <v>__X_</v>
      </c>
      <c r="L926" t="str">
        <f t="shared" ca="1" si="44"/>
        <v/>
      </c>
      <c r="M926" t="str">
        <f>IFERROR(INDEX(Inventory!A:A,MATCH(Scan!A926,Inventory!E:E,0)),"")</f>
        <v/>
      </c>
    </row>
    <row r="927" spans="2:13" x14ac:dyDescent="0.25">
      <c r="B927" t="str">
        <f>IF(IFERROR(VLOOKUP(TRIM(A927),Inventory!E:E,1,0),0)=0,"X","_")</f>
        <v>_</v>
      </c>
      <c r="C927" t="str">
        <f>IF(IFERROR(VLOOKUP(TRIM(A927),'Full Inventory'!F:F,1,0),0)=0,"X","_")</f>
        <v>_</v>
      </c>
      <c r="D927" t="str">
        <f t="shared" si="42"/>
        <v>X</v>
      </c>
      <c r="E927" t="str">
        <f ca="1">IFERROR(IF(AND(B927&amp;C927&amp;D927="___",INDIRECT("Inventory!A"&amp;MATCH(VLOOKUP(A927,Inventory!E:E,1,0),Inventory!E:E,0))&lt;&gt;INDIRECT("'Full Inventory'!B"&amp;MATCH(VLOOKUP(A927,'Full Inventory'!F:F,1,0),'Full Inventory'!F:F,0))),"X","_"),"_")</f>
        <v>_</v>
      </c>
      <c r="K927" t="str">
        <f t="shared" ca="1" si="43"/>
        <v>__X_</v>
      </c>
      <c r="L927" t="str">
        <f t="shared" ca="1" si="44"/>
        <v/>
      </c>
      <c r="M927" t="str">
        <f>IFERROR(INDEX(Inventory!A:A,MATCH(Scan!A927,Inventory!E:E,0)),"")</f>
        <v/>
      </c>
    </row>
    <row r="928" spans="2:13" x14ac:dyDescent="0.25">
      <c r="B928" t="str">
        <f>IF(IFERROR(VLOOKUP(TRIM(A928),Inventory!E:E,1,0),0)=0,"X","_")</f>
        <v>_</v>
      </c>
      <c r="C928" t="str">
        <f>IF(IFERROR(VLOOKUP(TRIM(A928),'Full Inventory'!F:F,1,0),0)=0,"X","_")</f>
        <v>_</v>
      </c>
      <c r="D928" t="str">
        <f t="shared" si="42"/>
        <v>X</v>
      </c>
      <c r="E928" t="str">
        <f ca="1">IFERROR(IF(AND(B928&amp;C928&amp;D928="___",INDIRECT("Inventory!A"&amp;MATCH(VLOOKUP(A928,Inventory!E:E,1,0),Inventory!E:E,0))&lt;&gt;INDIRECT("'Full Inventory'!B"&amp;MATCH(VLOOKUP(A928,'Full Inventory'!F:F,1,0),'Full Inventory'!F:F,0))),"X","_"),"_")</f>
        <v>_</v>
      </c>
      <c r="K928" t="str">
        <f t="shared" ca="1" si="43"/>
        <v>__X_</v>
      </c>
      <c r="L928" t="str">
        <f t="shared" ca="1" si="44"/>
        <v/>
      </c>
      <c r="M928" t="str">
        <f>IFERROR(INDEX(Inventory!A:A,MATCH(Scan!A928,Inventory!E:E,0)),"")</f>
        <v/>
      </c>
    </row>
    <row r="929" spans="2:13" x14ac:dyDescent="0.25">
      <c r="B929" t="str">
        <f>IF(IFERROR(VLOOKUP(TRIM(A929),Inventory!E:E,1,0),0)=0,"X","_")</f>
        <v>_</v>
      </c>
      <c r="C929" t="str">
        <f>IF(IFERROR(VLOOKUP(TRIM(A929),'Full Inventory'!F:F,1,0),0)=0,"X","_")</f>
        <v>_</v>
      </c>
      <c r="D929" t="str">
        <f t="shared" si="42"/>
        <v>X</v>
      </c>
      <c r="E929" t="str">
        <f ca="1">IFERROR(IF(AND(B929&amp;C929&amp;D929="___",INDIRECT("Inventory!A"&amp;MATCH(VLOOKUP(A929,Inventory!E:E,1,0),Inventory!E:E,0))&lt;&gt;INDIRECT("'Full Inventory'!B"&amp;MATCH(VLOOKUP(A929,'Full Inventory'!F:F,1,0),'Full Inventory'!F:F,0))),"X","_"),"_")</f>
        <v>_</v>
      </c>
      <c r="K929" t="str">
        <f t="shared" ca="1" si="43"/>
        <v>__X_</v>
      </c>
      <c r="L929" t="str">
        <f t="shared" ca="1" si="44"/>
        <v/>
      </c>
      <c r="M929" t="str">
        <f>IFERROR(INDEX(Inventory!A:A,MATCH(Scan!A929,Inventory!E:E,0)),"")</f>
        <v/>
      </c>
    </row>
    <row r="930" spans="2:13" x14ac:dyDescent="0.25">
      <c r="B930" t="str">
        <f>IF(IFERROR(VLOOKUP(TRIM(A930),Inventory!E:E,1,0),0)=0,"X","_")</f>
        <v>_</v>
      </c>
      <c r="C930" t="str">
        <f>IF(IFERROR(VLOOKUP(TRIM(A930),'Full Inventory'!F:F,1,0),0)=0,"X","_")</f>
        <v>_</v>
      </c>
      <c r="D930" t="str">
        <f t="shared" si="42"/>
        <v>X</v>
      </c>
      <c r="E930" t="str">
        <f ca="1">IFERROR(IF(AND(B930&amp;C930&amp;D930="___",INDIRECT("Inventory!A"&amp;MATCH(VLOOKUP(A930,Inventory!E:E,1,0),Inventory!E:E,0))&lt;&gt;INDIRECT("'Full Inventory'!B"&amp;MATCH(VLOOKUP(A930,'Full Inventory'!F:F,1,0),'Full Inventory'!F:F,0))),"X","_"),"_")</f>
        <v>_</v>
      </c>
      <c r="K930" t="str">
        <f t="shared" ca="1" si="43"/>
        <v>__X_</v>
      </c>
      <c r="L930" t="str">
        <f t="shared" ca="1" si="44"/>
        <v/>
      </c>
      <c r="M930" t="str">
        <f>IFERROR(INDEX(Inventory!A:A,MATCH(Scan!A930,Inventory!E:E,0)),"")</f>
        <v/>
      </c>
    </row>
    <row r="931" spans="2:13" x14ac:dyDescent="0.25">
      <c r="B931" t="str">
        <f>IF(IFERROR(VLOOKUP(TRIM(A931),Inventory!E:E,1,0),0)=0,"X","_")</f>
        <v>_</v>
      </c>
      <c r="C931" t="str">
        <f>IF(IFERROR(VLOOKUP(TRIM(A931),'Full Inventory'!F:F,1,0),0)=0,"X","_")</f>
        <v>_</v>
      </c>
      <c r="D931" t="str">
        <f t="shared" si="42"/>
        <v>X</v>
      </c>
      <c r="E931" t="str">
        <f ca="1">IFERROR(IF(AND(B931&amp;C931&amp;D931="___",INDIRECT("Inventory!A"&amp;MATCH(VLOOKUP(A931,Inventory!E:E,1,0),Inventory!E:E,0))&lt;&gt;INDIRECT("'Full Inventory'!B"&amp;MATCH(VLOOKUP(A931,'Full Inventory'!F:F,1,0),'Full Inventory'!F:F,0))),"X","_"),"_")</f>
        <v>_</v>
      </c>
      <c r="K931" t="str">
        <f t="shared" ca="1" si="43"/>
        <v>__X_</v>
      </c>
      <c r="L931" t="str">
        <f t="shared" ca="1" si="44"/>
        <v/>
      </c>
      <c r="M931" t="str">
        <f>IFERROR(INDEX(Inventory!A:A,MATCH(Scan!A931,Inventory!E:E,0)),"")</f>
        <v/>
      </c>
    </row>
    <row r="932" spans="2:13" x14ac:dyDescent="0.25">
      <c r="B932" t="str">
        <f>IF(IFERROR(VLOOKUP(TRIM(A932),Inventory!E:E,1,0),0)=0,"X","_")</f>
        <v>_</v>
      </c>
      <c r="C932" t="str">
        <f>IF(IFERROR(VLOOKUP(TRIM(A932),'Full Inventory'!F:F,1,0),0)=0,"X","_")</f>
        <v>_</v>
      </c>
      <c r="D932" t="str">
        <f t="shared" si="42"/>
        <v>X</v>
      </c>
      <c r="E932" t="str">
        <f ca="1">IFERROR(IF(AND(B932&amp;C932&amp;D932="___",INDIRECT("Inventory!A"&amp;MATCH(VLOOKUP(A932,Inventory!E:E,1,0),Inventory!E:E,0))&lt;&gt;INDIRECT("'Full Inventory'!B"&amp;MATCH(VLOOKUP(A932,'Full Inventory'!F:F,1,0),'Full Inventory'!F:F,0))),"X","_"),"_")</f>
        <v>_</v>
      </c>
      <c r="K932" t="str">
        <f t="shared" ca="1" si="43"/>
        <v>__X_</v>
      </c>
      <c r="L932" t="str">
        <f t="shared" ca="1" si="44"/>
        <v/>
      </c>
      <c r="M932" t="str">
        <f>IFERROR(INDEX(Inventory!A:A,MATCH(Scan!A932,Inventory!E:E,0)),"")</f>
        <v/>
      </c>
    </row>
    <row r="933" spans="2:13" x14ac:dyDescent="0.25">
      <c r="B933" t="str">
        <f>IF(IFERROR(VLOOKUP(TRIM(A933),Inventory!E:E,1,0),0)=0,"X","_")</f>
        <v>_</v>
      </c>
      <c r="C933" t="str">
        <f>IF(IFERROR(VLOOKUP(TRIM(A933),'Full Inventory'!F:F,1,0),0)=0,"X","_")</f>
        <v>_</v>
      </c>
      <c r="D933" t="str">
        <f t="shared" si="42"/>
        <v>X</v>
      </c>
      <c r="E933" t="str">
        <f ca="1">IFERROR(IF(AND(B933&amp;C933&amp;D933="___",INDIRECT("Inventory!A"&amp;MATCH(VLOOKUP(A933,Inventory!E:E,1,0),Inventory!E:E,0))&lt;&gt;INDIRECT("'Full Inventory'!B"&amp;MATCH(VLOOKUP(A933,'Full Inventory'!F:F,1,0),'Full Inventory'!F:F,0))),"X","_"),"_")</f>
        <v>_</v>
      </c>
      <c r="K933" t="str">
        <f t="shared" ca="1" si="43"/>
        <v>__X_</v>
      </c>
      <c r="L933" t="str">
        <f t="shared" ca="1" si="44"/>
        <v/>
      </c>
      <c r="M933" t="str">
        <f>IFERROR(INDEX(Inventory!A:A,MATCH(Scan!A933,Inventory!E:E,0)),"")</f>
        <v/>
      </c>
    </row>
    <row r="934" spans="2:13" x14ac:dyDescent="0.25">
      <c r="B934" t="str">
        <f>IF(IFERROR(VLOOKUP(TRIM(A934),Inventory!E:E,1,0),0)=0,"X","_")</f>
        <v>_</v>
      </c>
      <c r="C934" t="str">
        <f>IF(IFERROR(VLOOKUP(TRIM(A934),'Full Inventory'!F:F,1,0),0)=0,"X","_")</f>
        <v>_</v>
      </c>
      <c r="D934" t="str">
        <f t="shared" si="42"/>
        <v>X</v>
      </c>
      <c r="E934" t="str">
        <f ca="1">IFERROR(IF(AND(B934&amp;C934&amp;D934="___",INDIRECT("Inventory!A"&amp;MATCH(VLOOKUP(A934,Inventory!E:E,1,0),Inventory!E:E,0))&lt;&gt;INDIRECT("'Full Inventory'!B"&amp;MATCH(VLOOKUP(A934,'Full Inventory'!F:F,1,0),'Full Inventory'!F:F,0))),"X","_"),"_")</f>
        <v>_</v>
      </c>
      <c r="K934" t="str">
        <f t="shared" ca="1" si="43"/>
        <v>__X_</v>
      </c>
      <c r="L934" t="str">
        <f t="shared" ca="1" si="44"/>
        <v/>
      </c>
      <c r="M934" t="str">
        <f>IFERROR(INDEX(Inventory!A:A,MATCH(Scan!A934,Inventory!E:E,0)),"")</f>
        <v/>
      </c>
    </row>
    <row r="935" spans="2:13" x14ac:dyDescent="0.25">
      <c r="B935" t="str">
        <f>IF(IFERROR(VLOOKUP(TRIM(A935),Inventory!E:E,1,0),0)=0,"X","_")</f>
        <v>_</v>
      </c>
      <c r="C935" t="str">
        <f>IF(IFERROR(VLOOKUP(TRIM(A935),'Full Inventory'!F:F,1,0),0)=0,"X","_")</f>
        <v>_</v>
      </c>
      <c r="D935" t="str">
        <f t="shared" si="42"/>
        <v>X</v>
      </c>
      <c r="E935" t="str">
        <f ca="1">IFERROR(IF(AND(B935&amp;C935&amp;D935="___",INDIRECT("Inventory!A"&amp;MATCH(VLOOKUP(A935,Inventory!E:E,1,0),Inventory!E:E,0))&lt;&gt;INDIRECT("'Full Inventory'!B"&amp;MATCH(VLOOKUP(A935,'Full Inventory'!F:F,1,0),'Full Inventory'!F:F,0))),"X","_"),"_")</f>
        <v>_</v>
      </c>
      <c r="K935" t="str">
        <f t="shared" ca="1" si="43"/>
        <v>__X_</v>
      </c>
      <c r="L935" t="str">
        <f t="shared" ca="1" si="44"/>
        <v/>
      </c>
      <c r="M935" t="str">
        <f>IFERROR(INDEX(Inventory!A:A,MATCH(Scan!A935,Inventory!E:E,0)),"")</f>
        <v/>
      </c>
    </row>
    <row r="936" spans="2:13" x14ac:dyDescent="0.25">
      <c r="B936" t="str">
        <f>IF(IFERROR(VLOOKUP(TRIM(A936),Inventory!E:E,1,0),0)=0,"X","_")</f>
        <v>_</v>
      </c>
      <c r="C936" t="str">
        <f>IF(IFERROR(VLOOKUP(TRIM(A936),'Full Inventory'!F:F,1,0),0)=0,"X","_")</f>
        <v>_</v>
      </c>
      <c r="D936" t="str">
        <f t="shared" si="42"/>
        <v>X</v>
      </c>
      <c r="E936" t="str">
        <f ca="1">IFERROR(IF(AND(B936&amp;C936&amp;D936="___",INDIRECT("Inventory!A"&amp;MATCH(VLOOKUP(A936,Inventory!E:E,1,0),Inventory!E:E,0))&lt;&gt;INDIRECT("'Full Inventory'!B"&amp;MATCH(VLOOKUP(A936,'Full Inventory'!F:F,1,0),'Full Inventory'!F:F,0))),"X","_"),"_")</f>
        <v>_</v>
      </c>
      <c r="K936" t="str">
        <f t="shared" ca="1" si="43"/>
        <v>__X_</v>
      </c>
      <c r="L936" t="str">
        <f t="shared" ca="1" si="44"/>
        <v/>
      </c>
      <c r="M936" t="str">
        <f>IFERROR(INDEX(Inventory!A:A,MATCH(Scan!A936,Inventory!E:E,0)),"")</f>
        <v/>
      </c>
    </row>
    <row r="937" spans="2:13" x14ac:dyDescent="0.25">
      <c r="B937" t="str">
        <f>IF(IFERROR(VLOOKUP(TRIM(A937),Inventory!E:E,1,0),0)=0,"X","_")</f>
        <v>_</v>
      </c>
      <c r="C937" t="str">
        <f>IF(IFERROR(VLOOKUP(TRIM(A937),'Full Inventory'!F:F,1,0),0)=0,"X","_")</f>
        <v>_</v>
      </c>
      <c r="D937" t="str">
        <f t="shared" si="42"/>
        <v>X</v>
      </c>
      <c r="E937" t="str">
        <f ca="1">IFERROR(IF(AND(B937&amp;C937&amp;D937="___",INDIRECT("Inventory!A"&amp;MATCH(VLOOKUP(A937,Inventory!E:E,1,0),Inventory!E:E,0))&lt;&gt;INDIRECT("'Full Inventory'!B"&amp;MATCH(VLOOKUP(A937,'Full Inventory'!F:F,1,0),'Full Inventory'!F:F,0))),"X","_"),"_")</f>
        <v>_</v>
      </c>
      <c r="K937" t="str">
        <f t="shared" ca="1" si="43"/>
        <v>__X_</v>
      </c>
      <c r="L937" t="str">
        <f t="shared" ca="1" si="44"/>
        <v/>
      </c>
      <c r="M937" t="str">
        <f>IFERROR(INDEX(Inventory!A:A,MATCH(Scan!A937,Inventory!E:E,0)),"")</f>
        <v/>
      </c>
    </row>
    <row r="938" spans="2:13" x14ac:dyDescent="0.25">
      <c r="B938" t="str">
        <f>IF(IFERROR(VLOOKUP(TRIM(A938),Inventory!E:E,1,0),0)=0,"X","_")</f>
        <v>_</v>
      </c>
      <c r="C938" t="str">
        <f>IF(IFERROR(VLOOKUP(TRIM(A938),'Full Inventory'!F:F,1,0),0)=0,"X","_")</f>
        <v>_</v>
      </c>
      <c r="D938" t="str">
        <f t="shared" si="42"/>
        <v>X</v>
      </c>
      <c r="E938" t="str">
        <f ca="1">IFERROR(IF(AND(B938&amp;C938&amp;D938="___",INDIRECT("Inventory!A"&amp;MATCH(VLOOKUP(A938,Inventory!E:E,1,0),Inventory!E:E,0))&lt;&gt;INDIRECT("'Full Inventory'!B"&amp;MATCH(VLOOKUP(A938,'Full Inventory'!F:F,1,0),'Full Inventory'!F:F,0))),"X","_"),"_")</f>
        <v>_</v>
      </c>
      <c r="K938" t="str">
        <f t="shared" ca="1" si="43"/>
        <v>__X_</v>
      </c>
      <c r="L938" t="str">
        <f t="shared" ca="1" si="44"/>
        <v/>
      </c>
      <c r="M938" t="str">
        <f>IFERROR(INDEX(Inventory!A:A,MATCH(Scan!A938,Inventory!E:E,0)),"")</f>
        <v/>
      </c>
    </row>
    <row r="939" spans="2:13" x14ac:dyDescent="0.25">
      <c r="B939" t="str">
        <f>IF(IFERROR(VLOOKUP(TRIM(A939),Inventory!E:E,1,0),0)=0,"X","_")</f>
        <v>_</v>
      </c>
      <c r="C939" t="str">
        <f>IF(IFERROR(VLOOKUP(TRIM(A939),'Full Inventory'!F:F,1,0),0)=0,"X","_")</f>
        <v>_</v>
      </c>
      <c r="D939" t="str">
        <f t="shared" si="42"/>
        <v>X</v>
      </c>
      <c r="E939" t="str">
        <f ca="1">IFERROR(IF(AND(B939&amp;C939&amp;D939="___",INDIRECT("Inventory!A"&amp;MATCH(VLOOKUP(A939,Inventory!E:E,1,0),Inventory!E:E,0))&lt;&gt;INDIRECT("'Full Inventory'!B"&amp;MATCH(VLOOKUP(A939,'Full Inventory'!F:F,1,0),'Full Inventory'!F:F,0))),"X","_"),"_")</f>
        <v>_</v>
      </c>
      <c r="K939" t="str">
        <f t="shared" ca="1" si="43"/>
        <v>__X_</v>
      </c>
      <c r="L939" t="str">
        <f t="shared" ca="1" si="44"/>
        <v/>
      </c>
      <c r="M939" t="str">
        <f>IFERROR(INDEX(Inventory!A:A,MATCH(Scan!A939,Inventory!E:E,0)),"")</f>
        <v/>
      </c>
    </row>
    <row r="940" spans="2:13" x14ac:dyDescent="0.25">
      <c r="B940" t="str">
        <f>IF(IFERROR(VLOOKUP(TRIM(A940),Inventory!E:E,1,0),0)=0,"X","_")</f>
        <v>_</v>
      </c>
      <c r="C940" t="str">
        <f>IF(IFERROR(VLOOKUP(TRIM(A940),'Full Inventory'!F:F,1,0),0)=0,"X","_")</f>
        <v>_</v>
      </c>
      <c r="D940" t="str">
        <f t="shared" si="42"/>
        <v>X</v>
      </c>
      <c r="E940" t="str">
        <f ca="1">IFERROR(IF(AND(B940&amp;C940&amp;D940="___",INDIRECT("Inventory!A"&amp;MATCH(VLOOKUP(A940,Inventory!E:E,1,0),Inventory!E:E,0))&lt;&gt;INDIRECT("'Full Inventory'!B"&amp;MATCH(VLOOKUP(A940,'Full Inventory'!F:F,1,0),'Full Inventory'!F:F,0))),"X","_"),"_")</f>
        <v>_</v>
      </c>
      <c r="K940" t="str">
        <f t="shared" ca="1" si="43"/>
        <v>__X_</v>
      </c>
      <c r="L940" t="str">
        <f t="shared" ca="1" si="44"/>
        <v/>
      </c>
      <c r="M940" t="str">
        <f>IFERROR(INDEX(Inventory!A:A,MATCH(Scan!A940,Inventory!E:E,0)),"")</f>
        <v/>
      </c>
    </row>
    <row r="941" spans="2:13" x14ac:dyDescent="0.25">
      <c r="B941" t="str">
        <f>IF(IFERROR(VLOOKUP(TRIM(A941),Inventory!E:E,1,0),0)=0,"X","_")</f>
        <v>_</v>
      </c>
      <c r="C941" t="str">
        <f>IF(IFERROR(VLOOKUP(TRIM(A941),'Full Inventory'!F:F,1,0),0)=0,"X","_")</f>
        <v>_</v>
      </c>
      <c r="D941" t="str">
        <f t="shared" si="42"/>
        <v>X</v>
      </c>
      <c r="E941" t="str">
        <f ca="1">IFERROR(IF(AND(B941&amp;C941&amp;D941="___",INDIRECT("Inventory!A"&amp;MATCH(VLOOKUP(A941,Inventory!E:E,1,0),Inventory!E:E,0))&lt;&gt;INDIRECT("'Full Inventory'!B"&amp;MATCH(VLOOKUP(A941,'Full Inventory'!F:F,1,0),'Full Inventory'!F:F,0))),"X","_"),"_")</f>
        <v>_</v>
      </c>
      <c r="K941" t="str">
        <f t="shared" ca="1" si="43"/>
        <v>__X_</v>
      </c>
      <c r="L941" t="str">
        <f t="shared" ca="1" si="44"/>
        <v/>
      </c>
      <c r="M941" t="str">
        <f>IFERROR(INDEX(Inventory!A:A,MATCH(Scan!A941,Inventory!E:E,0)),"")</f>
        <v/>
      </c>
    </row>
    <row r="942" spans="2:13" x14ac:dyDescent="0.25">
      <c r="B942" t="str">
        <f>IF(IFERROR(VLOOKUP(TRIM(A942),Inventory!E:E,1,0),0)=0,"X","_")</f>
        <v>_</v>
      </c>
      <c r="C942" t="str">
        <f>IF(IFERROR(VLOOKUP(TRIM(A942),'Full Inventory'!F:F,1,0),0)=0,"X","_")</f>
        <v>_</v>
      </c>
      <c r="D942" t="str">
        <f t="shared" si="42"/>
        <v>X</v>
      </c>
      <c r="E942" t="str">
        <f ca="1">IFERROR(IF(AND(B942&amp;C942&amp;D942="___",INDIRECT("Inventory!A"&amp;MATCH(VLOOKUP(A942,Inventory!E:E,1,0),Inventory!E:E,0))&lt;&gt;INDIRECT("'Full Inventory'!B"&amp;MATCH(VLOOKUP(A942,'Full Inventory'!F:F,1,0),'Full Inventory'!F:F,0))),"X","_"),"_")</f>
        <v>_</v>
      </c>
      <c r="K942" t="str">
        <f t="shared" ca="1" si="43"/>
        <v>__X_</v>
      </c>
      <c r="L942" t="str">
        <f t="shared" ca="1" si="44"/>
        <v/>
      </c>
      <c r="M942" t="str">
        <f>IFERROR(INDEX(Inventory!A:A,MATCH(Scan!A942,Inventory!E:E,0)),"")</f>
        <v/>
      </c>
    </row>
    <row r="943" spans="2:13" x14ac:dyDescent="0.25">
      <c r="B943" t="str">
        <f>IF(IFERROR(VLOOKUP(TRIM(A943),Inventory!E:E,1,0),0)=0,"X","_")</f>
        <v>_</v>
      </c>
      <c r="C943" t="str">
        <f>IF(IFERROR(VLOOKUP(TRIM(A943),'Full Inventory'!F:F,1,0),0)=0,"X","_")</f>
        <v>_</v>
      </c>
      <c r="D943" t="str">
        <f t="shared" si="42"/>
        <v>X</v>
      </c>
      <c r="E943" t="str">
        <f ca="1">IFERROR(IF(AND(B943&amp;C943&amp;D943="___",INDIRECT("Inventory!A"&amp;MATCH(VLOOKUP(A943,Inventory!E:E,1,0),Inventory!E:E,0))&lt;&gt;INDIRECT("'Full Inventory'!B"&amp;MATCH(VLOOKUP(A943,'Full Inventory'!F:F,1,0),'Full Inventory'!F:F,0))),"X","_"),"_")</f>
        <v>_</v>
      </c>
      <c r="K943" t="str">
        <f t="shared" ca="1" si="43"/>
        <v>__X_</v>
      </c>
      <c r="L943" t="str">
        <f t="shared" ca="1" si="44"/>
        <v/>
      </c>
      <c r="M943" t="str">
        <f>IFERROR(INDEX(Inventory!A:A,MATCH(Scan!A943,Inventory!E:E,0)),"")</f>
        <v/>
      </c>
    </row>
    <row r="944" spans="2:13" x14ac:dyDescent="0.25">
      <c r="B944" t="str">
        <f>IF(IFERROR(VLOOKUP(TRIM(A944),Inventory!E:E,1,0),0)=0,"X","_")</f>
        <v>_</v>
      </c>
      <c r="C944" t="str">
        <f>IF(IFERROR(VLOOKUP(TRIM(A944),'Full Inventory'!F:F,1,0),0)=0,"X","_")</f>
        <v>_</v>
      </c>
      <c r="D944" t="str">
        <f t="shared" si="42"/>
        <v>X</v>
      </c>
      <c r="E944" t="str">
        <f ca="1">IFERROR(IF(AND(B944&amp;C944&amp;D944="___",INDIRECT("Inventory!A"&amp;MATCH(VLOOKUP(A944,Inventory!E:E,1,0),Inventory!E:E,0))&lt;&gt;INDIRECT("'Full Inventory'!B"&amp;MATCH(VLOOKUP(A944,'Full Inventory'!F:F,1,0),'Full Inventory'!F:F,0))),"X","_"),"_")</f>
        <v>_</v>
      </c>
      <c r="K944" t="str">
        <f t="shared" ca="1" si="43"/>
        <v>__X_</v>
      </c>
      <c r="L944" t="str">
        <f t="shared" ca="1" si="44"/>
        <v/>
      </c>
      <c r="M944" t="str">
        <f>IFERROR(INDEX(Inventory!A:A,MATCH(Scan!A944,Inventory!E:E,0)),"")</f>
        <v/>
      </c>
    </row>
    <row r="945" spans="2:13" x14ac:dyDescent="0.25">
      <c r="B945" t="str">
        <f>IF(IFERROR(VLOOKUP(TRIM(A945),Inventory!E:E,1,0),0)=0,"X","_")</f>
        <v>_</v>
      </c>
      <c r="C945" t="str">
        <f>IF(IFERROR(VLOOKUP(TRIM(A945),'Full Inventory'!F:F,1,0),0)=0,"X","_")</f>
        <v>_</v>
      </c>
      <c r="D945" t="str">
        <f t="shared" si="42"/>
        <v>X</v>
      </c>
      <c r="E945" t="str">
        <f ca="1">IFERROR(IF(AND(B945&amp;C945&amp;D945="___",INDIRECT("Inventory!A"&amp;MATCH(VLOOKUP(A945,Inventory!E:E,1,0),Inventory!E:E,0))&lt;&gt;INDIRECT("'Full Inventory'!B"&amp;MATCH(VLOOKUP(A945,'Full Inventory'!F:F,1,0),'Full Inventory'!F:F,0))),"X","_"),"_")</f>
        <v>_</v>
      </c>
      <c r="K945" t="str">
        <f t="shared" ca="1" si="43"/>
        <v>__X_</v>
      </c>
      <c r="L945" t="str">
        <f t="shared" ca="1" si="44"/>
        <v/>
      </c>
      <c r="M945" t="str">
        <f>IFERROR(INDEX(Inventory!A:A,MATCH(Scan!A945,Inventory!E:E,0)),"")</f>
        <v/>
      </c>
    </row>
    <row r="946" spans="2:13" x14ac:dyDescent="0.25">
      <c r="B946" t="str">
        <f>IF(IFERROR(VLOOKUP(TRIM(A946),Inventory!E:E,1,0),0)=0,"X","_")</f>
        <v>_</v>
      </c>
      <c r="C946" t="str">
        <f>IF(IFERROR(VLOOKUP(TRIM(A946),'Full Inventory'!F:F,1,0),0)=0,"X","_")</f>
        <v>_</v>
      </c>
      <c r="D946" t="str">
        <f t="shared" si="42"/>
        <v>X</v>
      </c>
      <c r="E946" t="str">
        <f ca="1">IFERROR(IF(AND(B946&amp;C946&amp;D946="___",INDIRECT("Inventory!A"&amp;MATCH(VLOOKUP(A946,Inventory!E:E,1,0),Inventory!E:E,0))&lt;&gt;INDIRECT("'Full Inventory'!B"&amp;MATCH(VLOOKUP(A946,'Full Inventory'!F:F,1,0),'Full Inventory'!F:F,0))),"X","_"),"_")</f>
        <v>_</v>
      </c>
      <c r="K946" t="str">
        <f t="shared" ca="1" si="43"/>
        <v>__X_</v>
      </c>
      <c r="L946" t="str">
        <f t="shared" ca="1" si="44"/>
        <v/>
      </c>
      <c r="M946" t="str">
        <f>IFERROR(INDEX(Inventory!A:A,MATCH(Scan!A946,Inventory!E:E,0)),"")</f>
        <v/>
      </c>
    </row>
    <row r="947" spans="2:13" x14ac:dyDescent="0.25">
      <c r="B947" t="str">
        <f>IF(IFERROR(VLOOKUP(TRIM(A947),Inventory!E:E,1,0),0)=0,"X","_")</f>
        <v>_</v>
      </c>
      <c r="C947" t="str">
        <f>IF(IFERROR(VLOOKUP(TRIM(A947),'Full Inventory'!F:F,1,0),0)=0,"X","_")</f>
        <v>_</v>
      </c>
      <c r="D947" t="str">
        <f t="shared" si="42"/>
        <v>X</v>
      </c>
      <c r="E947" t="str">
        <f ca="1">IFERROR(IF(AND(B947&amp;C947&amp;D947="___",INDIRECT("Inventory!A"&amp;MATCH(VLOOKUP(A947,Inventory!E:E,1,0),Inventory!E:E,0))&lt;&gt;INDIRECT("'Full Inventory'!B"&amp;MATCH(VLOOKUP(A947,'Full Inventory'!F:F,1,0),'Full Inventory'!F:F,0))),"X","_"),"_")</f>
        <v>_</v>
      </c>
      <c r="K947" t="str">
        <f t="shared" ca="1" si="43"/>
        <v>__X_</v>
      </c>
      <c r="L947" t="str">
        <f t="shared" ca="1" si="44"/>
        <v/>
      </c>
      <c r="M947" t="str">
        <f>IFERROR(INDEX(Inventory!A:A,MATCH(Scan!A947,Inventory!E:E,0)),"")</f>
        <v/>
      </c>
    </row>
    <row r="948" spans="2:13" x14ac:dyDescent="0.25">
      <c r="B948" t="str">
        <f>IF(IFERROR(VLOOKUP(TRIM(A948),Inventory!E:E,1,0),0)=0,"X","_")</f>
        <v>_</v>
      </c>
      <c r="C948" t="str">
        <f>IF(IFERROR(VLOOKUP(TRIM(A948),'Full Inventory'!F:F,1,0),0)=0,"X","_")</f>
        <v>_</v>
      </c>
      <c r="D948" t="str">
        <f t="shared" si="42"/>
        <v>X</v>
      </c>
      <c r="E948" t="str">
        <f ca="1">IFERROR(IF(AND(B948&amp;C948&amp;D948="___",INDIRECT("Inventory!A"&amp;MATCH(VLOOKUP(A948,Inventory!E:E,1,0),Inventory!E:E,0))&lt;&gt;INDIRECT("'Full Inventory'!B"&amp;MATCH(VLOOKUP(A948,'Full Inventory'!F:F,1,0),'Full Inventory'!F:F,0))),"X","_"),"_")</f>
        <v>_</v>
      </c>
      <c r="K948" t="str">
        <f t="shared" ca="1" si="43"/>
        <v>__X_</v>
      </c>
      <c r="L948" t="str">
        <f t="shared" ca="1" si="44"/>
        <v/>
      </c>
      <c r="M948" t="str">
        <f>IFERROR(INDEX(Inventory!A:A,MATCH(Scan!A948,Inventory!E:E,0)),"")</f>
        <v/>
      </c>
    </row>
    <row r="949" spans="2:13" x14ac:dyDescent="0.25">
      <c r="B949" t="str">
        <f>IF(IFERROR(VLOOKUP(TRIM(A949),Inventory!E:E,1,0),0)=0,"X","_")</f>
        <v>_</v>
      </c>
      <c r="C949" t="str">
        <f>IF(IFERROR(VLOOKUP(TRIM(A949),'Full Inventory'!F:F,1,0),0)=0,"X","_")</f>
        <v>_</v>
      </c>
      <c r="D949" t="str">
        <f t="shared" si="42"/>
        <v>X</v>
      </c>
      <c r="E949" t="str">
        <f ca="1">IFERROR(IF(AND(B949&amp;C949&amp;D949="___",INDIRECT("Inventory!A"&amp;MATCH(VLOOKUP(A949,Inventory!E:E,1,0),Inventory!E:E,0))&lt;&gt;INDIRECT("'Full Inventory'!B"&amp;MATCH(VLOOKUP(A949,'Full Inventory'!F:F,1,0),'Full Inventory'!F:F,0))),"X","_"),"_")</f>
        <v>_</v>
      </c>
      <c r="K949" t="str">
        <f t="shared" ca="1" si="43"/>
        <v>__X_</v>
      </c>
      <c r="L949" t="str">
        <f t="shared" ca="1" si="44"/>
        <v/>
      </c>
      <c r="M949" t="str">
        <f>IFERROR(INDEX(Inventory!A:A,MATCH(Scan!A949,Inventory!E:E,0)),"")</f>
        <v/>
      </c>
    </row>
    <row r="950" spans="2:13" x14ac:dyDescent="0.25">
      <c r="B950" t="str">
        <f>IF(IFERROR(VLOOKUP(TRIM(A950),Inventory!E:E,1,0),0)=0,"X","_")</f>
        <v>_</v>
      </c>
      <c r="C950" t="str">
        <f>IF(IFERROR(VLOOKUP(TRIM(A950),'Full Inventory'!F:F,1,0),0)=0,"X","_")</f>
        <v>_</v>
      </c>
      <c r="D950" t="str">
        <f t="shared" si="42"/>
        <v>X</v>
      </c>
      <c r="E950" t="str">
        <f ca="1">IFERROR(IF(AND(B950&amp;C950&amp;D950="___",INDIRECT("Inventory!A"&amp;MATCH(VLOOKUP(A950,Inventory!E:E,1,0),Inventory!E:E,0))&lt;&gt;INDIRECT("'Full Inventory'!B"&amp;MATCH(VLOOKUP(A950,'Full Inventory'!F:F,1,0),'Full Inventory'!F:F,0))),"X","_"),"_")</f>
        <v>_</v>
      </c>
      <c r="K950" t="str">
        <f t="shared" ca="1" si="43"/>
        <v>__X_</v>
      </c>
      <c r="L950" t="str">
        <f t="shared" ca="1" si="44"/>
        <v/>
      </c>
      <c r="M950" t="str">
        <f>IFERROR(INDEX(Inventory!A:A,MATCH(Scan!A950,Inventory!E:E,0)),"")</f>
        <v/>
      </c>
    </row>
    <row r="951" spans="2:13" x14ac:dyDescent="0.25">
      <c r="B951" t="str">
        <f>IF(IFERROR(VLOOKUP(TRIM(A951),Inventory!E:E,1,0),0)=0,"X","_")</f>
        <v>_</v>
      </c>
      <c r="C951" t="str">
        <f>IF(IFERROR(VLOOKUP(TRIM(A951),'Full Inventory'!F:F,1,0),0)=0,"X","_")</f>
        <v>_</v>
      </c>
      <c r="D951" t="str">
        <f t="shared" si="42"/>
        <v>X</v>
      </c>
      <c r="E951" t="str">
        <f ca="1">IFERROR(IF(AND(B951&amp;C951&amp;D951="___",INDIRECT("Inventory!A"&amp;MATCH(VLOOKUP(A951,Inventory!E:E,1,0),Inventory!E:E,0))&lt;&gt;INDIRECT("'Full Inventory'!B"&amp;MATCH(VLOOKUP(A951,'Full Inventory'!F:F,1,0),'Full Inventory'!F:F,0))),"X","_"),"_")</f>
        <v>_</v>
      </c>
      <c r="K951" t="str">
        <f t="shared" ca="1" si="43"/>
        <v>__X_</v>
      </c>
      <c r="L951" t="str">
        <f t="shared" ca="1" si="44"/>
        <v/>
      </c>
      <c r="M951" t="str">
        <f>IFERROR(INDEX(Inventory!A:A,MATCH(Scan!A951,Inventory!E:E,0)),"")</f>
        <v/>
      </c>
    </row>
    <row r="952" spans="2:13" x14ac:dyDescent="0.25">
      <c r="B952" t="str">
        <f>IF(IFERROR(VLOOKUP(TRIM(A952),Inventory!E:E,1,0),0)=0,"X","_")</f>
        <v>_</v>
      </c>
      <c r="C952" t="str">
        <f>IF(IFERROR(VLOOKUP(TRIM(A952),'Full Inventory'!F:F,1,0),0)=0,"X","_")</f>
        <v>_</v>
      </c>
      <c r="D952" t="str">
        <f t="shared" si="42"/>
        <v>X</v>
      </c>
      <c r="E952" t="str">
        <f ca="1">IFERROR(IF(AND(B952&amp;C952&amp;D952="___",INDIRECT("Inventory!A"&amp;MATCH(VLOOKUP(A952,Inventory!E:E,1,0),Inventory!E:E,0))&lt;&gt;INDIRECT("'Full Inventory'!B"&amp;MATCH(VLOOKUP(A952,'Full Inventory'!F:F,1,0),'Full Inventory'!F:F,0))),"X","_"),"_")</f>
        <v>_</v>
      </c>
      <c r="K952" t="str">
        <f t="shared" ca="1" si="43"/>
        <v>__X_</v>
      </c>
      <c r="L952" t="str">
        <f t="shared" ca="1" si="44"/>
        <v/>
      </c>
      <c r="M952" t="str">
        <f>IFERROR(INDEX(Inventory!A:A,MATCH(Scan!A952,Inventory!E:E,0)),"")</f>
        <v/>
      </c>
    </row>
    <row r="953" spans="2:13" x14ac:dyDescent="0.25">
      <c r="B953" t="str">
        <f>IF(IFERROR(VLOOKUP(TRIM(A953),Inventory!E:E,1,0),0)=0,"X","_")</f>
        <v>_</v>
      </c>
      <c r="C953" t="str">
        <f>IF(IFERROR(VLOOKUP(TRIM(A953),'Full Inventory'!F:F,1,0),0)=0,"X","_")</f>
        <v>_</v>
      </c>
      <c r="D953" t="str">
        <f t="shared" si="42"/>
        <v>X</v>
      </c>
      <c r="E953" t="str">
        <f ca="1">IFERROR(IF(AND(B953&amp;C953&amp;D953="___",INDIRECT("Inventory!A"&amp;MATCH(VLOOKUP(A953,Inventory!E:E,1,0),Inventory!E:E,0))&lt;&gt;INDIRECT("'Full Inventory'!B"&amp;MATCH(VLOOKUP(A953,'Full Inventory'!F:F,1,0),'Full Inventory'!F:F,0))),"X","_"),"_")</f>
        <v>_</v>
      </c>
      <c r="K953" t="str">
        <f t="shared" ca="1" si="43"/>
        <v>__X_</v>
      </c>
      <c r="L953" t="str">
        <f t="shared" ca="1" si="44"/>
        <v/>
      </c>
      <c r="M953" t="str">
        <f>IFERROR(INDEX(Inventory!A:A,MATCH(Scan!A953,Inventory!E:E,0)),"")</f>
        <v/>
      </c>
    </row>
    <row r="954" spans="2:13" x14ac:dyDescent="0.25">
      <c r="B954" t="str">
        <f>IF(IFERROR(VLOOKUP(TRIM(A954),Inventory!E:E,1,0),0)=0,"X","_")</f>
        <v>_</v>
      </c>
      <c r="C954" t="str">
        <f>IF(IFERROR(VLOOKUP(TRIM(A954),'Full Inventory'!F:F,1,0),0)=0,"X","_")</f>
        <v>_</v>
      </c>
      <c r="D954" t="str">
        <f t="shared" si="42"/>
        <v>X</v>
      </c>
      <c r="E954" t="str">
        <f ca="1">IFERROR(IF(AND(B954&amp;C954&amp;D954="___",INDIRECT("Inventory!A"&amp;MATCH(VLOOKUP(A954,Inventory!E:E,1,0),Inventory!E:E,0))&lt;&gt;INDIRECT("'Full Inventory'!B"&amp;MATCH(VLOOKUP(A954,'Full Inventory'!F:F,1,0),'Full Inventory'!F:F,0))),"X","_"),"_")</f>
        <v>_</v>
      </c>
      <c r="K954" t="str">
        <f t="shared" ca="1" si="43"/>
        <v>__X_</v>
      </c>
      <c r="L954" t="str">
        <f t="shared" ca="1" si="44"/>
        <v/>
      </c>
      <c r="M954" t="str">
        <f>IFERROR(INDEX(Inventory!A:A,MATCH(Scan!A954,Inventory!E:E,0)),"")</f>
        <v/>
      </c>
    </row>
    <row r="955" spans="2:13" x14ac:dyDescent="0.25">
      <c r="B955" t="str">
        <f>IF(IFERROR(VLOOKUP(TRIM(A955),Inventory!E:E,1,0),0)=0,"X","_")</f>
        <v>_</v>
      </c>
      <c r="C955" t="str">
        <f>IF(IFERROR(VLOOKUP(TRIM(A955),'Full Inventory'!F:F,1,0),0)=0,"X","_")</f>
        <v>_</v>
      </c>
      <c r="D955" t="str">
        <f t="shared" si="42"/>
        <v>X</v>
      </c>
      <c r="E955" t="str">
        <f ca="1">IFERROR(IF(AND(B955&amp;C955&amp;D955="___",INDIRECT("Inventory!A"&amp;MATCH(VLOOKUP(A955,Inventory!E:E,1,0),Inventory!E:E,0))&lt;&gt;INDIRECT("'Full Inventory'!B"&amp;MATCH(VLOOKUP(A955,'Full Inventory'!F:F,1,0),'Full Inventory'!F:F,0))),"X","_"),"_")</f>
        <v>_</v>
      </c>
      <c r="K955" t="str">
        <f t="shared" ca="1" si="43"/>
        <v>__X_</v>
      </c>
      <c r="L955" t="str">
        <f t="shared" ca="1" si="44"/>
        <v/>
      </c>
      <c r="M955" t="str">
        <f>IFERROR(INDEX(Inventory!A:A,MATCH(Scan!A955,Inventory!E:E,0)),"")</f>
        <v/>
      </c>
    </row>
    <row r="956" spans="2:13" x14ac:dyDescent="0.25">
      <c r="B956" t="str">
        <f>IF(IFERROR(VLOOKUP(TRIM(A956),Inventory!E:E,1,0),0)=0,"X","_")</f>
        <v>_</v>
      </c>
      <c r="C956" t="str">
        <f>IF(IFERROR(VLOOKUP(TRIM(A956),'Full Inventory'!F:F,1,0),0)=0,"X","_")</f>
        <v>_</v>
      </c>
      <c r="D956" t="str">
        <f t="shared" si="42"/>
        <v>X</v>
      </c>
      <c r="E956" t="str">
        <f ca="1">IFERROR(IF(AND(B956&amp;C956&amp;D956="___",INDIRECT("Inventory!A"&amp;MATCH(VLOOKUP(A956,Inventory!E:E,1,0),Inventory!E:E,0))&lt;&gt;INDIRECT("'Full Inventory'!B"&amp;MATCH(VLOOKUP(A956,'Full Inventory'!F:F,1,0),'Full Inventory'!F:F,0))),"X","_"),"_")</f>
        <v>_</v>
      </c>
      <c r="K956" t="str">
        <f t="shared" ca="1" si="43"/>
        <v>__X_</v>
      </c>
      <c r="L956" t="str">
        <f t="shared" ca="1" si="44"/>
        <v/>
      </c>
      <c r="M956" t="str">
        <f>IFERROR(INDEX(Inventory!A:A,MATCH(Scan!A956,Inventory!E:E,0)),"")</f>
        <v/>
      </c>
    </row>
    <row r="957" spans="2:13" x14ac:dyDescent="0.25">
      <c r="B957" t="str">
        <f>IF(IFERROR(VLOOKUP(TRIM(A957),Inventory!E:E,1,0),0)=0,"X","_")</f>
        <v>_</v>
      </c>
      <c r="C957" t="str">
        <f>IF(IFERROR(VLOOKUP(TRIM(A957),'Full Inventory'!F:F,1,0),0)=0,"X","_")</f>
        <v>_</v>
      </c>
      <c r="D957" t="str">
        <f t="shared" si="42"/>
        <v>X</v>
      </c>
      <c r="E957" t="str">
        <f ca="1">IFERROR(IF(AND(B957&amp;C957&amp;D957="___",INDIRECT("Inventory!A"&amp;MATCH(VLOOKUP(A957,Inventory!E:E,1,0),Inventory!E:E,0))&lt;&gt;INDIRECT("'Full Inventory'!B"&amp;MATCH(VLOOKUP(A957,'Full Inventory'!F:F,1,0),'Full Inventory'!F:F,0))),"X","_"),"_")</f>
        <v>_</v>
      </c>
      <c r="K957" t="str">
        <f t="shared" ca="1" si="43"/>
        <v>__X_</v>
      </c>
      <c r="L957" t="str">
        <f t="shared" ca="1" si="44"/>
        <v/>
      </c>
      <c r="M957" t="str">
        <f>IFERROR(INDEX(Inventory!A:A,MATCH(Scan!A957,Inventory!E:E,0)),"")</f>
        <v/>
      </c>
    </row>
    <row r="958" spans="2:13" x14ac:dyDescent="0.25">
      <c r="B958" t="str">
        <f>IF(IFERROR(VLOOKUP(TRIM(A958),Inventory!E:E,1,0),0)=0,"X","_")</f>
        <v>_</v>
      </c>
      <c r="C958" t="str">
        <f>IF(IFERROR(VLOOKUP(TRIM(A958),'Full Inventory'!F:F,1,0),0)=0,"X","_")</f>
        <v>_</v>
      </c>
      <c r="D958" t="str">
        <f t="shared" si="42"/>
        <v>X</v>
      </c>
      <c r="E958" t="str">
        <f ca="1">IFERROR(IF(AND(B958&amp;C958&amp;D958="___",INDIRECT("Inventory!A"&amp;MATCH(VLOOKUP(A958,Inventory!E:E,1,0),Inventory!E:E,0))&lt;&gt;INDIRECT("'Full Inventory'!B"&amp;MATCH(VLOOKUP(A958,'Full Inventory'!F:F,1,0),'Full Inventory'!F:F,0))),"X","_"),"_")</f>
        <v>_</v>
      </c>
      <c r="K958" t="str">
        <f t="shared" ca="1" si="43"/>
        <v>__X_</v>
      </c>
      <c r="L958" t="str">
        <f t="shared" ca="1" si="44"/>
        <v/>
      </c>
      <c r="M958" t="str">
        <f>IFERROR(INDEX(Inventory!A:A,MATCH(Scan!A958,Inventory!E:E,0)),"")</f>
        <v/>
      </c>
    </row>
    <row r="959" spans="2:13" x14ac:dyDescent="0.25">
      <c r="B959" t="str">
        <f>IF(IFERROR(VLOOKUP(TRIM(A959),Inventory!E:E,1,0),0)=0,"X","_")</f>
        <v>_</v>
      </c>
      <c r="C959" t="str">
        <f>IF(IFERROR(VLOOKUP(TRIM(A959),'Full Inventory'!F:F,1,0),0)=0,"X","_")</f>
        <v>_</v>
      </c>
      <c r="D959" t="str">
        <f t="shared" si="42"/>
        <v>X</v>
      </c>
      <c r="E959" t="str">
        <f ca="1">IFERROR(IF(AND(B959&amp;C959&amp;D959="___",INDIRECT("Inventory!A"&amp;MATCH(VLOOKUP(A959,Inventory!E:E,1,0),Inventory!E:E,0))&lt;&gt;INDIRECT("'Full Inventory'!B"&amp;MATCH(VLOOKUP(A959,'Full Inventory'!F:F,1,0),'Full Inventory'!F:F,0))),"X","_"),"_")</f>
        <v>_</v>
      </c>
      <c r="K959" t="str">
        <f t="shared" ca="1" si="43"/>
        <v>__X_</v>
      </c>
      <c r="L959" t="str">
        <f t="shared" ca="1" si="44"/>
        <v/>
      </c>
      <c r="M959" t="str">
        <f>IFERROR(INDEX(Inventory!A:A,MATCH(Scan!A959,Inventory!E:E,0)),"")</f>
        <v/>
      </c>
    </row>
    <row r="960" spans="2:13" x14ac:dyDescent="0.25">
      <c r="B960" t="str">
        <f>IF(IFERROR(VLOOKUP(TRIM(A960),Inventory!E:E,1,0),0)=0,"X","_")</f>
        <v>_</v>
      </c>
      <c r="C960" t="str">
        <f>IF(IFERROR(VLOOKUP(TRIM(A960),'Full Inventory'!F:F,1,0),0)=0,"X","_")</f>
        <v>_</v>
      </c>
      <c r="D960" t="str">
        <f t="shared" si="42"/>
        <v>X</v>
      </c>
      <c r="E960" t="str">
        <f ca="1">IFERROR(IF(AND(B960&amp;C960&amp;D960="___",INDIRECT("Inventory!A"&amp;MATCH(VLOOKUP(A960,Inventory!E:E,1,0),Inventory!E:E,0))&lt;&gt;INDIRECT("'Full Inventory'!B"&amp;MATCH(VLOOKUP(A960,'Full Inventory'!F:F,1,0),'Full Inventory'!F:F,0))),"X","_"),"_")</f>
        <v>_</v>
      </c>
      <c r="K960" t="str">
        <f t="shared" ca="1" si="43"/>
        <v>__X_</v>
      </c>
      <c r="L960" t="str">
        <f t="shared" ca="1" si="44"/>
        <v/>
      </c>
      <c r="M960" t="str">
        <f>IFERROR(INDEX(Inventory!A:A,MATCH(Scan!A960,Inventory!E:E,0)),"")</f>
        <v/>
      </c>
    </row>
    <row r="961" spans="2:13" x14ac:dyDescent="0.25">
      <c r="B961" t="str">
        <f>IF(IFERROR(VLOOKUP(TRIM(A961),Inventory!E:E,1,0),0)=0,"X","_")</f>
        <v>_</v>
      </c>
      <c r="C961" t="str">
        <f>IF(IFERROR(VLOOKUP(TRIM(A961),'Full Inventory'!F:F,1,0),0)=0,"X","_")</f>
        <v>_</v>
      </c>
      <c r="D961" t="str">
        <f t="shared" si="42"/>
        <v>X</v>
      </c>
      <c r="E961" t="str">
        <f ca="1">IFERROR(IF(AND(B961&amp;C961&amp;D961="___",INDIRECT("Inventory!A"&amp;MATCH(VLOOKUP(A961,Inventory!E:E,1,0),Inventory!E:E,0))&lt;&gt;INDIRECT("'Full Inventory'!B"&amp;MATCH(VLOOKUP(A961,'Full Inventory'!F:F,1,0),'Full Inventory'!F:F,0))),"X","_"),"_")</f>
        <v>_</v>
      </c>
      <c r="K961" t="str">
        <f t="shared" ca="1" si="43"/>
        <v>__X_</v>
      </c>
      <c r="L961" t="str">
        <f t="shared" ca="1" si="44"/>
        <v/>
      </c>
      <c r="M961" t="str">
        <f>IFERROR(INDEX(Inventory!A:A,MATCH(Scan!A961,Inventory!E:E,0)),"")</f>
        <v/>
      </c>
    </row>
    <row r="962" spans="2:13" x14ac:dyDescent="0.25">
      <c r="B962" t="str">
        <f>IF(IFERROR(VLOOKUP(TRIM(A962),Inventory!E:E,1,0),0)=0,"X","_")</f>
        <v>_</v>
      </c>
      <c r="C962" t="str">
        <f>IF(IFERROR(VLOOKUP(TRIM(A962),'Full Inventory'!F:F,1,0),0)=0,"X","_")</f>
        <v>_</v>
      </c>
      <c r="D962" t="str">
        <f t="shared" ref="D962:D1025" si="45">IF(TRIM(A962)&lt;&gt;"","_","X")</f>
        <v>X</v>
      </c>
      <c r="E962" t="str">
        <f ca="1">IFERROR(IF(AND(B962&amp;C962&amp;D962="___",INDIRECT("Inventory!A"&amp;MATCH(VLOOKUP(A962,Inventory!E:E,1,0),Inventory!E:E,0))&lt;&gt;INDIRECT("'Full Inventory'!B"&amp;MATCH(VLOOKUP(A962,'Full Inventory'!F:F,1,0),'Full Inventory'!F:F,0))),"X","_"),"_")</f>
        <v>_</v>
      </c>
      <c r="K962" t="str">
        <f t="shared" ca="1" si="43"/>
        <v>__X_</v>
      </c>
      <c r="L962" t="str">
        <f t="shared" ca="1" si="44"/>
        <v/>
      </c>
      <c r="M962" t="str">
        <f>IFERROR(INDEX(Inventory!A:A,MATCH(Scan!A962,Inventory!E:E,0)),"")</f>
        <v/>
      </c>
    </row>
    <row r="963" spans="2:13" x14ac:dyDescent="0.25">
      <c r="B963" t="str">
        <f>IF(IFERROR(VLOOKUP(TRIM(A963),Inventory!E:E,1,0),0)=0,"X","_")</f>
        <v>_</v>
      </c>
      <c r="C963" t="str">
        <f>IF(IFERROR(VLOOKUP(TRIM(A963),'Full Inventory'!F:F,1,0),0)=0,"X","_")</f>
        <v>_</v>
      </c>
      <c r="D963" t="str">
        <f t="shared" si="45"/>
        <v>X</v>
      </c>
      <c r="E963" t="str">
        <f ca="1">IFERROR(IF(AND(B963&amp;C963&amp;D963="___",INDIRECT("Inventory!A"&amp;MATCH(VLOOKUP(A963,Inventory!E:E,1,0),Inventory!E:E,0))&lt;&gt;INDIRECT("'Full Inventory'!B"&amp;MATCH(VLOOKUP(A963,'Full Inventory'!F:F,1,0),'Full Inventory'!F:F,0))),"X","_"),"_")</f>
        <v>_</v>
      </c>
      <c r="K963" t="str">
        <f t="shared" ref="K963:K1026" ca="1" si="46">B963&amp;C963&amp;D963&amp;E963</f>
        <v>__X_</v>
      </c>
      <c r="L963" t="str">
        <f t="shared" ref="L963:L1026" ca="1" si="47">IF(K963="____","OK",IF(K963="_X__","NOT IN FULL INVENTORY",IF(K963="XX__","NOT IN FULL INVENTORY AND INVENTORY",IF(K963="X___","NOT IN INVENTORY",IF(K963="___X","DIFFERENT NAMES IN FULL INVENTORY AND INVENTORY","")))))</f>
        <v/>
      </c>
      <c r="M963" t="str">
        <f>IFERROR(INDEX(Inventory!A:A,MATCH(Scan!A963,Inventory!E:E,0)),"")</f>
        <v/>
      </c>
    </row>
    <row r="964" spans="2:13" x14ac:dyDescent="0.25">
      <c r="B964" t="str">
        <f>IF(IFERROR(VLOOKUP(TRIM(A964),Inventory!E:E,1,0),0)=0,"X","_")</f>
        <v>_</v>
      </c>
      <c r="C964" t="str">
        <f>IF(IFERROR(VLOOKUP(TRIM(A964),'Full Inventory'!F:F,1,0),0)=0,"X","_")</f>
        <v>_</v>
      </c>
      <c r="D964" t="str">
        <f t="shared" si="45"/>
        <v>X</v>
      </c>
      <c r="E964" t="str">
        <f ca="1">IFERROR(IF(AND(B964&amp;C964&amp;D964="___",INDIRECT("Inventory!A"&amp;MATCH(VLOOKUP(A964,Inventory!E:E,1,0),Inventory!E:E,0))&lt;&gt;INDIRECT("'Full Inventory'!B"&amp;MATCH(VLOOKUP(A964,'Full Inventory'!F:F,1,0),'Full Inventory'!F:F,0))),"X","_"),"_")</f>
        <v>_</v>
      </c>
      <c r="K964" t="str">
        <f t="shared" ca="1" si="46"/>
        <v>__X_</v>
      </c>
      <c r="L964" t="str">
        <f t="shared" ca="1" si="47"/>
        <v/>
      </c>
      <c r="M964" t="str">
        <f>IFERROR(INDEX(Inventory!A:A,MATCH(Scan!A964,Inventory!E:E,0)),"")</f>
        <v/>
      </c>
    </row>
    <row r="965" spans="2:13" x14ac:dyDescent="0.25">
      <c r="B965" t="str">
        <f>IF(IFERROR(VLOOKUP(TRIM(A965),Inventory!E:E,1,0),0)=0,"X","_")</f>
        <v>_</v>
      </c>
      <c r="C965" t="str">
        <f>IF(IFERROR(VLOOKUP(TRIM(A965),'Full Inventory'!F:F,1,0),0)=0,"X","_")</f>
        <v>_</v>
      </c>
      <c r="D965" t="str">
        <f t="shared" si="45"/>
        <v>X</v>
      </c>
      <c r="E965" t="str">
        <f ca="1">IFERROR(IF(AND(B965&amp;C965&amp;D965="___",INDIRECT("Inventory!A"&amp;MATCH(VLOOKUP(A965,Inventory!E:E,1,0),Inventory!E:E,0))&lt;&gt;INDIRECT("'Full Inventory'!B"&amp;MATCH(VLOOKUP(A965,'Full Inventory'!F:F,1,0),'Full Inventory'!F:F,0))),"X","_"),"_")</f>
        <v>_</v>
      </c>
      <c r="K965" t="str">
        <f t="shared" ca="1" si="46"/>
        <v>__X_</v>
      </c>
      <c r="L965" t="str">
        <f t="shared" ca="1" si="47"/>
        <v/>
      </c>
      <c r="M965" t="str">
        <f>IFERROR(INDEX(Inventory!A:A,MATCH(Scan!A965,Inventory!E:E,0)),"")</f>
        <v/>
      </c>
    </row>
    <row r="966" spans="2:13" x14ac:dyDescent="0.25">
      <c r="B966" t="str">
        <f>IF(IFERROR(VLOOKUP(TRIM(A966),Inventory!E:E,1,0),0)=0,"X","_")</f>
        <v>_</v>
      </c>
      <c r="C966" t="str">
        <f>IF(IFERROR(VLOOKUP(TRIM(A966),'Full Inventory'!F:F,1,0),0)=0,"X","_")</f>
        <v>_</v>
      </c>
      <c r="D966" t="str">
        <f t="shared" si="45"/>
        <v>X</v>
      </c>
      <c r="E966" t="str">
        <f ca="1">IFERROR(IF(AND(B966&amp;C966&amp;D966="___",INDIRECT("Inventory!A"&amp;MATCH(VLOOKUP(A966,Inventory!E:E,1,0),Inventory!E:E,0))&lt;&gt;INDIRECT("'Full Inventory'!B"&amp;MATCH(VLOOKUP(A966,'Full Inventory'!F:F,1,0),'Full Inventory'!F:F,0))),"X","_"),"_")</f>
        <v>_</v>
      </c>
      <c r="K966" t="str">
        <f t="shared" ca="1" si="46"/>
        <v>__X_</v>
      </c>
      <c r="L966" t="str">
        <f t="shared" ca="1" si="47"/>
        <v/>
      </c>
      <c r="M966" t="str">
        <f>IFERROR(INDEX(Inventory!A:A,MATCH(Scan!A966,Inventory!E:E,0)),"")</f>
        <v/>
      </c>
    </row>
    <row r="967" spans="2:13" x14ac:dyDescent="0.25">
      <c r="B967" t="str">
        <f>IF(IFERROR(VLOOKUP(TRIM(A967),Inventory!E:E,1,0),0)=0,"X","_")</f>
        <v>_</v>
      </c>
      <c r="C967" t="str">
        <f>IF(IFERROR(VLOOKUP(TRIM(A967),'Full Inventory'!F:F,1,0),0)=0,"X","_")</f>
        <v>_</v>
      </c>
      <c r="D967" t="str">
        <f t="shared" si="45"/>
        <v>X</v>
      </c>
      <c r="E967" t="str">
        <f ca="1">IFERROR(IF(AND(B967&amp;C967&amp;D967="___",INDIRECT("Inventory!A"&amp;MATCH(VLOOKUP(A967,Inventory!E:E,1,0),Inventory!E:E,0))&lt;&gt;INDIRECT("'Full Inventory'!B"&amp;MATCH(VLOOKUP(A967,'Full Inventory'!F:F,1,0),'Full Inventory'!F:F,0))),"X","_"),"_")</f>
        <v>_</v>
      </c>
      <c r="K967" t="str">
        <f t="shared" ca="1" si="46"/>
        <v>__X_</v>
      </c>
      <c r="L967" t="str">
        <f t="shared" ca="1" si="47"/>
        <v/>
      </c>
      <c r="M967" t="str">
        <f>IFERROR(INDEX(Inventory!A:A,MATCH(Scan!A967,Inventory!E:E,0)),"")</f>
        <v/>
      </c>
    </row>
    <row r="968" spans="2:13" x14ac:dyDescent="0.25">
      <c r="B968" t="str">
        <f>IF(IFERROR(VLOOKUP(TRIM(A968),Inventory!E:E,1,0),0)=0,"X","_")</f>
        <v>_</v>
      </c>
      <c r="C968" t="str">
        <f>IF(IFERROR(VLOOKUP(TRIM(A968),'Full Inventory'!F:F,1,0),0)=0,"X","_")</f>
        <v>_</v>
      </c>
      <c r="D968" t="str">
        <f t="shared" si="45"/>
        <v>X</v>
      </c>
      <c r="E968" t="str">
        <f ca="1">IFERROR(IF(AND(B968&amp;C968&amp;D968="___",INDIRECT("Inventory!A"&amp;MATCH(VLOOKUP(A968,Inventory!E:E,1,0),Inventory!E:E,0))&lt;&gt;INDIRECT("'Full Inventory'!B"&amp;MATCH(VLOOKUP(A968,'Full Inventory'!F:F,1,0),'Full Inventory'!F:F,0))),"X","_"),"_")</f>
        <v>_</v>
      </c>
      <c r="K968" t="str">
        <f t="shared" ca="1" si="46"/>
        <v>__X_</v>
      </c>
      <c r="L968" t="str">
        <f t="shared" ca="1" si="47"/>
        <v/>
      </c>
      <c r="M968" t="str">
        <f>IFERROR(INDEX(Inventory!A:A,MATCH(Scan!A968,Inventory!E:E,0)),"")</f>
        <v/>
      </c>
    </row>
    <row r="969" spans="2:13" x14ac:dyDescent="0.25">
      <c r="B969" t="str">
        <f>IF(IFERROR(VLOOKUP(TRIM(A969),Inventory!E:E,1,0),0)=0,"X","_")</f>
        <v>_</v>
      </c>
      <c r="C969" t="str">
        <f>IF(IFERROR(VLOOKUP(TRIM(A969),'Full Inventory'!F:F,1,0),0)=0,"X","_")</f>
        <v>_</v>
      </c>
      <c r="D969" t="str">
        <f t="shared" si="45"/>
        <v>X</v>
      </c>
      <c r="E969" t="str">
        <f ca="1">IFERROR(IF(AND(B969&amp;C969&amp;D969="___",INDIRECT("Inventory!A"&amp;MATCH(VLOOKUP(A969,Inventory!E:E,1,0),Inventory!E:E,0))&lt;&gt;INDIRECT("'Full Inventory'!B"&amp;MATCH(VLOOKUP(A969,'Full Inventory'!F:F,1,0),'Full Inventory'!F:F,0))),"X","_"),"_")</f>
        <v>_</v>
      </c>
      <c r="K969" t="str">
        <f t="shared" ca="1" si="46"/>
        <v>__X_</v>
      </c>
      <c r="L969" t="str">
        <f t="shared" ca="1" si="47"/>
        <v/>
      </c>
      <c r="M969" t="str">
        <f>IFERROR(INDEX(Inventory!A:A,MATCH(Scan!A969,Inventory!E:E,0)),"")</f>
        <v/>
      </c>
    </row>
    <row r="970" spans="2:13" x14ac:dyDescent="0.25">
      <c r="B970" t="str">
        <f>IF(IFERROR(VLOOKUP(TRIM(A970),Inventory!E:E,1,0),0)=0,"X","_")</f>
        <v>_</v>
      </c>
      <c r="C970" t="str">
        <f>IF(IFERROR(VLOOKUP(TRIM(A970),'Full Inventory'!F:F,1,0),0)=0,"X","_")</f>
        <v>_</v>
      </c>
      <c r="D970" t="str">
        <f t="shared" si="45"/>
        <v>X</v>
      </c>
      <c r="E970" t="str">
        <f ca="1">IFERROR(IF(AND(B970&amp;C970&amp;D970="___",INDIRECT("Inventory!A"&amp;MATCH(VLOOKUP(A970,Inventory!E:E,1,0),Inventory!E:E,0))&lt;&gt;INDIRECT("'Full Inventory'!B"&amp;MATCH(VLOOKUP(A970,'Full Inventory'!F:F,1,0),'Full Inventory'!F:F,0))),"X","_"),"_")</f>
        <v>_</v>
      </c>
      <c r="K970" t="str">
        <f t="shared" ca="1" si="46"/>
        <v>__X_</v>
      </c>
      <c r="L970" t="str">
        <f t="shared" ca="1" si="47"/>
        <v/>
      </c>
      <c r="M970" t="str">
        <f>IFERROR(INDEX(Inventory!A:A,MATCH(Scan!A970,Inventory!E:E,0)),"")</f>
        <v/>
      </c>
    </row>
    <row r="971" spans="2:13" x14ac:dyDescent="0.25">
      <c r="B971" t="str">
        <f>IF(IFERROR(VLOOKUP(TRIM(A971),Inventory!E:E,1,0),0)=0,"X","_")</f>
        <v>_</v>
      </c>
      <c r="C971" t="str">
        <f>IF(IFERROR(VLOOKUP(TRIM(A971),'Full Inventory'!F:F,1,0),0)=0,"X","_")</f>
        <v>_</v>
      </c>
      <c r="D971" t="str">
        <f t="shared" si="45"/>
        <v>X</v>
      </c>
      <c r="E971" t="str">
        <f ca="1">IFERROR(IF(AND(B971&amp;C971&amp;D971="___",INDIRECT("Inventory!A"&amp;MATCH(VLOOKUP(A971,Inventory!E:E,1,0),Inventory!E:E,0))&lt;&gt;INDIRECT("'Full Inventory'!B"&amp;MATCH(VLOOKUP(A971,'Full Inventory'!F:F,1,0),'Full Inventory'!F:F,0))),"X","_"),"_")</f>
        <v>_</v>
      </c>
      <c r="K971" t="str">
        <f t="shared" ca="1" si="46"/>
        <v>__X_</v>
      </c>
      <c r="L971" t="str">
        <f t="shared" ca="1" si="47"/>
        <v/>
      </c>
      <c r="M971" t="str">
        <f>IFERROR(INDEX(Inventory!A:A,MATCH(Scan!A971,Inventory!E:E,0)),"")</f>
        <v/>
      </c>
    </row>
    <row r="972" spans="2:13" x14ac:dyDescent="0.25">
      <c r="B972" t="str">
        <f>IF(IFERROR(VLOOKUP(TRIM(A972),Inventory!E:E,1,0),0)=0,"X","_")</f>
        <v>_</v>
      </c>
      <c r="C972" t="str">
        <f>IF(IFERROR(VLOOKUP(TRIM(A972),'Full Inventory'!F:F,1,0),0)=0,"X","_")</f>
        <v>_</v>
      </c>
      <c r="D972" t="str">
        <f t="shared" si="45"/>
        <v>X</v>
      </c>
      <c r="E972" t="str">
        <f ca="1">IFERROR(IF(AND(B972&amp;C972&amp;D972="___",INDIRECT("Inventory!A"&amp;MATCH(VLOOKUP(A972,Inventory!E:E,1,0),Inventory!E:E,0))&lt;&gt;INDIRECT("'Full Inventory'!B"&amp;MATCH(VLOOKUP(A972,'Full Inventory'!F:F,1,0),'Full Inventory'!F:F,0))),"X","_"),"_")</f>
        <v>_</v>
      </c>
      <c r="K972" t="str">
        <f t="shared" ca="1" si="46"/>
        <v>__X_</v>
      </c>
      <c r="L972" t="str">
        <f t="shared" ca="1" si="47"/>
        <v/>
      </c>
      <c r="M972" t="str">
        <f>IFERROR(INDEX(Inventory!A:A,MATCH(Scan!A972,Inventory!E:E,0)),"")</f>
        <v/>
      </c>
    </row>
    <row r="973" spans="2:13" x14ac:dyDescent="0.25">
      <c r="B973" t="str">
        <f>IF(IFERROR(VLOOKUP(TRIM(A973),Inventory!E:E,1,0),0)=0,"X","_")</f>
        <v>_</v>
      </c>
      <c r="C973" t="str">
        <f>IF(IFERROR(VLOOKUP(TRIM(A973),'Full Inventory'!F:F,1,0),0)=0,"X","_")</f>
        <v>_</v>
      </c>
      <c r="D973" t="str">
        <f t="shared" si="45"/>
        <v>X</v>
      </c>
      <c r="E973" t="str">
        <f ca="1">IFERROR(IF(AND(B973&amp;C973&amp;D973="___",INDIRECT("Inventory!A"&amp;MATCH(VLOOKUP(A973,Inventory!E:E,1,0),Inventory!E:E,0))&lt;&gt;INDIRECT("'Full Inventory'!B"&amp;MATCH(VLOOKUP(A973,'Full Inventory'!F:F,1,0),'Full Inventory'!F:F,0))),"X","_"),"_")</f>
        <v>_</v>
      </c>
      <c r="K973" t="str">
        <f t="shared" ca="1" si="46"/>
        <v>__X_</v>
      </c>
      <c r="L973" t="str">
        <f t="shared" ca="1" si="47"/>
        <v/>
      </c>
      <c r="M973" t="str">
        <f>IFERROR(INDEX(Inventory!A:A,MATCH(Scan!A973,Inventory!E:E,0)),"")</f>
        <v/>
      </c>
    </row>
    <row r="974" spans="2:13" x14ac:dyDescent="0.25">
      <c r="B974" t="str">
        <f>IF(IFERROR(VLOOKUP(TRIM(A974),Inventory!E:E,1,0),0)=0,"X","_")</f>
        <v>_</v>
      </c>
      <c r="C974" t="str">
        <f>IF(IFERROR(VLOOKUP(TRIM(A974),'Full Inventory'!F:F,1,0),0)=0,"X","_")</f>
        <v>_</v>
      </c>
      <c r="D974" t="str">
        <f t="shared" si="45"/>
        <v>X</v>
      </c>
      <c r="E974" t="str">
        <f ca="1">IFERROR(IF(AND(B974&amp;C974&amp;D974="___",INDIRECT("Inventory!A"&amp;MATCH(VLOOKUP(A974,Inventory!E:E,1,0),Inventory!E:E,0))&lt;&gt;INDIRECT("'Full Inventory'!B"&amp;MATCH(VLOOKUP(A974,'Full Inventory'!F:F,1,0),'Full Inventory'!F:F,0))),"X","_"),"_")</f>
        <v>_</v>
      </c>
      <c r="K974" t="str">
        <f t="shared" ca="1" si="46"/>
        <v>__X_</v>
      </c>
      <c r="L974" t="str">
        <f t="shared" ca="1" si="47"/>
        <v/>
      </c>
      <c r="M974" t="str">
        <f>IFERROR(INDEX(Inventory!A:A,MATCH(Scan!A974,Inventory!E:E,0)),"")</f>
        <v/>
      </c>
    </row>
    <row r="975" spans="2:13" x14ac:dyDescent="0.25">
      <c r="B975" t="str">
        <f>IF(IFERROR(VLOOKUP(TRIM(A975),Inventory!E:E,1,0),0)=0,"X","_")</f>
        <v>_</v>
      </c>
      <c r="C975" t="str">
        <f>IF(IFERROR(VLOOKUP(TRIM(A975),'Full Inventory'!F:F,1,0),0)=0,"X","_")</f>
        <v>_</v>
      </c>
      <c r="D975" t="str">
        <f t="shared" si="45"/>
        <v>X</v>
      </c>
      <c r="E975" t="str">
        <f ca="1">IFERROR(IF(AND(B975&amp;C975&amp;D975="___",INDIRECT("Inventory!A"&amp;MATCH(VLOOKUP(A975,Inventory!E:E,1,0),Inventory!E:E,0))&lt;&gt;INDIRECT("'Full Inventory'!B"&amp;MATCH(VLOOKUP(A975,'Full Inventory'!F:F,1,0),'Full Inventory'!F:F,0))),"X","_"),"_")</f>
        <v>_</v>
      </c>
      <c r="K975" t="str">
        <f t="shared" ca="1" si="46"/>
        <v>__X_</v>
      </c>
      <c r="L975" t="str">
        <f t="shared" ca="1" si="47"/>
        <v/>
      </c>
      <c r="M975" t="str">
        <f>IFERROR(INDEX(Inventory!A:A,MATCH(Scan!A975,Inventory!E:E,0)),"")</f>
        <v/>
      </c>
    </row>
    <row r="976" spans="2:13" x14ac:dyDescent="0.25">
      <c r="B976" t="str">
        <f>IF(IFERROR(VLOOKUP(TRIM(A976),Inventory!E:E,1,0),0)=0,"X","_")</f>
        <v>_</v>
      </c>
      <c r="C976" t="str">
        <f>IF(IFERROR(VLOOKUP(TRIM(A976),'Full Inventory'!F:F,1,0),0)=0,"X","_")</f>
        <v>_</v>
      </c>
      <c r="D976" t="str">
        <f t="shared" si="45"/>
        <v>X</v>
      </c>
      <c r="E976" t="str">
        <f ca="1">IFERROR(IF(AND(B976&amp;C976&amp;D976="___",INDIRECT("Inventory!A"&amp;MATCH(VLOOKUP(A976,Inventory!E:E,1,0),Inventory!E:E,0))&lt;&gt;INDIRECT("'Full Inventory'!B"&amp;MATCH(VLOOKUP(A976,'Full Inventory'!F:F,1,0),'Full Inventory'!F:F,0))),"X","_"),"_")</f>
        <v>_</v>
      </c>
      <c r="K976" t="str">
        <f t="shared" ca="1" si="46"/>
        <v>__X_</v>
      </c>
      <c r="L976" t="str">
        <f t="shared" ca="1" si="47"/>
        <v/>
      </c>
      <c r="M976" t="str">
        <f>IFERROR(INDEX(Inventory!A:A,MATCH(Scan!A976,Inventory!E:E,0)),"")</f>
        <v/>
      </c>
    </row>
    <row r="977" spans="2:13" x14ac:dyDescent="0.25">
      <c r="B977" t="str">
        <f>IF(IFERROR(VLOOKUP(TRIM(A977),Inventory!E:E,1,0),0)=0,"X","_")</f>
        <v>_</v>
      </c>
      <c r="C977" t="str">
        <f>IF(IFERROR(VLOOKUP(TRIM(A977),'Full Inventory'!F:F,1,0),0)=0,"X","_")</f>
        <v>_</v>
      </c>
      <c r="D977" t="str">
        <f t="shared" si="45"/>
        <v>X</v>
      </c>
      <c r="E977" t="str">
        <f ca="1">IFERROR(IF(AND(B977&amp;C977&amp;D977="___",INDIRECT("Inventory!A"&amp;MATCH(VLOOKUP(A977,Inventory!E:E,1,0),Inventory!E:E,0))&lt;&gt;INDIRECT("'Full Inventory'!B"&amp;MATCH(VLOOKUP(A977,'Full Inventory'!F:F,1,0),'Full Inventory'!F:F,0))),"X","_"),"_")</f>
        <v>_</v>
      </c>
      <c r="K977" t="str">
        <f t="shared" ca="1" si="46"/>
        <v>__X_</v>
      </c>
      <c r="L977" t="str">
        <f t="shared" ca="1" si="47"/>
        <v/>
      </c>
      <c r="M977" t="str">
        <f>IFERROR(INDEX(Inventory!A:A,MATCH(Scan!A977,Inventory!E:E,0)),"")</f>
        <v/>
      </c>
    </row>
    <row r="978" spans="2:13" x14ac:dyDescent="0.25">
      <c r="B978" t="str">
        <f>IF(IFERROR(VLOOKUP(TRIM(A978),Inventory!E:E,1,0),0)=0,"X","_")</f>
        <v>_</v>
      </c>
      <c r="C978" t="str">
        <f>IF(IFERROR(VLOOKUP(TRIM(A978),'Full Inventory'!F:F,1,0),0)=0,"X","_")</f>
        <v>_</v>
      </c>
      <c r="D978" t="str">
        <f t="shared" si="45"/>
        <v>X</v>
      </c>
      <c r="E978" t="str">
        <f ca="1">IFERROR(IF(AND(B978&amp;C978&amp;D978="___",INDIRECT("Inventory!A"&amp;MATCH(VLOOKUP(A978,Inventory!E:E,1,0),Inventory!E:E,0))&lt;&gt;INDIRECT("'Full Inventory'!B"&amp;MATCH(VLOOKUP(A978,'Full Inventory'!F:F,1,0),'Full Inventory'!F:F,0))),"X","_"),"_")</f>
        <v>_</v>
      </c>
      <c r="K978" t="str">
        <f t="shared" ca="1" si="46"/>
        <v>__X_</v>
      </c>
      <c r="L978" t="str">
        <f t="shared" ca="1" si="47"/>
        <v/>
      </c>
      <c r="M978" t="str">
        <f>IFERROR(INDEX(Inventory!A:A,MATCH(Scan!A978,Inventory!E:E,0)),"")</f>
        <v/>
      </c>
    </row>
    <row r="979" spans="2:13" x14ac:dyDescent="0.25">
      <c r="B979" t="str">
        <f>IF(IFERROR(VLOOKUP(TRIM(A979),Inventory!E:E,1,0),0)=0,"X","_")</f>
        <v>_</v>
      </c>
      <c r="C979" t="str">
        <f>IF(IFERROR(VLOOKUP(TRIM(A979),'Full Inventory'!F:F,1,0),0)=0,"X","_")</f>
        <v>_</v>
      </c>
      <c r="D979" t="str">
        <f t="shared" si="45"/>
        <v>X</v>
      </c>
      <c r="E979" t="str">
        <f ca="1">IFERROR(IF(AND(B979&amp;C979&amp;D979="___",INDIRECT("Inventory!A"&amp;MATCH(VLOOKUP(A979,Inventory!E:E,1,0),Inventory!E:E,0))&lt;&gt;INDIRECT("'Full Inventory'!B"&amp;MATCH(VLOOKUP(A979,'Full Inventory'!F:F,1,0),'Full Inventory'!F:F,0))),"X","_"),"_")</f>
        <v>_</v>
      </c>
      <c r="K979" t="str">
        <f t="shared" ca="1" si="46"/>
        <v>__X_</v>
      </c>
      <c r="L979" t="str">
        <f t="shared" ca="1" si="47"/>
        <v/>
      </c>
      <c r="M979" t="str">
        <f>IFERROR(INDEX(Inventory!A:A,MATCH(Scan!A979,Inventory!E:E,0)),"")</f>
        <v/>
      </c>
    </row>
    <row r="980" spans="2:13" x14ac:dyDescent="0.25">
      <c r="B980" t="str">
        <f>IF(IFERROR(VLOOKUP(TRIM(A980),Inventory!E:E,1,0),0)=0,"X","_")</f>
        <v>_</v>
      </c>
      <c r="C980" t="str">
        <f>IF(IFERROR(VLOOKUP(TRIM(A980),'Full Inventory'!F:F,1,0),0)=0,"X","_")</f>
        <v>_</v>
      </c>
      <c r="D980" t="str">
        <f t="shared" si="45"/>
        <v>X</v>
      </c>
      <c r="E980" t="str">
        <f ca="1">IFERROR(IF(AND(B980&amp;C980&amp;D980="___",INDIRECT("Inventory!A"&amp;MATCH(VLOOKUP(A980,Inventory!E:E,1,0),Inventory!E:E,0))&lt;&gt;INDIRECT("'Full Inventory'!B"&amp;MATCH(VLOOKUP(A980,'Full Inventory'!F:F,1,0),'Full Inventory'!F:F,0))),"X","_"),"_")</f>
        <v>_</v>
      </c>
      <c r="K980" t="str">
        <f t="shared" ca="1" si="46"/>
        <v>__X_</v>
      </c>
      <c r="L980" t="str">
        <f t="shared" ca="1" si="47"/>
        <v/>
      </c>
      <c r="M980" t="str">
        <f>IFERROR(INDEX(Inventory!A:A,MATCH(Scan!A980,Inventory!E:E,0)),"")</f>
        <v/>
      </c>
    </row>
    <row r="981" spans="2:13" x14ac:dyDescent="0.25">
      <c r="B981" t="str">
        <f>IF(IFERROR(VLOOKUP(TRIM(A981),Inventory!E:E,1,0),0)=0,"X","_")</f>
        <v>_</v>
      </c>
      <c r="C981" t="str">
        <f>IF(IFERROR(VLOOKUP(TRIM(A981),'Full Inventory'!F:F,1,0),0)=0,"X","_")</f>
        <v>_</v>
      </c>
      <c r="D981" t="str">
        <f t="shared" si="45"/>
        <v>X</v>
      </c>
      <c r="E981" t="str">
        <f ca="1">IFERROR(IF(AND(B981&amp;C981&amp;D981="___",INDIRECT("Inventory!A"&amp;MATCH(VLOOKUP(A981,Inventory!E:E,1,0),Inventory!E:E,0))&lt;&gt;INDIRECT("'Full Inventory'!B"&amp;MATCH(VLOOKUP(A981,'Full Inventory'!F:F,1,0),'Full Inventory'!F:F,0))),"X","_"),"_")</f>
        <v>_</v>
      </c>
      <c r="K981" t="str">
        <f t="shared" ca="1" si="46"/>
        <v>__X_</v>
      </c>
      <c r="L981" t="str">
        <f t="shared" ca="1" si="47"/>
        <v/>
      </c>
      <c r="M981" t="str">
        <f>IFERROR(INDEX(Inventory!A:A,MATCH(Scan!A981,Inventory!E:E,0)),"")</f>
        <v/>
      </c>
    </row>
    <row r="982" spans="2:13" x14ac:dyDescent="0.25">
      <c r="B982" t="str">
        <f>IF(IFERROR(VLOOKUP(TRIM(A982),Inventory!E:E,1,0),0)=0,"X","_")</f>
        <v>_</v>
      </c>
      <c r="C982" t="str">
        <f>IF(IFERROR(VLOOKUP(TRIM(A982),'Full Inventory'!F:F,1,0),0)=0,"X","_")</f>
        <v>_</v>
      </c>
      <c r="D982" t="str">
        <f t="shared" si="45"/>
        <v>X</v>
      </c>
      <c r="E982" t="str">
        <f ca="1">IFERROR(IF(AND(B982&amp;C982&amp;D982="___",INDIRECT("Inventory!A"&amp;MATCH(VLOOKUP(A982,Inventory!E:E,1,0),Inventory!E:E,0))&lt;&gt;INDIRECT("'Full Inventory'!B"&amp;MATCH(VLOOKUP(A982,'Full Inventory'!F:F,1,0),'Full Inventory'!F:F,0))),"X","_"),"_")</f>
        <v>_</v>
      </c>
      <c r="K982" t="str">
        <f t="shared" ca="1" si="46"/>
        <v>__X_</v>
      </c>
      <c r="L982" t="str">
        <f t="shared" ca="1" si="47"/>
        <v/>
      </c>
      <c r="M982" t="str">
        <f>IFERROR(INDEX(Inventory!A:A,MATCH(Scan!A982,Inventory!E:E,0)),"")</f>
        <v/>
      </c>
    </row>
    <row r="983" spans="2:13" x14ac:dyDescent="0.25">
      <c r="B983" t="str">
        <f>IF(IFERROR(VLOOKUP(TRIM(A983),Inventory!E:E,1,0),0)=0,"X","_")</f>
        <v>_</v>
      </c>
      <c r="C983" t="str">
        <f>IF(IFERROR(VLOOKUP(TRIM(A983),'Full Inventory'!F:F,1,0),0)=0,"X","_")</f>
        <v>_</v>
      </c>
      <c r="D983" t="str">
        <f t="shared" si="45"/>
        <v>X</v>
      </c>
      <c r="E983" t="str">
        <f ca="1">IFERROR(IF(AND(B983&amp;C983&amp;D983="___",INDIRECT("Inventory!A"&amp;MATCH(VLOOKUP(A983,Inventory!E:E,1,0),Inventory!E:E,0))&lt;&gt;INDIRECT("'Full Inventory'!B"&amp;MATCH(VLOOKUP(A983,'Full Inventory'!F:F,1,0),'Full Inventory'!F:F,0))),"X","_"),"_")</f>
        <v>_</v>
      </c>
      <c r="K983" t="str">
        <f t="shared" ca="1" si="46"/>
        <v>__X_</v>
      </c>
      <c r="L983" t="str">
        <f t="shared" ca="1" si="47"/>
        <v/>
      </c>
      <c r="M983" t="str">
        <f>IFERROR(INDEX(Inventory!A:A,MATCH(Scan!A983,Inventory!E:E,0)),"")</f>
        <v/>
      </c>
    </row>
    <row r="984" spans="2:13" x14ac:dyDescent="0.25">
      <c r="B984" t="str">
        <f>IF(IFERROR(VLOOKUP(TRIM(A984),Inventory!E:E,1,0),0)=0,"X","_")</f>
        <v>_</v>
      </c>
      <c r="C984" t="str">
        <f>IF(IFERROR(VLOOKUP(TRIM(A984),'Full Inventory'!F:F,1,0),0)=0,"X","_")</f>
        <v>_</v>
      </c>
      <c r="D984" t="str">
        <f t="shared" si="45"/>
        <v>X</v>
      </c>
      <c r="E984" t="str">
        <f ca="1">IFERROR(IF(AND(B984&amp;C984&amp;D984="___",INDIRECT("Inventory!A"&amp;MATCH(VLOOKUP(A984,Inventory!E:E,1,0),Inventory!E:E,0))&lt;&gt;INDIRECT("'Full Inventory'!B"&amp;MATCH(VLOOKUP(A984,'Full Inventory'!F:F,1,0),'Full Inventory'!F:F,0))),"X","_"),"_")</f>
        <v>_</v>
      </c>
      <c r="K984" t="str">
        <f t="shared" ca="1" si="46"/>
        <v>__X_</v>
      </c>
      <c r="L984" t="str">
        <f t="shared" ca="1" si="47"/>
        <v/>
      </c>
      <c r="M984" t="str">
        <f>IFERROR(INDEX(Inventory!A:A,MATCH(Scan!A984,Inventory!E:E,0)),"")</f>
        <v/>
      </c>
    </row>
    <row r="985" spans="2:13" x14ac:dyDescent="0.25">
      <c r="B985" t="str">
        <f>IF(IFERROR(VLOOKUP(TRIM(A985),Inventory!E:E,1,0),0)=0,"X","_")</f>
        <v>_</v>
      </c>
      <c r="C985" t="str">
        <f>IF(IFERROR(VLOOKUP(TRIM(A985),'Full Inventory'!F:F,1,0),0)=0,"X","_")</f>
        <v>_</v>
      </c>
      <c r="D985" t="str">
        <f t="shared" si="45"/>
        <v>X</v>
      </c>
      <c r="E985" t="str">
        <f ca="1">IFERROR(IF(AND(B985&amp;C985&amp;D985="___",INDIRECT("Inventory!A"&amp;MATCH(VLOOKUP(A985,Inventory!E:E,1,0),Inventory!E:E,0))&lt;&gt;INDIRECT("'Full Inventory'!B"&amp;MATCH(VLOOKUP(A985,'Full Inventory'!F:F,1,0),'Full Inventory'!F:F,0))),"X","_"),"_")</f>
        <v>_</v>
      </c>
      <c r="K985" t="str">
        <f t="shared" ca="1" si="46"/>
        <v>__X_</v>
      </c>
      <c r="L985" t="str">
        <f t="shared" ca="1" si="47"/>
        <v/>
      </c>
      <c r="M985" t="str">
        <f>IFERROR(INDEX(Inventory!A:A,MATCH(Scan!A985,Inventory!E:E,0)),"")</f>
        <v/>
      </c>
    </row>
    <row r="986" spans="2:13" x14ac:dyDescent="0.25">
      <c r="B986" t="str">
        <f>IF(IFERROR(VLOOKUP(TRIM(A986),Inventory!E:E,1,0),0)=0,"X","_")</f>
        <v>_</v>
      </c>
      <c r="C986" t="str">
        <f>IF(IFERROR(VLOOKUP(TRIM(A986),'Full Inventory'!F:F,1,0),0)=0,"X","_")</f>
        <v>_</v>
      </c>
      <c r="D986" t="str">
        <f t="shared" si="45"/>
        <v>X</v>
      </c>
      <c r="E986" t="str">
        <f ca="1">IFERROR(IF(AND(B986&amp;C986&amp;D986="___",INDIRECT("Inventory!A"&amp;MATCH(VLOOKUP(A986,Inventory!E:E,1,0),Inventory!E:E,0))&lt;&gt;INDIRECT("'Full Inventory'!B"&amp;MATCH(VLOOKUP(A986,'Full Inventory'!F:F,1,0),'Full Inventory'!F:F,0))),"X","_"),"_")</f>
        <v>_</v>
      </c>
      <c r="K986" t="str">
        <f t="shared" ca="1" si="46"/>
        <v>__X_</v>
      </c>
      <c r="L986" t="str">
        <f t="shared" ca="1" si="47"/>
        <v/>
      </c>
      <c r="M986" t="str">
        <f>IFERROR(INDEX(Inventory!A:A,MATCH(Scan!A986,Inventory!E:E,0)),"")</f>
        <v/>
      </c>
    </row>
    <row r="987" spans="2:13" x14ac:dyDescent="0.25">
      <c r="B987" t="str">
        <f>IF(IFERROR(VLOOKUP(TRIM(A987),Inventory!E:E,1,0),0)=0,"X","_")</f>
        <v>_</v>
      </c>
      <c r="C987" t="str">
        <f>IF(IFERROR(VLOOKUP(TRIM(A987),'Full Inventory'!F:F,1,0),0)=0,"X","_")</f>
        <v>_</v>
      </c>
      <c r="D987" t="str">
        <f t="shared" si="45"/>
        <v>X</v>
      </c>
      <c r="E987" t="str">
        <f ca="1">IFERROR(IF(AND(B987&amp;C987&amp;D987="___",INDIRECT("Inventory!A"&amp;MATCH(VLOOKUP(A987,Inventory!E:E,1,0),Inventory!E:E,0))&lt;&gt;INDIRECT("'Full Inventory'!B"&amp;MATCH(VLOOKUP(A987,'Full Inventory'!F:F,1,0),'Full Inventory'!F:F,0))),"X","_"),"_")</f>
        <v>_</v>
      </c>
      <c r="K987" t="str">
        <f t="shared" ca="1" si="46"/>
        <v>__X_</v>
      </c>
      <c r="L987" t="str">
        <f t="shared" ca="1" si="47"/>
        <v/>
      </c>
      <c r="M987" t="str">
        <f>IFERROR(INDEX(Inventory!A:A,MATCH(Scan!A987,Inventory!E:E,0)),"")</f>
        <v/>
      </c>
    </row>
    <row r="988" spans="2:13" x14ac:dyDescent="0.25">
      <c r="B988" t="str">
        <f>IF(IFERROR(VLOOKUP(TRIM(A988),Inventory!E:E,1,0),0)=0,"X","_")</f>
        <v>_</v>
      </c>
      <c r="C988" t="str">
        <f>IF(IFERROR(VLOOKUP(TRIM(A988),'Full Inventory'!F:F,1,0),0)=0,"X","_")</f>
        <v>_</v>
      </c>
      <c r="D988" t="str">
        <f t="shared" si="45"/>
        <v>X</v>
      </c>
      <c r="E988" t="str">
        <f ca="1">IFERROR(IF(AND(B988&amp;C988&amp;D988="___",INDIRECT("Inventory!A"&amp;MATCH(VLOOKUP(A988,Inventory!E:E,1,0),Inventory!E:E,0))&lt;&gt;INDIRECT("'Full Inventory'!B"&amp;MATCH(VLOOKUP(A988,'Full Inventory'!F:F,1,0),'Full Inventory'!F:F,0))),"X","_"),"_")</f>
        <v>_</v>
      </c>
      <c r="K988" t="str">
        <f t="shared" ca="1" si="46"/>
        <v>__X_</v>
      </c>
      <c r="L988" t="str">
        <f t="shared" ca="1" si="47"/>
        <v/>
      </c>
      <c r="M988" t="str">
        <f>IFERROR(INDEX(Inventory!A:A,MATCH(Scan!A988,Inventory!E:E,0)),"")</f>
        <v/>
      </c>
    </row>
    <row r="989" spans="2:13" x14ac:dyDescent="0.25">
      <c r="B989" t="str">
        <f>IF(IFERROR(VLOOKUP(TRIM(A989),Inventory!E:E,1,0),0)=0,"X","_")</f>
        <v>_</v>
      </c>
      <c r="C989" t="str">
        <f>IF(IFERROR(VLOOKUP(TRIM(A989),'Full Inventory'!F:F,1,0),0)=0,"X","_")</f>
        <v>_</v>
      </c>
      <c r="D989" t="str">
        <f t="shared" si="45"/>
        <v>X</v>
      </c>
      <c r="E989" t="str">
        <f ca="1">IFERROR(IF(AND(B989&amp;C989&amp;D989="___",INDIRECT("Inventory!A"&amp;MATCH(VLOOKUP(A989,Inventory!E:E,1,0),Inventory!E:E,0))&lt;&gt;INDIRECT("'Full Inventory'!B"&amp;MATCH(VLOOKUP(A989,'Full Inventory'!F:F,1,0),'Full Inventory'!F:F,0))),"X","_"),"_")</f>
        <v>_</v>
      </c>
      <c r="K989" t="str">
        <f t="shared" ca="1" si="46"/>
        <v>__X_</v>
      </c>
      <c r="L989" t="str">
        <f t="shared" ca="1" si="47"/>
        <v/>
      </c>
      <c r="M989" t="str">
        <f>IFERROR(INDEX(Inventory!A:A,MATCH(Scan!A989,Inventory!E:E,0)),"")</f>
        <v/>
      </c>
    </row>
    <row r="990" spans="2:13" x14ac:dyDescent="0.25">
      <c r="B990" t="str">
        <f>IF(IFERROR(VLOOKUP(TRIM(A990),Inventory!E:E,1,0),0)=0,"X","_")</f>
        <v>_</v>
      </c>
      <c r="C990" t="str">
        <f>IF(IFERROR(VLOOKUP(TRIM(A990),'Full Inventory'!F:F,1,0),0)=0,"X","_")</f>
        <v>_</v>
      </c>
      <c r="D990" t="str">
        <f t="shared" si="45"/>
        <v>X</v>
      </c>
      <c r="E990" t="str">
        <f ca="1">IFERROR(IF(AND(B990&amp;C990&amp;D990="___",INDIRECT("Inventory!A"&amp;MATCH(VLOOKUP(A990,Inventory!E:E,1,0),Inventory!E:E,0))&lt;&gt;INDIRECT("'Full Inventory'!B"&amp;MATCH(VLOOKUP(A990,'Full Inventory'!F:F,1,0),'Full Inventory'!F:F,0))),"X","_"),"_")</f>
        <v>_</v>
      </c>
      <c r="K990" t="str">
        <f t="shared" ca="1" si="46"/>
        <v>__X_</v>
      </c>
      <c r="L990" t="str">
        <f t="shared" ca="1" si="47"/>
        <v/>
      </c>
      <c r="M990" t="str">
        <f>IFERROR(INDEX(Inventory!A:A,MATCH(Scan!A990,Inventory!E:E,0)),"")</f>
        <v/>
      </c>
    </row>
    <row r="991" spans="2:13" x14ac:dyDescent="0.25">
      <c r="B991" t="str">
        <f>IF(IFERROR(VLOOKUP(TRIM(A991),Inventory!E:E,1,0),0)=0,"X","_")</f>
        <v>_</v>
      </c>
      <c r="C991" t="str">
        <f>IF(IFERROR(VLOOKUP(TRIM(A991),'Full Inventory'!F:F,1,0),0)=0,"X","_")</f>
        <v>_</v>
      </c>
      <c r="D991" t="str">
        <f t="shared" si="45"/>
        <v>X</v>
      </c>
      <c r="E991" t="str">
        <f ca="1">IFERROR(IF(AND(B991&amp;C991&amp;D991="___",INDIRECT("Inventory!A"&amp;MATCH(VLOOKUP(A991,Inventory!E:E,1,0),Inventory!E:E,0))&lt;&gt;INDIRECT("'Full Inventory'!B"&amp;MATCH(VLOOKUP(A991,'Full Inventory'!F:F,1,0),'Full Inventory'!F:F,0))),"X","_"),"_")</f>
        <v>_</v>
      </c>
      <c r="K991" t="str">
        <f t="shared" ca="1" si="46"/>
        <v>__X_</v>
      </c>
      <c r="L991" t="str">
        <f t="shared" ca="1" si="47"/>
        <v/>
      </c>
      <c r="M991" t="str">
        <f>IFERROR(INDEX(Inventory!A:A,MATCH(Scan!A991,Inventory!E:E,0)),"")</f>
        <v/>
      </c>
    </row>
    <row r="992" spans="2:13" x14ac:dyDescent="0.25">
      <c r="B992" t="str">
        <f>IF(IFERROR(VLOOKUP(TRIM(A992),Inventory!E:E,1,0),0)=0,"X","_")</f>
        <v>_</v>
      </c>
      <c r="C992" t="str">
        <f>IF(IFERROR(VLOOKUP(TRIM(A992),'Full Inventory'!F:F,1,0),0)=0,"X","_")</f>
        <v>_</v>
      </c>
      <c r="D992" t="str">
        <f t="shared" si="45"/>
        <v>X</v>
      </c>
      <c r="E992" t="str">
        <f ca="1">IFERROR(IF(AND(B992&amp;C992&amp;D992="___",INDIRECT("Inventory!A"&amp;MATCH(VLOOKUP(A992,Inventory!E:E,1,0),Inventory!E:E,0))&lt;&gt;INDIRECT("'Full Inventory'!B"&amp;MATCH(VLOOKUP(A992,'Full Inventory'!F:F,1,0),'Full Inventory'!F:F,0))),"X","_"),"_")</f>
        <v>_</v>
      </c>
      <c r="K992" t="str">
        <f t="shared" ca="1" si="46"/>
        <v>__X_</v>
      </c>
      <c r="L992" t="str">
        <f t="shared" ca="1" si="47"/>
        <v/>
      </c>
      <c r="M992" t="str">
        <f>IFERROR(INDEX(Inventory!A:A,MATCH(Scan!A992,Inventory!E:E,0)),"")</f>
        <v/>
      </c>
    </row>
    <row r="993" spans="2:13" x14ac:dyDescent="0.25">
      <c r="B993" t="str">
        <f>IF(IFERROR(VLOOKUP(TRIM(A993),Inventory!E:E,1,0),0)=0,"X","_")</f>
        <v>_</v>
      </c>
      <c r="C993" t="str">
        <f>IF(IFERROR(VLOOKUP(TRIM(A993),'Full Inventory'!F:F,1,0),0)=0,"X","_")</f>
        <v>_</v>
      </c>
      <c r="D993" t="str">
        <f t="shared" si="45"/>
        <v>X</v>
      </c>
      <c r="E993" t="str">
        <f ca="1">IFERROR(IF(AND(B993&amp;C993&amp;D993="___",INDIRECT("Inventory!A"&amp;MATCH(VLOOKUP(A993,Inventory!E:E,1,0),Inventory!E:E,0))&lt;&gt;INDIRECT("'Full Inventory'!B"&amp;MATCH(VLOOKUP(A993,'Full Inventory'!F:F,1,0),'Full Inventory'!F:F,0))),"X","_"),"_")</f>
        <v>_</v>
      </c>
      <c r="K993" t="str">
        <f t="shared" ca="1" si="46"/>
        <v>__X_</v>
      </c>
      <c r="L993" t="str">
        <f t="shared" ca="1" si="47"/>
        <v/>
      </c>
      <c r="M993" t="str">
        <f>IFERROR(INDEX(Inventory!A:A,MATCH(Scan!A993,Inventory!E:E,0)),"")</f>
        <v/>
      </c>
    </row>
    <row r="994" spans="2:13" x14ac:dyDescent="0.25">
      <c r="B994" t="str">
        <f>IF(IFERROR(VLOOKUP(TRIM(A994),Inventory!E:E,1,0),0)=0,"X","_")</f>
        <v>_</v>
      </c>
      <c r="C994" t="str">
        <f>IF(IFERROR(VLOOKUP(TRIM(A994),'Full Inventory'!F:F,1,0),0)=0,"X","_")</f>
        <v>_</v>
      </c>
      <c r="D994" t="str">
        <f t="shared" si="45"/>
        <v>X</v>
      </c>
      <c r="E994" t="str">
        <f ca="1">IFERROR(IF(AND(B994&amp;C994&amp;D994="___",INDIRECT("Inventory!A"&amp;MATCH(VLOOKUP(A994,Inventory!E:E,1,0),Inventory!E:E,0))&lt;&gt;INDIRECT("'Full Inventory'!B"&amp;MATCH(VLOOKUP(A994,'Full Inventory'!F:F,1,0),'Full Inventory'!F:F,0))),"X","_"),"_")</f>
        <v>_</v>
      </c>
      <c r="K994" t="str">
        <f t="shared" ca="1" si="46"/>
        <v>__X_</v>
      </c>
      <c r="L994" t="str">
        <f t="shared" ca="1" si="47"/>
        <v/>
      </c>
      <c r="M994" t="str">
        <f>IFERROR(INDEX(Inventory!A:A,MATCH(Scan!A994,Inventory!E:E,0)),"")</f>
        <v/>
      </c>
    </row>
    <row r="995" spans="2:13" x14ac:dyDescent="0.25">
      <c r="B995" t="str">
        <f>IF(IFERROR(VLOOKUP(TRIM(A995),Inventory!E:E,1,0),0)=0,"X","_")</f>
        <v>_</v>
      </c>
      <c r="C995" t="str">
        <f>IF(IFERROR(VLOOKUP(TRIM(A995),'Full Inventory'!F:F,1,0),0)=0,"X","_")</f>
        <v>_</v>
      </c>
      <c r="D995" t="str">
        <f t="shared" si="45"/>
        <v>X</v>
      </c>
      <c r="E995" t="str">
        <f ca="1">IFERROR(IF(AND(B995&amp;C995&amp;D995="___",INDIRECT("Inventory!A"&amp;MATCH(VLOOKUP(A995,Inventory!E:E,1,0),Inventory!E:E,0))&lt;&gt;INDIRECT("'Full Inventory'!B"&amp;MATCH(VLOOKUP(A995,'Full Inventory'!F:F,1,0),'Full Inventory'!F:F,0))),"X","_"),"_")</f>
        <v>_</v>
      </c>
      <c r="K995" t="str">
        <f t="shared" ca="1" si="46"/>
        <v>__X_</v>
      </c>
      <c r="L995" t="str">
        <f t="shared" ca="1" si="47"/>
        <v/>
      </c>
      <c r="M995" t="str">
        <f>IFERROR(INDEX(Inventory!A:A,MATCH(Scan!A995,Inventory!E:E,0)),"")</f>
        <v/>
      </c>
    </row>
    <row r="996" spans="2:13" x14ac:dyDescent="0.25">
      <c r="B996" t="str">
        <f>IF(IFERROR(VLOOKUP(TRIM(A996),Inventory!E:E,1,0),0)=0,"X","_")</f>
        <v>_</v>
      </c>
      <c r="C996" t="str">
        <f>IF(IFERROR(VLOOKUP(TRIM(A996),'Full Inventory'!F:F,1,0),0)=0,"X","_")</f>
        <v>_</v>
      </c>
      <c r="D996" t="str">
        <f t="shared" si="45"/>
        <v>X</v>
      </c>
      <c r="E996" t="str">
        <f ca="1">IFERROR(IF(AND(B996&amp;C996&amp;D996="___",INDIRECT("Inventory!A"&amp;MATCH(VLOOKUP(A996,Inventory!E:E,1,0),Inventory!E:E,0))&lt;&gt;INDIRECT("'Full Inventory'!B"&amp;MATCH(VLOOKUP(A996,'Full Inventory'!F:F,1,0),'Full Inventory'!F:F,0))),"X","_"),"_")</f>
        <v>_</v>
      </c>
      <c r="K996" t="str">
        <f t="shared" ca="1" si="46"/>
        <v>__X_</v>
      </c>
      <c r="L996" t="str">
        <f t="shared" ca="1" si="47"/>
        <v/>
      </c>
      <c r="M996" t="str">
        <f>IFERROR(INDEX(Inventory!A:A,MATCH(Scan!A996,Inventory!E:E,0)),"")</f>
        <v/>
      </c>
    </row>
    <row r="997" spans="2:13" x14ac:dyDescent="0.25">
      <c r="B997" t="str">
        <f>IF(IFERROR(VLOOKUP(TRIM(A997),Inventory!E:E,1,0),0)=0,"X","_")</f>
        <v>_</v>
      </c>
      <c r="C997" t="str">
        <f>IF(IFERROR(VLOOKUP(TRIM(A997),'Full Inventory'!F:F,1,0),0)=0,"X","_")</f>
        <v>_</v>
      </c>
      <c r="D997" t="str">
        <f t="shared" si="45"/>
        <v>X</v>
      </c>
      <c r="E997" t="str">
        <f ca="1">IFERROR(IF(AND(B997&amp;C997&amp;D997="___",INDIRECT("Inventory!A"&amp;MATCH(VLOOKUP(A997,Inventory!E:E,1,0),Inventory!E:E,0))&lt;&gt;INDIRECT("'Full Inventory'!B"&amp;MATCH(VLOOKUP(A997,'Full Inventory'!F:F,1,0),'Full Inventory'!F:F,0))),"X","_"),"_")</f>
        <v>_</v>
      </c>
      <c r="K997" t="str">
        <f t="shared" ca="1" si="46"/>
        <v>__X_</v>
      </c>
      <c r="L997" t="str">
        <f t="shared" ca="1" si="47"/>
        <v/>
      </c>
      <c r="M997" t="str">
        <f>IFERROR(INDEX(Inventory!A:A,MATCH(Scan!A997,Inventory!E:E,0)),"")</f>
        <v/>
      </c>
    </row>
    <row r="998" spans="2:13" x14ac:dyDescent="0.25">
      <c r="B998" t="str">
        <f>IF(IFERROR(VLOOKUP(TRIM(A998),Inventory!E:E,1,0),0)=0,"X","_")</f>
        <v>_</v>
      </c>
      <c r="C998" t="str">
        <f>IF(IFERROR(VLOOKUP(TRIM(A998),'Full Inventory'!F:F,1,0),0)=0,"X","_")</f>
        <v>_</v>
      </c>
      <c r="D998" t="str">
        <f t="shared" si="45"/>
        <v>X</v>
      </c>
      <c r="E998" t="str">
        <f ca="1">IFERROR(IF(AND(B998&amp;C998&amp;D998="___",INDIRECT("Inventory!A"&amp;MATCH(VLOOKUP(A998,Inventory!E:E,1,0),Inventory!E:E,0))&lt;&gt;INDIRECT("'Full Inventory'!B"&amp;MATCH(VLOOKUP(A998,'Full Inventory'!F:F,1,0),'Full Inventory'!F:F,0))),"X","_"),"_")</f>
        <v>_</v>
      </c>
      <c r="K998" t="str">
        <f t="shared" ca="1" si="46"/>
        <v>__X_</v>
      </c>
      <c r="L998" t="str">
        <f t="shared" ca="1" si="47"/>
        <v/>
      </c>
      <c r="M998" t="str">
        <f>IFERROR(INDEX(Inventory!A:A,MATCH(Scan!A998,Inventory!E:E,0)),"")</f>
        <v/>
      </c>
    </row>
    <row r="999" spans="2:13" x14ac:dyDescent="0.25">
      <c r="B999" t="str">
        <f>IF(IFERROR(VLOOKUP(TRIM(A999),Inventory!E:E,1,0),0)=0,"X","_")</f>
        <v>_</v>
      </c>
      <c r="C999" t="str">
        <f>IF(IFERROR(VLOOKUP(TRIM(A999),'Full Inventory'!F:F,1,0),0)=0,"X","_")</f>
        <v>_</v>
      </c>
      <c r="D999" t="str">
        <f t="shared" si="45"/>
        <v>X</v>
      </c>
      <c r="E999" t="str">
        <f ca="1">IFERROR(IF(AND(B999&amp;C999&amp;D999="___",INDIRECT("Inventory!A"&amp;MATCH(VLOOKUP(A999,Inventory!E:E,1,0),Inventory!E:E,0))&lt;&gt;INDIRECT("'Full Inventory'!B"&amp;MATCH(VLOOKUP(A999,'Full Inventory'!F:F,1,0),'Full Inventory'!F:F,0))),"X","_"),"_")</f>
        <v>_</v>
      </c>
      <c r="K999" t="str">
        <f t="shared" ca="1" si="46"/>
        <v>__X_</v>
      </c>
      <c r="L999" t="str">
        <f t="shared" ca="1" si="47"/>
        <v/>
      </c>
      <c r="M999" t="str">
        <f>IFERROR(INDEX(Inventory!A:A,MATCH(Scan!A999,Inventory!E:E,0)),"")</f>
        <v/>
      </c>
    </row>
    <row r="1000" spans="2:13" x14ac:dyDescent="0.25">
      <c r="B1000" t="str">
        <f>IF(IFERROR(VLOOKUP(TRIM(A1000),Inventory!E:E,1,0),0)=0,"X","_")</f>
        <v>_</v>
      </c>
      <c r="C1000" t="str">
        <f>IF(IFERROR(VLOOKUP(TRIM(A1000),'Full Inventory'!F:F,1,0),0)=0,"X","_")</f>
        <v>_</v>
      </c>
      <c r="D1000" t="str">
        <f t="shared" si="45"/>
        <v>X</v>
      </c>
      <c r="E1000" t="str">
        <f ca="1">IFERROR(IF(AND(B1000&amp;C1000&amp;D1000="___",INDIRECT("Inventory!A"&amp;MATCH(VLOOKUP(A1000,Inventory!E:E,1,0),Inventory!E:E,0))&lt;&gt;INDIRECT("'Full Inventory'!B"&amp;MATCH(VLOOKUP(A1000,'Full Inventory'!F:F,1,0),'Full Inventory'!F:F,0))),"X","_"),"_")</f>
        <v>_</v>
      </c>
      <c r="K1000" t="str">
        <f t="shared" ca="1" si="46"/>
        <v>__X_</v>
      </c>
      <c r="L1000" t="str">
        <f t="shared" ca="1" si="47"/>
        <v/>
      </c>
      <c r="M1000" t="str">
        <f>IFERROR(INDEX(Inventory!A:A,MATCH(Scan!A1000,Inventory!E:E,0)),"")</f>
        <v/>
      </c>
    </row>
    <row r="1001" spans="2:13" x14ac:dyDescent="0.25">
      <c r="B1001" t="str">
        <f>IF(IFERROR(VLOOKUP(TRIM(A1001),Inventory!E:E,1,0),0)=0,"X","_")</f>
        <v>_</v>
      </c>
      <c r="C1001" t="str">
        <f>IF(IFERROR(VLOOKUP(TRIM(A1001),'Full Inventory'!F:F,1,0),0)=0,"X","_")</f>
        <v>_</v>
      </c>
      <c r="D1001" t="str">
        <f t="shared" si="45"/>
        <v>X</v>
      </c>
      <c r="E1001" t="str">
        <f ca="1">IFERROR(IF(AND(B1001&amp;C1001&amp;D1001="___",INDIRECT("Inventory!A"&amp;MATCH(VLOOKUP(A1001,Inventory!E:E,1,0),Inventory!E:E,0))&lt;&gt;INDIRECT("'Full Inventory'!B"&amp;MATCH(VLOOKUP(A1001,'Full Inventory'!F:F,1,0),'Full Inventory'!F:F,0))),"X","_"),"_")</f>
        <v>_</v>
      </c>
      <c r="K1001" t="str">
        <f t="shared" ca="1" si="46"/>
        <v>__X_</v>
      </c>
      <c r="L1001" t="str">
        <f t="shared" ca="1" si="47"/>
        <v/>
      </c>
      <c r="M1001" t="str">
        <f>IFERROR(INDEX(Inventory!A:A,MATCH(Scan!A1001,Inventory!E:E,0)),"")</f>
        <v/>
      </c>
    </row>
    <row r="1002" spans="2:13" x14ac:dyDescent="0.25">
      <c r="B1002" t="str">
        <f>IF(IFERROR(VLOOKUP(TRIM(A1002),Inventory!E:E,1,0),0)=0,"X","_")</f>
        <v>_</v>
      </c>
      <c r="C1002" t="str">
        <f>IF(IFERROR(VLOOKUP(TRIM(A1002),'Full Inventory'!F:F,1,0),0)=0,"X","_")</f>
        <v>_</v>
      </c>
      <c r="D1002" t="str">
        <f t="shared" si="45"/>
        <v>X</v>
      </c>
      <c r="E1002" t="str">
        <f ca="1">IFERROR(IF(AND(B1002&amp;C1002&amp;D1002="___",INDIRECT("Inventory!A"&amp;MATCH(VLOOKUP(A1002,Inventory!E:E,1,0),Inventory!E:E,0))&lt;&gt;INDIRECT("'Full Inventory'!B"&amp;MATCH(VLOOKUP(A1002,'Full Inventory'!F:F,1,0),'Full Inventory'!F:F,0))),"X","_"),"_")</f>
        <v>_</v>
      </c>
      <c r="K1002" t="str">
        <f t="shared" ca="1" si="46"/>
        <v>__X_</v>
      </c>
      <c r="L1002" t="str">
        <f t="shared" ca="1" si="47"/>
        <v/>
      </c>
      <c r="M1002" t="str">
        <f>IFERROR(INDEX(Inventory!A:A,MATCH(Scan!A1002,Inventory!E:E,0)),"")</f>
        <v/>
      </c>
    </row>
    <row r="1003" spans="2:13" x14ac:dyDescent="0.25">
      <c r="B1003" t="str">
        <f>IF(IFERROR(VLOOKUP(TRIM(A1003),Inventory!E:E,1,0),0)=0,"X","_")</f>
        <v>_</v>
      </c>
      <c r="C1003" t="str">
        <f>IF(IFERROR(VLOOKUP(TRIM(A1003),'Full Inventory'!F:F,1,0),0)=0,"X","_")</f>
        <v>_</v>
      </c>
      <c r="D1003" t="str">
        <f t="shared" si="45"/>
        <v>X</v>
      </c>
      <c r="E1003" t="str">
        <f ca="1">IFERROR(IF(AND(B1003&amp;C1003&amp;D1003="___",INDIRECT("Inventory!A"&amp;MATCH(VLOOKUP(A1003,Inventory!E:E,1,0),Inventory!E:E,0))&lt;&gt;INDIRECT("'Full Inventory'!B"&amp;MATCH(VLOOKUP(A1003,'Full Inventory'!F:F,1,0),'Full Inventory'!F:F,0))),"X","_"),"_")</f>
        <v>_</v>
      </c>
      <c r="K1003" t="str">
        <f t="shared" ca="1" si="46"/>
        <v>__X_</v>
      </c>
      <c r="L1003" t="str">
        <f t="shared" ca="1" si="47"/>
        <v/>
      </c>
      <c r="M1003" t="str">
        <f>IFERROR(INDEX(Inventory!A:A,MATCH(Scan!A1003,Inventory!E:E,0)),"")</f>
        <v/>
      </c>
    </row>
    <row r="1004" spans="2:13" x14ac:dyDescent="0.25">
      <c r="B1004" t="str">
        <f>IF(IFERROR(VLOOKUP(TRIM(A1004),Inventory!E:E,1,0),0)=0,"X","_")</f>
        <v>_</v>
      </c>
      <c r="C1004" t="str">
        <f>IF(IFERROR(VLOOKUP(TRIM(A1004),'Full Inventory'!F:F,1,0),0)=0,"X","_")</f>
        <v>_</v>
      </c>
      <c r="D1004" t="str">
        <f t="shared" si="45"/>
        <v>X</v>
      </c>
      <c r="E1004" t="str">
        <f ca="1">IFERROR(IF(AND(B1004&amp;C1004&amp;D1004="___",INDIRECT("Inventory!A"&amp;MATCH(VLOOKUP(A1004,Inventory!E:E,1,0),Inventory!E:E,0))&lt;&gt;INDIRECT("'Full Inventory'!B"&amp;MATCH(VLOOKUP(A1004,'Full Inventory'!F:F,1,0),'Full Inventory'!F:F,0))),"X","_"),"_")</f>
        <v>_</v>
      </c>
      <c r="K1004" t="str">
        <f t="shared" ca="1" si="46"/>
        <v>__X_</v>
      </c>
      <c r="L1004" t="str">
        <f t="shared" ca="1" si="47"/>
        <v/>
      </c>
      <c r="M1004" t="str">
        <f>IFERROR(INDEX(Inventory!A:A,MATCH(Scan!A1004,Inventory!E:E,0)),"")</f>
        <v/>
      </c>
    </row>
    <row r="1005" spans="2:13" x14ac:dyDescent="0.25">
      <c r="B1005" t="str">
        <f>IF(IFERROR(VLOOKUP(TRIM(A1005),Inventory!E:E,1,0),0)=0,"X","_")</f>
        <v>_</v>
      </c>
      <c r="C1005" t="str">
        <f>IF(IFERROR(VLOOKUP(TRIM(A1005),'Full Inventory'!F:F,1,0),0)=0,"X","_")</f>
        <v>_</v>
      </c>
      <c r="D1005" t="str">
        <f t="shared" si="45"/>
        <v>X</v>
      </c>
      <c r="E1005" t="str">
        <f ca="1">IFERROR(IF(AND(B1005&amp;C1005&amp;D1005="___",INDIRECT("Inventory!A"&amp;MATCH(VLOOKUP(A1005,Inventory!E:E,1,0),Inventory!E:E,0))&lt;&gt;INDIRECT("'Full Inventory'!B"&amp;MATCH(VLOOKUP(A1005,'Full Inventory'!F:F,1,0),'Full Inventory'!F:F,0))),"X","_"),"_")</f>
        <v>_</v>
      </c>
      <c r="K1005" t="str">
        <f t="shared" ca="1" si="46"/>
        <v>__X_</v>
      </c>
      <c r="L1005" t="str">
        <f t="shared" ca="1" si="47"/>
        <v/>
      </c>
      <c r="M1005" t="str">
        <f>IFERROR(INDEX(Inventory!A:A,MATCH(Scan!A1005,Inventory!E:E,0)),"")</f>
        <v/>
      </c>
    </row>
    <row r="1006" spans="2:13" x14ac:dyDescent="0.25">
      <c r="B1006" t="str">
        <f>IF(IFERROR(VLOOKUP(TRIM(A1006),Inventory!E:E,1,0),0)=0,"X","_")</f>
        <v>_</v>
      </c>
      <c r="C1006" t="str">
        <f>IF(IFERROR(VLOOKUP(TRIM(A1006),'Full Inventory'!F:F,1,0),0)=0,"X","_")</f>
        <v>_</v>
      </c>
      <c r="D1006" t="str">
        <f t="shared" si="45"/>
        <v>X</v>
      </c>
      <c r="E1006" t="str">
        <f ca="1">IFERROR(IF(AND(B1006&amp;C1006&amp;D1006="___",INDIRECT("Inventory!A"&amp;MATCH(VLOOKUP(A1006,Inventory!E:E,1,0),Inventory!E:E,0))&lt;&gt;INDIRECT("'Full Inventory'!B"&amp;MATCH(VLOOKUP(A1006,'Full Inventory'!F:F,1,0),'Full Inventory'!F:F,0))),"X","_"),"_")</f>
        <v>_</v>
      </c>
      <c r="K1006" t="str">
        <f t="shared" ca="1" si="46"/>
        <v>__X_</v>
      </c>
      <c r="L1006" t="str">
        <f t="shared" ca="1" si="47"/>
        <v/>
      </c>
      <c r="M1006" t="str">
        <f>IFERROR(INDEX(Inventory!A:A,MATCH(Scan!A1006,Inventory!E:E,0)),"")</f>
        <v/>
      </c>
    </row>
    <row r="1007" spans="2:13" x14ac:dyDescent="0.25">
      <c r="B1007" t="str">
        <f>IF(IFERROR(VLOOKUP(TRIM(A1007),Inventory!E:E,1,0),0)=0,"X","_")</f>
        <v>_</v>
      </c>
      <c r="C1007" t="str">
        <f>IF(IFERROR(VLOOKUP(TRIM(A1007),'Full Inventory'!F:F,1,0),0)=0,"X","_")</f>
        <v>_</v>
      </c>
      <c r="D1007" t="str">
        <f t="shared" si="45"/>
        <v>X</v>
      </c>
      <c r="E1007" t="str">
        <f ca="1">IFERROR(IF(AND(B1007&amp;C1007&amp;D1007="___",INDIRECT("Inventory!A"&amp;MATCH(VLOOKUP(A1007,Inventory!E:E,1,0),Inventory!E:E,0))&lt;&gt;INDIRECT("'Full Inventory'!B"&amp;MATCH(VLOOKUP(A1007,'Full Inventory'!F:F,1,0),'Full Inventory'!F:F,0))),"X","_"),"_")</f>
        <v>_</v>
      </c>
      <c r="K1007" t="str">
        <f t="shared" ca="1" si="46"/>
        <v>__X_</v>
      </c>
      <c r="L1007" t="str">
        <f t="shared" ca="1" si="47"/>
        <v/>
      </c>
      <c r="M1007" t="str">
        <f>IFERROR(INDEX(Inventory!A:A,MATCH(Scan!A1007,Inventory!E:E,0)),"")</f>
        <v/>
      </c>
    </row>
    <row r="1008" spans="2:13" x14ac:dyDescent="0.25">
      <c r="B1008" t="str">
        <f>IF(IFERROR(VLOOKUP(TRIM(A1008),Inventory!E:E,1,0),0)=0,"X","_")</f>
        <v>_</v>
      </c>
      <c r="C1008" t="str">
        <f>IF(IFERROR(VLOOKUP(TRIM(A1008),'Full Inventory'!F:F,1,0),0)=0,"X","_")</f>
        <v>_</v>
      </c>
      <c r="D1008" t="str">
        <f t="shared" si="45"/>
        <v>X</v>
      </c>
      <c r="E1008" t="str">
        <f ca="1">IFERROR(IF(AND(B1008&amp;C1008&amp;D1008="___",INDIRECT("Inventory!A"&amp;MATCH(VLOOKUP(A1008,Inventory!E:E,1,0),Inventory!E:E,0))&lt;&gt;INDIRECT("'Full Inventory'!B"&amp;MATCH(VLOOKUP(A1008,'Full Inventory'!F:F,1,0),'Full Inventory'!F:F,0))),"X","_"),"_")</f>
        <v>_</v>
      </c>
      <c r="K1008" t="str">
        <f t="shared" ca="1" si="46"/>
        <v>__X_</v>
      </c>
      <c r="L1008" t="str">
        <f t="shared" ca="1" si="47"/>
        <v/>
      </c>
      <c r="M1008" t="str">
        <f>IFERROR(INDEX(Inventory!A:A,MATCH(Scan!A1008,Inventory!E:E,0)),"")</f>
        <v/>
      </c>
    </row>
    <row r="1009" spans="2:13" x14ac:dyDescent="0.25">
      <c r="B1009" t="str">
        <f>IF(IFERROR(VLOOKUP(TRIM(A1009),Inventory!E:E,1,0),0)=0,"X","_")</f>
        <v>_</v>
      </c>
      <c r="C1009" t="str">
        <f>IF(IFERROR(VLOOKUP(TRIM(A1009),'Full Inventory'!F:F,1,0),0)=0,"X","_")</f>
        <v>_</v>
      </c>
      <c r="D1009" t="str">
        <f t="shared" si="45"/>
        <v>X</v>
      </c>
      <c r="E1009" t="str">
        <f ca="1">IFERROR(IF(AND(B1009&amp;C1009&amp;D1009="___",INDIRECT("Inventory!A"&amp;MATCH(VLOOKUP(A1009,Inventory!E:E,1,0),Inventory!E:E,0))&lt;&gt;INDIRECT("'Full Inventory'!B"&amp;MATCH(VLOOKUP(A1009,'Full Inventory'!F:F,1,0),'Full Inventory'!F:F,0))),"X","_"),"_")</f>
        <v>_</v>
      </c>
      <c r="K1009" t="str">
        <f t="shared" ca="1" si="46"/>
        <v>__X_</v>
      </c>
      <c r="L1009" t="str">
        <f t="shared" ca="1" si="47"/>
        <v/>
      </c>
      <c r="M1009" t="str">
        <f>IFERROR(INDEX(Inventory!A:A,MATCH(Scan!A1009,Inventory!E:E,0)),"")</f>
        <v/>
      </c>
    </row>
    <row r="1010" spans="2:13" x14ac:dyDescent="0.25">
      <c r="B1010" t="str">
        <f>IF(IFERROR(VLOOKUP(TRIM(A1010),Inventory!E:E,1,0),0)=0,"X","_")</f>
        <v>_</v>
      </c>
      <c r="C1010" t="str">
        <f>IF(IFERROR(VLOOKUP(TRIM(A1010),'Full Inventory'!F:F,1,0),0)=0,"X","_")</f>
        <v>_</v>
      </c>
      <c r="D1010" t="str">
        <f t="shared" si="45"/>
        <v>X</v>
      </c>
      <c r="E1010" t="str">
        <f ca="1">IFERROR(IF(AND(B1010&amp;C1010&amp;D1010="___",INDIRECT("Inventory!A"&amp;MATCH(VLOOKUP(A1010,Inventory!E:E,1,0),Inventory!E:E,0))&lt;&gt;INDIRECT("'Full Inventory'!B"&amp;MATCH(VLOOKUP(A1010,'Full Inventory'!F:F,1,0),'Full Inventory'!F:F,0))),"X","_"),"_")</f>
        <v>_</v>
      </c>
      <c r="K1010" t="str">
        <f t="shared" ca="1" si="46"/>
        <v>__X_</v>
      </c>
      <c r="L1010" t="str">
        <f t="shared" ca="1" si="47"/>
        <v/>
      </c>
      <c r="M1010" t="str">
        <f>IFERROR(INDEX(Inventory!A:A,MATCH(Scan!A1010,Inventory!E:E,0)),"")</f>
        <v/>
      </c>
    </row>
    <row r="1011" spans="2:13" x14ac:dyDescent="0.25">
      <c r="B1011" t="str">
        <f>IF(IFERROR(VLOOKUP(TRIM(A1011),Inventory!E:E,1,0),0)=0,"X","_")</f>
        <v>_</v>
      </c>
      <c r="C1011" t="str">
        <f>IF(IFERROR(VLOOKUP(TRIM(A1011),'Full Inventory'!F:F,1,0),0)=0,"X","_")</f>
        <v>_</v>
      </c>
      <c r="D1011" t="str">
        <f t="shared" si="45"/>
        <v>X</v>
      </c>
      <c r="E1011" t="str">
        <f ca="1">IFERROR(IF(AND(B1011&amp;C1011&amp;D1011="___",INDIRECT("Inventory!A"&amp;MATCH(VLOOKUP(A1011,Inventory!E:E,1,0),Inventory!E:E,0))&lt;&gt;INDIRECT("'Full Inventory'!B"&amp;MATCH(VLOOKUP(A1011,'Full Inventory'!F:F,1,0),'Full Inventory'!F:F,0))),"X","_"),"_")</f>
        <v>_</v>
      </c>
      <c r="K1011" t="str">
        <f t="shared" ca="1" si="46"/>
        <v>__X_</v>
      </c>
      <c r="L1011" t="str">
        <f t="shared" ca="1" si="47"/>
        <v/>
      </c>
      <c r="M1011" t="str">
        <f>IFERROR(INDEX(Inventory!A:A,MATCH(Scan!A1011,Inventory!E:E,0)),"")</f>
        <v/>
      </c>
    </row>
    <row r="1012" spans="2:13" x14ac:dyDescent="0.25">
      <c r="B1012" t="str">
        <f>IF(IFERROR(VLOOKUP(TRIM(A1012),Inventory!E:E,1,0),0)=0,"X","_")</f>
        <v>_</v>
      </c>
      <c r="C1012" t="str">
        <f>IF(IFERROR(VLOOKUP(TRIM(A1012),'Full Inventory'!F:F,1,0),0)=0,"X","_")</f>
        <v>_</v>
      </c>
      <c r="D1012" t="str">
        <f t="shared" si="45"/>
        <v>X</v>
      </c>
      <c r="E1012" t="str">
        <f ca="1">IFERROR(IF(AND(B1012&amp;C1012&amp;D1012="___",INDIRECT("Inventory!A"&amp;MATCH(VLOOKUP(A1012,Inventory!E:E,1,0),Inventory!E:E,0))&lt;&gt;INDIRECT("'Full Inventory'!B"&amp;MATCH(VLOOKUP(A1012,'Full Inventory'!F:F,1,0),'Full Inventory'!F:F,0))),"X","_"),"_")</f>
        <v>_</v>
      </c>
      <c r="K1012" t="str">
        <f t="shared" ca="1" si="46"/>
        <v>__X_</v>
      </c>
      <c r="L1012" t="str">
        <f t="shared" ca="1" si="47"/>
        <v/>
      </c>
      <c r="M1012" t="str">
        <f>IFERROR(INDEX(Inventory!A:A,MATCH(Scan!A1012,Inventory!E:E,0)),"")</f>
        <v/>
      </c>
    </row>
    <row r="1013" spans="2:13" x14ac:dyDescent="0.25">
      <c r="B1013" t="str">
        <f>IF(IFERROR(VLOOKUP(TRIM(A1013),Inventory!E:E,1,0),0)=0,"X","_")</f>
        <v>_</v>
      </c>
      <c r="C1013" t="str">
        <f>IF(IFERROR(VLOOKUP(TRIM(A1013),'Full Inventory'!F:F,1,0),0)=0,"X","_")</f>
        <v>_</v>
      </c>
      <c r="D1013" t="str">
        <f t="shared" si="45"/>
        <v>X</v>
      </c>
      <c r="E1013" t="str">
        <f ca="1">IFERROR(IF(AND(B1013&amp;C1013&amp;D1013="___",INDIRECT("Inventory!A"&amp;MATCH(VLOOKUP(A1013,Inventory!E:E,1,0),Inventory!E:E,0))&lt;&gt;INDIRECT("'Full Inventory'!B"&amp;MATCH(VLOOKUP(A1013,'Full Inventory'!F:F,1,0),'Full Inventory'!F:F,0))),"X","_"),"_")</f>
        <v>_</v>
      </c>
      <c r="K1013" t="str">
        <f t="shared" ca="1" si="46"/>
        <v>__X_</v>
      </c>
      <c r="L1013" t="str">
        <f t="shared" ca="1" si="47"/>
        <v/>
      </c>
      <c r="M1013" t="str">
        <f>IFERROR(INDEX(Inventory!A:A,MATCH(Scan!A1013,Inventory!E:E,0)),"")</f>
        <v/>
      </c>
    </row>
    <row r="1014" spans="2:13" x14ac:dyDescent="0.25">
      <c r="B1014" t="str">
        <f>IF(IFERROR(VLOOKUP(TRIM(A1014),Inventory!E:E,1,0),0)=0,"X","_")</f>
        <v>_</v>
      </c>
      <c r="C1014" t="str">
        <f>IF(IFERROR(VLOOKUP(TRIM(A1014),'Full Inventory'!F:F,1,0),0)=0,"X","_")</f>
        <v>_</v>
      </c>
      <c r="D1014" t="str">
        <f t="shared" si="45"/>
        <v>X</v>
      </c>
      <c r="E1014" t="str">
        <f ca="1">IFERROR(IF(AND(B1014&amp;C1014&amp;D1014="___",INDIRECT("Inventory!A"&amp;MATCH(VLOOKUP(A1014,Inventory!E:E,1,0),Inventory!E:E,0))&lt;&gt;INDIRECT("'Full Inventory'!B"&amp;MATCH(VLOOKUP(A1014,'Full Inventory'!F:F,1,0),'Full Inventory'!F:F,0))),"X","_"),"_")</f>
        <v>_</v>
      </c>
      <c r="K1014" t="str">
        <f t="shared" ca="1" si="46"/>
        <v>__X_</v>
      </c>
      <c r="L1014" t="str">
        <f t="shared" ca="1" si="47"/>
        <v/>
      </c>
      <c r="M1014" t="str">
        <f>IFERROR(INDEX(Inventory!A:A,MATCH(Scan!A1014,Inventory!E:E,0)),"")</f>
        <v/>
      </c>
    </row>
    <row r="1015" spans="2:13" x14ac:dyDescent="0.25">
      <c r="B1015" t="str">
        <f>IF(IFERROR(VLOOKUP(TRIM(A1015),Inventory!E:E,1,0),0)=0,"X","_")</f>
        <v>_</v>
      </c>
      <c r="C1015" t="str">
        <f>IF(IFERROR(VLOOKUP(TRIM(A1015),'Full Inventory'!F:F,1,0),0)=0,"X","_")</f>
        <v>_</v>
      </c>
      <c r="D1015" t="str">
        <f t="shared" si="45"/>
        <v>X</v>
      </c>
      <c r="E1015" t="str">
        <f ca="1">IFERROR(IF(AND(B1015&amp;C1015&amp;D1015="___",INDIRECT("Inventory!A"&amp;MATCH(VLOOKUP(A1015,Inventory!E:E,1,0),Inventory!E:E,0))&lt;&gt;INDIRECT("'Full Inventory'!B"&amp;MATCH(VLOOKUP(A1015,'Full Inventory'!F:F,1,0),'Full Inventory'!F:F,0))),"X","_"),"_")</f>
        <v>_</v>
      </c>
      <c r="K1015" t="str">
        <f t="shared" ca="1" si="46"/>
        <v>__X_</v>
      </c>
      <c r="L1015" t="str">
        <f t="shared" ca="1" si="47"/>
        <v/>
      </c>
      <c r="M1015" t="str">
        <f>IFERROR(INDEX(Inventory!A:A,MATCH(Scan!A1015,Inventory!E:E,0)),"")</f>
        <v/>
      </c>
    </row>
    <row r="1016" spans="2:13" x14ac:dyDescent="0.25">
      <c r="B1016" t="str">
        <f>IF(IFERROR(VLOOKUP(TRIM(A1016),Inventory!E:E,1,0),0)=0,"X","_")</f>
        <v>_</v>
      </c>
      <c r="C1016" t="str">
        <f>IF(IFERROR(VLOOKUP(TRIM(A1016),'Full Inventory'!F:F,1,0),0)=0,"X","_")</f>
        <v>_</v>
      </c>
      <c r="D1016" t="str">
        <f t="shared" si="45"/>
        <v>X</v>
      </c>
      <c r="E1016" t="str">
        <f ca="1">IFERROR(IF(AND(B1016&amp;C1016&amp;D1016="___",INDIRECT("Inventory!A"&amp;MATCH(VLOOKUP(A1016,Inventory!E:E,1,0),Inventory!E:E,0))&lt;&gt;INDIRECT("'Full Inventory'!B"&amp;MATCH(VLOOKUP(A1016,'Full Inventory'!F:F,1,0),'Full Inventory'!F:F,0))),"X","_"),"_")</f>
        <v>_</v>
      </c>
      <c r="K1016" t="str">
        <f t="shared" ca="1" si="46"/>
        <v>__X_</v>
      </c>
      <c r="L1016" t="str">
        <f t="shared" ca="1" si="47"/>
        <v/>
      </c>
      <c r="M1016" t="str">
        <f>IFERROR(INDEX(Inventory!A:A,MATCH(Scan!A1016,Inventory!E:E,0)),"")</f>
        <v/>
      </c>
    </row>
    <row r="1017" spans="2:13" x14ac:dyDescent="0.25">
      <c r="B1017" t="str">
        <f>IF(IFERROR(VLOOKUP(TRIM(A1017),Inventory!E:E,1,0),0)=0,"X","_")</f>
        <v>_</v>
      </c>
      <c r="C1017" t="str">
        <f>IF(IFERROR(VLOOKUP(TRIM(A1017),'Full Inventory'!F:F,1,0),0)=0,"X","_")</f>
        <v>_</v>
      </c>
      <c r="D1017" t="str">
        <f t="shared" si="45"/>
        <v>X</v>
      </c>
      <c r="E1017" t="str">
        <f ca="1">IFERROR(IF(AND(B1017&amp;C1017&amp;D1017="___",INDIRECT("Inventory!A"&amp;MATCH(VLOOKUP(A1017,Inventory!E:E,1,0),Inventory!E:E,0))&lt;&gt;INDIRECT("'Full Inventory'!B"&amp;MATCH(VLOOKUP(A1017,'Full Inventory'!F:F,1,0),'Full Inventory'!F:F,0))),"X","_"),"_")</f>
        <v>_</v>
      </c>
      <c r="K1017" t="str">
        <f t="shared" ca="1" si="46"/>
        <v>__X_</v>
      </c>
      <c r="L1017" t="str">
        <f t="shared" ca="1" si="47"/>
        <v/>
      </c>
      <c r="M1017" t="str">
        <f>IFERROR(INDEX(Inventory!A:A,MATCH(Scan!A1017,Inventory!E:E,0)),"")</f>
        <v/>
      </c>
    </row>
    <row r="1018" spans="2:13" x14ac:dyDescent="0.25">
      <c r="B1018" t="str">
        <f>IF(IFERROR(VLOOKUP(TRIM(A1018),Inventory!E:E,1,0),0)=0,"X","_")</f>
        <v>_</v>
      </c>
      <c r="C1018" t="str">
        <f>IF(IFERROR(VLOOKUP(TRIM(A1018),'Full Inventory'!F:F,1,0),0)=0,"X","_")</f>
        <v>_</v>
      </c>
      <c r="D1018" t="str">
        <f t="shared" si="45"/>
        <v>X</v>
      </c>
      <c r="E1018" t="str">
        <f ca="1">IFERROR(IF(AND(B1018&amp;C1018&amp;D1018="___",INDIRECT("Inventory!A"&amp;MATCH(VLOOKUP(A1018,Inventory!E:E,1,0),Inventory!E:E,0))&lt;&gt;INDIRECT("'Full Inventory'!B"&amp;MATCH(VLOOKUP(A1018,'Full Inventory'!F:F,1,0),'Full Inventory'!F:F,0))),"X","_"),"_")</f>
        <v>_</v>
      </c>
      <c r="K1018" t="str">
        <f t="shared" ca="1" si="46"/>
        <v>__X_</v>
      </c>
      <c r="L1018" t="str">
        <f t="shared" ca="1" si="47"/>
        <v/>
      </c>
      <c r="M1018" t="str">
        <f>IFERROR(INDEX(Inventory!A:A,MATCH(Scan!A1018,Inventory!E:E,0)),"")</f>
        <v/>
      </c>
    </row>
    <row r="1019" spans="2:13" x14ac:dyDescent="0.25">
      <c r="B1019" t="str">
        <f>IF(IFERROR(VLOOKUP(TRIM(A1019),Inventory!E:E,1,0),0)=0,"X","_")</f>
        <v>_</v>
      </c>
      <c r="C1019" t="str">
        <f>IF(IFERROR(VLOOKUP(TRIM(A1019),'Full Inventory'!F:F,1,0),0)=0,"X","_")</f>
        <v>_</v>
      </c>
      <c r="D1019" t="str">
        <f t="shared" si="45"/>
        <v>X</v>
      </c>
      <c r="E1019" t="str">
        <f ca="1">IFERROR(IF(AND(B1019&amp;C1019&amp;D1019="___",INDIRECT("Inventory!A"&amp;MATCH(VLOOKUP(A1019,Inventory!E:E,1,0),Inventory!E:E,0))&lt;&gt;INDIRECT("'Full Inventory'!B"&amp;MATCH(VLOOKUP(A1019,'Full Inventory'!F:F,1,0),'Full Inventory'!F:F,0))),"X","_"),"_")</f>
        <v>_</v>
      </c>
      <c r="K1019" t="str">
        <f t="shared" ca="1" si="46"/>
        <v>__X_</v>
      </c>
      <c r="L1019" t="str">
        <f t="shared" ca="1" si="47"/>
        <v/>
      </c>
      <c r="M1019" t="str">
        <f>IFERROR(INDEX(Inventory!A:A,MATCH(Scan!A1019,Inventory!E:E,0)),"")</f>
        <v/>
      </c>
    </row>
    <row r="1020" spans="2:13" x14ac:dyDescent="0.25">
      <c r="B1020" t="str">
        <f>IF(IFERROR(VLOOKUP(TRIM(A1020),Inventory!E:E,1,0),0)=0,"X","_")</f>
        <v>_</v>
      </c>
      <c r="C1020" t="str">
        <f>IF(IFERROR(VLOOKUP(TRIM(A1020),'Full Inventory'!F:F,1,0),0)=0,"X","_")</f>
        <v>_</v>
      </c>
      <c r="D1020" t="str">
        <f t="shared" si="45"/>
        <v>X</v>
      </c>
      <c r="E1020" t="str">
        <f ca="1">IFERROR(IF(AND(B1020&amp;C1020&amp;D1020="___",INDIRECT("Inventory!A"&amp;MATCH(VLOOKUP(A1020,Inventory!E:E,1,0),Inventory!E:E,0))&lt;&gt;INDIRECT("'Full Inventory'!B"&amp;MATCH(VLOOKUP(A1020,'Full Inventory'!F:F,1,0),'Full Inventory'!F:F,0))),"X","_"),"_")</f>
        <v>_</v>
      </c>
      <c r="K1020" t="str">
        <f t="shared" ca="1" si="46"/>
        <v>__X_</v>
      </c>
      <c r="L1020" t="str">
        <f t="shared" ca="1" si="47"/>
        <v/>
      </c>
      <c r="M1020" t="str">
        <f>IFERROR(INDEX(Inventory!A:A,MATCH(Scan!A1020,Inventory!E:E,0)),"")</f>
        <v/>
      </c>
    </row>
    <row r="1021" spans="2:13" x14ac:dyDescent="0.25">
      <c r="B1021" t="str">
        <f>IF(IFERROR(VLOOKUP(TRIM(A1021),Inventory!E:E,1,0),0)=0,"X","_")</f>
        <v>_</v>
      </c>
      <c r="C1021" t="str">
        <f>IF(IFERROR(VLOOKUP(TRIM(A1021),'Full Inventory'!F:F,1,0),0)=0,"X","_")</f>
        <v>_</v>
      </c>
      <c r="D1021" t="str">
        <f t="shared" si="45"/>
        <v>X</v>
      </c>
      <c r="E1021" t="str">
        <f ca="1">IFERROR(IF(AND(B1021&amp;C1021&amp;D1021="___",INDIRECT("Inventory!A"&amp;MATCH(VLOOKUP(A1021,Inventory!E:E,1,0),Inventory!E:E,0))&lt;&gt;INDIRECT("'Full Inventory'!B"&amp;MATCH(VLOOKUP(A1021,'Full Inventory'!F:F,1,0),'Full Inventory'!F:F,0))),"X","_"),"_")</f>
        <v>_</v>
      </c>
      <c r="K1021" t="str">
        <f t="shared" ca="1" si="46"/>
        <v>__X_</v>
      </c>
      <c r="L1021" t="str">
        <f t="shared" ca="1" si="47"/>
        <v/>
      </c>
      <c r="M1021" t="str">
        <f>IFERROR(INDEX(Inventory!A:A,MATCH(Scan!A1021,Inventory!E:E,0)),"")</f>
        <v/>
      </c>
    </row>
    <row r="1022" spans="2:13" x14ac:dyDescent="0.25">
      <c r="B1022" t="str">
        <f>IF(IFERROR(VLOOKUP(TRIM(A1022),Inventory!E:E,1,0),0)=0,"X","_")</f>
        <v>_</v>
      </c>
      <c r="C1022" t="str">
        <f>IF(IFERROR(VLOOKUP(TRIM(A1022),'Full Inventory'!F:F,1,0),0)=0,"X","_")</f>
        <v>_</v>
      </c>
      <c r="D1022" t="str">
        <f t="shared" si="45"/>
        <v>X</v>
      </c>
      <c r="E1022" t="str">
        <f ca="1">IFERROR(IF(AND(B1022&amp;C1022&amp;D1022="___",INDIRECT("Inventory!A"&amp;MATCH(VLOOKUP(A1022,Inventory!E:E,1,0),Inventory!E:E,0))&lt;&gt;INDIRECT("'Full Inventory'!B"&amp;MATCH(VLOOKUP(A1022,'Full Inventory'!F:F,1,0),'Full Inventory'!F:F,0))),"X","_"),"_")</f>
        <v>_</v>
      </c>
      <c r="K1022" t="str">
        <f t="shared" ca="1" si="46"/>
        <v>__X_</v>
      </c>
      <c r="L1022" t="str">
        <f t="shared" ca="1" si="47"/>
        <v/>
      </c>
      <c r="M1022" t="str">
        <f>IFERROR(INDEX(Inventory!A:A,MATCH(Scan!A1022,Inventory!E:E,0)),"")</f>
        <v/>
      </c>
    </row>
    <row r="1023" spans="2:13" x14ac:dyDescent="0.25">
      <c r="B1023" t="str">
        <f>IF(IFERROR(VLOOKUP(TRIM(A1023),Inventory!E:E,1,0),0)=0,"X","_")</f>
        <v>_</v>
      </c>
      <c r="C1023" t="str">
        <f>IF(IFERROR(VLOOKUP(TRIM(A1023),'Full Inventory'!F:F,1,0),0)=0,"X","_")</f>
        <v>_</v>
      </c>
      <c r="D1023" t="str">
        <f t="shared" si="45"/>
        <v>X</v>
      </c>
      <c r="E1023" t="str">
        <f ca="1">IFERROR(IF(AND(B1023&amp;C1023&amp;D1023="___",INDIRECT("Inventory!A"&amp;MATCH(VLOOKUP(A1023,Inventory!E:E,1,0),Inventory!E:E,0))&lt;&gt;INDIRECT("'Full Inventory'!B"&amp;MATCH(VLOOKUP(A1023,'Full Inventory'!F:F,1,0),'Full Inventory'!F:F,0))),"X","_"),"_")</f>
        <v>_</v>
      </c>
      <c r="K1023" t="str">
        <f t="shared" ca="1" si="46"/>
        <v>__X_</v>
      </c>
      <c r="L1023" t="str">
        <f t="shared" ca="1" si="47"/>
        <v/>
      </c>
      <c r="M1023" t="str">
        <f>IFERROR(INDEX(Inventory!A:A,MATCH(Scan!A1023,Inventory!E:E,0)),"")</f>
        <v/>
      </c>
    </row>
    <row r="1024" spans="2:13" x14ac:dyDescent="0.25">
      <c r="B1024" t="str">
        <f>IF(IFERROR(VLOOKUP(TRIM(A1024),Inventory!E:E,1,0),0)=0,"X","_")</f>
        <v>_</v>
      </c>
      <c r="C1024" t="str">
        <f>IF(IFERROR(VLOOKUP(TRIM(A1024),'Full Inventory'!F:F,1,0),0)=0,"X","_")</f>
        <v>_</v>
      </c>
      <c r="D1024" t="str">
        <f t="shared" si="45"/>
        <v>X</v>
      </c>
      <c r="E1024" t="str">
        <f ca="1">IFERROR(IF(AND(B1024&amp;C1024&amp;D1024="___",INDIRECT("Inventory!A"&amp;MATCH(VLOOKUP(A1024,Inventory!E:E,1,0),Inventory!E:E,0))&lt;&gt;INDIRECT("'Full Inventory'!B"&amp;MATCH(VLOOKUP(A1024,'Full Inventory'!F:F,1,0),'Full Inventory'!F:F,0))),"X","_"),"_")</f>
        <v>_</v>
      </c>
      <c r="K1024" t="str">
        <f t="shared" ca="1" si="46"/>
        <v>__X_</v>
      </c>
      <c r="L1024" t="str">
        <f t="shared" ca="1" si="47"/>
        <v/>
      </c>
      <c r="M1024" t="str">
        <f>IFERROR(INDEX(Inventory!A:A,MATCH(Scan!A1024,Inventory!E:E,0)),"")</f>
        <v/>
      </c>
    </row>
    <row r="1025" spans="2:13" x14ac:dyDescent="0.25">
      <c r="B1025" t="str">
        <f>IF(IFERROR(VLOOKUP(TRIM(A1025),Inventory!E:E,1,0),0)=0,"X","_")</f>
        <v>_</v>
      </c>
      <c r="C1025" t="str">
        <f>IF(IFERROR(VLOOKUP(TRIM(A1025),'Full Inventory'!F:F,1,0),0)=0,"X","_")</f>
        <v>_</v>
      </c>
      <c r="D1025" t="str">
        <f t="shared" si="45"/>
        <v>X</v>
      </c>
      <c r="E1025" t="str">
        <f ca="1">IFERROR(IF(AND(B1025&amp;C1025&amp;D1025="___",INDIRECT("Inventory!A"&amp;MATCH(VLOOKUP(A1025,Inventory!E:E,1,0),Inventory!E:E,0))&lt;&gt;INDIRECT("'Full Inventory'!B"&amp;MATCH(VLOOKUP(A1025,'Full Inventory'!F:F,1,0),'Full Inventory'!F:F,0))),"X","_"),"_")</f>
        <v>_</v>
      </c>
      <c r="K1025" t="str">
        <f t="shared" ca="1" si="46"/>
        <v>__X_</v>
      </c>
      <c r="L1025" t="str">
        <f t="shared" ca="1" si="47"/>
        <v/>
      </c>
      <c r="M1025" t="str">
        <f>IFERROR(INDEX(Inventory!A:A,MATCH(Scan!A1025,Inventory!E:E,0)),"")</f>
        <v/>
      </c>
    </row>
    <row r="1026" spans="2:13" x14ac:dyDescent="0.25">
      <c r="B1026" t="str">
        <f>IF(IFERROR(VLOOKUP(TRIM(A1026),Inventory!E:E,1,0),0)=0,"X","_")</f>
        <v>_</v>
      </c>
      <c r="C1026" t="str">
        <f>IF(IFERROR(VLOOKUP(TRIM(A1026),'Full Inventory'!F:F,1,0),0)=0,"X","_")</f>
        <v>_</v>
      </c>
      <c r="D1026" t="str">
        <f t="shared" ref="D1026:D1089" si="48">IF(TRIM(A1026)&lt;&gt;"","_","X")</f>
        <v>X</v>
      </c>
      <c r="E1026" t="str">
        <f ca="1">IFERROR(IF(AND(B1026&amp;C1026&amp;D1026="___",INDIRECT("Inventory!A"&amp;MATCH(VLOOKUP(A1026,Inventory!E:E,1,0),Inventory!E:E,0))&lt;&gt;INDIRECT("'Full Inventory'!B"&amp;MATCH(VLOOKUP(A1026,'Full Inventory'!F:F,1,0),'Full Inventory'!F:F,0))),"X","_"),"_")</f>
        <v>_</v>
      </c>
      <c r="K1026" t="str">
        <f t="shared" ca="1" si="46"/>
        <v>__X_</v>
      </c>
      <c r="L1026" t="str">
        <f t="shared" ca="1" si="47"/>
        <v/>
      </c>
      <c r="M1026" t="str">
        <f>IFERROR(INDEX(Inventory!A:A,MATCH(Scan!A1026,Inventory!E:E,0)),"")</f>
        <v/>
      </c>
    </row>
    <row r="1027" spans="2:13" x14ac:dyDescent="0.25">
      <c r="B1027" t="str">
        <f>IF(IFERROR(VLOOKUP(TRIM(A1027),Inventory!E:E,1,0),0)=0,"X","_")</f>
        <v>_</v>
      </c>
      <c r="C1027" t="str">
        <f>IF(IFERROR(VLOOKUP(TRIM(A1027),'Full Inventory'!F:F,1,0),0)=0,"X","_")</f>
        <v>_</v>
      </c>
      <c r="D1027" t="str">
        <f t="shared" si="48"/>
        <v>X</v>
      </c>
      <c r="E1027" t="str">
        <f ca="1">IFERROR(IF(AND(B1027&amp;C1027&amp;D1027="___",INDIRECT("Inventory!A"&amp;MATCH(VLOOKUP(A1027,Inventory!E:E,1,0),Inventory!E:E,0))&lt;&gt;INDIRECT("'Full Inventory'!B"&amp;MATCH(VLOOKUP(A1027,'Full Inventory'!F:F,1,0),'Full Inventory'!F:F,0))),"X","_"),"_")</f>
        <v>_</v>
      </c>
      <c r="K1027" t="str">
        <f t="shared" ref="K1027:K1090" ca="1" si="49">B1027&amp;C1027&amp;D1027&amp;E1027</f>
        <v>__X_</v>
      </c>
      <c r="L1027" t="str">
        <f t="shared" ref="L1027:L1090" ca="1" si="50">IF(K1027="____","OK",IF(K1027="_X__","NOT IN FULL INVENTORY",IF(K1027="XX__","NOT IN FULL INVENTORY AND INVENTORY",IF(K1027="X___","NOT IN INVENTORY",IF(K1027="___X","DIFFERENT NAMES IN FULL INVENTORY AND INVENTORY","")))))</f>
        <v/>
      </c>
      <c r="M1027" t="str">
        <f>IFERROR(INDEX(Inventory!A:A,MATCH(Scan!A1027,Inventory!E:E,0)),"")</f>
        <v/>
      </c>
    </row>
    <row r="1028" spans="2:13" x14ac:dyDescent="0.25">
      <c r="B1028" t="str">
        <f>IF(IFERROR(VLOOKUP(TRIM(A1028),Inventory!E:E,1,0),0)=0,"X","_")</f>
        <v>_</v>
      </c>
      <c r="C1028" t="str">
        <f>IF(IFERROR(VLOOKUP(TRIM(A1028),'Full Inventory'!F:F,1,0),0)=0,"X","_")</f>
        <v>_</v>
      </c>
      <c r="D1028" t="str">
        <f t="shared" si="48"/>
        <v>X</v>
      </c>
      <c r="E1028" t="str">
        <f ca="1">IFERROR(IF(AND(B1028&amp;C1028&amp;D1028="___",INDIRECT("Inventory!A"&amp;MATCH(VLOOKUP(A1028,Inventory!E:E,1,0),Inventory!E:E,0))&lt;&gt;INDIRECT("'Full Inventory'!B"&amp;MATCH(VLOOKUP(A1028,'Full Inventory'!F:F,1,0),'Full Inventory'!F:F,0))),"X","_"),"_")</f>
        <v>_</v>
      </c>
      <c r="K1028" t="str">
        <f t="shared" ca="1" si="49"/>
        <v>__X_</v>
      </c>
      <c r="L1028" t="str">
        <f t="shared" ca="1" si="50"/>
        <v/>
      </c>
      <c r="M1028" t="str">
        <f>IFERROR(INDEX(Inventory!A:A,MATCH(Scan!A1028,Inventory!E:E,0)),"")</f>
        <v/>
      </c>
    </row>
    <row r="1029" spans="2:13" x14ac:dyDescent="0.25">
      <c r="B1029" t="str">
        <f>IF(IFERROR(VLOOKUP(TRIM(A1029),Inventory!E:E,1,0),0)=0,"X","_")</f>
        <v>_</v>
      </c>
      <c r="C1029" t="str">
        <f>IF(IFERROR(VLOOKUP(TRIM(A1029),'Full Inventory'!F:F,1,0),0)=0,"X","_")</f>
        <v>_</v>
      </c>
      <c r="D1029" t="str">
        <f t="shared" si="48"/>
        <v>X</v>
      </c>
      <c r="E1029" t="str">
        <f ca="1">IFERROR(IF(AND(B1029&amp;C1029&amp;D1029="___",INDIRECT("Inventory!A"&amp;MATCH(VLOOKUP(A1029,Inventory!E:E,1,0),Inventory!E:E,0))&lt;&gt;INDIRECT("'Full Inventory'!B"&amp;MATCH(VLOOKUP(A1029,'Full Inventory'!F:F,1,0),'Full Inventory'!F:F,0))),"X","_"),"_")</f>
        <v>_</v>
      </c>
      <c r="K1029" t="str">
        <f t="shared" ca="1" si="49"/>
        <v>__X_</v>
      </c>
      <c r="L1029" t="str">
        <f t="shared" ca="1" si="50"/>
        <v/>
      </c>
      <c r="M1029" t="str">
        <f>IFERROR(INDEX(Inventory!A:A,MATCH(Scan!A1029,Inventory!E:E,0)),"")</f>
        <v/>
      </c>
    </row>
    <row r="1030" spans="2:13" x14ac:dyDescent="0.25">
      <c r="B1030" t="str">
        <f>IF(IFERROR(VLOOKUP(TRIM(A1030),Inventory!E:E,1,0),0)=0,"X","_")</f>
        <v>_</v>
      </c>
      <c r="C1030" t="str">
        <f>IF(IFERROR(VLOOKUP(TRIM(A1030),'Full Inventory'!F:F,1,0),0)=0,"X","_")</f>
        <v>_</v>
      </c>
      <c r="D1030" t="str">
        <f t="shared" si="48"/>
        <v>X</v>
      </c>
      <c r="E1030" t="str">
        <f ca="1">IFERROR(IF(AND(B1030&amp;C1030&amp;D1030="___",INDIRECT("Inventory!A"&amp;MATCH(VLOOKUP(A1030,Inventory!E:E,1,0),Inventory!E:E,0))&lt;&gt;INDIRECT("'Full Inventory'!B"&amp;MATCH(VLOOKUP(A1030,'Full Inventory'!F:F,1,0),'Full Inventory'!F:F,0))),"X","_"),"_")</f>
        <v>_</v>
      </c>
      <c r="K1030" t="str">
        <f t="shared" ca="1" si="49"/>
        <v>__X_</v>
      </c>
      <c r="L1030" t="str">
        <f t="shared" ca="1" si="50"/>
        <v/>
      </c>
      <c r="M1030" t="str">
        <f>IFERROR(INDEX(Inventory!A:A,MATCH(Scan!A1030,Inventory!E:E,0)),"")</f>
        <v/>
      </c>
    </row>
    <row r="1031" spans="2:13" x14ac:dyDescent="0.25">
      <c r="B1031" t="str">
        <f>IF(IFERROR(VLOOKUP(TRIM(A1031),Inventory!E:E,1,0),0)=0,"X","_")</f>
        <v>_</v>
      </c>
      <c r="C1031" t="str">
        <f>IF(IFERROR(VLOOKUP(TRIM(A1031),'Full Inventory'!F:F,1,0),0)=0,"X","_")</f>
        <v>_</v>
      </c>
      <c r="D1031" t="str">
        <f t="shared" si="48"/>
        <v>X</v>
      </c>
      <c r="E1031" t="str">
        <f ca="1">IFERROR(IF(AND(B1031&amp;C1031&amp;D1031="___",INDIRECT("Inventory!A"&amp;MATCH(VLOOKUP(A1031,Inventory!E:E,1,0),Inventory!E:E,0))&lt;&gt;INDIRECT("'Full Inventory'!B"&amp;MATCH(VLOOKUP(A1031,'Full Inventory'!F:F,1,0),'Full Inventory'!F:F,0))),"X","_"),"_")</f>
        <v>_</v>
      </c>
      <c r="K1031" t="str">
        <f t="shared" ca="1" si="49"/>
        <v>__X_</v>
      </c>
      <c r="L1031" t="str">
        <f t="shared" ca="1" si="50"/>
        <v/>
      </c>
      <c r="M1031" t="str">
        <f>IFERROR(INDEX(Inventory!A:A,MATCH(Scan!A1031,Inventory!E:E,0)),"")</f>
        <v/>
      </c>
    </row>
    <row r="1032" spans="2:13" x14ac:dyDescent="0.25">
      <c r="B1032" t="str">
        <f>IF(IFERROR(VLOOKUP(TRIM(A1032),Inventory!E:E,1,0),0)=0,"X","_")</f>
        <v>_</v>
      </c>
      <c r="C1032" t="str">
        <f>IF(IFERROR(VLOOKUP(TRIM(A1032),'Full Inventory'!F:F,1,0),0)=0,"X","_")</f>
        <v>_</v>
      </c>
      <c r="D1032" t="str">
        <f t="shared" si="48"/>
        <v>X</v>
      </c>
      <c r="E1032" t="str">
        <f ca="1">IFERROR(IF(AND(B1032&amp;C1032&amp;D1032="___",INDIRECT("Inventory!A"&amp;MATCH(VLOOKUP(A1032,Inventory!E:E,1,0),Inventory!E:E,0))&lt;&gt;INDIRECT("'Full Inventory'!B"&amp;MATCH(VLOOKUP(A1032,'Full Inventory'!F:F,1,0),'Full Inventory'!F:F,0))),"X","_"),"_")</f>
        <v>_</v>
      </c>
      <c r="K1032" t="str">
        <f t="shared" ca="1" si="49"/>
        <v>__X_</v>
      </c>
      <c r="L1032" t="str">
        <f t="shared" ca="1" si="50"/>
        <v/>
      </c>
      <c r="M1032" t="str">
        <f>IFERROR(INDEX(Inventory!A:A,MATCH(Scan!A1032,Inventory!E:E,0)),"")</f>
        <v/>
      </c>
    </row>
    <row r="1033" spans="2:13" x14ac:dyDescent="0.25">
      <c r="B1033" t="str">
        <f>IF(IFERROR(VLOOKUP(TRIM(A1033),Inventory!E:E,1,0),0)=0,"X","_")</f>
        <v>_</v>
      </c>
      <c r="C1033" t="str">
        <f>IF(IFERROR(VLOOKUP(TRIM(A1033),'Full Inventory'!F:F,1,0),0)=0,"X","_")</f>
        <v>_</v>
      </c>
      <c r="D1033" t="str">
        <f t="shared" si="48"/>
        <v>X</v>
      </c>
      <c r="E1033" t="str">
        <f ca="1">IFERROR(IF(AND(B1033&amp;C1033&amp;D1033="___",INDIRECT("Inventory!A"&amp;MATCH(VLOOKUP(A1033,Inventory!E:E,1,0),Inventory!E:E,0))&lt;&gt;INDIRECT("'Full Inventory'!B"&amp;MATCH(VLOOKUP(A1033,'Full Inventory'!F:F,1,0),'Full Inventory'!F:F,0))),"X","_"),"_")</f>
        <v>_</v>
      </c>
      <c r="K1033" t="str">
        <f t="shared" ca="1" si="49"/>
        <v>__X_</v>
      </c>
      <c r="L1033" t="str">
        <f t="shared" ca="1" si="50"/>
        <v/>
      </c>
      <c r="M1033" t="str">
        <f>IFERROR(INDEX(Inventory!A:A,MATCH(Scan!A1033,Inventory!E:E,0)),"")</f>
        <v/>
      </c>
    </row>
    <row r="1034" spans="2:13" x14ac:dyDescent="0.25">
      <c r="B1034" t="str">
        <f>IF(IFERROR(VLOOKUP(TRIM(A1034),Inventory!E:E,1,0),0)=0,"X","_")</f>
        <v>_</v>
      </c>
      <c r="C1034" t="str">
        <f>IF(IFERROR(VLOOKUP(TRIM(A1034),'Full Inventory'!F:F,1,0),0)=0,"X","_")</f>
        <v>_</v>
      </c>
      <c r="D1034" t="str">
        <f t="shared" si="48"/>
        <v>X</v>
      </c>
      <c r="E1034" t="str">
        <f ca="1">IFERROR(IF(AND(B1034&amp;C1034&amp;D1034="___",INDIRECT("Inventory!A"&amp;MATCH(VLOOKUP(A1034,Inventory!E:E,1,0),Inventory!E:E,0))&lt;&gt;INDIRECT("'Full Inventory'!B"&amp;MATCH(VLOOKUP(A1034,'Full Inventory'!F:F,1,0),'Full Inventory'!F:F,0))),"X","_"),"_")</f>
        <v>_</v>
      </c>
      <c r="K1034" t="str">
        <f t="shared" ca="1" si="49"/>
        <v>__X_</v>
      </c>
      <c r="L1034" t="str">
        <f t="shared" ca="1" si="50"/>
        <v/>
      </c>
      <c r="M1034" t="str">
        <f>IFERROR(INDEX(Inventory!A:A,MATCH(Scan!A1034,Inventory!E:E,0)),"")</f>
        <v/>
      </c>
    </row>
    <row r="1035" spans="2:13" x14ac:dyDescent="0.25">
      <c r="B1035" t="str">
        <f>IF(IFERROR(VLOOKUP(TRIM(A1035),Inventory!E:E,1,0),0)=0,"X","_")</f>
        <v>_</v>
      </c>
      <c r="C1035" t="str">
        <f>IF(IFERROR(VLOOKUP(TRIM(A1035),'Full Inventory'!F:F,1,0),0)=0,"X","_")</f>
        <v>_</v>
      </c>
      <c r="D1035" t="str">
        <f t="shared" si="48"/>
        <v>X</v>
      </c>
      <c r="E1035" t="str">
        <f ca="1">IFERROR(IF(AND(B1035&amp;C1035&amp;D1035="___",INDIRECT("Inventory!A"&amp;MATCH(VLOOKUP(A1035,Inventory!E:E,1,0),Inventory!E:E,0))&lt;&gt;INDIRECT("'Full Inventory'!B"&amp;MATCH(VLOOKUP(A1035,'Full Inventory'!F:F,1,0),'Full Inventory'!F:F,0))),"X","_"),"_")</f>
        <v>_</v>
      </c>
      <c r="K1035" t="str">
        <f t="shared" ca="1" si="49"/>
        <v>__X_</v>
      </c>
      <c r="L1035" t="str">
        <f t="shared" ca="1" si="50"/>
        <v/>
      </c>
      <c r="M1035" t="str">
        <f>IFERROR(INDEX(Inventory!A:A,MATCH(Scan!A1035,Inventory!E:E,0)),"")</f>
        <v/>
      </c>
    </row>
    <row r="1036" spans="2:13" x14ac:dyDescent="0.25">
      <c r="B1036" t="str">
        <f>IF(IFERROR(VLOOKUP(TRIM(A1036),Inventory!E:E,1,0),0)=0,"X","_")</f>
        <v>_</v>
      </c>
      <c r="C1036" t="str">
        <f>IF(IFERROR(VLOOKUP(TRIM(A1036),'Full Inventory'!F:F,1,0),0)=0,"X","_")</f>
        <v>_</v>
      </c>
      <c r="D1036" t="str">
        <f t="shared" si="48"/>
        <v>X</v>
      </c>
      <c r="E1036" t="str">
        <f ca="1">IFERROR(IF(AND(B1036&amp;C1036&amp;D1036="___",INDIRECT("Inventory!A"&amp;MATCH(VLOOKUP(A1036,Inventory!E:E,1,0),Inventory!E:E,0))&lt;&gt;INDIRECT("'Full Inventory'!B"&amp;MATCH(VLOOKUP(A1036,'Full Inventory'!F:F,1,0),'Full Inventory'!F:F,0))),"X","_"),"_")</f>
        <v>_</v>
      </c>
      <c r="K1036" t="str">
        <f t="shared" ca="1" si="49"/>
        <v>__X_</v>
      </c>
      <c r="L1036" t="str">
        <f t="shared" ca="1" si="50"/>
        <v/>
      </c>
      <c r="M1036" t="str">
        <f>IFERROR(INDEX(Inventory!A:A,MATCH(Scan!A1036,Inventory!E:E,0)),"")</f>
        <v/>
      </c>
    </row>
    <row r="1037" spans="2:13" x14ac:dyDescent="0.25">
      <c r="B1037" t="str">
        <f>IF(IFERROR(VLOOKUP(TRIM(A1037),Inventory!E:E,1,0),0)=0,"X","_")</f>
        <v>_</v>
      </c>
      <c r="C1037" t="str">
        <f>IF(IFERROR(VLOOKUP(TRIM(A1037),'Full Inventory'!F:F,1,0),0)=0,"X","_")</f>
        <v>_</v>
      </c>
      <c r="D1037" t="str">
        <f t="shared" si="48"/>
        <v>X</v>
      </c>
      <c r="E1037" t="str">
        <f ca="1">IFERROR(IF(AND(B1037&amp;C1037&amp;D1037="___",INDIRECT("Inventory!A"&amp;MATCH(VLOOKUP(A1037,Inventory!E:E,1,0),Inventory!E:E,0))&lt;&gt;INDIRECT("'Full Inventory'!B"&amp;MATCH(VLOOKUP(A1037,'Full Inventory'!F:F,1,0),'Full Inventory'!F:F,0))),"X","_"),"_")</f>
        <v>_</v>
      </c>
      <c r="K1037" t="str">
        <f t="shared" ca="1" si="49"/>
        <v>__X_</v>
      </c>
      <c r="L1037" t="str">
        <f t="shared" ca="1" si="50"/>
        <v/>
      </c>
      <c r="M1037" t="str">
        <f>IFERROR(INDEX(Inventory!A:A,MATCH(Scan!A1037,Inventory!E:E,0)),"")</f>
        <v/>
      </c>
    </row>
    <row r="1038" spans="2:13" x14ac:dyDescent="0.25">
      <c r="B1038" t="str">
        <f>IF(IFERROR(VLOOKUP(TRIM(A1038),Inventory!E:E,1,0),0)=0,"X","_")</f>
        <v>_</v>
      </c>
      <c r="C1038" t="str">
        <f>IF(IFERROR(VLOOKUP(TRIM(A1038),'Full Inventory'!F:F,1,0),0)=0,"X","_")</f>
        <v>_</v>
      </c>
      <c r="D1038" t="str">
        <f t="shared" si="48"/>
        <v>X</v>
      </c>
      <c r="E1038" t="str">
        <f ca="1">IFERROR(IF(AND(B1038&amp;C1038&amp;D1038="___",INDIRECT("Inventory!A"&amp;MATCH(VLOOKUP(A1038,Inventory!E:E,1,0),Inventory!E:E,0))&lt;&gt;INDIRECT("'Full Inventory'!B"&amp;MATCH(VLOOKUP(A1038,'Full Inventory'!F:F,1,0),'Full Inventory'!F:F,0))),"X","_"),"_")</f>
        <v>_</v>
      </c>
      <c r="K1038" t="str">
        <f t="shared" ca="1" si="49"/>
        <v>__X_</v>
      </c>
      <c r="L1038" t="str">
        <f t="shared" ca="1" si="50"/>
        <v/>
      </c>
      <c r="M1038" t="str">
        <f>IFERROR(INDEX(Inventory!A:A,MATCH(Scan!A1038,Inventory!E:E,0)),"")</f>
        <v/>
      </c>
    </row>
    <row r="1039" spans="2:13" x14ac:dyDescent="0.25">
      <c r="B1039" t="str">
        <f>IF(IFERROR(VLOOKUP(TRIM(A1039),Inventory!E:E,1,0),0)=0,"X","_")</f>
        <v>_</v>
      </c>
      <c r="C1039" t="str">
        <f>IF(IFERROR(VLOOKUP(TRIM(A1039),'Full Inventory'!F:F,1,0),0)=0,"X","_")</f>
        <v>_</v>
      </c>
      <c r="D1039" t="str">
        <f t="shared" si="48"/>
        <v>X</v>
      </c>
      <c r="E1039" t="str">
        <f ca="1">IFERROR(IF(AND(B1039&amp;C1039&amp;D1039="___",INDIRECT("Inventory!A"&amp;MATCH(VLOOKUP(A1039,Inventory!E:E,1,0),Inventory!E:E,0))&lt;&gt;INDIRECT("'Full Inventory'!B"&amp;MATCH(VLOOKUP(A1039,'Full Inventory'!F:F,1,0),'Full Inventory'!F:F,0))),"X","_"),"_")</f>
        <v>_</v>
      </c>
      <c r="K1039" t="str">
        <f t="shared" ca="1" si="49"/>
        <v>__X_</v>
      </c>
      <c r="L1039" t="str">
        <f t="shared" ca="1" si="50"/>
        <v/>
      </c>
      <c r="M1039" t="str">
        <f>IFERROR(INDEX(Inventory!A:A,MATCH(Scan!A1039,Inventory!E:E,0)),"")</f>
        <v/>
      </c>
    </row>
    <row r="1040" spans="2:13" x14ac:dyDescent="0.25">
      <c r="B1040" t="str">
        <f>IF(IFERROR(VLOOKUP(TRIM(A1040),Inventory!E:E,1,0),0)=0,"X","_")</f>
        <v>_</v>
      </c>
      <c r="C1040" t="str">
        <f>IF(IFERROR(VLOOKUP(TRIM(A1040),'Full Inventory'!F:F,1,0),0)=0,"X","_")</f>
        <v>_</v>
      </c>
      <c r="D1040" t="str">
        <f t="shared" si="48"/>
        <v>X</v>
      </c>
      <c r="E1040" t="str">
        <f ca="1">IFERROR(IF(AND(B1040&amp;C1040&amp;D1040="___",INDIRECT("Inventory!A"&amp;MATCH(VLOOKUP(A1040,Inventory!E:E,1,0),Inventory!E:E,0))&lt;&gt;INDIRECT("'Full Inventory'!B"&amp;MATCH(VLOOKUP(A1040,'Full Inventory'!F:F,1,0),'Full Inventory'!F:F,0))),"X","_"),"_")</f>
        <v>_</v>
      </c>
      <c r="K1040" t="str">
        <f t="shared" ca="1" si="49"/>
        <v>__X_</v>
      </c>
      <c r="L1040" t="str">
        <f t="shared" ca="1" si="50"/>
        <v/>
      </c>
      <c r="M1040" t="str">
        <f>IFERROR(INDEX(Inventory!A:A,MATCH(Scan!A1040,Inventory!E:E,0)),"")</f>
        <v/>
      </c>
    </row>
    <row r="1041" spans="2:13" x14ac:dyDescent="0.25">
      <c r="B1041" t="str">
        <f>IF(IFERROR(VLOOKUP(TRIM(A1041),Inventory!E:E,1,0),0)=0,"X","_")</f>
        <v>_</v>
      </c>
      <c r="C1041" t="str">
        <f>IF(IFERROR(VLOOKUP(TRIM(A1041),'Full Inventory'!F:F,1,0),0)=0,"X","_")</f>
        <v>_</v>
      </c>
      <c r="D1041" t="str">
        <f t="shared" si="48"/>
        <v>X</v>
      </c>
      <c r="E1041" t="str">
        <f ca="1">IFERROR(IF(AND(B1041&amp;C1041&amp;D1041="___",INDIRECT("Inventory!A"&amp;MATCH(VLOOKUP(A1041,Inventory!E:E,1,0),Inventory!E:E,0))&lt;&gt;INDIRECT("'Full Inventory'!B"&amp;MATCH(VLOOKUP(A1041,'Full Inventory'!F:F,1,0),'Full Inventory'!F:F,0))),"X","_"),"_")</f>
        <v>_</v>
      </c>
      <c r="K1041" t="str">
        <f t="shared" ca="1" si="49"/>
        <v>__X_</v>
      </c>
      <c r="L1041" t="str">
        <f t="shared" ca="1" si="50"/>
        <v/>
      </c>
      <c r="M1041" t="str">
        <f>IFERROR(INDEX(Inventory!A:A,MATCH(Scan!A1041,Inventory!E:E,0)),"")</f>
        <v/>
      </c>
    </row>
    <row r="1042" spans="2:13" x14ac:dyDescent="0.25">
      <c r="B1042" t="str">
        <f>IF(IFERROR(VLOOKUP(TRIM(A1042),Inventory!E:E,1,0),0)=0,"X","_")</f>
        <v>_</v>
      </c>
      <c r="C1042" t="str">
        <f>IF(IFERROR(VLOOKUP(TRIM(A1042),'Full Inventory'!F:F,1,0),0)=0,"X","_")</f>
        <v>_</v>
      </c>
      <c r="D1042" t="str">
        <f t="shared" si="48"/>
        <v>X</v>
      </c>
      <c r="E1042" t="str">
        <f ca="1">IFERROR(IF(AND(B1042&amp;C1042&amp;D1042="___",INDIRECT("Inventory!A"&amp;MATCH(VLOOKUP(A1042,Inventory!E:E,1,0),Inventory!E:E,0))&lt;&gt;INDIRECT("'Full Inventory'!B"&amp;MATCH(VLOOKUP(A1042,'Full Inventory'!F:F,1,0),'Full Inventory'!F:F,0))),"X","_"),"_")</f>
        <v>_</v>
      </c>
      <c r="K1042" t="str">
        <f t="shared" ca="1" si="49"/>
        <v>__X_</v>
      </c>
      <c r="L1042" t="str">
        <f t="shared" ca="1" si="50"/>
        <v/>
      </c>
      <c r="M1042" t="str">
        <f>IFERROR(INDEX(Inventory!A:A,MATCH(Scan!A1042,Inventory!E:E,0)),"")</f>
        <v/>
      </c>
    </row>
    <row r="1043" spans="2:13" x14ac:dyDescent="0.25">
      <c r="B1043" t="str">
        <f>IF(IFERROR(VLOOKUP(TRIM(A1043),Inventory!E:E,1,0),0)=0,"X","_")</f>
        <v>_</v>
      </c>
      <c r="C1043" t="str">
        <f>IF(IFERROR(VLOOKUP(TRIM(A1043),'Full Inventory'!F:F,1,0),0)=0,"X","_")</f>
        <v>_</v>
      </c>
      <c r="D1043" t="str">
        <f t="shared" si="48"/>
        <v>X</v>
      </c>
      <c r="E1043" t="str">
        <f ca="1">IFERROR(IF(AND(B1043&amp;C1043&amp;D1043="___",INDIRECT("Inventory!A"&amp;MATCH(VLOOKUP(A1043,Inventory!E:E,1,0),Inventory!E:E,0))&lt;&gt;INDIRECT("'Full Inventory'!B"&amp;MATCH(VLOOKUP(A1043,'Full Inventory'!F:F,1,0),'Full Inventory'!F:F,0))),"X","_"),"_")</f>
        <v>_</v>
      </c>
      <c r="K1043" t="str">
        <f t="shared" ca="1" si="49"/>
        <v>__X_</v>
      </c>
      <c r="L1043" t="str">
        <f t="shared" ca="1" si="50"/>
        <v/>
      </c>
      <c r="M1043" t="str">
        <f>IFERROR(INDEX(Inventory!A:A,MATCH(Scan!A1043,Inventory!E:E,0)),"")</f>
        <v/>
      </c>
    </row>
    <row r="1044" spans="2:13" x14ac:dyDescent="0.25">
      <c r="B1044" t="str">
        <f>IF(IFERROR(VLOOKUP(TRIM(A1044),Inventory!E:E,1,0),0)=0,"X","_")</f>
        <v>_</v>
      </c>
      <c r="C1044" t="str">
        <f>IF(IFERROR(VLOOKUP(TRIM(A1044),'Full Inventory'!F:F,1,0),0)=0,"X","_")</f>
        <v>_</v>
      </c>
      <c r="D1044" t="str">
        <f t="shared" si="48"/>
        <v>X</v>
      </c>
      <c r="E1044" t="str">
        <f ca="1">IFERROR(IF(AND(B1044&amp;C1044&amp;D1044="___",INDIRECT("Inventory!A"&amp;MATCH(VLOOKUP(A1044,Inventory!E:E,1,0),Inventory!E:E,0))&lt;&gt;INDIRECT("'Full Inventory'!B"&amp;MATCH(VLOOKUP(A1044,'Full Inventory'!F:F,1,0),'Full Inventory'!F:F,0))),"X","_"),"_")</f>
        <v>_</v>
      </c>
      <c r="K1044" t="str">
        <f t="shared" ca="1" si="49"/>
        <v>__X_</v>
      </c>
      <c r="L1044" t="str">
        <f t="shared" ca="1" si="50"/>
        <v/>
      </c>
      <c r="M1044" t="str">
        <f>IFERROR(INDEX(Inventory!A:A,MATCH(Scan!A1044,Inventory!E:E,0)),"")</f>
        <v/>
      </c>
    </row>
    <row r="1045" spans="2:13" x14ac:dyDescent="0.25">
      <c r="B1045" t="str">
        <f>IF(IFERROR(VLOOKUP(TRIM(A1045),Inventory!E:E,1,0),0)=0,"X","_")</f>
        <v>_</v>
      </c>
      <c r="C1045" t="str">
        <f>IF(IFERROR(VLOOKUP(TRIM(A1045),'Full Inventory'!F:F,1,0),0)=0,"X","_")</f>
        <v>_</v>
      </c>
      <c r="D1045" t="str">
        <f t="shared" si="48"/>
        <v>X</v>
      </c>
      <c r="E1045" t="str">
        <f ca="1">IFERROR(IF(AND(B1045&amp;C1045&amp;D1045="___",INDIRECT("Inventory!A"&amp;MATCH(VLOOKUP(A1045,Inventory!E:E,1,0),Inventory!E:E,0))&lt;&gt;INDIRECT("'Full Inventory'!B"&amp;MATCH(VLOOKUP(A1045,'Full Inventory'!F:F,1,0),'Full Inventory'!F:F,0))),"X","_"),"_")</f>
        <v>_</v>
      </c>
      <c r="K1045" t="str">
        <f t="shared" ca="1" si="49"/>
        <v>__X_</v>
      </c>
      <c r="L1045" t="str">
        <f t="shared" ca="1" si="50"/>
        <v/>
      </c>
      <c r="M1045" t="str">
        <f>IFERROR(INDEX(Inventory!A:A,MATCH(Scan!A1045,Inventory!E:E,0)),"")</f>
        <v/>
      </c>
    </row>
    <row r="1046" spans="2:13" x14ac:dyDescent="0.25">
      <c r="B1046" t="str">
        <f>IF(IFERROR(VLOOKUP(TRIM(A1046),Inventory!E:E,1,0),0)=0,"X","_")</f>
        <v>_</v>
      </c>
      <c r="C1046" t="str">
        <f>IF(IFERROR(VLOOKUP(TRIM(A1046),'Full Inventory'!F:F,1,0),0)=0,"X","_")</f>
        <v>_</v>
      </c>
      <c r="D1046" t="str">
        <f t="shared" si="48"/>
        <v>X</v>
      </c>
      <c r="E1046" t="str">
        <f ca="1">IFERROR(IF(AND(B1046&amp;C1046&amp;D1046="___",INDIRECT("Inventory!A"&amp;MATCH(VLOOKUP(A1046,Inventory!E:E,1,0),Inventory!E:E,0))&lt;&gt;INDIRECT("'Full Inventory'!B"&amp;MATCH(VLOOKUP(A1046,'Full Inventory'!F:F,1,0),'Full Inventory'!F:F,0))),"X","_"),"_")</f>
        <v>_</v>
      </c>
      <c r="K1046" t="str">
        <f t="shared" ca="1" si="49"/>
        <v>__X_</v>
      </c>
      <c r="L1046" t="str">
        <f t="shared" ca="1" si="50"/>
        <v/>
      </c>
      <c r="M1046" t="str">
        <f>IFERROR(INDEX(Inventory!A:A,MATCH(Scan!A1046,Inventory!E:E,0)),"")</f>
        <v/>
      </c>
    </row>
    <row r="1047" spans="2:13" x14ac:dyDescent="0.25">
      <c r="B1047" t="str">
        <f>IF(IFERROR(VLOOKUP(TRIM(A1047),Inventory!E:E,1,0),0)=0,"X","_")</f>
        <v>_</v>
      </c>
      <c r="C1047" t="str">
        <f>IF(IFERROR(VLOOKUP(TRIM(A1047),'Full Inventory'!F:F,1,0),0)=0,"X","_")</f>
        <v>_</v>
      </c>
      <c r="D1047" t="str">
        <f t="shared" si="48"/>
        <v>X</v>
      </c>
      <c r="E1047" t="str">
        <f ca="1">IFERROR(IF(AND(B1047&amp;C1047&amp;D1047="___",INDIRECT("Inventory!A"&amp;MATCH(VLOOKUP(A1047,Inventory!E:E,1,0),Inventory!E:E,0))&lt;&gt;INDIRECT("'Full Inventory'!B"&amp;MATCH(VLOOKUP(A1047,'Full Inventory'!F:F,1,0),'Full Inventory'!F:F,0))),"X","_"),"_")</f>
        <v>_</v>
      </c>
      <c r="K1047" t="str">
        <f t="shared" ca="1" si="49"/>
        <v>__X_</v>
      </c>
      <c r="L1047" t="str">
        <f t="shared" ca="1" si="50"/>
        <v/>
      </c>
      <c r="M1047" t="str">
        <f>IFERROR(INDEX(Inventory!A:A,MATCH(Scan!A1047,Inventory!E:E,0)),"")</f>
        <v/>
      </c>
    </row>
    <row r="1048" spans="2:13" x14ac:dyDescent="0.25">
      <c r="B1048" t="str">
        <f>IF(IFERROR(VLOOKUP(TRIM(A1048),Inventory!E:E,1,0),0)=0,"X","_")</f>
        <v>_</v>
      </c>
      <c r="C1048" t="str">
        <f>IF(IFERROR(VLOOKUP(TRIM(A1048),'Full Inventory'!F:F,1,0),0)=0,"X","_")</f>
        <v>_</v>
      </c>
      <c r="D1048" t="str">
        <f t="shared" si="48"/>
        <v>X</v>
      </c>
      <c r="E1048" t="str">
        <f ca="1">IFERROR(IF(AND(B1048&amp;C1048&amp;D1048="___",INDIRECT("Inventory!A"&amp;MATCH(VLOOKUP(A1048,Inventory!E:E,1,0),Inventory!E:E,0))&lt;&gt;INDIRECT("'Full Inventory'!B"&amp;MATCH(VLOOKUP(A1048,'Full Inventory'!F:F,1,0),'Full Inventory'!F:F,0))),"X","_"),"_")</f>
        <v>_</v>
      </c>
      <c r="K1048" t="str">
        <f t="shared" ca="1" si="49"/>
        <v>__X_</v>
      </c>
      <c r="L1048" t="str">
        <f t="shared" ca="1" si="50"/>
        <v/>
      </c>
      <c r="M1048" t="str">
        <f>IFERROR(INDEX(Inventory!A:A,MATCH(Scan!A1048,Inventory!E:E,0)),"")</f>
        <v/>
      </c>
    </row>
    <row r="1049" spans="2:13" x14ac:dyDescent="0.25">
      <c r="B1049" t="str">
        <f>IF(IFERROR(VLOOKUP(TRIM(A1049),Inventory!E:E,1,0),0)=0,"X","_")</f>
        <v>_</v>
      </c>
      <c r="C1049" t="str">
        <f>IF(IFERROR(VLOOKUP(TRIM(A1049),'Full Inventory'!F:F,1,0),0)=0,"X","_")</f>
        <v>_</v>
      </c>
      <c r="D1049" t="str">
        <f t="shared" si="48"/>
        <v>X</v>
      </c>
      <c r="E1049" t="str">
        <f ca="1">IFERROR(IF(AND(B1049&amp;C1049&amp;D1049="___",INDIRECT("Inventory!A"&amp;MATCH(VLOOKUP(A1049,Inventory!E:E,1,0),Inventory!E:E,0))&lt;&gt;INDIRECT("'Full Inventory'!B"&amp;MATCH(VLOOKUP(A1049,'Full Inventory'!F:F,1,0),'Full Inventory'!F:F,0))),"X","_"),"_")</f>
        <v>_</v>
      </c>
      <c r="K1049" t="str">
        <f t="shared" ca="1" si="49"/>
        <v>__X_</v>
      </c>
      <c r="L1049" t="str">
        <f t="shared" ca="1" si="50"/>
        <v/>
      </c>
      <c r="M1049" t="str">
        <f>IFERROR(INDEX(Inventory!A:A,MATCH(Scan!A1049,Inventory!E:E,0)),"")</f>
        <v/>
      </c>
    </row>
    <row r="1050" spans="2:13" x14ac:dyDescent="0.25">
      <c r="B1050" t="str">
        <f>IF(IFERROR(VLOOKUP(TRIM(A1050),Inventory!E:E,1,0),0)=0,"X","_")</f>
        <v>_</v>
      </c>
      <c r="C1050" t="str">
        <f>IF(IFERROR(VLOOKUP(TRIM(A1050),'Full Inventory'!F:F,1,0),0)=0,"X","_")</f>
        <v>_</v>
      </c>
      <c r="D1050" t="str">
        <f t="shared" si="48"/>
        <v>X</v>
      </c>
      <c r="E1050" t="str">
        <f ca="1">IFERROR(IF(AND(B1050&amp;C1050&amp;D1050="___",INDIRECT("Inventory!A"&amp;MATCH(VLOOKUP(A1050,Inventory!E:E,1,0),Inventory!E:E,0))&lt;&gt;INDIRECT("'Full Inventory'!B"&amp;MATCH(VLOOKUP(A1050,'Full Inventory'!F:F,1,0),'Full Inventory'!F:F,0))),"X","_"),"_")</f>
        <v>_</v>
      </c>
      <c r="K1050" t="str">
        <f t="shared" ca="1" si="49"/>
        <v>__X_</v>
      </c>
      <c r="L1050" t="str">
        <f t="shared" ca="1" si="50"/>
        <v/>
      </c>
      <c r="M1050" t="str">
        <f>IFERROR(INDEX(Inventory!A:A,MATCH(Scan!A1050,Inventory!E:E,0)),"")</f>
        <v/>
      </c>
    </row>
    <row r="1051" spans="2:13" x14ac:dyDescent="0.25">
      <c r="B1051" t="str">
        <f>IF(IFERROR(VLOOKUP(TRIM(A1051),Inventory!E:E,1,0),0)=0,"X","_")</f>
        <v>_</v>
      </c>
      <c r="C1051" t="str">
        <f>IF(IFERROR(VLOOKUP(TRIM(A1051),'Full Inventory'!F:F,1,0),0)=0,"X","_")</f>
        <v>_</v>
      </c>
      <c r="D1051" t="str">
        <f t="shared" si="48"/>
        <v>X</v>
      </c>
      <c r="E1051" t="str">
        <f ca="1">IFERROR(IF(AND(B1051&amp;C1051&amp;D1051="___",INDIRECT("Inventory!A"&amp;MATCH(VLOOKUP(A1051,Inventory!E:E,1,0),Inventory!E:E,0))&lt;&gt;INDIRECT("'Full Inventory'!B"&amp;MATCH(VLOOKUP(A1051,'Full Inventory'!F:F,1,0),'Full Inventory'!F:F,0))),"X","_"),"_")</f>
        <v>_</v>
      </c>
      <c r="K1051" t="str">
        <f t="shared" ca="1" si="49"/>
        <v>__X_</v>
      </c>
      <c r="L1051" t="str">
        <f t="shared" ca="1" si="50"/>
        <v/>
      </c>
      <c r="M1051" t="str">
        <f>IFERROR(INDEX(Inventory!A:A,MATCH(Scan!A1051,Inventory!E:E,0)),"")</f>
        <v/>
      </c>
    </row>
    <row r="1052" spans="2:13" x14ac:dyDescent="0.25">
      <c r="B1052" t="str">
        <f>IF(IFERROR(VLOOKUP(TRIM(A1052),Inventory!E:E,1,0),0)=0,"X","_")</f>
        <v>_</v>
      </c>
      <c r="C1052" t="str">
        <f>IF(IFERROR(VLOOKUP(TRIM(A1052),'Full Inventory'!F:F,1,0),0)=0,"X","_")</f>
        <v>_</v>
      </c>
      <c r="D1052" t="str">
        <f t="shared" si="48"/>
        <v>X</v>
      </c>
      <c r="E1052" t="str">
        <f ca="1">IFERROR(IF(AND(B1052&amp;C1052&amp;D1052="___",INDIRECT("Inventory!A"&amp;MATCH(VLOOKUP(A1052,Inventory!E:E,1,0),Inventory!E:E,0))&lt;&gt;INDIRECT("'Full Inventory'!B"&amp;MATCH(VLOOKUP(A1052,'Full Inventory'!F:F,1,0),'Full Inventory'!F:F,0))),"X","_"),"_")</f>
        <v>_</v>
      </c>
      <c r="K1052" t="str">
        <f t="shared" ca="1" si="49"/>
        <v>__X_</v>
      </c>
      <c r="L1052" t="str">
        <f t="shared" ca="1" si="50"/>
        <v/>
      </c>
      <c r="M1052" t="str">
        <f>IFERROR(INDEX(Inventory!A:A,MATCH(Scan!A1052,Inventory!E:E,0)),"")</f>
        <v/>
      </c>
    </row>
    <row r="1053" spans="2:13" x14ac:dyDescent="0.25">
      <c r="B1053" t="str">
        <f>IF(IFERROR(VLOOKUP(TRIM(A1053),Inventory!E:E,1,0),0)=0,"X","_")</f>
        <v>_</v>
      </c>
      <c r="C1053" t="str">
        <f>IF(IFERROR(VLOOKUP(TRIM(A1053),'Full Inventory'!F:F,1,0),0)=0,"X","_")</f>
        <v>_</v>
      </c>
      <c r="D1053" t="str">
        <f t="shared" si="48"/>
        <v>X</v>
      </c>
      <c r="E1053" t="str">
        <f ca="1">IFERROR(IF(AND(B1053&amp;C1053&amp;D1053="___",INDIRECT("Inventory!A"&amp;MATCH(VLOOKUP(A1053,Inventory!E:E,1,0),Inventory!E:E,0))&lt;&gt;INDIRECT("'Full Inventory'!B"&amp;MATCH(VLOOKUP(A1053,'Full Inventory'!F:F,1,0),'Full Inventory'!F:F,0))),"X","_"),"_")</f>
        <v>_</v>
      </c>
      <c r="K1053" t="str">
        <f t="shared" ca="1" si="49"/>
        <v>__X_</v>
      </c>
      <c r="L1053" t="str">
        <f t="shared" ca="1" si="50"/>
        <v/>
      </c>
      <c r="M1053" t="str">
        <f>IFERROR(INDEX(Inventory!A:A,MATCH(Scan!A1053,Inventory!E:E,0)),"")</f>
        <v/>
      </c>
    </row>
    <row r="1054" spans="2:13" x14ac:dyDescent="0.25">
      <c r="B1054" t="str">
        <f>IF(IFERROR(VLOOKUP(TRIM(A1054),Inventory!E:E,1,0),0)=0,"X","_")</f>
        <v>_</v>
      </c>
      <c r="C1054" t="str">
        <f>IF(IFERROR(VLOOKUP(TRIM(A1054),'Full Inventory'!F:F,1,0),0)=0,"X","_")</f>
        <v>_</v>
      </c>
      <c r="D1054" t="str">
        <f t="shared" si="48"/>
        <v>X</v>
      </c>
      <c r="E1054" t="str">
        <f ca="1">IFERROR(IF(AND(B1054&amp;C1054&amp;D1054="___",INDIRECT("Inventory!A"&amp;MATCH(VLOOKUP(A1054,Inventory!E:E,1,0),Inventory!E:E,0))&lt;&gt;INDIRECT("'Full Inventory'!B"&amp;MATCH(VLOOKUP(A1054,'Full Inventory'!F:F,1,0),'Full Inventory'!F:F,0))),"X","_"),"_")</f>
        <v>_</v>
      </c>
      <c r="K1054" t="str">
        <f t="shared" ca="1" si="49"/>
        <v>__X_</v>
      </c>
      <c r="L1054" t="str">
        <f t="shared" ca="1" si="50"/>
        <v/>
      </c>
      <c r="M1054" t="str">
        <f>IFERROR(INDEX(Inventory!A:A,MATCH(Scan!A1054,Inventory!E:E,0)),"")</f>
        <v/>
      </c>
    </row>
    <row r="1055" spans="2:13" x14ac:dyDescent="0.25">
      <c r="B1055" t="str">
        <f>IF(IFERROR(VLOOKUP(TRIM(A1055),Inventory!E:E,1,0),0)=0,"X","_")</f>
        <v>_</v>
      </c>
      <c r="C1055" t="str">
        <f>IF(IFERROR(VLOOKUP(TRIM(A1055),'Full Inventory'!F:F,1,0),0)=0,"X","_")</f>
        <v>_</v>
      </c>
      <c r="D1055" t="str">
        <f t="shared" si="48"/>
        <v>X</v>
      </c>
      <c r="E1055" t="str">
        <f ca="1">IFERROR(IF(AND(B1055&amp;C1055&amp;D1055="___",INDIRECT("Inventory!A"&amp;MATCH(VLOOKUP(A1055,Inventory!E:E,1,0),Inventory!E:E,0))&lt;&gt;INDIRECT("'Full Inventory'!B"&amp;MATCH(VLOOKUP(A1055,'Full Inventory'!F:F,1,0),'Full Inventory'!F:F,0))),"X","_"),"_")</f>
        <v>_</v>
      </c>
      <c r="K1055" t="str">
        <f t="shared" ca="1" si="49"/>
        <v>__X_</v>
      </c>
      <c r="L1055" t="str">
        <f t="shared" ca="1" si="50"/>
        <v/>
      </c>
      <c r="M1055" t="str">
        <f>IFERROR(INDEX(Inventory!A:A,MATCH(Scan!A1055,Inventory!E:E,0)),"")</f>
        <v/>
      </c>
    </row>
    <row r="1056" spans="2:13" x14ac:dyDescent="0.25">
      <c r="B1056" t="str">
        <f>IF(IFERROR(VLOOKUP(TRIM(A1056),Inventory!E:E,1,0),0)=0,"X","_")</f>
        <v>_</v>
      </c>
      <c r="C1056" t="str">
        <f>IF(IFERROR(VLOOKUP(TRIM(A1056),'Full Inventory'!F:F,1,0),0)=0,"X","_")</f>
        <v>_</v>
      </c>
      <c r="D1056" t="str">
        <f t="shared" si="48"/>
        <v>X</v>
      </c>
      <c r="E1056" t="str">
        <f ca="1">IFERROR(IF(AND(B1056&amp;C1056&amp;D1056="___",INDIRECT("Inventory!A"&amp;MATCH(VLOOKUP(A1056,Inventory!E:E,1,0),Inventory!E:E,0))&lt;&gt;INDIRECT("'Full Inventory'!B"&amp;MATCH(VLOOKUP(A1056,'Full Inventory'!F:F,1,0),'Full Inventory'!F:F,0))),"X","_"),"_")</f>
        <v>_</v>
      </c>
      <c r="K1056" t="str">
        <f t="shared" ca="1" si="49"/>
        <v>__X_</v>
      </c>
      <c r="L1056" t="str">
        <f t="shared" ca="1" si="50"/>
        <v/>
      </c>
      <c r="M1056" t="str">
        <f>IFERROR(INDEX(Inventory!A:A,MATCH(Scan!A1056,Inventory!E:E,0)),"")</f>
        <v/>
      </c>
    </row>
    <row r="1057" spans="2:13" x14ac:dyDescent="0.25">
      <c r="B1057" t="str">
        <f>IF(IFERROR(VLOOKUP(TRIM(A1057),Inventory!E:E,1,0),0)=0,"X","_")</f>
        <v>_</v>
      </c>
      <c r="C1057" t="str">
        <f>IF(IFERROR(VLOOKUP(TRIM(A1057),'Full Inventory'!F:F,1,0),0)=0,"X","_")</f>
        <v>_</v>
      </c>
      <c r="D1057" t="str">
        <f t="shared" si="48"/>
        <v>X</v>
      </c>
      <c r="E1057" t="str">
        <f ca="1">IFERROR(IF(AND(B1057&amp;C1057&amp;D1057="___",INDIRECT("Inventory!A"&amp;MATCH(VLOOKUP(A1057,Inventory!E:E,1,0),Inventory!E:E,0))&lt;&gt;INDIRECT("'Full Inventory'!B"&amp;MATCH(VLOOKUP(A1057,'Full Inventory'!F:F,1,0),'Full Inventory'!F:F,0))),"X","_"),"_")</f>
        <v>_</v>
      </c>
      <c r="K1057" t="str">
        <f t="shared" ca="1" si="49"/>
        <v>__X_</v>
      </c>
      <c r="L1057" t="str">
        <f t="shared" ca="1" si="50"/>
        <v/>
      </c>
      <c r="M1057" t="str">
        <f>IFERROR(INDEX(Inventory!A:A,MATCH(Scan!A1057,Inventory!E:E,0)),"")</f>
        <v/>
      </c>
    </row>
    <row r="1058" spans="2:13" x14ac:dyDescent="0.25">
      <c r="B1058" t="str">
        <f>IF(IFERROR(VLOOKUP(TRIM(A1058),Inventory!E:E,1,0),0)=0,"X","_")</f>
        <v>_</v>
      </c>
      <c r="C1058" t="str">
        <f>IF(IFERROR(VLOOKUP(TRIM(A1058),'Full Inventory'!F:F,1,0),0)=0,"X","_")</f>
        <v>_</v>
      </c>
      <c r="D1058" t="str">
        <f t="shared" si="48"/>
        <v>X</v>
      </c>
      <c r="E1058" t="str">
        <f ca="1">IFERROR(IF(AND(B1058&amp;C1058&amp;D1058="___",INDIRECT("Inventory!A"&amp;MATCH(VLOOKUP(A1058,Inventory!E:E,1,0),Inventory!E:E,0))&lt;&gt;INDIRECT("'Full Inventory'!B"&amp;MATCH(VLOOKUP(A1058,'Full Inventory'!F:F,1,0),'Full Inventory'!F:F,0))),"X","_"),"_")</f>
        <v>_</v>
      </c>
      <c r="K1058" t="str">
        <f t="shared" ca="1" si="49"/>
        <v>__X_</v>
      </c>
      <c r="L1058" t="str">
        <f t="shared" ca="1" si="50"/>
        <v/>
      </c>
      <c r="M1058" t="str">
        <f>IFERROR(INDEX(Inventory!A:A,MATCH(Scan!A1058,Inventory!E:E,0)),"")</f>
        <v/>
      </c>
    </row>
    <row r="1059" spans="2:13" x14ac:dyDescent="0.25">
      <c r="B1059" t="str">
        <f>IF(IFERROR(VLOOKUP(TRIM(A1059),Inventory!E:E,1,0),0)=0,"X","_")</f>
        <v>_</v>
      </c>
      <c r="C1059" t="str">
        <f>IF(IFERROR(VLOOKUP(TRIM(A1059),'Full Inventory'!F:F,1,0),0)=0,"X","_")</f>
        <v>_</v>
      </c>
      <c r="D1059" t="str">
        <f t="shared" si="48"/>
        <v>X</v>
      </c>
      <c r="E1059" t="str">
        <f ca="1">IFERROR(IF(AND(B1059&amp;C1059&amp;D1059="___",INDIRECT("Inventory!A"&amp;MATCH(VLOOKUP(A1059,Inventory!E:E,1,0),Inventory!E:E,0))&lt;&gt;INDIRECT("'Full Inventory'!B"&amp;MATCH(VLOOKUP(A1059,'Full Inventory'!F:F,1,0),'Full Inventory'!F:F,0))),"X","_"),"_")</f>
        <v>_</v>
      </c>
      <c r="K1059" t="str">
        <f t="shared" ca="1" si="49"/>
        <v>__X_</v>
      </c>
      <c r="L1059" t="str">
        <f t="shared" ca="1" si="50"/>
        <v/>
      </c>
      <c r="M1059" t="str">
        <f>IFERROR(INDEX(Inventory!A:A,MATCH(Scan!A1059,Inventory!E:E,0)),"")</f>
        <v/>
      </c>
    </row>
    <row r="1060" spans="2:13" x14ac:dyDescent="0.25">
      <c r="B1060" t="str">
        <f>IF(IFERROR(VLOOKUP(TRIM(A1060),Inventory!E:E,1,0),0)=0,"X","_")</f>
        <v>_</v>
      </c>
      <c r="C1060" t="str">
        <f>IF(IFERROR(VLOOKUP(TRIM(A1060),'Full Inventory'!F:F,1,0),0)=0,"X","_")</f>
        <v>_</v>
      </c>
      <c r="D1060" t="str">
        <f t="shared" si="48"/>
        <v>X</v>
      </c>
      <c r="E1060" t="str">
        <f ca="1">IFERROR(IF(AND(B1060&amp;C1060&amp;D1060="___",INDIRECT("Inventory!A"&amp;MATCH(VLOOKUP(A1060,Inventory!E:E,1,0),Inventory!E:E,0))&lt;&gt;INDIRECT("'Full Inventory'!B"&amp;MATCH(VLOOKUP(A1060,'Full Inventory'!F:F,1,0),'Full Inventory'!F:F,0))),"X","_"),"_")</f>
        <v>_</v>
      </c>
      <c r="K1060" t="str">
        <f t="shared" ca="1" si="49"/>
        <v>__X_</v>
      </c>
      <c r="L1060" t="str">
        <f t="shared" ca="1" si="50"/>
        <v/>
      </c>
      <c r="M1060" t="str">
        <f>IFERROR(INDEX(Inventory!A:A,MATCH(Scan!A1060,Inventory!E:E,0)),"")</f>
        <v/>
      </c>
    </row>
    <row r="1061" spans="2:13" x14ac:dyDescent="0.25">
      <c r="B1061" t="str">
        <f>IF(IFERROR(VLOOKUP(TRIM(A1061),Inventory!E:E,1,0),0)=0,"X","_")</f>
        <v>_</v>
      </c>
      <c r="C1061" t="str">
        <f>IF(IFERROR(VLOOKUP(TRIM(A1061),'Full Inventory'!F:F,1,0),0)=0,"X","_")</f>
        <v>_</v>
      </c>
      <c r="D1061" t="str">
        <f t="shared" si="48"/>
        <v>X</v>
      </c>
      <c r="E1061" t="str">
        <f ca="1">IFERROR(IF(AND(B1061&amp;C1061&amp;D1061="___",INDIRECT("Inventory!A"&amp;MATCH(VLOOKUP(A1061,Inventory!E:E,1,0),Inventory!E:E,0))&lt;&gt;INDIRECT("'Full Inventory'!B"&amp;MATCH(VLOOKUP(A1061,'Full Inventory'!F:F,1,0),'Full Inventory'!F:F,0))),"X","_"),"_")</f>
        <v>_</v>
      </c>
      <c r="K1061" t="str">
        <f t="shared" ca="1" si="49"/>
        <v>__X_</v>
      </c>
      <c r="L1061" t="str">
        <f t="shared" ca="1" si="50"/>
        <v/>
      </c>
      <c r="M1061" t="str">
        <f>IFERROR(INDEX(Inventory!A:A,MATCH(Scan!A1061,Inventory!E:E,0)),"")</f>
        <v/>
      </c>
    </row>
    <row r="1062" spans="2:13" x14ac:dyDescent="0.25">
      <c r="B1062" t="str">
        <f>IF(IFERROR(VLOOKUP(TRIM(A1062),Inventory!E:E,1,0),0)=0,"X","_")</f>
        <v>_</v>
      </c>
      <c r="C1062" t="str">
        <f>IF(IFERROR(VLOOKUP(TRIM(A1062),'Full Inventory'!F:F,1,0),0)=0,"X","_")</f>
        <v>_</v>
      </c>
      <c r="D1062" t="str">
        <f t="shared" si="48"/>
        <v>X</v>
      </c>
      <c r="E1062" t="str">
        <f ca="1">IFERROR(IF(AND(B1062&amp;C1062&amp;D1062="___",INDIRECT("Inventory!A"&amp;MATCH(VLOOKUP(A1062,Inventory!E:E,1,0),Inventory!E:E,0))&lt;&gt;INDIRECT("'Full Inventory'!B"&amp;MATCH(VLOOKUP(A1062,'Full Inventory'!F:F,1,0),'Full Inventory'!F:F,0))),"X","_"),"_")</f>
        <v>_</v>
      </c>
      <c r="K1062" t="str">
        <f t="shared" ca="1" si="49"/>
        <v>__X_</v>
      </c>
      <c r="L1062" t="str">
        <f t="shared" ca="1" si="50"/>
        <v/>
      </c>
      <c r="M1062" t="str">
        <f>IFERROR(INDEX(Inventory!A:A,MATCH(Scan!A1062,Inventory!E:E,0)),"")</f>
        <v/>
      </c>
    </row>
    <row r="1063" spans="2:13" x14ac:dyDescent="0.25">
      <c r="B1063" t="str">
        <f>IF(IFERROR(VLOOKUP(TRIM(A1063),Inventory!E:E,1,0),0)=0,"X","_")</f>
        <v>_</v>
      </c>
      <c r="C1063" t="str">
        <f>IF(IFERROR(VLOOKUP(TRIM(A1063),'Full Inventory'!F:F,1,0),0)=0,"X","_")</f>
        <v>_</v>
      </c>
      <c r="D1063" t="str">
        <f t="shared" si="48"/>
        <v>X</v>
      </c>
      <c r="E1063" t="str">
        <f ca="1">IFERROR(IF(AND(B1063&amp;C1063&amp;D1063="___",INDIRECT("Inventory!A"&amp;MATCH(VLOOKUP(A1063,Inventory!E:E,1,0),Inventory!E:E,0))&lt;&gt;INDIRECT("'Full Inventory'!B"&amp;MATCH(VLOOKUP(A1063,'Full Inventory'!F:F,1,0),'Full Inventory'!F:F,0))),"X","_"),"_")</f>
        <v>_</v>
      </c>
      <c r="K1063" t="str">
        <f t="shared" ca="1" si="49"/>
        <v>__X_</v>
      </c>
      <c r="L1063" t="str">
        <f t="shared" ca="1" si="50"/>
        <v/>
      </c>
      <c r="M1063" t="str">
        <f>IFERROR(INDEX(Inventory!A:A,MATCH(Scan!A1063,Inventory!E:E,0)),"")</f>
        <v/>
      </c>
    </row>
    <row r="1064" spans="2:13" x14ac:dyDescent="0.25">
      <c r="B1064" t="str">
        <f>IF(IFERROR(VLOOKUP(TRIM(A1064),Inventory!E:E,1,0),0)=0,"X","_")</f>
        <v>_</v>
      </c>
      <c r="C1064" t="str">
        <f>IF(IFERROR(VLOOKUP(TRIM(A1064),'Full Inventory'!F:F,1,0),0)=0,"X","_")</f>
        <v>_</v>
      </c>
      <c r="D1064" t="str">
        <f t="shared" si="48"/>
        <v>X</v>
      </c>
      <c r="E1064" t="str">
        <f ca="1">IFERROR(IF(AND(B1064&amp;C1064&amp;D1064="___",INDIRECT("Inventory!A"&amp;MATCH(VLOOKUP(A1064,Inventory!E:E,1,0),Inventory!E:E,0))&lt;&gt;INDIRECT("'Full Inventory'!B"&amp;MATCH(VLOOKUP(A1064,'Full Inventory'!F:F,1,0),'Full Inventory'!F:F,0))),"X","_"),"_")</f>
        <v>_</v>
      </c>
      <c r="K1064" t="str">
        <f t="shared" ca="1" si="49"/>
        <v>__X_</v>
      </c>
      <c r="L1064" t="str">
        <f t="shared" ca="1" si="50"/>
        <v/>
      </c>
      <c r="M1064" t="str">
        <f>IFERROR(INDEX(Inventory!A:A,MATCH(Scan!A1064,Inventory!E:E,0)),"")</f>
        <v/>
      </c>
    </row>
    <row r="1065" spans="2:13" x14ac:dyDescent="0.25">
      <c r="B1065" t="str">
        <f>IF(IFERROR(VLOOKUP(TRIM(A1065),Inventory!E:E,1,0),0)=0,"X","_")</f>
        <v>_</v>
      </c>
      <c r="C1065" t="str">
        <f>IF(IFERROR(VLOOKUP(TRIM(A1065),'Full Inventory'!F:F,1,0),0)=0,"X","_")</f>
        <v>_</v>
      </c>
      <c r="D1065" t="str">
        <f t="shared" si="48"/>
        <v>X</v>
      </c>
      <c r="E1065" t="str">
        <f ca="1">IFERROR(IF(AND(B1065&amp;C1065&amp;D1065="___",INDIRECT("Inventory!A"&amp;MATCH(VLOOKUP(A1065,Inventory!E:E,1,0),Inventory!E:E,0))&lt;&gt;INDIRECT("'Full Inventory'!B"&amp;MATCH(VLOOKUP(A1065,'Full Inventory'!F:F,1,0),'Full Inventory'!F:F,0))),"X","_"),"_")</f>
        <v>_</v>
      </c>
      <c r="K1065" t="str">
        <f t="shared" ca="1" si="49"/>
        <v>__X_</v>
      </c>
      <c r="L1065" t="str">
        <f t="shared" ca="1" si="50"/>
        <v/>
      </c>
      <c r="M1065" t="str">
        <f>IFERROR(INDEX(Inventory!A:A,MATCH(Scan!A1065,Inventory!E:E,0)),"")</f>
        <v/>
      </c>
    </row>
    <row r="1066" spans="2:13" x14ac:dyDescent="0.25">
      <c r="B1066" t="str">
        <f>IF(IFERROR(VLOOKUP(TRIM(A1066),Inventory!E:E,1,0),0)=0,"X","_")</f>
        <v>_</v>
      </c>
      <c r="C1066" t="str">
        <f>IF(IFERROR(VLOOKUP(TRIM(A1066),'Full Inventory'!F:F,1,0),0)=0,"X","_")</f>
        <v>_</v>
      </c>
      <c r="D1066" t="str">
        <f t="shared" si="48"/>
        <v>X</v>
      </c>
      <c r="E1066" t="str">
        <f ca="1">IFERROR(IF(AND(B1066&amp;C1066&amp;D1066="___",INDIRECT("Inventory!A"&amp;MATCH(VLOOKUP(A1066,Inventory!E:E,1,0),Inventory!E:E,0))&lt;&gt;INDIRECT("'Full Inventory'!B"&amp;MATCH(VLOOKUP(A1066,'Full Inventory'!F:F,1,0),'Full Inventory'!F:F,0))),"X","_"),"_")</f>
        <v>_</v>
      </c>
      <c r="K1066" t="str">
        <f t="shared" ca="1" si="49"/>
        <v>__X_</v>
      </c>
      <c r="L1066" t="str">
        <f t="shared" ca="1" si="50"/>
        <v/>
      </c>
      <c r="M1066" t="str">
        <f>IFERROR(INDEX(Inventory!A:A,MATCH(Scan!A1066,Inventory!E:E,0)),"")</f>
        <v/>
      </c>
    </row>
    <row r="1067" spans="2:13" x14ac:dyDescent="0.25">
      <c r="B1067" t="str">
        <f>IF(IFERROR(VLOOKUP(TRIM(A1067),Inventory!E:E,1,0),0)=0,"X","_")</f>
        <v>_</v>
      </c>
      <c r="C1067" t="str">
        <f>IF(IFERROR(VLOOKUP(TRIM(A1067),'Full Inventory'!F:F,1,0),0)=0,"X","_")</f>
        <v>_</v>
      </c>
      <c r="D1067" t="str">
        <f t="shared" si="48"/>
        <v>X</v>
      </c>
      <c r="E1067" t="str">
        <f ca="1">IFERROR(IF(AND(B1067&amp;C1067&amp;D1067="___",INDIRECT("Inventory!A"&amp;MATCH(VLOOKUP(A1067,Inventory!E:E,1,0),Inventory!E:E,0))&lt;&gt;INDIRECT("'Full Inventory'!B"&amp;MATCH(VLOOKUP(A1067,'Full Inventory'!F:F,1,0),'Full Inventory'!F:F,0))),"X","_"),"_")</f>
        <v>_</v>
      </c>
      <c r="K1067" t="str">
        <f t="shared" ca="1" si="49"/>
        <v>__X_</v>
      </c>
      <c r="L1067" t="str">
        <f t="shared" ca="1" si="50"/>
        <v/>
      </c>
      <c r="M1067" t="str">
        <f>IFERROR(INDEX(Inventory!A:A,MATCH(Scan!A1067,Inventory!E:E,0)),"")</f>
        <v/>
      </c>
    </row>
    <row r="1068" spans="2:13" x14ac:dyDescent="0.25">
      <c r="B1068" t="str">
        <f>IF(IFERROR(VLOOKUP(TRIM(A1068),Inventory!E:E,1,0),0)=0,"X","_")</f>
        <v>_</v>
      </c>
      <c r="C1068" t="str">
        <f>IF(IFERROR(VLOOKUP(TRIM(A1068),'Full Inventory'!F:F,1,0),0)=0,"X","_")</f>
        <v>_</v>
      </c>
      <c r="D1068" t="str">
        <f t="shared" si="48"/>
        <v>X</v>
      </c>
      <c r="E1068" t="str">
        <f ca="1">IFERROR(IF(AND(B1068&amp;C1068&amp;D1068="___",INDIRECT("Inventory!A"&amp;MATCH(VLOOKUP(A1068,Inventory!E:E,1,0),Inventory!E:E,0))&lt;&gt;INDIRECT("'Full Inventory'!B"&amp;MATCH(VLOOKUP(A1068,'Full Inventory'!F:F,1,0),'Full Inventory'!F:F,0))),"X","_"),"_")</f>
        <v>_</v>
      </c>
      <c r="K1068" t="str">
        <f t="shared" ca="1" si="49"/>
        <v>__X_</v>
      </c>
      <c r="L1068" t="str">
        <f t="shared" ca="1" si="50"/>
        <v/>
      </c>
      <c r="M1068" t="str">
        <f>IFERROR(INDEX(Inventory!A:A,MATCH(Scan!A1068,Inventory!E:E,0)),"")</f>
        <v/>
      </c>
    </row>
    <row r="1069" spans="2:13" x14ac:dyDescent="0.25">
      <c r="B1069" t="str">
        <f>IF(IFERROR(VLOOKUP(TRIM(A1069),Inventory!E:E,1,0),0)=0,"X","_")</f>
        <v>_</v>
      </c>
      <c r="C1069" t="str">
        <f>IF(IFERROR(VLOOKUP(TRIM(A1069),'Full Inventory'!F:F,1,0),0)=0,"X","_")</f>
        <v>_</v>
      </c>
      <c r="D1069" t="str">
        <f t="shared" si="48"/>
        <v>X</v>
      </c>
      <c r="E1069" t="str">
        <f ca="1">IFERROR(IF(AND(B1069&amp;C1069&amp;D1069="___",INDIRECT("Inventory!A"&amp;MATCH(VLOOKUP(A1069,Inventory!E:E,1,0),Inventory!E:E,0))&lt;&gt;INDIRECT("'Full Inventory'!B"&amp;MATCH(VLOOKUP(A1069,'Full Inventory'!F:F,1,0),'Full Inventory'!F:F,0))),"X","_"),"_")</f>
        <v>_</v>
      </c>
      <c r="K1069" t="str">
        <f t="shared" ca="1" si="49"/>
        <v>__X_</v>
      </c>
      <c r="L1069" t="str">
        <f t="shared" ca="1" si="50"/>
        <v/>
      </c>
      <c r="M1069" t="str">
        <f>IFERROR(INDEX(Inventory!A:A,MATCH(Scan!A1069,Inventory!E:E,0)),"")</f>
        <v/>
      </c>
    </row>
    <row r="1070" spans="2:13" x14ac:dyDescent="0.25">
      <c r="B1070" t="str">
        <f>IF(IFERROR(VLOOKUP(TRIM(A1070),Inventory!E:E,1,0),0)=0,"X","_")</f>
        <v>_</v>
      </c>
      <c r="C1070" t="str">
        <f>IF(IFERROR(VLOOKUP(TRIM(A1070),'Full Inventory'!F:F,1,0),0)=0,"X","_")</f>
        <v>_</v>
      </c>
      <c r="D1070" t="str">
        <f t="shared" si="48"/>
        <v>X</v>
      </c>
      <c r="E1070" t="str">
        <f ca="1">IFERROR(IF(AND(B1070&amp;C1070&amp;D1070="___",INDIRECT("Inventory!A"&amp;MATCH(VLOOKUP(A1070,Inventory!E:E,1,0),Inventory!E:E,0))&lt;&gt;INDIRECT("'Full Inventory'!B"&amp;MATCH(VLOOKUP(A1070,'Full Inventory'!F:F,1,0),'Full Inventory'!F:F,0))),"X","_"),"_")</f>
        <v>_</v>
      </c>
      <c r="K1070" t="str">
        <f t="shared" ca="1" si="49"/>
        <v>__X_</v>
      </c>
      <c r="L1070" t="str">
        <f t="shared" ca="1" si="50"/>
        <v/>
      </c>
      <c r="M1070" t="str">
        <f>IFERROR(INDEX(Inventory!A:A,MATCH(Scan!A1070,Inventory!E:E,0)),"")</f>
        <v/>
      </c>
    </row>
    <row r="1071" spans="2:13" x14ac:dyDescent="0.25">
      <c r="B1071" t="str">
        <f>IF(IFERROR(VLOOKUP(TRIM(A1071),Inventory!E:E,1,0),0)=0,"X","_")</f>
        <v>_</v>
      </c>
      <c r="C1071" t="str">
        <f>IF(IFERROR(VLOOKUP(TRIM(A1071),'Full Inventory'!F:F,1,0),0)=0,"X","_")</f>
        <v>_</v>
      </c>
      <c r="D1071" t="str">
        <f t="shared" si="48"/>
        <v>X</v>
      </c>
      <c r="E1071" t="str">
        <f ca="1">IFERROR(IF(AND(B1071&amp;C1071&amp;D1071="___",INDIRECT("Inventory!A"&amp;MATCH(VLOOKUP(A1071,Inventory!E:E,1,0),Inventory!E:E,0))&lt;&gt;INDIRECT("'Full Inventory'!B"&amp;MATCH(VLOOKUP(A1071,'Full Inventory'!F:F,1,0),'Full Inventory'!F:F,0))),"X","_"),"_")</f>
        <v>_</v>
      </c>
      <c r="K1071" t="str">
        <f t="shared" ca="1" si="49"/>
        <v>__X_</v>
      </c>
      <c r="L1071" t="str">
        <f t="shared" ca="1" si="50"/>
        <v/>
      </c>
      <c r="M1071" t="str">
        <f>IFERROR(INDEX(Inventory!A:A,MATCH(Scan!A1071,Inventory!E:E,0)),"")</f>
        <v/>
      </c>
    </row>
    <row r="1072" spans="2:13" x14ac:dyDescent="0.25">
      <c r="B1072" t="str">
        <f>IF(IFERROR(VLOOKUP(TRIM(A1072),Inventory!E:E,1,0),0)=0,"X","_")</f>
        <v>_</v>
      </c>
      <c r="C1072" t="str">
        <f>IF(IFERROR(VLOOKUP(TRIM(A1072),'Full Inventory'!F:F,1,0),0)=0,"X","_")</f>
        <v>_</v>
      </c>
      <c r="D1072" t="str">
        <f t="shared" si="48"/>
        <v>X</v>
      </c>
      <c r="E1072" t="str">
        <f ca="1">IFERROR(IF(AND(B1072&amp;C1072&amp;D1072="___",INDIRECT("Inventory!A"&amp;MATCH(VLOOKUP(A1072,Inventory!E:E,1,0),Inventory!E:E,0))&lt;&gt;INDIRECT("'Full Inventory'!B"&amp;MATCH(VLOOKUP(A1072,'Full Inventory'!F:F,1,0),'Full Inventory'!F:F,0))),"X","_"),"_")</f>
        <v>_</v>
      </c>
      <c r="K1072" t="str">
        <f t="shared" ca="1" si="49"/>
        <v>__X_</v>
      </c>
      <c r="L1072" t="str">
        <f t="shared" ca="1" si="50"/>
        <v/>
      </c>
      <c r="M1072" t="str">
        <f>IFERROR(INDEX(Inventory!A:A,MATCH(Scan!A1072,Inventory!E:E,0)),"")</f>
        <v/>
      </c>
    </row>
    <row r="1073" spans="2:13" x14ac:dyDescent="0.25">
      <c r="B1073" t="str">
        <f>IF(IFERROR(VLOOKUP(TRIM(A1073),Inventory!E:E,1,0),0)=0,"X","_")</f>
        <v>_</v>
      </c>
      <c r="C1073" t="str">
        <f>IF(IFERROR(VLOOKUP(TRIM(A1073),'Full Inventory'!F:F,1,0),0)=0,"X","_")</f>
        <v>_</v>
      </c>
      <c r="D1073" t="str">
        <f t="shared" si="48"/>
        <v>X</v>
      </c>
      <c r="E1073" t="str">
        <f ca="1">IFERROR(IF(AND(B1073&amp;C1073&amp;D1073="___",INDIRECT("Inventory!A"&amp;MATCH(VLOOKUP(A1073,Inventory!E:E,1,0),Inventory!E:E,0))&lt;&gt;INDIRECT("'Full Inventory'!B"&amp;MATCH(VLOOKUP(A1073,'Full Inventory'!F:F,1,0),'Full Inventory'!F:F,0))),"X","_"),"_")</f>
        <v>_</v>
      </c>
      <c r="K1073" t="str">
        <f t="shared" ca="1" si="49"/>
        <v>__X_</v>
      </c>
      <c r="L1073" t="str">
        <f t="shared" ca="1" si="50"/>
        <v/>
      </c>
      <c r="M1073" t="str">
        <f>IFERROR(INDEX(Inventory!A:A,MATCH(Scan!A1073,Inventory!E:E,0)),"")</f>
        <v/>
      </c>
    </row>
    <row r="1074" spans="2:13" x14ac:dyDescent="0.25">
      <c r="B1074" t="str">
        <f>IF(IFERROR(VLOOKUP(TRIM(A1074),Inventory!E:E,1,0),0)=0,"X","_")</f>
        <v>_</v>
      </c>
      <c r="C1074" t="str">
        <f>IF(IFERROR(VLOOKUP(TRIM(A1074),'Full Inventory'!F:F,1,0),0)=0,"X","_")</f>
        <v>_</v>
      </c>
      <c r="D1074" t="str">
        <f t="shared" si="48"/>
        <v>X</v>
      </c>
      <c r="E1074" t="str">
        <f ca="1">IFERROR(IF(AND(B1074&amp;C1074&amp;D1074="___",INDIRECT("Inventory!A"&amp;MATCH(VLOOKUP(A1074,Inventory!E:E,1,0),Inventory!E:E,0))&lt;&gt;INDIRECT("'Full Inventory'!B"&amp;MATCH(VLOOKUP(A1074,'Full Inventory'!F:F,1,0),'Full Inventory'!F:F,0))),"X","_"),"_")</f>
        <v>_</v>
      </c>
      <c r="K1074" t="str">
        <f t="shared" ca="1" si="49"/>
        <v>__X_</v>
      </c>
      <c r="L1074" t="str">
        <f t="shared" ca="1" si="50"/>
        <v/>
      </c>
      <c r="M1074" t="str">
        <f>IFERROR(INDEX(Inventory!A:A,MATCH(Scan!A1074,Inventory!E:E,0)),"")</f>
        <v/>
      </c>
    </row>
    <row r="1075" spans="2:13" x14ac:dyDescent="0.25">
      <c r="B1075" t="str">
        <f>IF(IFERROR(VLOOKUP(TRIM(A1075),Inventory!E:E,1,0),0)=0,"X","_")</f>
        <v>_</v>
      </c>
      <c r="C1075" t="str">
        <f>IF(IFERROR(VLOOKUP(TRIM(A1075),'Full Inventory'!F:F,1,0),0)=0,"X","_")</f>
        <v>_</v>
      </c>
      <c r="D1075" t="str">
        <f t="shared" si="48"/>
        <v>X</v>
      </c>
      <c r="E1075" t="str">
        <f ca="1">IFERROR(IF(AND(B1075&amp;C1075&amp;D1075="___",INDIRECT("Inventory!A"&amp;MATCH(VLOOKUP(A1075,Inventory!E:E,1,0),Inventory!E:E,0))&lt;&gt;INDIRECT("'Full Inventory'!B"&amp;MATCH(VLOOKUP(A1075,'Full Inventory'!F:F,1,0),'Full Inventory'!F:F,0))),"X","_"),"_")</f>
        <v>_</v>
      </c>
      <c r="K1075" t="str">
        <f t="shared" ca="1" si="49"/>
        <v>__X_</v>
      </c>
      <c r="L1075" t="str">
        <f t="shared" ca="1" si="50"/>
        <v/>
      </c>
      <c r="M1075" t="str">
        <f>IFERROR(INDEX(Inventory!A:A,MATCH(Scan!A1075,Inventory!E:E,0)),"")</f>
        <v/>
      </c>
    </row>
    <row r="1076" spans="2:13" x14ac:dyDescent="0.25">
      <c r="B1076" t="str">
        <f>IF(IFERROR(VLOOKUP(TRIM(A1076),Inventory!E:E,1,0),0)=0,"X","_")</f>
        <v>_</v>
      </c>
      <c r="C1076" t="str">
        <f>IF(IFERROR(VLOOKUP(TRIM(A1076),'Full Inventory'!F:F,1,0),0)=0,"X","_")</f>
        <v>_</v>
      </c>
      <c r="D1076" t="str">
        <f t="shared" si="48"/>
        <v>X</v>
      </c>
      <c r="E1076" t="str">
        <f ca="1">IFERROR(IF(AND(B1076&amp;C1076&amp;D1076="___",INDIRECT("Inventory!A"&amp;MATCH(VLOOKUP(A1076,Inventory!E:E,1,0),Inventory!E:E,0))&lt;&gt;INDIRECT("'Full Inventory'!B"&amp;MATCH(VLOOKUP(A1076,'Full Inventory'!F:F,1,0),'Full Inventory'!F:F,0))),"X","_"),"_")</f>
        <v>_</v>
      </c>
      <c r="K1076" t="str">
        <f t="shared" ca="1" si="49"/>
        <v>__X_</v>
      </c>
      <c r="L1076" t="str">
        <f t="shared" ca="1" si="50"/>
        <v/>
      </c>
      <c r="M1076" t="str">
        <f>IFERROR(INDEX(Inventory!A:A,MATCH(Scan!A1076,Inventory!E:E,0)),"")</f>
        <v/>
      </c>
    </row>
    <row r="1077" spans="2:13" x14ac:dyDescent="0.25">
      <c r="B1077" t="str">
        <f>IF(IFERROR(VLOOKUP(TRIM(A1077),Inventory!E:E,1,0),0)=0,"X","_")</f>
        <v>_</v>
      </c>
      <c r="C1077" t="str">
        <f>IF(IFERROR(VLOOKUP(TRIM(A1077),'Full Inventory'!F:F,1,0),0)=0,"X","_")</f>
        <v>_</v>
      </c>
      <c r="D1077" t="str">
        <f t="shared" si="48"/>
        <v>X</v>
      </c>
      <c r="E1077" t="str">
        <f ca="1">IFERROR(IF(AND(B1077&amp;C1077&amp;D1077="___",INDIRECT("Inventory!A"&amp;MATCH(VLOOKUP(A1077,Inventory!E:E,1,0),Inventory!E:E,0))&lt;&gt;INDIRECT("'Full Inventory'!B"&amp;MATCH(VLOOKUP(A1077,'Full Inventory'!F:F,1,0),'Full Inventory'!F:F,0))),"X","_"),"_")</f>
        <v>_</v>
      </c>
      <c r="K1077" t="str">
        <f t="shared" ca="1" si="49"/>
        <v>__X_</v>
      </c>
      <c r="L1077" t="str">
        <f t="shared" ca="1" si="50"/>
        <v/>
      </c>
      <c r="M1077" t="str">
        <f>IFERROR(INDEX(Inventory!A:A,MATCH(Scan!A1077,Inventory!E:E,0)),"")</f>
        <v/>
      </c>
    </row>
    <row r="1078" spans="2:13" x14ac:dyDescent="0.25">
      <c r="B1078" t="str">
        <f>IF(IFERROR(VLOOKUP(TRIM(A1078),Inventory!E:E,1,0),0)=0,"X","_")</f>
        <v>_</v>
      </c>
      <c r="C1078" t="str">
        <f>IF(IFERROR(VLOOKUP(TRIM(A1078),'Full Inventory'!F:F,1,0),0)=0,"X","_")</f>
        <v>_</v>
      </c>
      <c r="D1078" t="str">
        <f t="shared" si="48"/>
        <v>X</v>
      </c>
      <c r="E1078" t="str">
        <f ca="1">IFERROR(IF(AND(B1078&amp;C1078&amp;D1078="___",INDIRECT("Inventory!A"&amp;MATCH(VLOOKUP(A1078,Inventory!E:E,1,0),Inventory!E:E,0))&lt;&gt;INDIRECT("'Full Inventory'!B"&amp;MATCH(VLOOKUP(A1078,'Full Inventory'!F:F,1,0),'Full Inventory'!F:F,0))),"X","_"),"_")</f>
        <v>_</v>
      </c>
      <c r="K1078" t="str">
        <f t="shared" ca="1" si="49"/>
        <v>__X_</v>
      </c>
      <c r="L1078" t="str">
        <f t="shared" ca="1" si="50"/>
        <v/>
      </c>
      <c r="M1078" t="str">
        <f>IFERROR(INDEX(Inventory!A:A,MATCH(Scan!A1078,Inventory!E:E,0)),"")</f>
        <v/>
      </c>
    </row>
    <row r="1079" spans="2:13" x14ac:dyDescent="0.25">
      <c r="B1079" t="str">
        <f>IF(IFERROR(VLOOKUP(TRIM(A1079),Inventory!E:E,1,0),0)=0,"X","_")</f>
        <v>_</v>
      </c>
      <c r="C1079" t="str">
        <f>IF(IFERROR(VLOOKUP(TRIM(A1079),'Full Inventory'!F:F,1,0),0)=0,"X","_")</f>
        <v>_</v>
      </c>
      <c r="D1079" t="str">
        <f t="shared" si="48"/>
        <v>X</v>
      </c>
      <c r="E1079" t="str">
        <f ca="1">IFERROR(IF(AND(B1079&amp;C1079&amp;D1079="___",INDIRECT("Inventory!A"&amp;MATCH(VLOOKUP(A1079,Inventory!E:E,1,0),Inventory!E:E,0))&lt;&gt;INDIRECT("'Full Inventory'!B"&amp;MATCH(VLOOKUP(A1079,'Full Inventory'!F:F,1,0),'Full Inventory'!F:F,0))),"X","_"),"_")</f>
        <v>_</v>
      </c>
      <c r="K1079" t="str">
        <f t="shared" ca="1" si="49"/>
        <v>__X_</v>
      </c>
      <c r="L1079" t="str">
        <f t="shared" ca="1" si="50"/>
        <v/>
      </c>
      <c r="M1079" t="str">
        <f>IFERROR(INDEX(Inventory!A:A,MATCH(Scan!A1079,Inventory!E:E,0)),"")</f>
        <v/>
      </c>
    </row>
    <row r="1080" spans="2:13" x14ac:dyDescent="0.25">
      <c r="B1080" t="str">
        <f>IF(IFERROR(VLOOKUP(TRIM(A1080),Inventory!E:E,1,0),0)=0,"X","_")</f>
        <v>_</v>
      </c>
      <c r="C1080" t="str">
        <f>IF(IFERROR(VLOOKUP(TRIM(A1080),'Full Inventory'!F:F,1,0),0)=0,"X","_")</f>
        <v>_</v>
      </c>
      <c r="D1080" t="str">
        <f t="shared" si="48"/>
        <v>X</v>
      </c>
      <c r="E1080" t="str">
        <f ca="1">IFERROR(IF(AND(B1080&amp;C1080&amp;D1080="___",INDIRECT("Inventory!A"&amp;MATCH(VLOOKUP(A1080,Inventory!E:E,1,0),Inventory!E:E,0))&lt;&gt;INDIRECT("'Full Inventory'!B"&amp;MATCH(VLOOKUP(A1080,'Full Inventory'!F:F,1,0),'Full Inventory'!F:F,0))),"X","_"),"_")</f>
        <v>_</v>
      </c>
      <c r="K1080" t="str">
        <f t="shared" ca="1" si="49"/>
        <v>__X_</v>
      </c>
      <c r="L1080" t="str">
        <f t="shared" ca="1" si="50"/>
        <v/>
      </c>
      <c r="M1080" t="str">
        <f>IFERROR(INDEX(Inventory!A:A,MATCH(Scan!A1080,Inventory!E:E,0)),"")</f>
        <v/>
      </c>
    </row>
    <row r="1081" spans="2:13" x14ac:dyDescent="0.25">
      <c r="B1081" t="str">
        <f>IF(IFERROR(VLOOKUP(TRIM(A1081),Inventory!E:E,1,0),0)=0,"X","_")</f>
        <v>_</v>
      </c>
      <c r="C1081" t="str">
        <f>IF(IFERROR(VLOOKUP(TRIM(A1081),'Full Inventory'!F:F,1,0),0)=0,"X","_")</f>
        <v>_</v>
      </c>
      <c r="D1081" t="str">
        <f t="shared" si="48"/>
        <v>X</v>
      </c>
      <c r="E1081" t="str">
        <f ca="1">IFERROR(IF(AND(B1081&amp;C1081&amp;D1081="___",INDIRECT("Inventory!A"&amp;MATCH(VLOOKUP(A1081,Inventory!E:E,1,0),Inventory!E:E,0))&lt;&gt;INDIRECT("'Full Inventory'!B"&amp;MATCH(VLOOKUP(A1081,'Full Inventory'!F:F,1,0),'Full Inventory'!F:F,0))),"X","_"),"_")</f>
        <v>_</v>
      </c>
      <c r="K1081" t="str">
        <f t="shared" ca="1" si="49"/>
        <v>__X_</v>
      </c>
      <c r="L1081" t="str">
        <f t="shared" ca="1" si="50"/>
        <v/>
      </c>
      <c r="M1081" t="str">
        <f>IFERROR(INDEX(Inventory!A:A,MATCH(Scan!A1081,Inventory!E:E,0)),"")</f>
        <v/>
      </c>
    </row>
    <row r="1082" spans="2:13" x14ac:dyDescent="0.25">
      <c r="B1082" t="str">
        <f>IF(IFERROR(VLOOKUP(TRIM(A1082),Inventory!E:E,1,0),0)=0,"X","_")</f>
        <v>_</v>
      </c>
      <c r="C1082" t="str">
        <f>IF(IFERROR(VLOOKUP(TRIM(A1082),'Full Inventory'!F:F,1,0),0)=0,"X","_")</f>
        <v>_</v>
      </c>
      <c r="D1082" t="str">
        <f t="shared" si="48"/>
        <v>X</v>
      </c>
      <c r="E1082" t="str">
        <f ca="1">IFERROR(IF(AND(B1082&amp;C1082&amp;D1082="___",INDIRECT("Inventory!A"&amp;MATCH(VLOOKUP(A1082,Inventory!E:E,1,0),Inventory!E:E,0))&lt;&gt;INDIRECT("'Full Inventory'!B"&amp;MATCH(VLOOKUP(A1082,'Full Inventory'!F:F,1,0),'Full Inventory'!F:F,0))),"X","_"),"_")</f>
        <v>_</v>
      </c>
      <c r="K1082" t="str">
        <f t="shared" ca="1" si="49"/>
        <v>__X_</v>
      </c>
      <c r="L1082" t="str">
        <f t="shared" ca="1" si="50"/>
        <v/>
      </c>
      <c r="M1082" t="str">
        <f>IFERROR(INDEX(Inventory!A:A,MATCH(Scan!A1082,Inventory!E:E,0)),"")</f>
        <v/>
      </c>
    </row>
    <row r="1083" spans="2:13" x14ac:dyDescent="0.25">
      <c r="B1083" t="str">
        <f>IF(IFERROR(VLOOKUP(TRIM(A1083),Inventory!E:E,1,0),0)=0,"X","_")</f>
        <v>_</v>
      </c>
      <c r="C1083" t="str">
        <f>IF(IFERROR(VLOOKUP(TRIM(A1083),'Full Inventory'!F:F,1,0),0)=0,"X","_")</f>
        <v>_</v>
      </c>
      <c r="D1083" t="str">
        <f t="shared" si="48"/>
        <v>X</v>
      </c>
      <c r="E1083" t="str">
        <f ca="1">IFERROR(IF(AND(B1083&amp;C1083&amp;D1083="___",INDIRECT("Inventory!A"&amp;MATCH(VLOOKUP(A1083,Inventory!E:E,1,0),Inventory!E:E,0))&lt;&gt;INDIRECT("'Full Inventory'!B"&amp;MATCH(VLOOKUP(A1083,'Full Inventory'!F:F,1,0),'Full Inventory'!F:F,0))),"X","_"),"_")</f>
        <v>_</v>
      </c>
      <c r="K1083" t="str">
        <f t="shared" ca="1" si="49"/>
        <v>__X_</v>
      </c>
      <c r="L1083" t="str">
        <f t="shared" ca="1" si="50"/>
        <v/>
      </c>
      <c r="M1083" t="str">
        <f>IFERROR(INDEX(Inventory!A:A,MATCH(Scan!A1083,Inventory!E:E,0)),"")</f>
        <v/>
      </c>
    </row>
    <row r="1084" spans="2:13" x14ac:dyDescent="0.25">
      <c r="B1084" t="str">
        <f>IF(IFERROR(VLOOKUP(TRIM(A1084),Inventory!E:E,1,0),0)=0,"X","_")</f>
        <v>_</v>
      </c>
      <c r="C1084" t="str">
        <f>IF(IFERROR(VLOOKUP(TRIM(A1084),'Full Inventory'!F:F,1,0),0)=0,"X","_")</f>
        <v>_</v>
      </c>
      <c r="D1084" t="str">
        <f t="shared" si="48"/>
        <v>X</v>
      </c>
      <c r="E1084" t="str">
        <f ca="1">IFERROR(IF(AND(B1084&amp;C1084&amp;D1084="___",INDIRECT("Inventory!A"&amp;MATCH(VLOOKUP(A1084,Inventory!E:E,1,0),Inventory!E:E,0))&lt;&gt;INDIRECT("'Full Inventory'!B"&amp;MATCH(VLOOKUP(A1084,'Full Inventory'!F:F,1,0),'Full Inventory'!F:F,0))),"X","_"),"_")</f>
        <v>_</v>
      </c>
      <c r="K1084" t="str">
        <f t="shared" ca="1" si="49"/>
        <v>__X_</v>
      </c>
      <c r="L1084" t="str">
        <f t="shared" ca="1" si="50"/>
        <v/>
      </c>
      <c r="M1084" t="str">
        <f>IFERROR(INDEX(Inventory!A:A,MATCH(Scan!A1084,Inventory!E:E,0)),"")</f>
        <v/>
      </c>
    </row>
    <row r="1085" spans="2:13" x14ac:dyDescent="0.25">
      <c r="B1085" t="str">
        <f>IF(IFERROR(VLOOKUP(TRIM(A1085),Inventory!E:E,1,0),0)=0,"X","_")</f>
        <v>_</v>
      </c>
      <c r="C1085" t="str">
        <f>IF(IFERROR(VLOOKUP(TRIM(A1085),'Full Inventory'!F:F,1,0),0)=0,"X","_")</f>
        <v>_</v>
      </c>
      <c r="D1085" t="str">
        <f t="shared" si="48"/>
        <v>X</v>
      </c>
      <c r="E1085" t="str">
        <f ca="1">IFERROR(IF(AND(B1085&amp;C1085&amp;D1085="___",INDIRECT("Inventory!A"&amp;MATCH(VLOOKUP(A1085,Inventory!E:E,1,0),Inventory!E:E,0))&lt;&gt;INDIRECT("'Full Inventory'!B"&amp;MATCH(VLOOKUP(A1085,'Full Inventory'!F:F,1,0),'Full Inventory'!F:F,0))),"X","_"),"_")</f>
        <v>_</v>
      </c>
      <c r="K1085" t="str">
        <f t="shared" ca="1" si="49"/>
        <v>__X_</v>
      </c>
      <c r="L1085" t="str">
        <f t="shared" ca="1" si="50"/>
        <v/>
      </c>
      <c r="M1085" t="str">
        <f>IFERROR(INDEX(Inventory!A:A,MATCH(Scan!A1085,Inventory!E:E,0)),"")</f>
        <v/>
      </c>
    </row>
    <row r="1086" spans="2:13" x14ac:dyDescent="0.25">
      <c r="B1086" t="str">
        <f>IF(IFERROR(VLOOKUP(TRIM(A1086),Inventory!E:E,1,0),0)=0,"X","_")</f>
        <v>_</v>
      </c>
      <c r="C1086" t="str">
        <f>IF(IFERROR(VLOOKUP(TRIM(A1086),'Full Inventory'!F:F,1,0),0)=0,"X","_")</f>
        <v>_</v>
      </c>
      <c r="D1086" t="str">
        <f t="shared" si="48"/>
        <v>X</v>
      </c>
      <c r="E1086" t="str">
        <f ca="1">IFERROR(IF(AND(B1086&amp;C1086&amp;D1086="___",INDIRECT("Inventory!A"&amp;MATCH(VLOOKUP(A1086,Inventory!E:E,1,0),Inventory!E:E,0))&lt;&gt;INDIRECT("'Full Inventory'!B"&amp;MATCH(VLOOKUP(A1086,'Full Inventory'!F:F,1,0),'Full Inventory'!F:F,0))),"X","_"),"_")</f>
        <v>_</v>
      </c>
      <c r="K1086" t="str">
        <f t="shared" ca="1" si="49"/>
        <v>__X_</v>
      </c>
      <c r="L1086" t="str">
        <f t="shared" ca="1" si="50"/>
        <v/>
      </c>
      <c r="M1086" t="str">
        <f>IFERROR(INDEX(Inventory!A:A,MATCH(Scan!A1086,Inventory!E:E,0)),"")</f>
        <v/>
      </c>
    </row>
    <row r="1087" spans="2:13" x14ac:dyDescent="0.25">
      <c r="B1087" t="str">
        <f>IF(IFERROR(VLOOKUP(TRIM(A1087),Inventory!E:E,1,0),0)=0,"X","_")</f>
        <v>_</v>
      </c>
      <c r="C1087" t="str">
        <f>IF(IFERROR(VLOOKUP(TRIM(A1087),'Full Inventory'!F:F,1,0),0)=0,"X","_")</f>
        <v>_</v>
      </c>
      <c r="D1087" t="str">
        <f t="shared" si="48"/>
        <v>X</v>
      </c>
      <c r="E1087" t="str">
        <f ca="1">IFERROR(IF(AND(B1087&amp;C1087&amp;D1087="___",INDIRECT("Inventory!A"&amp;MATCH(VLOOKUP(A1087,Inventory!E:E,1,0),Inventory!E:E,0))&lt;&gt;INDIRECT("'Full Inventory'!B"&amp;MATCH(VLOOKUP(A1087,'Full Inventory'!F:F,1,0),'Full Inventory'!F:F,0))),"X","_"),"_")</f>
        <v>_</v>
      </c>
      <c r="K1087" t="str">
        <f t="shared" ca="1" si="49"/>
        <v>__X_</v>
      </c>
      <c r="L1087" t="str">
        <f t="shared" ca="1" si="50"/>
        <v/>
      </c>
      <c r="M1087" t="str">
        <f>IFERROR(INDEX(Inventory!A:A,MATCH(Scan!A1087,Inventory!E:E,0)),"")</f>
        <v/>
      </c>
    </row>
    <row r="1088" spans="2:13" x14ac:dyDescent="0.25">
      <c r="B1088" t="str">
        <f>IF(IFERROR(VLOOKUP(TRIM(A1088),Inventory!E:E,1,0),0)=0,"X","_")</f>
        <v>_</v>
      </c>
      <c r="C1088" t="str">
        <f>IF(IFERROR(VLOOKUP(TRIM(A1088),'Full Inventory'!F:F,1,0),0)=0,"X","_")</f>
        <v>_</v>
      </c>
      <c r="D1088" t="str">
        <f t="shared" si="48"/>
        <v>X</v>
      </c>
      <c r="E1088" t="str">
        <f ca="1">IFERROR(IF(AND(B1088&amp;C1088&amp;D1088="___",INDIRECT("Inventory!A"&amp;MATCH(VLOOKUP(A1088,Inventory!E:E,1,0),Inventory!E:E,0))&lt;&gt;INDIRECT("'Full Inventory'!B"&amp;MATCH(VLOOKUP(A1088,'Full Inventory'!F:F,1,0),'Full Inventory'!F:F,0))),"X","_"),"_")</f>
        <v>_</v>
      </c>
      <c r="K1088" t="str">
        <f t="shared" ca="1" si="49"/>
        <v>__X_</v>
      </c>
      <c r="L1088" t="str">
        <f t="shared" ca="1" si="50"/>
        <v/>
      </c>
      <c r="M1088" t="str">
        <f>IFERROR(INDEX(Inventory!A:A,MATCH(Scan!A1088,Inventory!E:E,0)),"")</f>
        <v/>
      </c>
    </row>
    <row r="1089" spans="2:13" x14ac:dyDescent="0.25">
      <c r="B1089" t="str">
        <f>IF(IFERROR(VLOOKUP(TRIM(A1089),Inventory!E:E,1,0),0)=0,"X","_")</f>
        <v>_</v>
      </c>
      <c r="C1089" t="str">
        <f>IF(IFERROR(VLOOKUP(TRIM(A1089),'Full Inventory'!F:F,1,0),0)=0,"X","_")</f>
        <v>_</v>
      </c>
      <c r="D1089" t="str">
        <f t="shared" si="48"/>
        <v>X</v>
      </c>
      <c r="E1089" t="str">
        <f ca="1">IFERROR(IF(AND(B1089&amp;C1089&amp;D1089="___",INDIRECT("Inventory!A"&amp;MATCH(VLOOKUP(A1089,Inventory!E:E,1,0),Inventory!E:E,0))&lt;&gt;INDIRECT("'Full Inventory'!B"&amp;MATCH(VLOOKUP(A1089,'Full Inventory'!F:F,1,0),'Full Inventory'!F:F,0))),"X","_"),"_")</f>
        <v>_</v>
      </c>
      <c r="K1089" t="str">
        <f t="shared" ca="1" si="49"/>
        <v>__X_</v>
      </c>
      <c r="L1089" t="str">
        <f t="shared" ca="1" si="50"/>
        <v/>
      </c>
      <c r="M1089" t="str">
        <f>IFERROR(INDEX(Inventory!A:A,MATCH(Scan!A1089,Inventory!E:E,0)),"")</f>
        <v/>
      </c>
    </row>
    <row r="1090" spans="2:13" x14ac:dyDescent="0.25">
      <c r="B1090" t="str">
        <f>IF(IFERROR(VLOOKUP(TRIM(A1090),Inventory!E:E,1,0),0)=0,"X","_")</f>
        <v>_</v>
      </c>
      <c r="C1090" t="str">
        <f>IF(IFERROR(VLOOKUP(TRIM(A1090),'Full Inventory'!F:F,1,0),0)=0,"X","_")</f>
        <v>_</v>
      </c>
      <c r="D1090" t="str">
        <f t="shared" ref="D1090:D1153" si="51">IF(TRIM(A1090)&lt;&gt;"","_","X")</f>
        <v>X</v>
      </c>
      <c r="E1090" t="str">
        <f ca="1">IFERROR(IF(AND(B1090&amp;C1090&amp;D1090="___",INDIRECT("Inventory!A"&amp;MATCH(VLOOKUP(A1090,Inventory!E:E,1,0),Inventory!E:E,0))&lt;&gt;INDIRECT("'Full Inventory'!B"&amp;MATCH(VLOOKUP(A1090,'Full Inventory'!F:F,1,0),'Full Inventory'!F:F,0))),"X","_"),"_")</f>
        <v>_</v>
      </c>
      <c r="K1090" t="str">
        <f t="shared" ca="1" si="49"/>
        <v>__X_</v>
      </c>
      <c r="L1090" t="str">
        <f t="shared" ca="1" si="50"/>
        <v/>
      </c>
      <c r="M1090" t="str">
        <f>IFERROR(INDEX(Inventory!A:A,MATCH(Scan!A1090,Inventory!E:E,0)),"")</f>
        <v/>
      </c>
    </row>
    <row r="1091" spans="2:13" x14ac:dyDescent="0.25">
      <c r="B1091" t="str">
        <f>IF(IFERROR(VLOOKUP(TRIM(A1091),Inventory!E:E,1,0),0)=0,"X","_")</f>
        <v>_</v>
      </c>
      <c r="C1091" t="str">
        <f>IF(IFERROR(VLOOKUP(TRIM(A1091),'Full Inventory'!F:F,1,0),0)=0,"X","_")</f>
        <v>_</v>
      </c>
      <c r="D1091" t="str">
        <f t="shared" si="51"/>
        <v>X</v>
      </c>
      <c r="E1091" t="str">
        <f ca="1">IFERROR(IF(AND(B1091&amp;C1091&amp;D1091="___",INDIRECT("Inventory!A"&amp;MATCH(VLOOKUP(A1091,Inventory!E:E,1,0),Inventory!E:E,0))&lt;&gt;INDIRECT("'Full Inventory'!B"&amp;MATCH(VLOOKUP(A1091,'Full Inventory'!F:F,1,0),'Full Inventory'!F:F,0))),"X","_"),"_")</f>
        <v>_</v>
      </c>
      <c r="K1091" t="str">
        <f t="shared" ref="K1091:K1154" ca="1" si="52">B1091&amp;C1091&amp;D1091&amp;E1091</f>
        <v>__X_</v>
      </c>
      <c r="L1091" t="str">
        <f t="shared" ref="L1091:L1154" ca="1" si="53">IF(K1091="____","OK",IF(K1091="_X__","NOT IN FULL INVENTORY",IF(K1091="XX__","NOT IN FULL INVENTORY AND INVENTORY",IF(K1091="X___","NOT IN INVENTORY",IF(K1091="___X","DIFFERENT NAMES IN FULL INVENTORY AND INVENTORY","")))))</f>
        <v/>
      </c>
      <c r="M1091" t="str">
        <f>IFERROR(INDEX(Inventory!A:A,MATCH(Scan!A1091,Inventory!E:E,0)),"")</f>
        <v/>
      </c>
    </row>
    <row r="1092" spans="2:13" x14ac:dyDescent="0.25">
      <c r="B1092" t="str">
        <f>IF(IFERROR(VLOOKUP(TRIM(A1092),Inventory!E:E,1,0),0)=0,"X","_")</f>
        <v>_</v>
      </c>
      <c r="C1092" t="str">
        <f>IF(IFERROR(VLOOKUP(TRIM(A1092),'Full Inventory'!F:F,1,0),0)=0,"X","_")</f>
        <v>_</v>
      </c>
      <c r="D1092" t="str">
        <f t="shared" si="51"/>
        <v>X</v>
      </c>
      <c r="E1092" t="str">
        <f ca="1">IFERROR(IF(AND(B1092&amp;C1092&amp;D1092="___",INDIRECT("Inventory!A"&amp;MATCH(VLOOKUP(A1092,Inventory!E:E,1,0),Inventory!E:E,0))&lt;&gt;INDIRECT("'Full Inventory'!B"&amp;MATCH(VLOOKUP(A1092,'Full Inventory'!F:F,1,0),'Full Inventory'!F:F,0))),"X","_"),"_")</f>
        <v>_</v>
      </c>
      <c r="K1092" t="str">
        <f t="shared" ca="1" si="52"/>
        <v>__X_</v>
      </c>
      <c r="L1092" t="str">
        <f t="shared" ca="1" si="53"/>
        <v/>
      </c>
      <c r="M1092" t="str">
        <f>IFERROR(INDEX(Inventory!A:A,MATCH(Scan!A1092,Inventory!E:E,0)),"")</f>
        <v/>
      </c>
    </row>
    <row r="1093" spans="2:13" x14ac:dyDescent="0.25">
      <c r="B1093" t="str">
        <f>IF(IFERROR(VLOOKUP(TRIM(A1093),Inventory!E:E,1,0),0)=0,"X","_")</f>
        <v>_</v>
      </c>
      <c r="C1093" t="str">
        <f>IF(IFERROR(VLOOKUP(TRIM(A1093),'Full Inventory'!F:F,1,0),0)=0,"X","_")</f>
        <v>_</v>
      </c>
      <c r="D1093" t="str">
        <f t="shared" si="51"/>
        <v>X</v>
      </c>
      <c r="E1093" t="str">
        <f ca="1">IFERROR(IF(AND(B1093&amp;C1093&amp;D1093="___",INDIRECT("Inventory!A"&amp;MATCH(VLOOKUP(A1093,Inventory!E:E,1,0),Inventory!E:E,0))&lt;&gt;INDIRECT("'Full Inventory'!B"&amp;MATCH(VLOOKUP(A1093,'Full Inventory'!F:F,1,0),'Full Inventory'!F:F,0))),"X","_"),"_")</f>
        <v>_</v>
      </c>
      <c r="K1093" t="str">
        <f t="shared" ca="1" si="52"/>
        <v>__X_</v>
      </c>
      <c r="L1093" t="str">
        <f t="shared" ca="1" si="53"/>
        <v/>
      </c>
      <c r="M1093" t="str">
        <f>IFERROR(INDEX(Inventory!A:A,MATCH(Scan!A1093,Inventory!E:E,0)),"")</f>
        <v/>
      </c>
    </row>
    <row r="1094" spans="2:13" x14ac:dyDescent="0.25">
      <c r="B1094" t="str">
        <f>IF(IFERROR(VLOOKUP(TRIM(A1094),Inventory!E:E,1,0),0)=0,"X","_")</f>
        <v>_</v>
      </c>
      <c r="C1094" t="str">
        <f>IF(IFERROR(VLOOKUP(TRIM(A1094),'Full Inventory'!F:F,1,0),0)=0,"X","_")</f>
        <v>_</v>
      </c>
      <c r="D1094" t="str">
        <f t="shared" si="51"/>
        <v>X</v>
      </c>
      <c r="E1094" t="str">
        <f ca="1">IFERROR(IF(AND(B1094&amp;C1094&amp;D1094="___",INDIRECT("Inventory!A"&amp;MATCH(VLOOKUP(A1094,Inventory!E:E,1,0),Inventory!E:E,0))&lt;&gt;INDIRECT("'Full Inventory'!B"&amp;MATCH(VLOOKUP(A1094,'Full Inventory'!F:F,1,0),'Full Inventory'!F:F,0))),"X","_"),"_")</f>
        <v>_</v>
      </c>
      <c r="K1094" t="str">
        <f t="shared" ca="1" si="52"/>
        <v>__X_</v>
      </c>
      <c r="L1094" t="str">
        <f t="shared" ca="1" si="53"/>
        <v/>
      </c>
      <c r="M1094" t="str">
        <f>IFERROR(INDEX(Inventory!A:A,MATCH(Scan!A1094,Inventory!E:E,0)),"")</f>
        <v/>
      </c>
    </row>
    <row r="1095" spans="2:13" x14ac:dyDescent="0.25">
      <c r="B1095" t="str">
        <f>IF(IFERROR(VLOOKUP(TRIM(A1095),Inventory!E:E,1,0),0)=0,"X","_")</f>
        <v>_</v>
      </c>
      <c r="C1095" t="str">
        <f>IF(IFERROR(VLOOKUP(TRIM(A1095),'Full Inventory'!F:F,1,0),0)=0,"X","_")</f>
        <v>_</v>
      </c>
      <c r="D1095" t="str">
        <f t="shared" si="51"/>
        <v>X</v>
      </c>
      <c r="E1095" t="str">
        <f ca="1">IFERROR(IF(AND(B1095&amp;C1095&amp;D1095="___",INDIRECT("Inventory!A"&amp;MATCH(VLOOKUP(A1095,Inventory!E:E,1,0),Inventory!E:E,0))&lt;&gt;INDIRECT("'Full Inventory'!B"&amp;MATCH(VLOOKUP(A1095,'Full Inventory'!F:F,1,0),'Full Inventory'!F:F,0))),"X","_"),"_")</f>
        <v>_</v>
      </c>
      <c r="K1095" t="str">
        <f t="shared" ca="1" si="52"/>
        <v>__X_</v>
      </c>
      <c r="L1095" t="str">
        <f t="shared" ca="1" si="53"/>
        <v/>
      </c>
      <c r="M1095" t="str">
        <f>IFERROR(INDEX(Inventory!A:A,MATCH(Scan!A1095,Inventory!E:E,0)),"")</f>
        <v/>
      </c>
    </row>
    <row r="1096" spans="2:13" x14ac:dyDescent="0.25">
      <c r="B1096" t="str">
        <f>IF(IFERROR(VLOOKUP(TRIM(A1096),Inventory!E:E,1,0),0)=0,"X","_")</f>
        <v>_</v>
      </c>
      <c r="C1096" t="str">
        <f>IF(IFERROR(VLOOKUP(TRIM(A1096),'Full Inventory'!F:F,1,0),0)=0,"X","_")</f>
        <v>_</v>
      </c>
      <c r="D1096" t="str">
        <f t="shared" si="51"/>
        <v>X</v>
      </c>
      <c r="E1096" t="str">
        <f ca="1">IFERROR(IF(AND(B1096&amp;C1096&amp;D1096="___",INDIRECT("Inventory!A"&amp;MATCH(VLOOKUP(A1096,Inventory!E:E,1,0),Inventory!E:E,0))&lt;&gt;INDIRECT("'Full Inventory'!B"&amp;MATCH(VLOOKUP(A1096,'Full Inventory'!F:F,1,0),'Full Inventory'!F:F,0))),"X","_"),"_")</f>
        <v>_</v>
      </c>
      <c r="K1096" t="str">
        <f t="shared" ca="1" si="52"/>
        <v>__X_</v>
      </c>
      <c r="L1096" t="str">
        <f t="shared" ca="1" si="53"/>
        <v/>
      </c>
      <c r="M1096" t="str">
        <f>IFERROR(INDEX(Inventory!A:A,MATCH(Scan!A1096,Inventory!E:E,0)),"")</f>
        <v/>
      </c>
    </row>
    <row r="1097" spans="2:13" x14ac:dyDescent="0.25">
      <c r="B1097" t="str">
        <f>IF(IFERROR(VLOOKUP(TRIM(A1097),Inventory!E:E,1,0),0)=0,"X","_")</f>
        <v>_</v>
      </c>
      <c r="C1097" t="str">
        <f>IF(IFERROR(VLOOKUP(TRIM(A1097),'Full Inventory'!F:F,1,0),0)=0,"X","_")</f>
        <v>_</v>
      </c>
      <c r="D1097" t="str">
        <f t="shared" si="51"/>
        <v>X</v>
      </c>
      <c r="E1097" t="str">
        <f ca="1">IFERROR(IF(AND(B1097&amp;C1097&amp;D1097="___",INDIRECT("Inventory!A"&amp;MATCH(VLOOKUP(A1097,Inventory!E:E,1,0),Inventory!E:E,0))&lt;&gt;INDIRECT("'Full Inventory'!B"&amp;MATCH(VLOOKUP(A1097,'Full Inventory'!F:F,1,0),'Full Inventory'!F:F,0))),"X","_"),"_")</f>
        <v>_</v>
      </c>
      <c r="K1097" t="str">
        <f t="shared" ca="1" si="52"/>
        <v>__X_</v>
      </c>
      <c r="L1097" t="str">
        <f t="shared" ca="1" si="53"/>
        <v/>
      </c>
      <c r="M1097" t="str">
        <f>IFERROR(INDEX(Inventory!A:A,MATCH(Scan!A1097,Inventory!E:E,0)),"")</f>
        <v/>
      </c>
    </row>
    <row r="1098" spans="2:13" x14ac:dyDescent="0.25">
      <c r="B1098" t="str">
        <f>IF(IFERROR(VLOOKUP(TRIM(A1098),Inventory!E:E,1,0),0)=0,"X","_")</f>
        <v>_</v>
      </c>
      <c r="C1098" t="str">
        <f>IF(IFERROR(VLOOKUP(TRIM(A1098),'Full Inventory'!F:F,1,0),0)=0,"X","_")</f>
        <v>_</v>
      </c>
      <c r="D1098" t="str">
        <f t="shared" si="51"/>
        <v>X</v>
      </c>
      <c r="E1098" t="str">
        <f ca="1">IFERROR(IF(AND(B1098&amp;C1098&amp;D1098="___",INDIRECT("Inventory!A"&amp;MATCH(VLOOKUP(A1098,Inventory!E:E,1,0),Inventory!E:E,0))&lt;&gt;INDIRECT("'Full Inventory'!B"&amp;MATCH(VLOOKUP(A1098,'Full Inventory'!F:F,1,0),'Full Inventory'!F:F,0))),"X","_"),"_")</f>
        <v>_</v>
      </c>
      <c r="K1098" t="str">
        <f t="shared" ca="1" si="52"/>
        <v>__X_</v>
      </c>
      <c r="L1098" t="str">
        <f t="shared" ca="1" si="53"/>
        <v/>
      </c>
      <c r="M1098" t="str">
        <f>IFERROR(INDEX(Inventory!A:A,MATCH(Scan!A1098,Inventory!E:E,0)),"")</f>
        <v/>
      </c>
    </row>
    <row r="1099" spans="2:13" x14ac:dyDescent="0.25">
      <c r="B1099" t="str">
        <f>IF(IFERROR(VLOOKUP(TRIM(A1099),Inventory!E:E,1,0),0)=0,"X","_")</f>
        <v>_</v>
      </c>
      <c r="C1099" t="str">
        <f>IF(IFERROR(VLOOKUP(TRIM(A1099),'Full Inventory'!F:F,1,0),0)=0,"X","_")</f>
        <v>_</v>
      </c>
      <c r="D1099" t="str">
        <f t="shared" si="51"/>
        <v>X</v>
      </c>
      <c r="E1099" t="str">
        <f ca="1">IFERROR(IF(AND(B1099&amp;C1099&amp;D1099="___",INDIRECT("Inventory!A"&amp;MATCH(VLOOKUP(A1099,Inventory!E:E,1,0),Inventory!E:E,0))&lt;&gt;INDIRECT("'Full Inventory'!B"&amp;MATCH(VLOOKUP(A1099,'Full Inventory'!F:F,1,0),'Full Inventory'!F:F,0))),"X","_"),"_")</f>
        <v>_</v>
      </c>
      <c r="K1099" t="str">
        <f t="shared" ca="1" si="52"/>
        <v>__X_</v>
      </c>
      <c r="L1099" t="str">
        <f t="shared" ca="1" si="53"/>
        <v/>
      </c>
      <c r="M1099" t="str">
        <f>IFERROR(INDEX(Inventory!A:A,MATCH(Scan!A1099,Inventory!E:E,0)),"")</f>
        <v/>
      </c>
    </row>
    <row r="1100" spans="2:13" x14ac:dyDescent="0.25">
      <c r="B1100" t="str">
        <f>IF(IFERROR(VLOOKUP(TRIM(A1100),Inventory!E:E,1,0),0)=0,"X","_")</f>
        <v>_</v>
      </c>
      <c r="C1100" t="str">
        <f>IF(IFERROR(VLOOKUP(TRIM(A1100),'Full Inventory'!F:F,1,0),0)=0,"X","_")</f>
        <v>_</v>
      </c>
      <c r="D1100" t="str">
        <f t="shared" si="51"/>
        <v>X</v>
      </c>
      <c r="E1100" t="str">
        <f ca="1">IFERROR(IF(AND(B1100&amp;C1100&amp;D1100="___",INDIRECT("Inventory!A"&amp;MATCH(VLOOKUP(A1100,Inventory!E:E,1,0),Inventory!E:E,0))&lt;&gt;INDIRECT("'Full Inventory'!B"&amp;MATCH(VLOOKUP(A1100,'Full Inventory'!F:F,1,0),'Full Inventory'!F:F,0))),"X","_"),"_")</f>
        <v>_</v>
      </c>
      <c r="K1100" t="str">
        <f t="shared" ca="1" si="52"/>
        <v>__X_</v>
      </c>
      <c r="L1100" t="str">
        <f t="shared" ca="1" si="53"/>
        <v/>
      </c>
      <c r="M1100" t="str">
        <f>IFERROR(INDEX(Inventory!A:A,MATCH(Scan!A1100,Inventory!E:E,0)),"")</f>
        <v/>
      </c>
    </row>
    <row r="1101" spans="2:13" x14ac:dyDescent="0.25">
      <c r="B1101" t="str">
        <f>IF(IFERROR(VLOOKUP(TRIM(A1101),Inventory!E:E,1,0),0)=0,"X","_")</f>
        <v>_</v>
      </c>
      <c r="C1101" t="str">
        <f>IF(IFERROR(VLOOKUP(TRIM(A1101),'Full Inventory'!F:F,1,0),0)=0,"X","_")</f>
        <v>_</v>
      </c>
      <c r="D1101" t="str">
        <f t="shared" si="51"/>
        <v>X</v>
      </c>
      <c r="E1101" t="str">
        <f ca="1">IFERROR(IF(AND(B1101&amp;C1101&amp;D1101="___",INDIRECT("Inventory!A"&amp;MATCH(VLOOKUP(A1101,Inventory!E:E,1,0),Inventory!E:E,0))&lt;&gt;INDIRECT("'Full Inventory'!B"&amp;MATCH(VLOOKUP(A1101,'Full Inventory'!F:F,1,0),'Full Inventory'!F:F,0))),"X","_"),"_")</f>
        <v>_</v>
      </c>
      <c r="K1101" t="str">
        <f t="shared" ca="1" si="52"/>
        <v>__X_</v>
      </c>
      <c r="L1101" t="str">
        <f t="shared" ca="1" si="53"/>
        <v/>
      </c>
      <c r="M1101" t="str">
        <f>IFERROR(INDEX(Inventory!A:A,MATCH(Scan!A1101,Inventory!E:E,0)),"")</f>
        <v/>
      </c>
    </row>
    <row r="1102" spans="2:13" x14ac:dyDescent="0.25">
      <c r="B1102" t="str">
        <f>IF(IFERROR(VLOOKUP(TRIM(A1102),Inventory!E:E,1,0),0)=0,"X","_")</f>
        <v>_</v>
      </c>
      <c r="C1102" t="str">
        <f>IF(IFERROR(VLOOKUP(TRIM(A1102),'Full Inventory'!F:F,1,0),0)=0,"X","_")</f>
        <v>_</v>
      </c>
      <c r="D1102" t="str">
        <f t="shared" si="51"/>
        <v>X</v>
      </c>
      <c r="E1102" t="str">
        <f ca="1">IFERROR(IF(AND(B1102&amp;C1102&amp;D1102="___",INDIRECT("Inventory!A"&amp;MATCH(VLOOKUP(A1102,Inventory!E:E,1,0),Inventory!E:E,0))&lt;&gt;INDIRECT("'Full Inventory'!B"&amp;MATCH(VLOOKUP(A1102,'Full Inventory'!F:F,1,0),'Full Inventory'!F:F,0))),"X","_"),"_")</f>
        <v>_</v>
      </c>
      <c r="K1102" t="str">
        <f t="shared" ca="1" si="52"/>
        <v>__X_</v>
      </c>
      <c r="L1102" t="str">
        <f t="shared" ca="1" si="53"/>
        <v/>
      </c>
      <c r="M1102" t="str">
        <f>IFERROR(INDEX(Inventory!A:A,MATCH(Scan!A1102,Inventory!E:E,0)),"")</f>
        <v/>
      </c>
    </row>
    <row r="1103" spans="2:13" x14ac:dyDescent="0.25">
      <c r="B1103" t="str">
        <f>IF(IFERROR(VLOOKUP(TRIM(A1103),Inventory!E:E,1,0),0)=0,"X","_")</f>
        <v>_</v>
      </c>
      <c r="C1103" t="str">
        <f>IF(IFERROR(VLOOKUP(TRIM(A1103),'Full Inventory'!F:F,1,0),0)=0,"X","_")</f>
        <v>_</v>
      </c>
      <c r="D1103" t="str">
        <f t="shared" si="51"/>
        <v>X</v>
      </c>
      <c r="E1103" t="str">
        <f ca="1">IFERROR(IF(AND(B1103&amp;C1103&amp;D1103="___",INDIRECT("Inventory!A"&amp;MATCH(VLOOKUP(A1103,Inventory!E:E,1,0),Inventory!E:E,0))&lt;&gt;INDIRECT("'Full Inventory'!B"&amp;MATCH(VLOOKUP(A1103,'Full Inventory'!F:F,1,0),'Full Inventory'!F:F,0))),"X","_"),"_")</f>
        <v>_</v>
      </c>
      <c r="K1103" t="str">
        <f t="shared" ca="1" si="52"/>
        <v>__X_</v>
      </c>
      <c r="L1103" t="str">
        <f t="shared" ca="1" si="53"/>
        <v/>
      </c>
      <c r="M1103" t="str">
        <f>IFERROR(INDEX(Inventory!A:A,MATCH(Scan!A1103,Inventory!E:E,0)),"")</f>
        <v/>
      </c>
    </row>
    <row r="1104" spans="2:13" x14ac:dyDescent="0.25">
      <c r="B1104" t="str">
        <f>IF(IFERROR(VLOOKUP(TRIM(A1104),Inventory!E:E,1,0),0)=0,"X","_")</f>
        <v>_</v>
      </c>
      <c r="C1104" t="str">
        <f>IF(IFERROR(VLOOKUP(TRIM(A1104),'Full Inventory'!F:F,1,0),0)=0,"X","_")</f>
        <v>_</v>
      </c>
      <c r="D1104" t="str">
        <f t="shared" si="51"/>
        <v>X</v>
      </c>
      <c r="E1104" t="str">
        <f ca="1">IFERROR(IF(AND(B1104&amp;C1104&amp;D1104="___",INDIRECT("Inventory!A"&amp;MATCH(VLOOKUP(A1104,Inventory!E:E,1,0),Inventory!E:E,0))&lt;&gt;INDIRECT("'Full Inventory'!B"&amp;MATCH(VLOOKUP(A1104,'Full Inventory'!F:F,1,0),'Full Inventory'!F:F,0))),"X","_"),"_")</f>
        <v>_</v>
      </c>
      <c r="K1104" t="str">
        <f t="shared" ca="1" si="52"/>
        <v>__X_</v>
      </c>
      <c r="L1104" t="str">
        <f t="shared" ca="1" si="53"/>
        <v/>
      </c>
      <c r="M1104" t="str">
        <f>IFERROR(INDEX(Inventory!A:A,MATCH(Scan!A1104,Inventory!E:E,0)),"")</f>
        <v/>
      </c>
    </row>
    <row r="1105" spans="2:13" x14ac:dyDescent="0.25">
      <c r="B1105" t="str">
        <f>IF(IFERROR(VLOOKUP(TRIM(A1105),Inventory!E:E,1,0),0)=0,"X","_")</f>
        <v>_</v>
      </c>
      <c r="C1105" t="str">
        <f>IF(IFERROR(VLOOKUP(TRIM(A1105),'Full Inventory'!F:F,1,0),0)=0,"X","_")</f>
        <v>_</v>
      </c>
      <c r="D1105" t="str">
        <f t="shared" si="51"/>
        <v>X</v>
      </c>
      <c r="E1105" t="str">
        <f ca="1">IFERROR(IF(AND(B1105&amp;C1105&amp;D1105="___",INDIRECT("Inventory!A"&amp;MATCH(VLOOKUP(A1105,Inventory!E:E,1,0),Inventory!E:E,0))&lt;&gt;INDIRECT("'Full Inventory'!B"&amp;MATCH(VLOOKUP(A1105,'Full Inventory'!F:F,1,0),'Full Inventory'!F:F,0))),"X","_"),"_")</f>
        <v>_</v>
      </c>
      <c r="K1105" t="str">
        <f t="shared" ca="1" si="52"/>
        <v>__X_</v>
      </c>
      <c r="L1105" t="str">
        <f t="shared" ca="1" si="53"/>
        <v/>
      </c>
      <c r="M1105" t="str">
        <f>IFERROR(INDEX(Inventory!A:A,MATCH(Scan!A1105,Inventory!E:E,0)),"")</f>
        <v/>
      </c>
    </row>
    <row r="1106" spans="2:13" x14ac:dyDescent="0.25">
      <c r="B1106" t="str">
        <f>IF(IFERROR(VLOOKUP(TRIM(A1106),Inventory!E:E,1,0),0)=0,"X","_")</f>
        <v>_</v>
      </c>
      <c r="C1106" t="str">
        <f>IF(IFERROR(VLOOKUP(TRIM(A1106),'Full Inventory'!F:F,1,0),0)=0,"X","_")</f>
        <v>_</v>
      </c>
      <c r="D1106" t="str">
        <f t="shared" si="51"/>
        <v>X</v>
      </c>
      <c r="E1106" t="str">
        <f ca="1">IFERROR(IF(AND(B1106&amp;C1106&amp;D1106="___",INDIRECT("Inventory!A"&amp;MATCH(VLOOKUP(A1106,Inventory!E:E,1,0),Inventory!E:E,0))&lt;&gt;INDIRECT("'Full Inventory'!B"&amp;MATCH(VLOOKUP(A1106,'Full Inventory'!F:F,1,0),'Full Inventory'!F:F,0))),"X","_"),"_")</f>
        <v>_</v>
      </c>
      <c r="K1106" t="str">
        <f t="shared" ca="1" si="52"/>
        <v>__X_</v>
      </c>
      <c r="L1106" t="str">
        <f t="shared" ca="1" si="53"/>
        <v/>
      </c>
      <c r="M1106" t="str">
        <f>IFERROR(INDEX(Inventory!A:A,MATCH(Scan!A1106,Inventory!E:E,0)),"")</f>
        <v/>
      </c>
    </row>
    <row r="1107" spans="2:13" x14ac:dyDescent="0.25">
      <c r="B1107" t="str">
        <f>IF(IFERROR(VLOOKUP(TRIM(A1107),Inventory!E:E,1,0),0)=0,"X","_")</f>
        <v>_</v>
      </c>
      <c r="C1107" t="str">
        <f>IF(IFERROR(VLOOKUP(TRIM(A1107),'Full Inventory'!F:F,1,0),0)=0,"X","_")</f>
        <v>_</v>
      </c>
      <c r="D1107" t="str">
        <f t="shared" si="51"/>
        <v>X</v>
      </c>
      <c r="E1107" t="str">
        <f ca="1">IFERROR(IF(AND(B1107&amp;C1107&amp;D1107="___",INDIRECT("Inventory!A"&amp;MATCH(VLOOKUP(A1107,Inventory!E:E,1,0),Inventory!E:E,0))&lt;&gt;INDIRECT("'Full Inventory'!B"&amp;MATCH(VLOOKUP(A1107,'Full Inventory'!F:F,1,0),'Full Inventory'!F:F,0))),"X","_"),"_")</f>
        <v>_</v>
      </c>
      <c r="K1107" t="str">
        <f t="shared" ca="1" si="52"/>
        <v>__X_</v>
      </c>
      <c r="L1107" t="str">
        <f t="shared" ca="1" si="53"/>
        <v/>
      </c>
      <c r="M1107" t="str">
        <f>IFERROR(INDEX(Inventory!A:A,MATCH(Scan!A1107,Inventory!E:E,0)),"")</f>
        <v/>
      </c>
    </row>
    <row r="1108" spans="2:13" x14ac:dyDescent="0.25">
      <c r="B1108" t="str">
        <f>IF(IFERROR(VLOOKUP(TRIM(A1108),Inventory!E:E,1,0),0)=0,"X","_")</f>
        <v>_</v>
      </c>
      <c r="C1108" t="str">
        <f>IF(IFERROR(VLOOKUP(TRIM(A1108),'Full Inventory'!F:F,1,0),0)=0,"X","_")</f>
        <v>_</v>
      </c>
      <c r="D1108" t="str">
        <f t="shared" si="51"/>
        <v>X</v>
      </c>
      <c r="E1108" t="str">
        <f ca="1">IFERROR(IF(AND(B1108&amp;C1108&amp;D1108="___",INDIRECT("Inventory!A"&amp;MATCH(VLOOKUP(A1108,Inventory!E:E,1,0),Inventory!E:E,0))&lt;&gt;INDIRECT("'Full Inventory'!B"&amp;MATCH(VLOOKUP(A1108,'Full Inventory'!F:F,1,0),'Full Inventory'!F:F,0))),"X","_"),"_")</f>
        <v>_</v>
      </c>
      <c r="K1108" t="str">
        <f t="shared" ca="1" si="52"/>
        <v>__X_</v>
      </c>
      <c r="L1108" t="str">
        <f t="shared" ca="1" si="53"/>
        <v/>
      </c>
      <c r="M1108" t="str">
        <f>IFERROR(INDEX(Inventory!A:A,MATCH(Scan!A1108,Inventory!E:E,0)),"")</f>
        <v/>
      </c>
    </row>
    <row r="1109" spans="2:13" x14ac:dyDescent="0.25">
      <c r="B1109" t="str">
        <f>IF(IFERROR(VLOOKUP(TRIM(A1109),Inventory!E:E,1,0),0)=0,"X","_")</f>
        <v>_</v>
      </c>
      <c r="C1109" t="str">
        <f>IF(IFERROR(VLOOKUP(TRIM(A1109),'Full Inventory'!F:F,1,0),0)=0,"X","_")</f>
        <v>_</v>
      </c>
      <c r="D1109" t="str">
        <f t="shared" si="51"/>
        <v>X</v>
      </c>
      <c r="E1109" t="str">
        <f ca="1">IFERROR(IF(AND(B1109&amp;C1109&amp;D1109="___",INDIRECT("Inventory!A"&amp;MATCH(VLOOKUP(A1109,Inventory!E:E,1,0),Inventory!E:E,0))&lt;&gt;INDIRECT("'Full Inventory'!B"&amp;MATCH(VLOOKUP(A1109,'Full Inventory'!F:F,1,0),'Full Inventory'!F:F,0))),"X","_"),"_")</f>
        <v>_</v>
      </c>
      <c r="K1109" t="str">
        <f t="shared" ca="1" si="52"/>
        <v>__X_</v>
      </c>
      <c r="L1109" t="str">
        <f t="shared" ca="1" si="53"/>
        <v/>
      </c>
      <c r="M1109" t="str">
        <f>IFERROR(INDEX(Inventory!A:A,MATCH(Scan!A1109,Inventory!E:E,0)),"")</f>
        <v/>
      </c>
    </row>
    <row r="1110" spans="2:13" x14ac:dyDescent="0.25">
      <c r="B1110" t="str">
        <f>IF(IFERROR(VLOOKUP(TRIM(A1110),Inventory!E:E,1,0),0)=0,"X","_")</f>
        <v>_</v>
      </c>
      <c r="C1110" t="str">
        <f>IF(IFERROR(VLOOKUP(TRIM(A1110),'Full Inventory'!F:F,1,0),0)=0,"X","_")</f>
        <v>_</v>
      </c>
      <c r="D1110" t="str">
        <f t="shared" si="51"/>
        <v>X</v>
      </c>
      <c r="E1110" t="str">
        <f ca="1">IFERROR(IF(AND(B1110&amp;C1110&amp;D1110="___",INDIRECT("Inventory!A"&amp;MATCH(VLOOKUP(A1110,Inventory!E:E,1,0),Inventory!E:E,0))&lt;&gt;INDIRECT("'Full Inventory'!B"&amp;MATCH(VLOOKUP(A1110,'Full Inventory'!F:F,1,0),'Full Inventory'!F:F,0))),"X","_"),"_")</f>
        <v>_</v>
      </c>
      <c r="K1110" t="str">
        <f t="shared" ca="1" si="52"/>
        <v>__X_</v>
      </c>
      <c r="L1110" t="str">
        <f t="shared" ca="1" si="53"/>
        <v/>
      </c>
      <c r="M1110" t="str">
        <f>IFERROR(INDEX(Inventory!A:A,MATCH(Scan!A1110,Inventory!E:E,0)),"")</f>
        <v/>
      </c>
    </row>
    <row r="1111" spans="2:13" x14ac:dyDescent="0.25">
      <c r="B1111" t="str">
        <f>IF(IFERROR(VLOOKUP(TRIM(A1111),Inventory!E:E,1,0),0)=0,"X","_")</f>
        <v>_</v>
      </c>
      <c r="C1111" t="str">
        <f>IF(IFERROR(VLOOKUP(TRIM(A1111),'Full Inventory'!F:F,1,0),0)=0,"X","_")</f>
        <v>_</v>
      </c>
      <c r="D1111" t="str">
        <f t="shared" si="51"/>
        <v>X</v>
      </c>
      <c r="E1111" t="str">
        <f ca="1">IFERROR(IF(AND(B1111&amp;C1111&amp;D1111="___",INDIRECT("Inventory!A"&amp;MATCH(VLOOKUP(A1111,Inventory!E:E,1,0),Inventory!E:E,0))&lt;&gt;INDIRECT("'Full Inventory'!B"&amp;MATCH(VLOOKUP(A1111,'Full Inventory'!F:F,1,0),'Full Inventory'!F:F,0))),"X","_"),"_")</f>
        <v>_</v>
      </c>
      <c r="K1111" t="str">
        <f t="shared" ca="1" si="52"/>
        <v>__X_</v>
      </c>
      <c r="L1111" t="str">
        <f t="shared" ca="1" si="53"/>
        <v/>
      </c>
      <c r="M1111" t="str">
        <f>IFERROR(INDEX(Inventory!A:A,MATCH(Scan!A1111,Inventory!E:E,0)),"")</f>
        <v/>
      </c>
    </row>
    <row r="1112" spans="2:13" x14ac:dyDescent="0.25">
      <c r="B1112" t="str">
        <f>IF(IFERROR(VLOOKUP(TRIM(A1112),Inventory!E:E,1,0),0)=0,"X","_")</f>
        <v>_</v>
      </c>
      <c r="C1112" t="str">
        <f>IF(IFERROR(VLOOKUP(TRIM(A1112),'Full Inventory'!F:F,1,0),0)=0,"X","_")</f>
        <v>_</v>
      </c>
      <c r="D1112" t="str">
        <f t="shared" si="51"/>
        <v>X</v>
      </c>
      <c r="E1112" t="str">
        <f ca="1">IFERROR(IF(AND(B1112&amp;C1112&amp;D1112="___",INDIRECT("Inventory!A"&amp;MATCH(VLOOKUP(A1112,Inventory!E:E,1,0),Inventory!E:E,0))&lt;&gt;INDIRECT("'Full Inventory'!B"&amp;MATCH(VLOOKUP(A1112,'Full Inventory'!F:F,1,0),'Full Inventory'!F:F,0))),"X","_"),"_")</f>
        <v>_</v>
      </c>
      <c r="K1112" t="str">
        <f t="shared" ca="1" si="52"/>
        <v>__X_</v>
      </c>
      <c r="L1112" t="str">
        <f t="shared" ca="1" si="53"/>
        <v/>
      </c>
      <c r="M1112" t="str">
        <f>IFERROR(INDEX(Inventory!A:A,MATCH(Scan!A1112,Inventory!E:E,0)),"")</f>
        <v/>
      </c>
    </row>
    <row r="1113" spans="2:13" x14ac:dyDescent="0.25">
      <c r="B1113" t="str">
        <f>IF(IFERROR(VLOOKUP(TRIM(A1113),Inventory!E:E,1,0),0)=0,"X","_")</f>
        <v>_</v>
      </c>
      <c r="C1113" t="str">
        <f>IF(IFERROR(VLOOKUP(TRIM(A1113),'Full Inventory'!F:F,1,0),0)=0,"X","_")</f>
        <v>_</v>
      </c>
      <c r="D1113" t="str">
        <f t="shared" si="51"/>
        <v>X</v>
      </c>
      <c r="E1113" t="str">
        <f ca="1">IFERROR(IF(AND(B1113&amp;C1113&amp;D1113="___",INDIRECT("Inventory!A"&amp;MATCH(VLOOKUP(A1113,Inventory!E:E,1,0),Inventory!E:E,0))&lt;&gt;INDIRECT("'Full Inventory'!B"&amp;MATCH(VLOOKUP(A1113,'Full Inventory'!F:F,1,0),'Full Inventory'!F:F,0))),"X","_"),"_")</f>
        <v>_</v>
      </c>
      <c r="K1113" t="str">
        <f t="shared" ca="1" si="52"/>
        <v>__X_</v>
      </c>
      <c r="L1113" t="str">
        <f t="shared" ca="1" si="53"/>
        <v/>
      </c>
      <c r="M1113" t="str">
        <f>IFERROR(INDEX(Inventory!A:A,MATCH(Scan!A1113,Inventory!E:E,0)),"")</f>
        <v/>
      </c>
    </row>
    <row r="1114" spans="2:13" x14ac:dyDescent="0.25">
      <c r="B1114" t="str">
        <f>IF(IFERROR(VLOOKUP(TRIM(A1114),Inventory!E:E,1,0),0)=0,"X","_")</f>
        <v>_</v>
      </c>
      <c r="C1114" t="str">
        <f>IF(IFERROR(VLOOKUP(TRIM(A1114),'Full Inventory'!F:F,1,0),0)=0,"X","_")</f>
        <v>_</v>
      </c>
      <c r="D1114" t="str">
        <f t="shared" si="51"/>
        <v>X</v>
      </c>
      <c r="E1114" t="str">
        <f ca="1">IFERROR(IF(AND(B1114&amp;C1114&amp;D1114="___",INDIRECT("Inventory!A"&amp;MATCH(VLOOKUP(A1114,Inventory!E:E,1,0),Inventory!E:E,0))&lt;&gt;INDIRECT("'Full Inventory'!B"&amp;MATCH(VLOOKUP(A1114,'Full Inventory'!F:F,1,0),'Full Inventory'!F:F,0))),"X","_"),"_")</f>
        <v>_</v>
      </c>
      <c r="K1114" t="str">
        <f t="shared" ca="1" si="52"/>
        <v>__X_</v>
      </c>
      <c r="L1114" t="str">
        <f t="shared" ca="1" si="53"/>
        <v/>
      </c>
      <c r="M1114" t="str">
        <f>IFERROR(INDEX(Inventory!A:A,MATCH(Scan!A1114,Inventory!E:E,0)),"")</f>
        <v/>
      </c>
    </row>
    <row r="1115" spans="2:13" x14ac:dyDescent="0.25">
      <c r="B1115" t="str">
        <f>IF(IFERROR(VLOOKUP(TRIM(A1115),Inventory!E:E,1,0),0)=0,"X","_")</f>
        <v>_</v>
      </c>
      <c r="C1115" t="str">
        <f>IF(IFERROR(VLOOKUP(TRIM(A1115),'Full Inventory'!F:F,1,0),0)=0,"X","_")</f>
        <v>_</v>
      </c>
      <c r="D1115" t="str">
        <f t="shared" si="51"/>
        <v>X</v>
      </c>
      <c r="E1115" t="str">
        <f ca="1">IFERROR(IF(AND(B1115&amp;C1115&amp;D1115="___",INDIRECT("Inventory!A"&amp;MATCH(VLOOKUP(A1115,Inventory!E:E,1,0),Inventory!E:E,0))&lt;&gt;INDIRECT("'Full Inventory'!B"&amp;MATCH(VLOOKUP(A1115,'Full Inventory'!F:F,1,0),'Full Inventory'!F:F,0))),"X","_"),"_")</f>
        <v>_</v>
      </c>
      <c r="K1115" t="str">
        <f t="shared" ca="1" si="52"/>
        <v>__X_</v>
      </c>
      <c r="L1115" t="str">
        <f t="shared" ca="1" si="53"/>
        <v/>
      </c>
      <c r="M1115" t="str">
        <f>IFERROR(INDEX(Inventory!A:A,MATCH(Scan!A1115,Inventory!E:E,0)),"")</f>
        <v/>
      </c>
    </row>
    <row r="1116" spans="2:13" x14ac:dyDescent="0.25">
      <c r="B1116" t="str">
        <f>IF(IFERROR(VLOOKUP(TRIM(A1116),Inventory!E:E,1,0),0)=0,"X","_")</f>
        <v>_</v>
      </c>
      <c r="C1116" t="str">
        <f>IF(IFERROR(VLOOKUP(TRIM(A1116),'Full Inventory'!F:F,1,0),0)=0,"X","_")</f>
        <v>_</v>
      </c>
      <c r="D1116" t="str">
        <f t="shared" si="51"/>
        <v>X</v>
      </c>
      <c r="E1116" t="str">
        <f ca="1">IFERROR(IF(AND(B1116&amp;C1116&amp;D1116="___",INDIRECT("Inventory!A"&amp;MATCH(VLOOKUP(A1116,Inventory!E:E,1,0),Inventory!E:E,0))&lt;&gt;INDIRECT("'Full Inventory'!B"&amp;MATCH(VLOOKUP(A1116,'Full Inventory'!F:F,1,0),'Full Inventory'!F:F,0))),"X","_"),"_")</f>
        <v>_</v>
      </c>
      <c r="K1116" t="str">
        <f t="shared" ca="1" si="52"/>
        <v>__X_</v>
      </c>
      <c r="L1116" t="str">
        <f t="shared" ca="1" si="53"/>
        <v/>
      </c>
      <c r="M1116" t="str">
        <f>IFERROR(INDEX(Inventory!A:A,MATCH(Scan!A1116,Inventory!E:E,0)),"")</f>
        <v/>
      </c>
    </row>
    <row r="1117" spans="2:13" x14ac:dyDescent="0.25">
      <c r="B1117" t="str">
        <f>IF(IFERROR(VLOOKUP(TRIM(A1117),Inventory!E:E,1,0),0)=0,"X","_")</f>
        <v>_</v>
      </c>
      <c r="C1117" t="str">
        <f>IF(IFERROR(VLOOKUP(TRIM(A1117),'Full Inventory'!F:F,1,0),0)=0,"X","_")</f>
        <v>_</v>
      </c>
      <c r="D1117" t="str">
        <f t="shared" si="51"/>
        <v>X</v>
      </c>
      <c r="E1117" t="str">
        <f ca="1">IFERROR(IF(AND(B1117&amp;C1117&amp;D1117="___",INDIRECT("Inventory!A"&amp;MATCH(VLOOKUP(A1117,Inventory!E:E,1,0),Inventory!E:E,0))&lt;&gt;INDIRECT("'Full Inventory'!B"&amp;MATCH(VLOOKUP(A1117,'Full Inventory'!F:F,1,0),'Full Inventory'!F:F,0))),"X","_"),"_")</f>
        <v>_</v>
      </c>
      <c r="K1117" t="str">
        <f t="shared" ca="1" si="52"/>
        <v>__X_</v>
      </c>
      <c r="L1117" t="str">
        <f t="shared" ca="1" si="53"/>
        <v/>
      </c>
      <c r="M1117" t="str">
        <f>IFERROR(INDEX(Inventory!A:A,MATCH(Scan!A1117,Inventory!E:E,0)),"")</f>
        <v/>
      </c>
    </row>
    <row r="1118" spans="2:13" x14ac:dyDescent="0.25">
      <c r="B1118" t="str">
        <f>IF(IFERROR(VLOOKUP(TRIM(A1118),Inventory!E:E,1,0),0)=0,"X","_")</f>
        <v>_</v>
      </c>
      <c r="C1118" t="str">
        <f>IF(IFERROR(VLOOKUP(TRIM(A1118),'Full Inventory'!F:F,1,0),0)=0,"X","_")</f>
        <v>_</v>
      </c>
      <c r="D1118" t="str">
        <f t="shared" si="51"/>
        <v>X</v>
      </c>
      <c r="E1118" t="str">
        <f ca="1">IFERROR(IF(AND(B1118&amp;C1118&amp;D1118="___",INDIRECT("Inventory!A"&amp;MATCH(VLOOKUP(A1118,Inventory!E:E,1,0),Inventory!E:E,0))&lt;&gt;INDIRECT("'Full Inventory'!B"&amp;MATCH(VLOOKUP(A1118,'Full Inventory'!F:F,1,0),'Full Inventory'!F:F,0))),"X","_"),"_")</f>
        <v>_</v>
      </c>
      <c r="K1118" t="str">
        <f t="shared" ca="1" si="52"/>
        <v>__X_</v>
      </c>
      <c r="L1118" t="str">
        <f t="shared" ca="1" si="53"/>
        <v/>
      </c>
      <c r="M1118" t="str">
        <f>IFERROR(INDEX(Inventory!A:A,MATCH(Scan!A1118,Inventory!E:E,0)),"")</f>
        <v/>
      </c>
    </row>
    <row r="1119" spans="2:13" x14ac:dyDescent="0.25">
      <c r="B1119" t="str">
        <f>IF(IFERROR(VLOOKUP(TRIM(A1119),Inventory!E:E,1,0),0)=0,"X","_")</f>
        <v>_</v>
      </c>
      <c r="C1119" t="str">
        <f>IF(IFERROR(VLOOKUP(TRIM(A1119),'Full Inventory'!F:F,1,0),0)=0,"X","_")</f>
        <v>_</v>
      </c>
      <c r="D1119" t="str">
        <f t="shared" si="51"/>
        <v>X</v>
      </c>
      <c r="E1119" t="str">
        <f ca="1">IFERROR(IF(AND(B1119&amp;C1119&amp;D1119="___",INDIRECT("Inventory!A"&amp;MATCH(VLOOKUP(A1119,Inventory!E:E,1,0),Inventory!E:E,0))&lt;&gt;INDIRECT("'Full Inventory'!B"&amp;MATCH(VLOOKUP(A1119,'Full Inventory'!F:F,1,0),'Full Inventory'!F:F,0))),"X","_"),"_")</f>
        <v>_</v>
      </c>
      <c r="K1119" t="str">
        <f t="shared" ca="1" si="52"/>
        <v>__X_</v>
      </c>
      <c r="L1119" t="str">
        <f t="shared" ca="1" si="53"/>
        <v/>
      </c>
      <c r="M1119" t="str">
        <f>IFERROR(INDEX(Inventory!A:A,MATCH(Scan!A1119,Inventory!E:E,0)),"")</f>
        <v/>
      </c>
    </row>
    <row r="1120" spans="2:13" x14ac:dyDescent="0.25">
      <c r="B1120" t="str">
        <f>IF(IFERROR(VLOOKUP(TRIM(A1120),Inventory!E:E,1,0),0)=0,"X","_")</f>
        <v>_</v>
      </c>
      <c r="C1120" t="str">
        <f>IF(IFERROR(VLOOKUP(TRIM(A1120),'Full Inventory'!F:F,1,0),0)=0,"X","_")</f>
        <v>_</v>
      </c>
      <c r="D1120" t="str">
        <f t="shared" si="51"/>
        <v>X</v>
      </c>
      <c r="E1120" t="str">
        <f ca="1">IFERROR(IF(AND(B1120&amp;C1120&amp;D1120="___",INDIRECT("Inventory!A"&amp;MATCH(VLOOKUP(A1120,Inventory!E:E,1,0),Inventory!E:E,0))&lt;&gt;INDIRECT("'Full Inventory'!B"&amp;MATCH(VLOOKUP(A1120,'Full Inventory'!F:F,1,0),'Full Inventory'!F:F,0))),"X","_"),"_")</f>
        <v>_</v>
      </c>
      <c r="K1120" t="str">
        <f t="shared" ca="1" si="52"/>
        <v>__X_</v>
      </c>
      <c r="L1120" t="str">
        <f t="shared" ca="1" si="53"/>
        <v/>
      </c>
      <c r="M1120" t="str">
        <f>IFERROR(INDEX(Inventory!A:A,MATCH(Scan!A1120,Inventory!E:E,0)),"")</f>
        <v/>
      </c>
    </row>
    <row r="1121" spans="2:13" x14ac:dyDescent="0.25">
      <c r="B1121" t="str">
        <f>IF(IFERROR(VLOOKUP(TRIM(A1121),Inventory!E:E,1,0),0)=0,"X","_")</f>
        <v>_</v>
      </c>
      <c r="C1121" t="str">
        <f>IF(IFERROR(VLOOKUP(TRIM(A1121),'Full Inventory'!F:F,1,0),0)=0,"X","_")</f>
        <v>_</v>
      </c>
      <c r="D1121" t="str">
        <f t="shared" si="51"/>
        <v>X</v>
      </c>
      <c r="E1121" t="str">
        <f ca="1">IFERROR(IF(AND(B1121&amp;C1121&amp;D1121="___",INDIRECT("Inventory!A"&amp;MATCH(VLOOKUP(A1121,Inventory!E:E,1,0),Inventory!E:E,0))&lt;&gt;INDIRECT("'Full Inventory'!B"&amp;MATCH(VLOOKUP(A1121,'Full Inventory'!F:F,1,0),'Full Inventory'!F:F,0))),"X","_"),"_")</f>
        <v>_</v>
      </c>
      <c r="K1121" t="str">
        <f t="shared" ca="1" si="52"/>
        <v>__X_</v>
      </c>
      <c r="L1121" t="str">
        <f t="shared" ca="1" si="53"/>
        <v/>
      </c>
      <c r="M1121" t="str">
        <f>IFERROR(INDEX(Inventory!A:A,MATCH(Scan!A1121,Inventory!E:E,0)),"")</f>
        <v/>
      </c>
    </row>
    <row r="1122" spans="2:13" x14ac:dyDescent="0.25">
      <c r="B1122" t="str">
        <f>IF(IFERROR(VLOOKUP(TRIM(A1122),Inventory!E:E,1,0),0)=0,"X","_")</f>
        <v>_</v>
      </c>
      <c r="C1122" t="str">
        <f>IF(IFERROR(VLOOKUP(TRIM(A1122),'Full Inventory'!F:F,1,0),0)=0,"X","_")</f>
        <v>_</v>
      </c>
      <c r="D1122" t="str">
        <f t="shared" si="51"/>
        <v>X</v>
      </c>
      <c r="E1122" t="str">
        <f ca="1">IFERROR(IF(AND(B1122&amp;C1122&amp;D1122="___",INDIRECT("Inventory!A"&amp;MATCH(VLOOKUP(A1122,Inventory!E:E,1,0),Inventory!E:E,0))&lt;&gt;INDIRECT("'Full Inventory'!B"&amp;MATCH(VLOOKUP(A1122,'Full Inventory'!F:F,1,0),'Full Inventory'!F:F,0))),"X","_"),"_")</f>
        <v>_</v>
      </c>
      <c r="K1122" t="str">
        <f t="shared" ca="1" si="52"/>
        <v>__X_</v>
      </c>
      <c r="L1122" t="str">
        <f t="shared" ca="1" si="53"/>
        <v/>
      </c>
      <c r="M1122" t="str">
        <f>IFERROR(INDEX(Inventory!A:A,MATCH(Scan!A1122,Inventory!E:E,0)),"")</f>
        <v/>
      </c>
    </row>
    <row r="1123" spans="2:13" x14ac:dyDescent="0.25">
      <c r="B1123" t="str">
        <f>IF(IFERROR(VLOOKUP(TRIM(A1123),Inventory!E:E,1,0),0)=0,"X","_")</f>
        <v>_</v>
      </c>
      <c r="C1123" t="str">
        <f>IF(IFERROR(VLOOKUP(TRIM(A1123),'Full Inventory'!F:F,1,0),0)=0,"X","_")</f>
        <v>_</v>
      </c>
      <c r="D1123" t="str">
        <f t="shared" si="51"/>
        <v>X</v>
      </c>
      <c r="E1123" t="str">
        <f ca="1">IFERROR(IF(AND(B1123&amp;C1123&amp;D1123="___",INDIRECT("Inventory!A"&amp;MATCH(VLOOKUP(A1123,Inventory!E:E,1,0),Inventory!E:E,0))&lt;&gt;INDIRECT("'Full Inventory'!B"&amp;MATCH(VLOOKUP(A1123,'Full Inventory'!F:F,1,0),'Full Inventory'!F:F,0))),"X","_"),"_")</f>
        <v>_</v>
      </c>
      <c r="K1123" t="str">
        <f t="shared" ca="1" si="52"/>
        <v>__X_</v>
      </c>
      <c r="L1123" t="str">
        <f t="shared" ca="1" si="53"/>
        <v/>
      </c>
      <c r="M1123" t="str">
        <f>IFERROR(INDEX(Inventory!A:A,MATCH(Scan!A1123,Inventory!E:E,0)),"")</f>
        <v/>
      </c>
    </row>
    <row r="1124" spans="2:13" x14ac:dyDescent="0.25">
      <c r="B1124" t="str">
        <f>IF(IFERROR(VLOOKUP(TRIM(A1124),Inventory!E:E,1,0),0)=0,"X","_")</f>
        <v>_</v>
      </c>
      <c r="C1124" t="str">
        <f>IF(IFERROR(VLOOKUP(TRIM(A1124),'Full Inventory'!F:F,1,0),0)=0,"X","_")</f>
        <v>_</v>
      </c>
      <c r="D1124" t="str">
        <f t="shared" si="51"/>
        <v>X</v>
      </c>
      <c r="E1124" t="str">
        <f ca="1">IFERROR(IF(AND(B1124&amp;C1124&amp;D1124="___",INDIRECT("Inventory!A"&amp;MATCH(VLOOKUP(A1124,Inventory!E:E,1,0),Inventory!E:E,0))&lt;&gt;INDIRECT("'Full Inventory'!B"&amp;MATCH(VLOOKUP(A1124,'Full Inventory'!F:F,1,0),'Full Inventory'!F:F,0))),"X","_"),"_")</f>
        <v>_</v>
      </c>
      <c r="K1124" t="str">
        <f t="shared" ca="1" si="52"/>
        <v>__X_</v>
      </c>
      <c r="L1124" t="str">
        <f t="shared" ca="1" si="53"/>
        <v/>
      </c>
      <c r="M1124" t="str">
        <f>IFERROR(INDEX(Inventory!A:A,MATCH(Scan!A1124,Inventory!E:E,0)),"")</f>
        <v/>
      </c>
    </row>
    <row r="1125" spans="2:13" x14ac:dyDescent="0.25">
      <c r="B1125" t="str">
        <f>IF(IFERROR(VLOOKUP(TRIM(A1125),Inventory!E:E,1,0),0)=0,"X","_")</f>
        <v>_</v>
      </c>
      <c r="C1125" t="str">
        <f>IF(IFERROR(VLOOKUP(TRIM(A1125),'Full Inventory'!F:F,1,0),0)=0,"X","_")</f>
        <v>_</v>
      </c>
      <c r="D1125" t="str">
        <f t="shared" si="51"/>
        <v>X</v>
      </c>
      <c r="E1125" t="str">
        <f ca="1">IFERROR(IF(AND(B1125&amp;C1125&amp;D1125="___",INDIRECT("Inventory!A"&amp;MATCH(VLOOKUP(A1125,Inventory!E:E,1,0),Inventory!E:E,0))&lt;&gt;INDIRECT("'Full Inventory'!B"&amp;MATCH(VLOOKUP(A1125,'Full Inventory'!F:F,1,0),'Full Inventory'!F:F,0))),"X","_"),"_")</f>
        <v>_</v>
      </c>
      <c r="K1125" t="str">
        <f t="shared" ca="1" si="52"/>
        <v>__X_</v>
      </c>
      <c r="L1125" t="str">
        <f t="shared" ca="1" si="53"/>
        <v/>
      </c>
      <c r="M1125" t="str">
        <f>IFERROR(INDEX(Inventory!A:A,MATCH(Scan!A1125,Inventory!E:E,0)),"")</f>
        <v/>
      </c>
    </row>
    <row r="1126" spans="2:13" x14ac:dyDescent="0.25">
      <c r="B1126" t="str">
        <f>IF(IFERROR(VLOOKUP(TRIM(A1126),Inventory!E:E,1,0),0)=0,"X","_")</f>
        <v>_</v>
      </c>
      <c r="C1126" t="str">
        <f>IF(IFERROR(VLOOKUP(TRIM(A1126),'Full Inventory'!F:F,1,0),0)=0,"X","_")</f>
        <v>_</v>
      </c>
      <c r="D1126" t="str">
        <f t="shared" si="51"/>
        <v>X</v>
      </c>
      <c r="E1126" t="str">
        <f ca="1">IFERROR(IF(AND(B1126&amp;C1126&amp;D1126="___",INDIRECT("Inventory!A"&amp;MATCH(VLOOKUP(A1126,Inventory!E:E,1,0),Inventory!E:E,0))&lt;&gt;INDIRECT("'Full Inventory'!B"&amp;MATCH(VLOOKUP(A1126,'Full Inventory'!F:F,1,0),'Full Inventory'!F:F,0))),"X","_"),"_")</f>
        <v>_</v>
      </c>
      <c r="K1126" t="str">
        <f t="shared" ca="1" si="52"/>
        <v>__X_</v>
      </c>
      <c r="L1126" t="str">
        <f t="shared" ca="1" si="53"/>
        <v/>
      </c>
      <c r="M1126" t="str">
        <f>IFERROR(INDEX(Inventory!A:A,MATCH(Scan!A1126,Inventory!E:E,0)),"")</f>
        <v/>
      </c>
    </row>
    <row r="1127" spans="2:13" x14ac:dyDescent="0.25">
      <c r="B1127" t="str">
        <f>IF(IFERROR(VLOOKUP(TRIM(A1127),Inventory!E:E,1,0),0)=0,"X","_")</f>
        <v>_</v>
      </c>
      <c r="C1127" t="str">
        <f>IF(IFERROR(VLOOKUP(TRIM(A1127),'Full Inventory'!F:F,1,0),0)=0,"X","_")</f>
        <v>_</v>
      </c>
      <c r="D1127" t="str">
        <f t="shared" si="51"/>
        <v>X</v>
      </c>
      <c r="E1127" t="str">
        <f ca="1">IFERROR(IF(AND(B1127&amp;C1127&amp;D1127="___",INDIRECT("Inventory!A"&amp;MATCH(VLOOKUP(A1127,Inventory!E:E,1,0),Inventory!E:E,0))&lt;&gt;INDIRECT("'Full Inventory'!B"&amp;MATCH(VLOOKUP(A1127,'Full Inventory'!F:F,1,0),'Full Inventory'!F:F,0))),"X","_"),"_")</f>
        <v>_</v>
      </c>
      <c r="K1127" t="str">
        <f t="shared" ca="1" si="52"/>
        <v>__X_</v>
      </c>
      <c r="L1127" t="str">
        <f t="shared" ca="1" si="53"/>
        <v/>
      </c>
      <c r="M1127" t="str">
        <f>IFERROR(INDEX(Inventory!A:A,MATCH(Scan!A1127,Inventory!E:E,0)),"")</f>
        <v/>
      </c>
    </row>
    <row r="1128" spans="2:13" x14ac:dyDescent="0.25">
      <c r="B1128" t="str">
        <f>IF(IFERROR(VLOOKUP(TRIM(A1128),Inventory!E:E,1,0),0)=0,"X","_")</f>
        <v>_</v>
      </c>
      <c r="C1128" t="str">
        <f>IF(IFERROR(VLOOKUP(TRIM(A1128),'Full Inventory'!F:F,1,0),0)=0,"X","_")</f>
        <v>_</v>
      </c>
      <c r="D1128" t="str">
        <f t="shared" si="51"/>
        <v>X</v>
      </c>
      <c r="E1128" t="str">
        <f ca="1">IFERROR(IF(AND(B1128&amp;C1128&amp;D1128="___",INDIRECT("Inventory!A"&amp;MATCH(VLOOKUP(A1128,Inventory!E:E,1,0),Inventory!E:E,0))&lt;&gt;INDIRECT("'Full Inventory'!B"&amp;MATCH(VLOOKUP(A1128,'Full Inventory'!F:F,1,0),'Full Inventory'!F:F,0))),"X","_"),"_")</f>
        <v>_</v>
      </c>
      <c r="K1128" t="str">
        <f t="shared" ca="1" si="52"/>
        <v>__X_</v>
      </c>
      <c r="L1128" t="str">
        <f t="shared" ca="1" si="53"/>
        <v/>
      </c>
      <c r="M1128" t="str">
        <f>IFERROR(INDEX(Inventory!A:A,MATCH(Scan!A1128,Inventory!E:E,0)),"")</f>
        <v/>
      </c>
    </row>
    <row r="1129" spans="2:13" x14ac:dyDescent="0.25">
      <c r="B1129" t="str">
        <f>IF(IFERROR(VLOOKUP(TRIM(A1129),Inventory!E:E,1,0),0)=0,"X","_")</f>
        <v>_</v>
      </c>
      <c r="C1129" t="str">
        <f>IF(IFERROR(VLOOKUP(TRIM(A1129),'Full Inventory'!F:F,1,0),0)=0,"X","_")</f>
        <v>_</v>
      </c>
      <c r="D1129" t="str">
        <f t="shared" si="51"/>
        <v>X</v>
      </c>
      <c r="E1129" t="str">
        <f ca="1">IFERROR(IF(AND(B1129&amp;C1129&amp;D1129="___",INDIRECT("Inventory!A"&amp;MATCH(VLOOKUP(A1129,Inventory!E:E,1,0),Inventory!E:E,0))&lt;&gt;INDIRECT("'Full Inventory'!B"&amp;MATCH(VLOOKUP(A1129,'Full Inventory'!F:F,1,0),'Full Inventory'!F:F,0))),"X","_"),"_")</f>
        <v>_</v>
      </c>
      <c r="K1129" t="str">
        <f t="shared" ca="1" si="52"/>
        <v>__X_</v>
      </c>
      <c r="L1129" t="str">
        <f t="shared" ca="1" si="53"/>
        <v/>
      </c>
      <c r="M1129" t="str">
        <f>IFERROR(INDEX(Inventory!A:A,MATCH(Scan!A1129,Inventory!E:E,0)),"")</f>
        <v/>
      </c>
    </row>
    <row r="1130" spans="2:13" x14ac:dyDescent="0.25">
      <c r="B1130" t="str">
        <f>IF(IFERROR(VLOOKUP(TRIM(A1130),Inventory!E:E,1,0),0)=0,"X","_")</f>
        <v>_</v>
      </c>
      <c r="C1130" t="str">
        <f>IF(IFERROR(VLOOKUP(TRIM(A1130),'Full Inventory'!F:F,1,0),0)=0,"X","_")</f>
        <v>_</v>
      </c>
      <c r="D1130" t="str">
        <f t="shared" si="51"/>
        <v>X</v>
      </c>
      <c r="E1130" t="str">
        <f ca="1">IFERROR(IF(AND(B1130&amp;C1130&amp;D1130="___",INDIRECT("Inventory!A"&amp;MATCH(VLOOKUP(A1130,Inventory!E:E,1,0),Inventory!E:E,0))&lt;&gt;INDIRECT("'Full Inventory'!B"&amp;MATCH(VLOOKUP(A1130,'Full Inventory'!F:F,1,0),'Full Inventory'!F:F,0))),"X","_"),"_")</f>
        <v>_</v>
      </c>
      <c r="K1130" t="str">
        <f t="shared" ca="1" si="52"/>
        <v>__X_</v>
      </c>
      <c r="L1130" t="str">
        <f t="shared" ca="1" si="53"/>
        <v/>
      </c>
      <c r="M1130" t="str">
        <f>IFERROR(INDEX(Inventory!A:A,MATCH(Scan!A1130,Inventory!E:E,0)),"")</f>
        <v/>
      </c>
    </row>
    <row r="1131" spans="2:13" x14ac:dyDescent="0.25">
      <c r="B1131" t="str">
        <f>IF(IFERROR(VLOOKUP(TRIM(A1131),Inventory!E:E,1,0),0)=0,"X","_")</f>
        <v>_</v>
      </c>
      <c r="C1131" t="str">
        <f>IF(IFERROR(VLOOKUP(TRIM(A1131),'Full Inventory'!F:F,1,0),0)=0,"X","_")</f>
        <v>_</v>
      </c>
      <c r="D1131" t="str">
        <f t="shared" si="51"/>
        <v>X</v>
      </c>
      <c r="E1131" t="str">
        <f ca="1">IFERROR(IF(AND(B1131&amp;C1131&amp;D1131="___",INDIRECT("Inventory!A"&amp;MATCH(VLOOKUP(A1131,Inventory!E:E,1,0),Inventory!E:E,0))&lt;&gt;INDIRECT("'Full Inventory'!B"&amp;MATCH(VLOOKUP(A1131,'Full Inventory'!F:F,1,0),'Full Inventory'!F:F,0))),"X","_"),"_")</f>
        <v>_</v>
      </c>
      <c r="K1131" t="str">
        <f t="shared" ca="1" si="52"/>
        <v>__X_</v>
      </c>
      <c r="L1131" t="str">
        <f t="shared" ca="1" si="53"/>
        <v/>
      </c>
      <c r="M1131" t="str">
        <f>IFERROR(INDEX(Inventory!A:A,MATCH(Scan!A1131,Inventory!E:E,0)),"")</f>
        <v/>
      </c>
    </row>
    <row r="1132" spans="2:13" x14ac:dyDescent="0.25">
      <c r="B1132" t="str">
        <f>IF(IFERROR(VLOOKUP(TRIM(A1132),Inventory!E:E,1,0),0)=0,"X","_")</f>
        <v>_</v>
      </c>
      <c r="C1132" t="str">
        <f>IF(IFERROR(VLOOKUP(TRIM(A1132),'Full Inventory'!F:F,1,0),0)=0,"X","_")</f>
        <v>_</v>
      </c>
      <c r="D1132" t="str">
        <f t="shared" si="51"/>
        <v>X</v>
      </c>
      <c r="E1132" t="str">
        <f ca="1">IFERROR(IF(AND(B1132&amp;C1132&amp;D1132="___",INDIRECT("Inventory!A"&amp;MATCH(VLOOKUP(A1132,Inventory!E:E,1,0),Inventory!E:E,0))&lt;&gt;INDIRECT("'Full Inventory'!B"&amp;MATCH(VLOOKUP(A1132,'Full Inventory'!F:F,1,0),'Full Inventory'!F:F,0))),"X","_"),"_")</f>
        <v>_</v>
      </c>
      <c r="K1132" t="str">
        <f t="shared" ca="1" si="52"/>
        <v>__X_</v>
      </c>
      <c r="L1132" t="str">
        <f t="shared" ca="1" si="53"/>
        <v/>
      </c>
      <c r="M1132" t="str">
        <f>IFERROR(INDEX(Inventory!A:A,MATCH(Scan!A1132,Inventory!E:E,0)),"")</f>
        <v/>
      </c>
    </row>
    <row r="1133" spans="2:13" x14ac:dyDescent="0.25">
      <c r="B1133" t="str">
        <f>IF(IFERROR(VLOOKUP(TRIM(A1133),Inventory!E:E,1,0),0)=0,"X","_")</f>
        <v>_</v>
      </c>
      <c r="C1133" t="str">
        <f>IF(IFERROR(VLOOKUP(TRIM(A1133),'Full Inventory'!F:F,1,0),0)=0,"X","_")</f>
        <v>_</v>
      </c>
      <c r="D1133" t="str">
        <f t="shared" si="51"/>
        <v>X</v>
      </c>
      <c r="E1133" t="str">
        <f ca="1">IFERROR(IF(AND(B1133&amp;C1133&amp;D1133="___",INDIRECT("Inventory!A"&amp;MATCH(VLOOKUP(A1133,Inventory!E:E,1,0),Inventory!E:E,0))&lt;&gt;INDIRECT("'Full Inventory'!B"&amp;MATCH(VLOOKUP(A1133,'Full Inventory'!F:F,1,0),'Full Inventory'!F:F,0))),"X","_"),"_")</f>
        <v>_</v>
      </c>
      <c r="K1133" t="str">
        <f t="shared" ca="1" si="52"/>
        <v>__X_</v>
      </c>
      <c r="L1133" t="str">
        <f t="shared" ca="1" si="53"/>
        <v/>
      </c>
      <c r="M1133" t="str">
        <f>IFERROR(INDEX(Inventory!A:A,MATCH(Scan!A1133,Inventory!E:E,0)),"")</f>
        <v/>
      </c>
    </row>
    <row r="1134" spans="2:13" x14ac:dyDescent="0.25">
      <c r="B1134" t="str">
        <f>IF(IFERROR(VLOOKUP(TRIM(A1134),Inventory!E:E,1,0),0)=0,"X","_")</f>
        <v>_</v>
      </c>
      <c r="C1134" t="str">
        <f>IF(IFERROR(VLOOKUP(TRIM(A1134),'Full Inventory'!F:F,1,0),0)=0,"X","_")</f>
        <v>_</v>
      </c>
      <c r="D1134" t="str">
        <f t="shared" si="51"/>
        <v>X</v>
      </c>
      <c r="E1134" t="str">
        <f ca="1">IFERROR(IF(AND(B1134&amp;C1134&amp;D1134="___",INDIRECT("Inventory!A"&amp;MATCH(VLOOKUP(A1134,Inventory!E:E,1,0),Inventory!E:E,0))&lt;&gt;INDIRECT("'Full Inventory'!B"&amp;MATCH(VLOOKUP(A1134,'Full Inventory'!F:F,1,0),'Full Inventory'!F:F,0))),"X","_"),"_")</f>
        <v>_</v>
      </c>
      <c r="K1134" t="str">
        <f t="shared" ca="1" si="52"/>
        <v>__X_</v>
      </c>
      <c r="L1134" t="str">
        <f t="shared" ca="1" si="53"/>
        <v/>
      </c>
      <c r="M1134" t="str">
        <f>IFERROR(INDEX(Inventory!A:A,MATCH(Scan!A1134,Inventory!E:E,0)),"")</f>
        <v/>
      </c>
    </row>
    <row r="1135" spans="2:13" x14ac:dyDescent="0.25">
      <c r="B1135" t="str">
        <f>IF(IFERROR(VLOOKUP(TRIM(A1135),Inventory!E:E,1,0),0)=0,"X","_")</f>
        <v>_</v>
      </c>
      <c r="C1135" t="str">
        <f>IF(IFERROR(VLOOKUP(TRIM(A1135),'Full Inventory'!F:F,1,0),0)=0,"X","_")</f>
        <v>_</v>
      </c>
      <c r="D1135" t="str">
        <f t="shared" si="51"/>
        <v>X</v>
      </c>
      <c r="E1135" t="str">
        <f ca="1">IFERROR(IF(AND(B1135&amp;C1135&amp;D1135="___",INDIRECT("Inventory!A"&amp;MATCH(VLOOKUP(A1135,Inventory!E:E,1,0),Inventory!E:E,0))&lt;&gt;INDIRECT("'Full Inventory'!B"&amp;MATCH(VLOOKUP(A1135,'Full Inventory'!F:F,1,0),'Full Inventory'!F:F,0))),"X","_"),"_")</f>
        <v>_</v>
      </c>
      <c r="K1135" t="str">
        <f t="shared" ca="1" si="52"/>
        <v>__X_</v>
      </c>
      <c r="L1135" t="str">
        <f t="shared" ca="1" si="53"/>
        <v/>
      </c>
      <c r="M1135" t="str">
        <f>IFERROR(INDEX(Inventory!A:A,MATCH(Scan!A1135,Inventory!E:E,0)),"")</f>
        <v/>
      </c>
    </row>
    <row r="1136" spans="2:13" x14ac:dyDescent="0.25">
      <c r="B1136" t="str">
        <f>IF(IFERROR(VLOOKUP(TRIM(A1136),Inventory!E:E,1,0),0)=0,"X","_")</f>
        <v>_</v>
      </c>
      <c r="C1136" t="str">
        <f>IF(IFERROR(VLOOKUP(TRIM(A1136),'Full Inventory'!F:F,1,0),0)=0,"X","_")</f>
        <v>_</v>
      </c>
      <c r="D1136" t="str">
        <f t="shared" si="51"/>
        <v>X</v>
      </c>
      <c r="E1136" t="str">
        <f ca="1">IFERROR(IF(AND(B1136&amp;C1136&amp;D1136="___",INDIRECT("Inventory!A"&amp;MATCH(VLOOKUP(A1136,Inventory!E:E,1,0),Inventory!E:E,0))&lt;&gt;INDIRECT("'Full Inventory'!B"&amp;MATCH(VLOOKUP(A1136,'Full Inventory'!F:F,1,0),'Full Inventory'!F:F,0))),"X","_"),"_")</f>
        <v>_</v>
      </c>
      <c r="K1136" t="str">
        <f t="shared" ca="1" si="52"/>
        <v>__X_</v>
      </c>
      <c r="L1136" t="str">
        <f t="shared" ca="1" si="53"/>
        <v/>
      </c>
      <c r="M1136" t="str">
        <f>IFERROR(INDEX(Inventory!A:A,MATCH(Scan!A1136,Inventory!E:E,0)),"")</f>
        <v/>
      </c>
    </row>
    <row r="1137" spans="2:13" x14ac:dyDescent="0.25">
      <c r="B1137" t="str">
        <f>IF(IFERROR(VLOOKUP(TRIM(A1137),Inventory!E:E,1,0),0)=0,"X","_")</f>
        <v>_</v>
      </c>
      <c r="C1137" t="str">
        <f>IF(IFERROR(VLOOKUP(TRIM(A1137),'Full Inventory'!F:F,1,0),0)=0,"X","_")</f>
        <v>_</v>
      </c>
      <c r="D1137" t="str">
        <f t="shared" si="51"/>
        <v>X</v>
      </c>
      <c r="E1137" t="str">
        <f ca="1">IFERROR(IF(AND(B1137&amp;C1137&amp;D1137="___",INDIRECT("Inventory!A"&amp;MATCH(VLOOKUP(A1137,Inventory!E:E,1,0),Inventory!E:E,0))&lt;&gt;INDIRECT("'Full Inventory'!B"&amp;MATCH(VLOOKUP(A1137,'Full Inventory'!F:F,1,0),'Full Inventory'!F:F,0))),"X","_"),"_")</f>
        <v>_</v>
      </c>
      <c r="K1137" t="str">
        <f t="shared" ca="1" si="52"/>
        <v>__X_</v>
      </c>
      <c r="L1137" t="str">
        <f t="shared" ca="1" si="53"/>
        <v/>
      </c>
      <c r="M1137" t="str">
        <f>IFERROR(INDEX(Inventory!A:A,MATCH(Scan!A1137,Inventory!E:E,0)),"")</f>
        <v/>
      </c>
    </row>
    <row r="1138" spans="2:13" x14ac:dyDescent="0.25">
      <c r="B1138" t="str">
        <f>IF(IFERROR(VLOOKUP(TRIM(A1138),Inventory!E:E,1,0),0)=0,"X","_")</f>
        <v>_</v>
      </c>
      <c r="C1138" t="str">
        <f>IF(IFERROR(VLOOKUP(TRIM(A1138),'Full Inventory'!F:F,1,0),0)=0,"X","_")</f>
        <v>_</v>
      </c>
      <c r="D1138" t="str">
        <f t="shared" si="51"/>
        <v>X</v>
      </c>
      <c r="E1138" t="str">
        <f ca="1">IFERROR(IF(AND(B1138&amp;C1138&amp;D1138="___",INDIRECT("Inventory!A"&amp;MATCH(VLOOKUP(A1138,Inventory!E:E,1,0),Inventory!E:E,0))&lt;&gt;INDIRECT("'Full Inventory'!B"&amp;MATCH(VLOOKUP(A1138,'Full Inventory'!F:F,1,0),'Full Inventory'!F:F,0))),"X","_"),"_")</f>
        <v>_</v>
      </c>
      <c r="K1138" t="str">
        <f t="shared" ca="1" si="52"/>
        <v>__X_</v>
      </c>
      <c r="L1138" t="str">
        <f t="shared" ca="1" si="53"/>
        <v/>
      </c>
      <c r="M1138" t="str">
        <f>IFERROR(INDEX(Inventory!A:A,MATCH(Scan!A1138,Inventory!E:E,0)),"")</f>
        <v/>
      </c>
    </row>
    <row r="1139" spans="2:13" x14ac:dyDescent="0.25">
      <c r="B1139" t="str">
        <f>IF(IFERROR(VLOOKUP(TRIM(A1139),Inventory!E:E,1,0),0)=0,"X","_")</f>
        <v>_</v>
      </c>
      <c r="C1139" t="str">
        <f>IF(IFERROR(VLOOKUP(TRIM(A1139),'Full Inventory'!F:F,1,0),0)=0,"X","_")</f>
        <v>_</v>
      </c>
      <c r="D1139" t="str">
        <f t="shared" si="51"/>
        <v>X</v>
      </c>
      <c r="E1139" t="str">
        <f ca="1">IFERROR(IF(AND(B1139&amp;C1139&amp;D1139="___",INDIRECT("Inventory!A"&amp;MATCH(VLOOKUP(A1139,Inventory!E:E,1,0),Inventory!E:E,0))&lt;&gt;INDIRECT("'Full Inventory'!B"&amp;MATCH(VLOOKUP(A1139,'Full Inventory'!F:F,1,0),'Full Inventory'!F:F,0))),"X","_"),"_")</f>
        <v>_</v>
      </c>
      <c r="K1139" t="str">
        <f t="shared" ca="1" si="52"/>
        <v>__X_</v>
      </c>
      <c r="L1139" t="str">
        <f t="shared" ca="1" si="53"/>
        <v/>
      </c>
      <c r="M1139" t="str">
        <f>IFERROR(INDEX(Inventory!A:A,MATCH(Scan!A1139,Inventory!E:E,0)),"")</f>
        <v/>
      </c>
    </row>
    <row r="1140" spans="2:13" x14ac:dyDescent="0.25">
      <c r="B1140" t="str">
        <f>IF(IFERROR(VLOOKUP(TRIM(A1140),Inventory!E:E,1,0),0)=0,"X","_")</f>
        <v>_</v>
      </c>
      <c r="C1140" t="str">
        <f>IF(IFERROR(VLOOKUP(TRIM(A1140),'Full Inventory'!F:F,1,0),0)=0,"X","_")</f>
        <v>_</v>
      </c>
      <c r="D1140" t="str">
        <f t="shared" si="51"/>
        <v>X</v>
      </c>
      <c r="E1140" t="str">
        <f ca="1">IFERROR(IF(AND(B1140&amp;C1140&amp;D1140="___",INDIRECT("Inventory!A"&amp;MATCH(VLOOKUP(A1140,Inventory!E:E,1,0),Inventory!E:E,0))&lt;&gt;INDIRECT("'Full Inventory'!B"&amp;MATCH(VLOOKUP(A1140,'Full Inventory'!F:F,1,0),'Full Inventory'!F:F,0))),"X","_"),"_")</f>
        <v>_</v>
      </c>
      <c r="K1140" t="str">
        <f t="shared" ca="1" si="52"/>
        <v>__X_</v>
      </c>
      <c r="L1140" t="str">
        <f t="shared" ca="1" si="53"/>
        <v/>
      </c>
      <c r="M1140" t="str">
        <f>IFERROR(INDEX(Inventory!A:A,MATCH(Scan!A1140,Inventory!E:E,0)),"")</f>
        <v/>
      </c>
    </row>
    <row r="1141" spans="2:13" x14ac:dyDescent="0.25">
      <c r="B1141" t="str">
        <f>IF(IFERROR(VLOOKUP(TRIM(A1141),Inventory!E:E,1,0),0)=0,"X","_")</f>
        <v>_</v>
      </c>
      <c r="C1141" t="str">
        <f>IF(IFERROR(VLOOKUP(TRIM(A1141),'Full Inventory'!F:F,1,0),0)=0,"X","_")</f>
        <v>_</v>
      </c>
      <c r="D1141" t="str">
        <f t="shared" si="51"/>
        <v>X</v>
      </c>
      <c r="E1141" t="str">
        <f ca="1">IFERROR(IF(AND(B1141&amp;C1141&amp;D1141="___",INDIRECT("Inventory!A"&amp;MATCH(VLOOKUP(A1141,Inventory!E:E,1,0),Inventory!E:E,0))&lt;&gt;INDIRECT("'Full Inventory'!B"&amp;MATCH(VLOOKUP(A1141,'Full Inventory'!F:F,1,0),'Full Inventory'!F:F,0))),"X","_"),"_")</f>
        <v>_</v>
      </c>
      <c r="K1141" t="str">
        <f t="shared" ca="1" si="52"/>
        <v>__X_</v>
      </c>
      <c r="L1141" t="str">
        <f t="shared" ca="1" si="53"/>
        <v/>
      </c>
      <c r="M1141" t="str">
        <f>IFERROR(INDEX(Inventory!A:A,MATCH(Scan!A1141,Inventory!E:E,0)),"")</f>
        <v/>
      </c>
    </row>
    <row r="1142" spans="2:13" x14ac:dyDescent="0.25">
      <c r="B1142" t="str">
        <f>IF(IFERROR(VLOOKUP(TRIM(A1142),Inventory!E:E,1,0),0)=0,"X","_")</f>
        <v>_</v>
      </c>
      <c r="C1142" t="str">
        <f>IF(IFERROR(VLOOKUP(TRIM(A1142),'Full Inventory'!F:F,1,0),0)=0,"X","_")</f>
        <v>_</v>
      </c>
      <c r="D1142" t="str">
        <f t="shared" si="51"/>
        <v>X</v>
      </c>
      <c r="E1142" t="str">
        <f ca="1">IFERROR(IF(AND(B1142&amp;C1142&amp;D1142="___",INDIRECT("Inventory!A"&amp;MATCH(VLOOKUP(A1142,Inventory!E:E,1,0),Inventory!E:E,0))&lt;&gt;INDIRECT("'Full Inventory'!B"&amp;MATCH(VLOOKUP(A1142,'Full Inventory'!F:F,1,0),'Full Inventory'!F:F,0))),"X","_"),"_")</f>
        <v>_</v>
      </c>
      <c r="K1142" t="str">
        <f t="shared" ca="1" si="52"/>
        <v>__X_</v>
      </c>
      <c r="L1142" t="str">
        <f t="shared" ca="1" si="53"/>
        <v/>
      </c>
      <c r="M1142" t="str">
        <f>IFERROR(INDEX(Inventory!A:A,MATCH(Scan!A1142,Inventory!E:E,0)),"")</f>
        <v/>
      </c>
    </row>
    <row r="1143" spans="2:13" x14ac:dyDescent="0.25">
      <c r="B1143" t="str">
        <f>IF(IFERROR(VLOOKUP(TRIM(A1143),Inventory!E:E,1,0),0)=0,"X","_")</f>
        <v>_</v>
      </c>
      <c r="C1143" t="str">
        <f>IF(IFERROR(VLOOKUP(TRIM(A1143),'Full Inventory'!F:F,1,0),0)=0,"X","_")</f>
        <v>_</v>
      </c>
      <c r="D1143" t="str">
        <f t="shared" si="51"/>
        <v>X</v>
      </c>
      <c r="E1143" t="str">
        <f ca="1">IFERROR(IF(AND(B1143&amp;C1143&amp;D1143="___",INDIRECT("Inventory!A"&amp;MATCH(VLOOKUP(A1143,Inventory!E:E,1,0),Inventory!E:E,0))&lt;&gt;INDIRECT("'Full Inventory'!B"&amp;MATCH(VLOOKUP(A1143,'Full Inventory'!F:F,1,0),'Full Inventory'!F:F,0))),"X","_"),"_")</f>
        <v>_</v>
      </c>
      <c r="K1143" t="str">
        <f t="shared" ca="1" si="52"/>
        <v>__X_</v>
      </c>
      <c r="L1143" t="str">
        <f t="shared" ca="1" si="53"/>
        <v/>
      </c>
      <c r="M1143" t="str">
        <f>IFERROR(INDEX(Inventory!A:A,MATCH(Scan!A1143,Inventory!E:E,0)),"")</f>
        <v/>
      </c>
    </row>
    <row r="1144" spans="2:13" x14ac:dyDescent="0.25">
      <c r="B1144" t="str">
        <f>IF(IFERROR(VLOOKUP(TRIM(A1144),Inventory!E:E,1,0),0)=0,"X","_")</f>
        <v>_</v>
      </c>
      <c r="C1144" t="str">
        <f>IF(IFERROR(VLOOKUP(TRIM(A1144),'Full Inventory'!F:F,1,0),0)=0,"X","_")</f>
        <v>_</v>
      </c>
      <c r="D1144" t="str">
        <f t="shared" si="51"/>
        <v>X</v>
      </c>
      <c r="E1144" t="str">
        <f ca="1">IFERROR(IF(AND(B1144&amp;C1144&amp;D1144="___",INDIRECT("Inventory!A"&amp;MATCH(VLOOKUP(A1144,Inventory!E:E,1,0),Inventory!E:E,0))&lt;&gt;INDIRECT("'Full Inventory'!B"&amp;MATCH(VLOOKUP(A1144,'Full Inventory'!F:F,1,0),'Full Inventory'!F:F,0))),"X","_"),"_")</f>
        <v>_</v>
      </c>
      <c r="K1144" t="str">
        <f t="shared" ca="1" si="52"/>
        <v>__X_</v>
      </c>
      <c r="L1144" t="str">
        <f t="shared" ca="1" si="53"/>
        <v/>
      </c>
      <c r="M1144" t="str">
        <f>IFERROR(INDEX(Inventory!A:A,MATCH(Scan!A1144,Inventory!E:E,0)),"")</f>
        <v/>
      </c>
    </row>
    <row r="1145" spans="2:13" x14ac:dyDescent="0.25">
      <c r="B1145" t="str">
        <f>IF(IFERROR(VLOOKUP(TRIM(A1145),Inventory!E:E,1,0),0)=0,"X","_")</f>
        <v>_</v>
      </c>
      <c r="C1145" t="str">
        <f>IF(IFERROR(VLOOKUP(TRIM(A1145),'Full Inventory'!F:F,1,0),0)=0,"X","_")</f>
        <v>_</v>
      </c>
      <c r="D1145" t="str">
        <f t="shared" si="51"/>
        <v>X</v>
      </c>
      <c r="E1145" t="str">
        <f ca="1">IFERROR(IF(AND(B1145&amp;C1145&amp;D1145="___",INDIRECT("Inventory!A"&amp;MATCH(VLOOKUP(A1145,Inventory!E:E,1,0),Inventory!E:E,0))&lt;&gt;INDIRECT("'Full Inventory'!B"&amp;MATCH(VLOOKUP(A1145,'Full Inventory'!F:F,1,0),'Full Inventory'!F:F,0))),"X","_"),"_")</f>
        <v>_</v>
      </c>
      <c r="K1145" t="str">
        <f t="shared" ca="1" si="52"/>
        <v>__X_</v>
      </c>
      <c r="L1145" t="str">
        <f t="shared" ca="1" si="53"/>
        <v/>
      </c>
      <c r="M1145" t="str">
        <f>IFERROR(INDEX(Inventory!A:A,MATCH(Scan!A1145,Inventory!E:E,0)),"")</f>
        <v/>
      </c>
    </row>
    <row r="1146" spans="2:13" x14ac:dyDescent="0.25">
      <c r="B1146" t="str">
        <f>IF(IFERROR(VLOOKUP(TRIM(A1146),Inventory!E:E,1,0),0)=0,"X","_")</f>
        <v>_</v>
      </c>
      <c r="C1146" t="str">
        <f>IF(IFERROR(VLOOKUP(TRIM(A1146),'Full Inventory'!F:F,1,0),0)=0,"X","_")</f>
        <v>_</v>
      </c>
      <c r="D1146" t="str">
        <f t="shared" si="51"/>
        <v>X</v>
      </c>
      <c r="E1146" t="str">
        <f ca="1">IFERROR(IF(AND(B1146&amp;C1146&amp;D1146="___",INDIRECT("Inventory!A"&amp;MATCH(VLOOKUP(A1146,Inventory!E:E,1,0),Inventory!E:E,0))&lt;&gt;INDIRECT("'Full Inventory'!B"&amp;MATCH(VLOOKUP(A1146,'Full Inventory'!F:F,1,0),'Full Inventory'!F:F,0))),"X","_"),"_")</f>
        <v>_</v>
      </c>
      <c r="K1146" t="str">
        <f t="shared" ca="1" si="52"/>
        <v>__X_</v>
      </c>
      <c r="L1146" t="str">
        <f t="shared" ca="1" si="53"/>
        <v/>
      </c>
      <c r="M1146" t="str">
        <f>IFERROR(INDEX(Inventory!A:A,MATCH(Scan!A1146,Inventory!E:E,0)),"")</f>
        <v/>
      </c>
    </row>
    <row r="1147" spans="2:13" x14ac:dyDescent="0.25">
      <c r="B1147" t="str">
        <f>IF(IFERROR(VLOOKUP(TRIM(A1147),Inventory!E:E,1,0),0)=0,"X","_")</f>
        <v>_</v>
      </c>
      <c r="C1147" t="str">
        <f>IF(IFERROR(VLOOKUP(TRIM(A1147),'Full Inventory'!F:F,1,0),0)=0,"X","_")</f>
        <v>_</v>
      </c>
      <c r="D1147" t="str">
        <f t="shared" si="51"/>
        <v>X</v>
      </c>
      <c r="E1147" t="str">
        <f ca="1">IFERROR(IF(AND(B1147&amp;C1147&amp;D1147="___",INDIRECT("Inventory!A"&amp;MATCH(VLOOKUP(A1147,Inventory!E:E,1,0),Inventory!E:E,0))&lt;&gt;INDIRECT("'Full Inventory'!B"&amp;MATCH(VLOOKUP(A1147,'Full Inventory'!F:F,1,0),'Full Inventory'!F:F,0))),"X","_"),"_")</f>
        <v>_</v>
      </c>
      <c r="K1147" t="str">
        <f t="shared" ca="1" si="52"/>
        <v>__X_</v>
      </c>
      <c r="L1147" t="str">
        <f t="shared" ca="1" si="53"/>
        <v/>
      </c>
      <c r="M1147" t="str">
        <f>IFERROR(INDEX(Inventory!A:A,MATCH(Scan!A1147,Inventory!E:E,0)),"")</f>
        <v/>
      </c>
    </row>
    <row r="1148" spans="2:13" x14ac:dyDescent="0.25">
      <c r="B1148" t="str">
        <f>IF(IFERROR(VLOOKUP(TRIM(A1148),Inventory!E:E,1,0),0)=0,"X","_")</f>
        <v>_</v>
      </c>
      <c r="C1148" t="str">
        <f>IF(IFERROR(VLOOKUP(TRIM(A1148),'Full Inventory'!F:F,1,0),0)=0,"X","_")</f>
        <v>_</v>
      </c>
      <c r="D1148" t="str">
        <f t="shared" si="51"/>
        <v>X</v>
      </c>
      <c r="E1148" t="str">
        <f ca="1">IFERROR(IF(AND(B1148&amp;C1148&amp;D1148="___",INDIRECT("Inventory!A"&amp;MATCH(VLOOKUP(A1148,Inventory!E:E,1,0),Inventory!E:E,0))&lt;&gt;INDIRECT("'Full Inventory'!B"&amp;MATCH(VLOOKUP(A1148,'Full Inventory'!F:F,1,0),'Full Inventory'!F:F,0))),"X","_"),"_")</f>
        <v>_</v>
      </c>
      <c r="K1148" t="str">
        <f t="shared" ca="1" si="52"/>
        <v>__X_</v>
      </c>
      <c r="L1148" t="str">
        <f t="shared" ca="1" si="53"/>
        <v/>
      </c>
      <c r="M1148" t="str">
        <f>IFERROR(INDEX(Inventory!A:A,MATCH(Scan!A1148,Inventory!E:E,0)),"")</f>
        <v/>
      </c>
    </row>
    <row r="1149" spans="2:13" x14ac:dyDescent="0.25">
      <c r="B1149" t="str">
        <f>IF(IFERROR(VLOOKUP(TRIM(A1149),Inventory!E:E,1,0),0)=0,"X","_")</f>
        <v>_</v>
      </c>
      <c r="C1149" t="str">
        <f>IF(IFERROR(VLOOKUP(TRIM(A1149),'Full Inventory'!F:F,1,0),0)=0,"X","_")</f>
        <v>_</v>
      </c>
      <c r="D1149" t="str">
        <f t="shared" si="51"/>
        <v>X</v>
      </c>
      <c r="E1149" t="str">
        <f ca="1">IFERROR(IF(AND(B1149&amp;C1149&amp;D1149="___",INDIRECT("Inventory!A"&amp;MATCH(VLOOKUP(A1149,Inventory!E:E,1,0),Inventory!E:E,0))&lt;&gt;INDIRECT("'Full Inventory'!B"&amp;MATCH(VLOOKUP(A1149,'Full Inventory'!F:F,1,0),'Full Inventory'!F:F,0))),"X","_"),"_")</f>
        <v>_</v>
      </c>
      <c r="K1149" t="str">
        <f t="shared" ca="1" si="52"/>
        <v>__X_</v>
      </c>
      <c r="L1149" t="str">
        <f t="shared" ca="1" si="53"/>
        <v/>
      </c>
      <c r="M1149" t="str">
        <f>IFERROR(INDEX(Inventory!A:A,MATCH(Scan!A1149,Inventory!E:E,0)),"")</f>
        <v/>
      </c>
    </row>
    <row r="1150" spans="2:13" x14ac:dyDescent="0.25">
      <c r="B1150" t="str">
        <f>IF(IFERROR(VLOOKUP(TRIM(A1150),Inventory!E:E,1,0),0)=0,"X","_")</f>
        <v>_</v>
      </c>
      <c r="C1150" t="str">
        <f>IF(IFERROR(VLOOKUP(TRIM(A1150),'Full Inventory'!F:F,1,0),0)=0,"X","_")</f>
        <v>_</v>
      </c>
      <c r="D1150" t="str">
        <f t="shared" si="51"/>
        <v>X</v>
      </c>
      <c r="E1150" t="str">
        <f ca="1">IFERROR(IF(AND(B1150&amp;C1150&amp;D1150="___",INDIRECT("Inventory!A"&amp;MATCH(VLOOKUP(A1150,Inventory!E:E,1,0),Inventory!E:E,0))&lt;&gt;INDIRECT("'Full Inventory'!B"&amp;MATCH(VLOOKUP(A1150,'Full Inventory'!F:F,1,0),'Full Inventory'!F:F,0))),"X","_"),"_")</f>
        <v>_</v>
      </c>
      <c r="K1150" t="str">
        <f t="shared" ca="1" si="52"/>
        <v>__X_</v>
      </c>
      <c r="L1150" t="str">
        <f t="shared" ca="1" si="53"/>
        <v/>
      </c>
      <c r="M1150" t="str">
        <f>IFERROR(INDEX(Inventory!A:A,MATCH(Scan!A1150,Inventory!E:E,0)),"")</f>
        <v/>
      </c>
    </row>
    <row r="1151" spans="2:13" x14ac:dyDescent="0.25">
      <c r="B1151" t="str">
        <f>IF(IFERROR(VLOOKUP(TRIM(A1151),Inventory!E:E,1,0),0)=0,"X","_")</f>
        <v>_</v>
      </c>
      <c r="C1151" t="str">
        <f>IF(IFERROR(VLOOKUP(TRIM(A1151),'Full Inventory'!F:F,1,0),0)=0,"X","_")</f>
        <v>_</v>
      </c>
      <c r="D1151" t="str">
        <f t="shared" si="51"/>
        <v>X</v>
      </c>
      <c r="E1151" t="str">
        <f ca="1">IFERROR(IF(AND(B1151&amp;C1151&amp;D1151="___",INDIRECT("Inventory!A"&amp;MATCH(VLOOKUP(A1151,Inventory!E:E,1,0),Inventory!E:E,0))&lt;&gt;INDIRECT("'Full Inventory'!B"&amp;MATCH(VLOOKUP(A1151,'Full Inventory'!F:F,1,0),'Full Inventory'!F:F,0))),"X","_"),"_")</f>
        <v>_</v>
      </c>
      <c r="K1151" t="str">
        <f t="shared" ca="1" si="52"/>
        <v>__X_</v>
      </c>
      <c r="L1151" t="str">
        <f t="shared" ca="1" si="53"/>
        <v/>
      </c>
      <c r="M1151" t="str">
        <f>IFERROR(INDEX(Inventory!A:A,MATCH(Scan!A1151,Inventory!E:E,0)),"")</f>
        <v/>
      </c>
    </row>
    <row r="1152" spans="2:13" x14ac:dyDescent="0.25">
      <c r="B1152" t="str">
        <f>IF(IFERROR(VLOOKUP(TRIM(A1152),Inventory!E:E,1,0),0)=0,"X","_")</f>
        <v>_</v>
      </c>
      <c r="C1152" t="str">
        <f>IF(IFERROR(VLOOKUP(TRIM(A1152),'Full Inventory'!F:F,1,0),0)=0,"X","_")</f>
        <v>_</v>
      </c>
      <c r="D1152" t="str">
        <f t="shared" si="51"/>
        <v>X</v>
      </c>
      <c r="E1152" t="str">
        <f ca="1">IFERROR(IF(AND(B1152&amp;C1152&amp;D1152="___",INDIRECT("Inventory!A"&amp;MATCH(VLOOKUP(A1152,Inventory!E:E,1,0),Inventory!E:E,0))&lt;&gt;INDIRECT("'Full Inventory'!B"&amp;MATCH(VLOOKUP(A1152,'Full Inventory'!F:F,1,0),'Full Inventory'!F:F,0))),"X","_"),"_")</f>
        <v>_</v>
      </c>
      <c r="K1152" t="str">
        <f t="shared" ca="1" si="52"/>
        <v>__X_</v>
      </c>
      <c r="L1152" t="str">
        <f t="shared" ca="1" si="53"/>
        <v/>
      </c>
      <c r="M1152" t="str">
        <f>IFERROR(INDEX(Inventory!A:A,MATCH(Scan!A1152,Inventory!E:E,0)),"")</f>
        <v/>
      </c>
    </row>
    <row r="1153" spans="2:13" x14ac:dyDescent="0.25">
      <c r="B1153" t="str">
        <f>IF(IFERROR(VLOOKUP(TRIM(A1153),Inventory!E:E,1,0),0)=0,"X","_")</f>
        <v>_</v>
      </c>
      <c r="C1153" t="str">
        <f>IF(IFERROR(VLOOKUP(TRIM(A1153),'Full Inventory'!F:F,1,0),0)=0,"X","_")</f>
        <v>_</v>
      </c>
      <c r="D1153" t="str">
        <f t="shared" si="51"/>
        <v>X</v>
      </c>
      <c r="E1153" t="str">
        <f ca="1">IFERROR(IF(AND(B1153&amp;C1153&amp;D1153="___",INDIRECT("Inventory!A"&amp;MATCH(VLOOKUP(A1153,Inventory!E:E,1,0),Inventory!E:E,0))&lt;&gt;INDIRECT("'Full Inventory'!B"&amp;MATCH(VLOOKUP(A1153,'Full Inventory'!F:F,1,0),'Full Inventory'!F:F,0))),"X","_"),"_")</f>
        <v>_</v>
      </c>
      <c r="K1153" t="str">
        <f t="shared" ca="1" si="52"/>
        <v>__X_</v>
      </c>
      <c r="L1153" t="str">
        <f t="shared" ca="1" si="53"/>
        <v/>
      </c>
      <c r="M1153" t="str">
        <f>IFERROR(INDEX(Inventory!A:A,MATCH(Scan!A1153,Inventory!E:E,0)),"")</f>
        <v/>
      </c>
    </row>
    <row r="1154" spans="2:13" x14ac:dyDescent="0.25">
      <c r="B1154" t="str">
        <f>IF(IFERROR(VLOOKUP(TRIM(A1154),Inventory!E:E,1,0),0)=0,"X","_")</f>
        <v>_</v>
      </c>
      <c r="C1154" t="str">
        <f>IF(IFERROR(VLOOKUP(TRIM(A1154),'Full Inventory'!F:F,1,0),0)=0,"X","_")</f>
        <v>_</v>
      </c>
      <c r="D1154" t="str">
        <f t="shared" ref="D1154:D1217" si="54">IF(TRIM(A1154)&lt;&gt;"","_","X")</f>
        <v>X</v>
      </c>
      <c r="E1154" t="str">
        <f ca="1">IFERROR(IF(AND(B1154&amp;C1154&amp;D1154="___",INDIRECT("Inventory!A"&amp;MATCH(VLOOKUP(A1154,Inventory!E:E,1,0),Inventory!E:E,0))&lt;&gt;INDIRECT("'Full Inventory'!B"&amp;MATCH(VLOOKUP(A1154,'Full Inventory'!F:F,1,0),'Full Inventory'!F:F,0))),"X","_"),"_")</f>
        <v>_</v>
      </c>
      <c r="K1154" t="str">
        <f t="shared" ca="1" si="52"/>
        <v>__X_</v>
      </c>
      <c r="L1154" t="str">
        <f t="shared" ca="1" si="53"/>
        <v/>
      </c>
      <c r="M1154" t="str">
        <f>IFERROR(INDEX(Inventory!A:A,MATCH(Scan!A1154,Inventory!E:E,0)),"")</f>
        <v/>
      </c>
    </row>
    <row r="1155" spans="2:13" x14ac:dyDescent="0.25">
      <c r="B1155" t="str">
        <f>IF(IFERROR(VLOOKUP(TRIM(A1155),Inventory!E:E,1,0),0)=0,"X","_")</f>
        <v>_</v>
      </c>
      <c r="C1155" t="str">
        <f>IF(IFERROR(VLOOKUP(TRIM(A1155),'Full Inventory'!F:F,1,0),0)=0,"X","_")</f>
        <v>_</v>
      </c>
      <c r="D1155" t="str">
        <f t="shared" si="54"/>
        <v>X</v>
      </c>
      <c r="E1155" t="str">
        <f ca="1">IFERROR(IF(AND(B1155&amp;C1155&amp;D1155="___",INDIRECT("Inventory!A"&amp;MATCH(VLOOKUP(A1155,Inventory!E:E,1,0),Inventory!E:E,0))&lt;&gt;INDIRECT("'Full Inventory'!B"&amp;MATCH(VLOOKUP(A1155,'Full Inventory'!F:F,1,0),'Full Inventory'!F:F,0))),"X","_"),"_")</f>
        <v>_</v>
      </c>
      <c r="K1155" t="str">
        <f t="shared" ref="K1155:K1218" ca="1" si="55">B1155&amp;C1155&amp;D1155&amp;E1155</f>
        <v>__X_</v>
      </c>
      <c r="L1155" t="str">
        <f t="shared" ref="L1155:L1218" ca="1" si="56">IF(K1155="____","OK",IF(K1155="_X__","NOT IN FULL INVENTORY",IF(K1155="XX__","NOT IN FULL INVENTORY AND INVENTORY",IF(K1155="X___","NOT IN INVENTORY",IF(K1155="___X","DIFFERENT NAMES IN FULL INVENTORY AND INVENTORY","")))))</f>
        <v/>
      </c>
      <c r="M1155" t="str">
        <f>IFERROR(INDEX(Inventory!A:A,MATCH(Scan!A1155,Inventory!E:E,0)),"")</f>
        <v/>
      </c>
    </row>
    <row r="1156" spans="2:13" x14ac:dyDescent="0.25">
      <c r="B1156" t="str">
        <f>IF(IFERROR(VLOOKUP(TRIM(A1156),Inventory!E:E,1,0),0)=0,"X","_")</f>
        <v>_</v>
      </c>
      <c r="C1156" t="str">
        <f>IF(IFERROR(VLOOKUP(TRIM(A1156),'Full Inventory'!F:F,1,0),0)=0,"X","_")</f>
        <v>_</v>
      </c>
      <c r="D1156" t="str">
        <f t="shared" si="54"/>
        <v>X</v>
      </c>
      <c r="E1156" t="str">
        <f ca="1">IFERROR(IF(AND(B1156&amp;C1156&amp;D1156="___",INDIRECT("Inventory!A"&amp;MATCH(VLOOKUP(A1156,Inventory!E:E,1,0),Inventory!E:E,0))&lt;&gt;INDIRECT("'Full Inventory'!B"&amp;MATCH(VLOOKUP(A1156,'Full Inventory'!F:F,1,0),'Full Inventory'!F:F,0))),"X","_"),"_")</f>
        <v>_</v>
      </c>
      <c r="K1156" t="str">
        <f t="shared" ca="1" si="55"/>
        <v>__X_</v>
      </c>
      <c r="L1156" t="str">
        <f t="shared" ca="1" si="56"/>
        <v/>
      </c>
      <c r="M1156" t="str">
        <f>IFERROR(INDEX(Inventory!A:A,MATCH(Scan!A1156,Inventory!E:E,0)),"")</f>
        <v/>
      </c>
    </row>
    <row r="1157" spans="2:13" x14ac:dyDescent="0.25">
      <c r="B1157" t="str">
        <f>IF(IFERROR(VLOOKUP(TRIM(A1157),Inventory!E:E,1,0),0)=0,"X","_")</f>
        <v>_</v>
      </c>
      <c r="C1157" t="str">
        <f>IF(IFERROR(VLOOKUP(TRIM(A1157),'Full Inventory'!F:F,1,0),0)=0,"X","_")</f>
        <v>_</v>
      </c>
      <c r="D1157" t="str">
        <f t="shared" si="54"/>
        <v>X</v>
      </c>
      <c r="E1157" t="str">
        <f ca="1">IFERROR(IF(AND(B1157&amp;C1157&amp;D1157="___",INDIRECT("Inventory!A"&amp;MATCH(VLOOKUP(A1157,Inventory!E:E,1,0),Inventory!E:E,0))&lt;&gt;INDIRECT("'Full Inventory'!B"&amp;MATCH(VLOOKUP(A1157,'Full Inventory'!F:F,1,0),'Full Inventory'!F:F,0))),"X","_"),"_")</f>
        <v>_</v>
      </c>
      <c r="K1157" t="str">
        <f t="shared" ca="1" si="55"/>
        <v>__X_</v>
      </c>
      <c r="L1157" t="str">
        <f t="shared" ca="1" si="56"/>
        <v/>
      </c>
      <c r="M1157" t="str">
        <f>IFERROR(INDEX(Inventory!A:A,MATCH(Scan!A1157,Inventory!E:E,0)),"")</f>
        <v/>
      </c>
    </row>
    <row r="1158" spans="2:13" x14ac:dyDescent="0.25">
      <c r="B1158" t="str">
        <f>IF(IFERROR(VLOOKUP(TRIM(A1158),Inventory!E:E,1,0),0)=0,"X","_")</f>
        <v>_</v>
      </c>
      <c r="C1158" t="str">
        <f>IF(IFERROR(VLOOKUP(TRIM(A1158),'Full Inventory'!F:F,1,0),0)=0,"X","_")</f>
        <v>_</v>
      </c>
      <c r="D1158" t="str">
        <f t="shared" si="54"/>
        <v>X</v>
      </c>
      <c r="E1158" t="str">
        <f ca="1">IFERROR(IF(AND(B1158&amp;C1158&amp;D1158="___",INDIRECT("Inventory!A"&amp;MATCH(VLOOKUP(A1158,Inventory!E:E,1,0),Inventory!E:E,0))&lt;&gt;INDIRECT("'Full Inventory'!B"&amp;MATCH(VLOOKUP(A1158,'Full Inventory'!F:F,1,0),'Full Inventory'!F:F,0))),"X","_"),"_")</f>
        <v>_</v>
      </c>
      <c r="K1158" t="str">
        <f t="shared" ca="1" si="55"/>
        <v>__X_</v>
      </c>
      <c r="L1158" t="str">
        <f t="shared" ca="1" si="56"/>
        <v/>
      </c>
      <c r="M1158" t="str">
        <f>IFERROR(INDEX(Inventory!A:A,MATCH(Scan!A1158,Inventory!E:E,0)),"")</f>
        <v/>
      </c>
    </row>
    <row r="1159" spans="2:13" x14ac:dyDescent="0.25">
      <c r="B1159" t="str">
        <f>IF(IFERROR(VLOOKUP(TRIM(A1159),Inventory!E:E,1,0),0)=0,"X","_")</f>
        <v>_</v>
      </c>
      <c r="C1159" t="str">
        <f>IF(IFERROR(VLOOKUP(TRIM(A1159),'Full Inventory'!F:F,1,0),0)=0,"X","_")</f>
        <v>_</v>
      </c>
      <c r="D1159" t="str">
        <f t="shared" si="54"/>
        <v>X</v>
      </c>
      <c r="E1159" t="str">
        <f ca="1">IFERROR(IF(AND(B1159&amp;C1159&amp;D1159="___",INDIRECT("Inventory!A"&amp;MATCH(VLOOKUP(A1159,Inventory!E:E,1,0),Inventory!E:E,0))&lt;&gt;INDIRECT("'Full Inventory'!B"&amp;MATCH(VLOOKUP(A1159,'Full Inventory'!F:F,1,0),'Full Inventory'!F:F,0))),"X","_"),"_")</f>
        <v>_</v>
      </c>
      <c r="K1159" t="str">
        <f t="shared" ca="1" si="55"/>
        <v>__X_</v>
      </c>
      <c r="L1159" t="str">
        <f t="shared" ca="1" si="56"/>
        <v/>
      </c>
      <c r="M1159" t="str">
        <f>IFERROR(INDEX(Inventory!A:A,MATCH(Scan!A1159,Inventory!E:E,0)),"")</f>
        <v/>
      </c>
    </row>
    <row r="1160" spans="2:13" x14ac:dyDescent="0.25">
      <c r="B1160" t="str">
        <f>IF(IFERROR(VLOOKUP(TRIM(A1160),Inventory!E:E,1,0),0)=0,"X","_")</f>
        <v>_</v>
      </c>
      <c r="C1160" t="str">
        <f>IF(IFERROR(VLOOKUP(TRIM(A1160),'Full Inventory'!F:F,1,0),0)=0,"X","_")</f>
        <v>_</v>
      </c>
      <c r="D1160" t="str">
        <f t="shared" si="54"/>
        <v>X</v>
      </c>
      <c r="E1160" t="str">
        <f ca="1">IFERROR(IF(AND(B1160&amp;C1160&amp;D1160="___",INDIRECT("Inventory!A"&amp;MATCH(VLOOKUP(A1160,Inventory!E:E,1,0),Inventory!E:E,0))&lt;&gt;INDIRECT("'Full Inventory'!B"&amp;MATCH(VLOOKUP(A1160,'Full Inventory'!F:F,1,0),'Full Inventory'!F:F,0))),"X","_"),"_")</f>
        <v>_</v>
      </c>
      <c r="K1160" t="str">
        <f t="shared" ca="1" si="55"/>
        <v>__X_</v>
      </c>
      <c r="L1160" t="str">
        <f t="shared" ca="1" si="56"/>
        <v/>
      </c>
      <c r="M1160" t="str">
        <f>IFERROR(INDEX(Inventory!A:A,MATCH(Scan!A1160,Inventory!E:E,0)),"")</f>
        <v/>
      </c>
    </row>
    <row r="1161" spans="2:13" x14ac:dyDescent="0.25">
      <c r="B1161" t="str">
        <f>IF(IFERROR(VLOOKUP(TRIM(A1161),Inventory!E:E,1,0),0)=0,"X","_")</f>
        <v>_</v>
      </c>
      <c r="C1161" t="str">
        <f>IF(IFERROR(VLOOKUP(TRIM(A1161),'Full Inventory'!F:F,1,0),0)=0,"X","_")</f>
        <v>_</v>
      </c>
      <c r="D1161" t="str">
        <f t="shared" si="54"/>
        <v>X</v>
      </c>
      <c r="E1161" t="str">
        <f ca="1">IFERROR(IF(AND(B1161&amp;C1161&amp;D1161="___",INDIRECT("Inventory!A"&amp;MATCH(VLOOKUP(A1161,Inventory!E:E,1,0),Inventory!E:E,0))&lt;&gt;INDIRECT("'Full Inventory'!B"&amp;MATCH(VLOOKUP(A1161,'Full Inventory'!F:F,1,0),'Full Inventory'!F:F,0))),"X","_"),"_")</f>
        <v>_</v>
      </c>
      <c r="K1161" t="str">
        <f t="shared" ca="1" si="55"/>
        <v>__X_</v>
      </c>
      <c r="L1161" t="str">
        <f t="shared" ca="1" si="56"/>
        <v/>
      </c>
      <c r="M1161" t="str">
        <f>IFERROR(INDEX(Inventory!A:A,MATCH(Scan!A1161,Inventory!E:E,0)),"")</f>
        <v/>
      </c>
    </row>
    <row r="1162" spans="2:13" x14ac:dyDescent="0.25">
      <c r="B1162" t="str">
        <f>IF(IFERROR(VLOOKUP(TRIM(A1162),Inventory!E:E,1,0),0)=0,"X","_")</f>
        <v>_</v>
      </c>
      <c r="C1162" t="str">
        <f>IF(IFERROR(VLOOKUP(TRIM(A1162),'Full Inventory'!F:F,1,0),0)=0,"X","_")</f>
        <v>_</v>
      </c>
      <c r="D1162" t="str">
        <f t="shared" si="54"/>
        <v>X</v>
      </c>
      <c r="E1162" t="str">
        <f ca="1">IFERROR(IF(AND(B1162&amp;C1162&amp;D1162="___",INDIRECT("Inventory!A"&amp;MATCH(VLOOKUP(A1162,Inventory!E:E,1,0),Inventory!E:E,0))&lt;&gt;INDIRECT("'Full Inventory'!B"&amp;MATCH(VLOOKUP(A1162,'Full Inventory'!F:F,1,0),'Full Inventory'!F:F,0))),"X","_"),"_")</f>
        <v>_</v>
      </c>
      <c r="K1162" t="str">
        <f t="shared" ca="1" si="55"/>
        <v>__X_</v>
      </c>
      <c r="L1162" t="str">
        <f t="shared" ca="1" si="56"/>
        <v/>
      </c>
      <c r="M1162" t="str">
        <f>IFERROR(INDEX(Inventory!A:A,MATCH(Scan!A1162,Inventory!E:E,0)),"")</f>
        <v/>
      </c>
    </row>
    <row r="1163" spans="2:13" x14ac:dyDescent="0.25">
      <c r="B1163" t="str">
        <f>IF(IFERROR(VLOOKUP(TRIM(A1163),Inventory!E:E,1,0),0)=0,"X","_")</f>
        <v>_</v>
      </c>
      <c r="C1163" t="str">
        <f>IF(IFERROR(VLOOKUP(TRIM(A1163),'Full Inventory'!F:F,1,0),0)=0,"X","_")</f>
        <v>_</v>
      </c>
      <c r="D1163" t="str">
        <f t="shared" si="54"/>
        <v>X</v>
      </c>
      <c r="E1163" t="str">
        <f ca="1">IFERROR(IF(AND(B1163&amp;C1163&amp;D1163="___",INDIRECT("Inventory!A"&amp;MATCH(VLOOKUP(A1163,Inventory!E:E,1,0),Inventory!E:E,0))&lt;&gt;INDIRECT("'Full Inventory'!B"&amp;MATCH(VLOOKUP(A1163,'Full Inventory'!F:F,1,0),'Full Inventory'!F:F,0))),"X","_"),"_")</f>
        <v>_</v>
      </c>
      <c r="K1163" t="str">
        <f t="shared" ca="1" si="55"/>
        <v>__X_</v>
      </c>
      <c r="L1163" t="str">
        <f t="shared" ca="1" si="56"/>
        <v/>
      </c>
      <c r="M1163" t="str">
        <f>IFERROR(INDEX(Inventory!A:A,MATCH(Scan!A1163,Inventory!E:E,0)),"")</f>
        <v/>
      </c>
    </row>
    <row r="1164" spans="2:13" x14ac:dyDescent="0.25">
      <c r="B1164" t="str">
        <f>IF(IFERROR(VLOOKUP(TRIM(A1164),Inventory!E:E,1,0),0)=0,"X","_")</f>
        <v>_</v>
      </c>
      <c r="C1164" t="str">
        <f>IF(IFERROR(VLOOKUP(TRIM(A1164),'Full Inventory'!F:F,1,0),0)=0,"X","_")</f>
        <v>_</v>
      </c>
      <c r="D1164" t="str">
        <f t="shared" si="54"/>
        <v>X</v>
      </c>
      <c r="E1164" t="str">
        <f ca="1">IFERROR(IF(AND(B1164&amp;C1164&amp;D1164="___",INDIRECT("Inventory!A"&amp;MATCH(VLOOKUP(A1164,Inventory!E:E,1,0),Inventory!E:E,0))&lt;&gt;INDIRECT("'Full Inventory'!B"&amp;MATCH(VLOOKUP(A1164,'Full Inventory'!F:F,1,0),'Full Inventory'!F:F,0))),"X","_"),"_")</f>
        <v>_</v>
      </c>
      <c r="K1164" t="str">
        <f t="shared" ca="1" si="55"/>
        <v>__X_</v>
      </c>
      <c r="L1164" t="str">
        <f t="shared" ca="1" si="56"/>
        <v/>
      </c>
      <c r="M1164" t="str">
        <f>IFERROR(INDEX(Inventory!A:A,MATCH(Scan!A1164,Inventory!E:E,0)),"")</f>
        <v/>
      </c>
    </row>
    <row r="1165" spans="2:13" x14ac:dyDescent="0.25">
      <c r="B1165" t="str">
        <f>IF(IFERROR(VLOOKUP(TRIM(A1165),Inventory!E:E,1,0),0)=0,"X","_")</f>
        <v>_</v>
      </c>
      <c r="C1165" t="str">
        <f>IF(IFERROR(VLOOKUP(TRIM(A1165),'Full Inventory'!F:F,1,0),0)=0,"X","_")</f>
        <v>_</v>
      </c>
      <c r="D1165" t="str">
        <f t="shared" si="54"/>
        <v>X</v>
      </c>
      <c r="E1165" t="str">
        <f ca="1">IFERROR(IF(AND(B1165&amp;C1165&amp;D1165="___",INDIRECT("Inventory!A"&amp;MATCH(VLOOKUP(A1165,Inventory!E:E,1,0),Inventory!E:E,0))&lt;&gt;INDIRECT("'Full Inventory'!B"&amp;MATCH(VLOOKUP(A1165,'Full Inventory'!F:F,1,0),'Full Inventory'!F:F,0))),"X","_"),"_")</f>
        <v>_</v>
      </c>
      <c r="K1165" t="str">
        <f t="shared" ca="1" si="55"/>
        <v>__X_</v>
      </c>
      <c r="L1165" t="str">
        <f t="shared" ca="1" si="56"/>
        <v/>
      </c>
      <c r="M1165" t="str">
        <f>IFERROR(INDEX(Inventory!A:A,MATCH(Scan!A1165,Inventory!E:E,0)),"")</f>
        <v/>
      </c>
    </row>
    <row r="1166" spans="2:13" x14ac:dyDescent="0.25">
      <c r="B1166" t="str">
        <f>IF(IFERROR(VLOOKUP(TRIM(A1166),Inventory!E:E,1,0),0)=0,"X","_")</f>
        <v>_</v>
      </c>
      <c r="C1166" t="str">
        <f>IF(IFERROR(VLOOKUP(TRIM(A1166),'Full Inventory'!F:F,1,0),0)=0,"X","_")</f>
        <v>_</v>
      </c>
      <c r="D1166" t="str">
        <f t="shared" si="54"/>
        <v>X</v>
      </c>
      <c r="E1166" t="str">
        <f ca="1">IFERROR(IF(AND(B1166&amp;C1166&amp;D1166="___",INDIRECT("Inventory!A"&amp;MATCH(VLOOKUP(A1166,Inventory!E:E,1,0),Inventory!E:E,0))&lt;&gt;INDIRECT("'Full Inventory'!B"&amp;MATCH(VLOOKUP(A1166,'Full Inventory'!F:F,1,0),'Full Inventory'!F:F,0))),"X","_"),"_")</f>
        <v>_</v>
      </c>
      <c r="K1166" t="str">
        <f t="shared" ca="1" si="55"/>
        <v>__X_</v>
      </c>
      <c r="L1166" t="str">
        <f t="shared" ca="1" si="56"/>
        <v/>
      </c>
      <c r="M1166" t="str">
        <f>IFERROR(INDEX(Inventory!A:A,MATCH(Scan!A1166,Inventory!E:E,0)),"")</f>
        <v/>
      </c>
    </row>
    <row r="1167" spans="2:13" x14ac:dyDescent="0.25">
      <c r="B1167" t="str">
        <f>IF(IFERROR(VLOOKUP(TRIM(A1167),Inventory!E:E,1,0),0)=0,"X","_")</f>
        <v>_</v>
      </c>
      <c r="C1167" t="str">
        <f>IF(IFERROR(VLOOKUP(TRIM(A1167),'Full Inventory'!F:F,1,0),0)=0,"X","_")</f>
        <v>_</v>
      </c>
      <c r="D1167" t="str">
        <f t="shared" si="54"/>
        <v>X</v>
      </c>
      <c r="E1167" t="str">
        <f ca="1">IFERROR(IF(AND(B1167&amp;C1167&amp;D1167="___",INDIRECT("Inventory!A"&amp;MATCH(VLOOKUP(A1167,Inventory!E:E,1,0),Inventory!E:E,0))&lt;&gt;INDIRECT("'Full Inventory'!B"&amp;MATCH(VLOOKUP(A1167,'Full Inventory'!F:F,1,0),'Full Inventory'!F:F,0))),"X","_"),"_")</f>
        <v>_</v>
      </c>
      <c r="K1167" t="str">
        <f t="shared" ca="1" si="55"/>
        <v>__X_</v>
      </c>
      <c r="L1167" t="str">
        <f t="shared" ca="1" si="56"/>
        <v/>
      </c>
      <c r="M1167" t="str">
        <f>IFERROR(INDEX(Inventory!A:A,MATCH(Scan!A1167,Inventory!E:E,0)),"")</f>
        <v/>
      </c>
    </row>
    <row r="1168" spans="2:13" x14ac:dyDescent="0.25">
      <c r="B1168" t="str">
        <f>IF(IFERROR(VLOOKUP(TRIM(A1168),Inventory!E:E,1,0),0)=0,"X","_")</f>
        <v>_</v>
      </c>
      <c r="C1168" t="str">
        <f>IF(IFERROR(VLOOKUP(TRIM(A1168),'Full Inventory'!F:F,1,0),0)=0,"X","_")</f>
        <v>_</v>
      </c>
      <c r="D1168" t="str">
        <f t="shared" si="54"/>
        <v>X</v>
      </c>
      <c r="E1168" t="str">
        <f ca="1">IFERROR(IF(AND(B1168&amp;C1168&amp;D1168="___",INDIRECT("Inventory!A"&amp;MATCH(VLOOKUP(A1168,Inventory!E:E,1,0),Inventory!E:E,0))&lt;&gt;INDIRECT("'Full Inventory'!B"&amp;MATCH(VLOOKUP(A1168,'Full Inventory'!F:F,1,0),'Full Inventory'!F:F,0))),"X","_"),"_")</f>
        <v>_</v>
      </c>
      <c r="K1168" t="str">
        <f t="shared" ca="1" si="55"/>
        <v>__X_</v>
      </c>
      <c r="L1168" t="str">
        <f t="shared" ca="1" si="56"/>
        <v/>
      </c>
      <c r="M1168" t="str">
        <f>IFERROR(INDEX(Inventory!A:A,MATCH(Scan!A1168,Inventory!E:E,0)),"")</f>
        <v/>
      </c>
    </row>
    <row r="1169" spans="2:13" x14ac:dyDescent="0.25">
      <c r="B1169" t="str">
        <f>IF(IFERROR(VLOOKUP(TRIM(A1169),Inventory!E:E,1,0),0)=0,"X","_")</f>
        <v>_</v>
      </c>
      <c r="C1169" t="str">
        <f>IF(IFERROR(VLOOKUP(TRIM(A1169),'Full Inventory'!F:F,1,0),0)=0,"X","_")</f>
        <v>_</v>
      </c>
      <c r="D1169" t="str">
        <f t="shared" si="54"/>
        <v>X</v>
      </c>
      <c r="E1169" t="str">
        <f ca="1">IFERROR(IF(AND(B1169&amp;C1169&amp;D1169="___",INDIRECT("Inventory!A"&amp;MATCH(VLOOKUP(A1169,Inventory!E:E,1,0),Inventory!E:E,0))&lt;&gt;INDIRECT("'Full Inventory'!B"&amp;MATCH(VLOOKUP(A1169,'Full Inventory'!F:F,1,0),'Full Inventory'!F:F,0))),"X","_"),"_")</f>
        <v>_</v>
      </c>
      <c r="K1169" t="str">
        <f t="shared" ca="1" si="55"/>
        <v>__X_</v>
      </c>
      <c r="L1169" t="str">
        <f t="shared" ca="1" si="56"/>
        <v/>
      </c>
      <c r="M1169" t="str">
        <f>IFERROR(INDEX(Inventory!A:A,MATCH(Scan!A1169,Inventory!E:E,0)),"")</f>
        <v/>
      </c>
    </row>
    <row r="1170" spans="2:13" x14ac:dyDescent="0.25">
      <c r="B1170" t="str">
        <f>IF(IFERROR(VLOOKUP(TRIM(A1170),Inventory!E:E,1,0),0)=0,"X","_")</f>
        <v>_</v>
      </c>
      <c r="C1170" t="str">
        <f>IF(IFERROR(VLOOKUP(TRIM(A1170),'Full Inventory'!F:F,1,0),0)=0,"X","_")</f>
        <v>_</v>
      </c>
      <c r="D1170" t="str">
        <f t="shared" si="54"/>
        <v>X</v>
      </c>
      <c r="E1170" t="str">
        <f ca="1">IFERROR(IF(AND(B1170&amp;C1170&amp;D1170="___",INDIRECT("Inventory!A"&amp;MATCH(VLOOKUP(A1170,Inventory!E:E,1,0),Inventory!E:E,0))&lt;&gt;INDIRECT("'Full Inventory'!B"&amp;MATCH(VLOOKUP(A1170,'Full Inventory'!F:F,1,0),'Full Inventory'!F:F,0))),"X","_"),"_")</f>
        <v>_</v>
      </c>
      <c r="K1170" t="str">
        <f t="shared" ca="1" si="55"/>
        <v>__X_</v>
      </c>
      <c r="L1170" t="str">
        <f t="shared" ca="1" si="56"/>
        <v/>
      </c>
      <c r="M1170" t="str">
        <f>IFERROR(INDEX(Inventory!A:A,MATCH(Scan!A1170,Inventory!E:E,0)),"")</f>
        <v/>
      </c>
    </row>
    <row r="1171" spans="2:13" x14ac:dyDescent="0.25">
      <c r="B1171" t="str">
        <f>IF(IFERROR(VLOOKUP(TRIM(A1171),Inventory!E:E,1,0),0)=0,"X","_")</f>
        <v>_</v>
      </c>
      <c r="C1171" t="str">
        <f>IF(IFERROR(VLOOKUP(TRIM(A1171),'Full Inventory'!F:F,1,0),0)=0,"X","_")</f>
        <v>_</v>
      </c>
      <c r="D1171" t="str">
        <f t="shared" si="54"/>
        <v>X</v>
      </c>
      <c r="E1171" t="str">
        <f ca="1">IFERROR(IF(AND(B1171&amp;C1171&amp;D1171="___",INDIRECT("Inventory!A"&amp;MATCH(VLOOKUP(A1171,Inventory!E:E,1,0),Inventory!E:E,0))&lt;&gt;INDIRECT("'Full Inventory'!B"&amp;MATCH(VLOOKUP(A1171,'Full Inventory'!F:F,1,0),'Full Inventory'!F:F,0))),"X","_"),"_")</f>
        <v>_</v>
      </c>
      <c r="K1171" t="str">
        <f t="shared" ca="1" si="55"/>
        <v>__X_</v>
      </c>
      <c r="L1171" t="str">
        <f t="shared" ca="1" si="56"/>
        <v/>
      </c>
      <c r="M1171" t="str">
        <f>IFERROR(INDEX(Inventory!A:A,MATCH(Scan!A1171,Inventory!E:E,0)),"")</f>
        <v/>
      </c>
    </row>
    <row r="1172" spans="2:13" x14ac:dyDescent="0.25">
      <c r="B1172" t="str">
        <f>IF(IFERROR(VLOOKUP(TRIM(A1172),Inventory!E:E,1,0),0)=0,"X","_")</f>
        <v>_</v>
      </c>
      <c r="C1172" t="str">
        <f>IF(IFERROR(VLOOKUP(TRIM(A1172),'Full Inventory'!F:F,1,0),0)=0,"X","_")</f>
        <v>_</v>
      </c>
      <c r="D1172" t="str">
        <f t="shared" si="54"/>
        <v>X</v>
      </c>
      <c r="E1172" t="str">
        <f ca="1">IFERROR(IF(AND(B1172&amp;C1172&amp;D1172="___",INDIRECT("Inventory!A"&amp;MATCH(VLOOKUP(A1172,Inventory!E:E,1,0),Inventory!E:E,0))&lt;&gt;INDIRECT("'Full Inventory'!B"&amp;MATCH(VLOOKUP(A1172,'Full Inventory'!F:F,1,0),'Full Inventory'!F:F,0))),"X","_"),"_")</f>
        <v>_</v>
      </c>
      <c r="K1172" t="str">
        <f t="shared" ca="1" si="55"/>
        <v>__X_</v>
      </c>
      <c r="L1172" t="str">
        <f t="shared" ca="1" si="56"/>
        <v/>
      </c>
      <c r="M1172" t="str">
        <f>IFERROR(INDEX(Inventory!A:A,MATCH(Scan!A1172,Inventory!E:E,0)),"")</f>
        <v/>
      </c>
    </row>
    <row r="1173" spans="2:13" x14ac:dyDescent="0.25">
      <c r="B1173" t="str">
        <f>IF(IFERROR(VLOOKUP(TRIM(A1173),Inventory!E:E,1,0),0)=0,"X","_")</f>
        <v>_</v>
      </c>
      <c r="C1173" t="str">
        <f>IF(IFERROR(VLOOKUP(TRIM(A1173),'Full Inventory'!F:F,1,0),0)=0,"X","_")</f>
        <v>_</v>
      </c>
      <c r="D1173" t="str">
        <f t="shared" si="54"/>
        <v>X</v>
      </c>
      <c r="E1173" t="str">
        <f ca="1">IFERROR(IF(AND(B1173&amp;C1173&amp;D1173="___",INDIRECT("Inventory!A"&amp;MATCH(VLOOKUP(A1173,Inventory!E:E,1,0),Inventory!E:E,0))&lt;&gt;INDIRECT("'Full Inventory'!B"&amp;MATCH(VLOOKUP(A1173,'Full Inventory'!F:F,1,0),'Full Inventory'!F:F,0))),"X","_"),"_")</f>
        <v>_</v>
      </c>
      <c r="K1173" t="str">
        <f t="shared" ca="1" si="55"/>
        <v>__X_</v>
      </c>
      <c r="L1173" t="str">
        <f t="shared" ca="1" si="56"/>
        <v/>
      </c>
      <c r="M1173" t="str">
        <f>IFERROR(INDEX(Inventory!A:A,MATCH(Scan!A1173,Inventory!E:E,0)),"")</f>
        <v/>
      </c>
    </row>
    <row r="1174" spans="2:13" x14ac:dyDescent="0.25">
      <c r="B1174" t="str">
        <f>IF(IFERROR(VLOOKUP(TRIM(A1174),Inventory!E:E,1,0),0)=0,"X","_")</f>
        <v>_</v>
      </c>
      <c r="C1174" t="str">
        <f>IF(IFERROR(VLOOKUP(TRIM(A1174),'Full Inventory'!F:F,1,0),0)=0,"X","_")</f>
        <v>_</v>
      </c>
      <c r="D1174" t="str">
        <f t="shared" si="54"/>
        <v>X</v>
      </c>
      <c r="E1174" t="str">
        <f ca="1">IFERROR(IF(AND(B1174&amp;C1174&amp;D1174="___",INDIRECT("Inventory!A"&amp;MATCH(VLOOKUP(A1174,Inventory!E:E,1,0),Inventory!E:E,0))&lt;&gt;INDIRECT("'Full Inventory'!B"&amp;MATCH(VLOOKUP(A1174,'Full Inventory'!F:F,1,0),'Full Inventory'!F:F,0))),"X","_"),"_")</f>
        <v>_</v>
      </c>
      <c r="K1174" t="str">
        <f t="shared" ca="1" si="55"/>
        <v>__X_</v>
      </c>
      <c r="L1174" t="str">
        <f t="shared" ca="1" si="56"/>
        <v/>
      </c>
      <c r="M1174" t="str">
        <f>IFERROR(INDEX(Inventory!A:A,MATCH(Scan!A1174,Inventory!E:E,0)),"")</f>
        <v/>
      </c>
    </row>
    <row r="1175" spans="2:13" x14ac:dyDescent="0.25">
      <c r="B1175" t="str">
        <f>IF(IFERROR(VLOOKUP(TRIM(A1175),Inventory!E:E,1,0),0)=0,"X","_")</f>
        <v>_</v>
      </c>
      <c r="C1175" t="str">
        <f>IF(IFERROR(VLOOKUP(TRIM(A1175),'Full Inventory'!F:F,1,0),0)=0,"X","_")</f>
        <v>_</v>
      </c>
      <c r="D1175" t="str">
        <f t="shared" si="54"/>
        <v>X</v>
      </c>
      <c r="E1175" t="str">
        <f ca="1">IFERROR(IF(AND(B1175&amp;C1175&amp;D1175="___",INDIRECT("Inventory!A"&amp;MATCH(VLOOKUP(A1175,Inventory!E:E,1,0),Inventory!E:E,0))&lt;&gt;INDIRECT("'Full Inventory'!B"&amp;MATCH(VLOOKUP(A1175,'Full Inventory'!F:F,1,0),'Full Inventory'!F:F,0))),"X","_"),"_")</f>
        <v>_</v>
      </c>
      <c r="K1175" t="str">
        <f t="shared" ca="1" si="55"/>
        <v>__X_</v>
      </c>
      <c r="L1175" t="str">
        <f t="shared" ca="1" si="56"/>
        <v/>
      </c>
      <c r="M1175" t="str">
        <f>IFERROR(INDEX(Inventory!A:A,MATCH(Scan!A1175,Inventory!E:E,0)),"")</f>
        <v/>
      </c>
    </row>
    <row r="1176" spans="2:13" x14ac:dyDescent="0.25">
      <c r="B1176" t="str">
        <f>IF(IFERROR(VLOOKUP(TRIM(A1176),Inventory!E:E,1,0),0)=0,"X","_")</f>
        <v>_</v>
      </c>
      <c r="C1176" t="str">
        <f>IF(IFERROR(VLOOKUP(TRIM(A1176),'Full Inventory'!F:F,1,0),0)=0,"X","_")</f>
        <v>_</v>
      </c>
      <c r="D1176" t="str">
        <f t="shared" si="54"/>
        <v>X</v>
      </c>
      <c r="E1176" t="str">
        <f ca="1">IFERROR(IF(AND(B1176&amp;C1176&amp;D1176="___",INDIRECT("Inventory!A"&amp;MATCH(VLOOKUP(A1176,Inventory!E:E,1,0),Inventory!E:E,0))&lt;&gt;INDIRECT("'Full Inventory'!B"&amp;MATCH(VLOOKUP(A1176,'Full Inventory'!F:F,1,0),'Full Inventory'!F:F,0))),"X","_"),"_")</f>
        <v>_</v>
      </c>
      <c r="K1176" t="str">
        <f t="shared" ca="1" si="55"/>
        <v>__X_</v>
      </c>
      <c r="L1176" t="str">
        <f t="shared" ca="1" si="56"/>
        <v/>
      </c>
      <c r="M1176" t="str">
        <f>IFERROR(INDEX(Inventory!A:A,MATCH(Scan!A1176,Inventory!E:E,0)),"")</f>
        <v/>
      </c>
    </row>
    <row r="1177" spans="2:13" x14ac:dyDescent="0.25">
      <c r="B1177" t="str">
        <f>IF(IFERROR(VLOOKUP(TRIM(A1177),Inventory!E:E,1,0),0)=0,"X","_")</f>
        <v>_</v>
      </c>
      <c r="C1177" t="str">
        <f>IF(IFERROR(VLOOKUP(TRIM(A1177),'Full Inventory'!F:F,1,0),0)=0,"X","_")</f>
        <v>_</v>
      </c>
      <c r="D1177" t="str">
        <f t="shared" si="54"/>
        <v>X</v>
      </c>
      <c r="E1177" t="str">
        <f ca="1">IFERROR(IF(AND(B1177&amp;C1177&amp;D1177="___",INDIRECT("Inventory!A"&amp;MATCH(VLOOKUP(A1177,Inventory!E:E,1,0),Inventory!E:E,0))&lt;&gt;INDIRECT("'Full Inventory'!B"&amp;MATCH(VLOOKUP(A1177,'Full Inventory'!F:F,1,0),'Full Inventory'!F:F,0))),"X","_"),"_")</f>
        <v>_</v>
      </c>
      <c r="K1177" t="str">
        <f t="shared" ca="1" si="55"/>
        <v>__X_</v>
      </c>
      <c r="L1177" t="str">
        <f t="shared" ca="1" si="56"/>
        <v/>
      </c>
      <c r="M1177" t="str">
        <f>IFERROR(INDEX(Inventory!A:A,MATCH(Scan!A1177,Inventory!E:E,0)),"")</f>
        <v/>
      </c>
    </row>
    <row r="1178" spans="2:13" x14ac:dyDescent="0.25">
      <c r="B1178" t="str">
        <f>IF(IFERROR(VLOOKUP(TRIM(A1178),Inventory!E:E,1,0),0)=0,"X","_")</f>
        <v>_</v>
      </c>
      <c r="C1178" t="str">
        <f>IF(IFERROR(VLOOKUP(TRIM(A1178),'Full Inventory'!F:F,1,0),0)=0,"X","_")</f>
        <v>_</v>
      </c>
      <c r="D1178" t="str">
        <f t="shared" si="54"/>
        <v>X</v>
      </c>
      <c r="E1178" t="str">
        <f ca="1">IFERROR(IF(AND(B1178&amp;C1178&amp;D1178="___",INDIRECT("Inventory!A"&amp;MATCH(VLOOKUP(A1178,Inventory!E:E,1,0),Inventory!E:E,0))&lt;&gt;INDIRECT("'Full Inventory'!B"&amp;MATCH(VLOOKUP(A1178,'Full Inventory'!F:F,1,0),'Full Inventory'!F:F,0))),"X","_"),"_")</f>
        <v>_</v>
      </c>
      <c r="K1178" t="str">
        <f t="shared" ca="1" si="55"/>
        <v>__X_</v>
      </c>
      <c r="L1178" t="str">
        <f t="shared" ca="1" si="56"/>
        <v/>
      </c>
      <c r="M1178" t="str">
        <f>IFERROR(INDEX(Inventory!A:A,MATCH(Scan!A1178,Inventory!E:E,0)),"")</f>
        <v/>
      </c>
    </row>
    <row r="1179" spans="2:13" x14ac:dyDescent="0.25">
      <c r="B1179" t="str">
        <f>IF(IFERROR(VLOOKUP(TRIM(A1179),Inventory!E:E,1,0),0)=0,"X","_")</f>
        <v>_</v>
      </c>
      <c r="C1179" t="str">
        <f>IF(IFERROR(VLOOKUP(TRIM(A1179),'Full Inventory'!F:F,1,0),0)=0,"X","_")</f>
        <v>_</v>
      </c>
      <c r="D1179" t="str">
        <f t="shared" si="54"/>
        <v>X</v>
      </c>
      <c r="E1179" t="str">
        <f ca="1">IFERROR(IF(AND(B1179&amp;C1179&amp;D1179="___",INDIRECT("Inventory!A"&amp;MATCH(VLOOKUP(A1179,Inventory!E:E,1,0),Inventory!E:E,0))&lt;&gt;INDIRECT("'Full Inventory'!B"&amp;MATCH(VLOOKUP(A1179,'Full Inventory'!F:F,1,0),'Full Inventory'!F:F,0))),"X","_"),"_")</f>
        <v>_</v>
      </c>
      <c r="K1179" t="str">
        <f t="shared" ca="1" si="55"/>
        <v>__X_</v>
      </c>
      <c r="L1179" t="str">
        <f t="shared" ca="1" si="56"/>
        <v/>
      </c>
      <c r="M1179" t="str">
        <f>IFERROR(INDEX(Inventory!A:A,MATCH(Scan!A1179,Inventory!E:E,0)),"")</f>
        <v/>
      </c>
    </row>
    <row r="1180" spans="2:13" x14ac:dyDescent="0.25">
      <c r="B1180" t="str">
        <f>IF(IFERROR(VLOOKUP(TRIM(A1180),Inventory!E:E,1,0),0)=0,"X","_")</f>
        <v>_</v>
      </c>
      <c r="C1180" t="str">
        <f>IF(IFERROR(VLOOKUP(TRIM(A1180),'Full Inventory'!F:F,1,0),0)=0,"X","_")</f>
        <v>_</v>
      </c>
      <c r="D1180" t="str">
        <f t="shared" si="54"/>
        <v>X</v>
      </c>
      <c r="E1180" t="str">
        <f ca="1">IFERROR(IF(AND(B1180&amp;C1180&amp;D1180="___",INDIRECT("Inventory!A"&amp;MATCH(VLOOKUP(A1180,Inventory!E:E,1,0),Inventory!E:E,0))&lt;&gt;INDIRECT("'Full Inventory'!B"&amp;MATCH(VLOOKUP(A1180,'Full Inventory'!F:F,1,0),'Full Inventory'!F:F,0))),"X","_"),"_")</f>
        <v>_</v>
      </c>
      <c r="K1180" t="str">
        <f t="shared" ca="1" si="55"/>
        <v>__X_</v>
      </c>
      <c r="L1180" t="str">
        <f t="shared" ca="1" si="56"/>
        <v/>
      </c>
      <c r="M1180" t="str">
        <f>IFERROR(INDEX(Inventory!A:A,MATCH(Scan!A1180,Inventory!E:E,0)),"")</f>
        <v/>
      </c>
    </row>
    <row r="1181" spans="2:13" x14ac:dyDescent="0.25">
      <c r="B1181" t="str">
        <f>IF(IFERROR(VLOOKUP(TRIM(A1181),Inventory!E:E,1,0),0)=0,"X","_")</f>
        <v>_</v>
      </c>
      <c r="C1181" t="str">
        <f>IF(IFERROR(VLOOKUP(TRIM(A1181),'Full Inventory'!F:F,1,0),0)=0,"X","_")</f>
        <v>_</v>
      </c>
      <c r="D1181" t="str">
        <f t="shared" si="54"/>
        <v>X</v>
      </c>
      <c r="E1181" t="str">
        <f ca="1">IFERROR(IF(AND(B1181&amp;C1181&amp;D1181="___",INDIRECT("Inventory!A"&amp;MATCH(VLOOKUP(A1181,Inventory!E:E,1,0),Inventory!E:E,0))&lt;&gt;INDIRECT("'Full Inventory'!B"&amp;MATCH(VLOOKUP(A1181,'Full Inventory'!F:F,1,0),'Full Inventory'!F:F,0))),"X","_"),"_")</f>
        <v>_</v>
      </c>
      <c r="K1181" t="str">
        <f t="shared" ca="1" si="55"/>
        <v>__X_</v>
      </c>
      <c r="L1181" t="str">
        <f t="shared" ca="1" si="56"/>
        <v/>
      </c>
      <c r="M1181" t="str">
        <f>IFERROR(INDEX(Inventory!A:A,MATCH(Scan!A1181,Inventory!E:E,0)),"")</f>
        <v/>
      </c>
    </row>
    <row r="1182" spans="2:13" x14ac:dyDescent="0.25">
      <c r="B1182" t="str">
        <f>IF(IFERROR(VLOOKUP(TRIM(A1182),Inventory!E:E,1,0),0)=0,"X","_")</f>
        <v>_</v>
      </c>
      <c r="C1182" t="str">
        <f>IF(IFERROR(VLOOKUP(TRIM(A1182),'Full Inventory'!F:F,1,0),0)=0,"X","_")</f>
        <v>_</v>
      </c>
      <c r="D1182" t="str">
        <f t="shared" si="54"/>
        <v>X</v>
      </c>
      <c r="E1182" t="str">
        <f ca="1">IFERROR(IF(AND(B1182&amp;C1182&amp;D1182="___",INDIRECT("Inventory!A"&amp;MATCH(VLOOKUP(A1182,Inventory!E:E,1,0),Inventory!E:E,0))&lt;&gt;INDIRECT("'Full Inventory'!B"&amp;MATCH(VLOOKUP(A1182,'Full Inventory'!F:F,1,0),'Full Inventory'!F:F,0))),"X","_"),"_")</f>
        <v>_</v>
      </c>
      <c r="K1182" t="str">
        <f t="shared" ca="1" si="55"/>
        <v>__X_</v>
      </c>
      <c r="L1182" t="str">
        <f t="shared" ca="1" si="56"/>
        <v/>
      </c>
      <c r="M1182" t="str">
        <f>IFERROR(INDEX(Inventory!A:A,MATCH(Scan!A1182,Inventory!E:E,0)),"")</f>
        <v/>
      </c>
    </row>
    <row r="1183" spans="2:13" x14ac:dyDescent="0.25">
      <c r="B1183" t="str">
        <f>IF(IFERROR(VLOOKUP(TRIM(A1183),Inventory!E:E,1,0),0)=0,"X","_")</f>
        <v>_</v>
      </c>
      <c r="C1183" t="str">
        <f>IF(IFERROR(VLOOKUP(TRIM(A1183),'Full Inventory'!F:F,1,0),0)=0,"X","_")</f>
        <v>_</v>
      </c>
      <c r="D1183" t="str">
        <f t="shared" si="54"/>
        <v>X</v>
      </c>
      <c r="E1183" t="str">
        <f ca="1">IFERROR(IF(AND(B1183&amp;C1183&amp;D1183="___",INDIRECT("Inventory!A"&amp;MATCH(VLOOKUP(A1183,Inventory!E:E,1,0),Inventory!E:E,0))&lt;&gt;INDIRECT("'Full Inventory'!B"&amp;MATCH(VLOOKUP(A1183,'Full Inventory'!F:F,1,0),'Full Inventory'!F:F,0))),"X","_"),"_")</f>
        <v>_</v>
      </c>
      <c r="K1183" t="str">
        <f t="shared" ca="1" si="55"/>
        <v>__X_</v>
      </c>
      <c r="L1183" t="str">
        <f t="shared" ca="1" si="56"/>
        <v/>
      </c>
      <c r="M1183" t="str">
        <f>IFERROR(INDEX(Inventory!A:A,MATCH(Scan!A1183,Inventory!E:E,0)),"")</f>
        <v/>
      </c>
    </row>
    <row r="1184" spans="2:13" x14ac:dyDescent="0.25">
      <c r="B1184" t="str">
        <f>IF(IFERROR(VLOOKUP(TRIM(A1184),Inventory!E:E,1,0),0)=0,"X","_")</f>
        <v>_</v>
      </c>
      <c r="C1184" t="str">
        <f>IF(IFERROR(VLOOKUP(TRIM(A1184),'Full Inventory'!F:F,1,0),0)=0,"X","_")</f>
        <v>_</v>
      </c>
      <c r="D1184" t="str">
        <f t="shared" si="54"/>
        <v>X</v>
      </c>
      <c r="E1184" t="str">
        <f ca="1">IFERROR(IF(AND(B1184&amp;C1184&amp;D1184="___",INDIRECT("Inventory!A"&amp;MATCH(VLOOKUP(A1184,Inventory!E:E,1,0),Inventory!E:E,0))&lt;&gt;INDIRECT("'Full Inventory'!B"&amp;MATCH(VLOOKUP(A1184,'Full Inventory'!F:F,1,0),'Full Inventory'!F:F,0))),"X","_"),"_")</f>
        <v>_</v>
      </c>
      <c r="K1184" t="str">
        <f t="shared" ca="1" si="55"/>
        <v>__X_</v>
      </c>
      <c r="L1184" t="str">
        <f t="shared" ca="1" si="56"/>
        <v/>
      </c>
      <c r="M1184" t="str">
        <f>IFERROR(INDEX(Inventory!A:A,MATCH(Scan!A1184,Inventory!E:E,0)),"")</f>
        <v/>
      </c>
    </row>
    <row r="1185" spans="2:13" x14ac:dyDescent="0.25">
      <c r="B1185" t="str">
        <f>IF(IFERROR(VLOOKUP(TRIM(A1185),Inventory!E:E,1,0),0)=0,"X","_")</f>
        <v>_</v>
      </c>
      <c r="C1185" t="str">
        <f>IF(IFERROR(VLOOKUP(TRIM(A1185),'Full Inventory'!F:F,1,0),0)=0,"X","_")</f>
        <v>_</v>
      </c>
      <c r="D1185" t="str">
        <f t="shared" si="54"/>
        <v>X</v>
      </c>
      <c r="E1185" t="str">
        <f ca="1">IFERROR(IF(AND(B1185&amp;C1185&amp;D1185="___",INDIRECT("Inventory!A"&amp;MATCH(VLOOKUP(A1185,Inventory!E:E,1,0),Inventory!E:E,0))&lt;&gt;INDIRECT("'Full Inventory'!B"&amp;MATCH(VLOOKUP(A1185,'Full Inventory'!F:F,1,0),'Full Inventory'!F:F,0))),"X","_"),"_")</f>
        <v>_</v>
      </c>
      <c r="K1185" t="str">
        <f t="shared" ca="1" si="55"/>
        <v>__X_</v>
      </c>
      <c r="L1185" t="str">
        <f t="shared" ca="1" si="56"/>
        <v/>
      </c>
      <c r="M1185" t="str">
        <f>IFERROR(INDEX(Inventory!A:A,MATCH(Scan!A1185,Inventory!E:E,0)),"")</f>
        <v/>
      </c>
    </row>
    <row r="1186" spans="2:13" x14ac:dyDescent="0.25">
      <c r="B1186" t="str">
        <f>IF(IFERROR(VLOOKUP(TRIM(A1186),Inventory!E:E,1,0),0)=0,"X","_")</f>
        <v>_</v>
      </c>
      <c r="C1186" t="str">
        <f>IF(IFERROR(VLOOKUP(TRIM(A1186),'Full Inventory'!F:F,1,0),0)=0,"X","_")</f>
        <v>_</v>
      </c>
      <c r="D1186" t="str">
        <f t="shared" si="54"/>
        <v>X</v>
      </c>
      <c r="E1186" t="str">
        <f ca="1">IFERROR(IF(AND(B1186&amp;C1186&amp;D1186="___",INDIRECT("Inventory!A"&amp;MATCH(VLOOKUP(A1186,Inventory!E:E,1,0),Inventory!E:E,0))&lt;&gt;INDIRECT("'Full Inventory'!B"&amp;MATCH(VLOOKUP(A1186,'Full Inventory'!F:F,1,0),'Full Inventory'!F:F,0))),"X","_"),"_")</f>
        <v>_</v>
      </c>
      <c r="K1186" t="str">
        <f t="shared" ca="1" si="55"/>
        <v>__X_</v>
      </c>
      <c r="L1186" t="str">
        <f t="shared" ca="1" si="56"/>
        <v/>
      </c>
      <c r="M1186" t="str">
        <f>IFERROR(INDEX(Inventory!A:A,MATCH(Scan!A1186,Inventory!E:E,0)),"")</f>
        <v/>
      </c>
    </row>
    <row r="1187" spans="2:13" x14ac:dyDescent="0.25">
      <c r="B1187" t="str">
        <f>IF(IFERROR(VLOOKUP(TRIM(A1187),Inventory!E:E,1,0),0)=0,"X","_")</f>
        <v>_</v>
      </c>
      <c r="C1187" t="str">
        <f>IF(IFERROR(VLOOKUP(TRIM(A1187),'Full Inventory'!F:F,1,0),0)=0,"X","_")</f>
        <v>_</v>
      </c>
      <c r="D1187" t="str">
        <f t="shared" si="54"/>
        <v>X</v>
      </c>
      <c r="E1187" t="str">
        <f ca="1">IFERROR(IF(AND(B1187&amp;C1187&amp;D1187="___",INDIRECT("Inventory!A"&amp;MATCH(VLOOKUP(A1187,Inventory!E:E,1,0),Inventory!E:E,0))&lt;&gt;INDIRECT("'Full Inventory'!B"&amp;MATCH(VLOOKUP(A1187,'Full Inventory'!F:F,1,0),'Full Inventory'!F:F,0))),"X","_"),"_")</f>
        <v>_</v>
      </c>
      <c r="K1187" t="str">
        <f t="shared" ca="1" si="55"/>
        <v>__X_</v>
      </c>
      <c r="L1187" t="str">
        <f t="shared" ca="1" si="56"/>
        <v/>
      </c>
      <c r="M1187" t="str">
        <f>IFERROR(INDEX(Inventory!A:A,MATCH(Scan!A1187,Inventory!E:E,0)),"")</f>
        <v/>
      </c>
    </row>
    <row r="1188" spans="2:13" x14ac:dyDescent="0.25">
      <c r="B1188" t="str">
        <f>IF(IFERROR(VLOOKUP(TRIM(A1188),Inventory!E:E,1,0),0)=0,"X","_")</f>
        <v>_</v>
      </c>
      <c r="C1188" t="str">
        <f>IF(IFERROR(VLOOKUP(TRIM(A1188),'Full Inventory'!F:F,1,0),0)=0,"X","_")</f>
        <v>_</v>
      </c>
      <c r="D1188" t="str">
        <f t="shared" si="54"/>
        <v>X</v>
      </c>
      <c r="E1188" t="str">
        <f ca="1">IFERROR(IF(AND(B1188&amp;C1188&amp;D1188="___",INDIRECT("Inventory!A"&amp;MATCH(VLOOKUP(A1188,Inventory!E:E,1,0),Inventory!E:E,0))&lt;&gt;INDIRECT("'Full Inventory'!B"&amp;MATCH(VLOOKUP(A1188,'Full Inventory'!F:F,1,0),'Full Inventory'!F:F,0))),"X","_"),"_")</f>
        <v>_</v>
      </c>
      <c r="K1188" t="str">
        <f t="shared" ca="1" si="55"/>
        <v>__X_</v>
      </c>
      <c r="L1188" t="str">
        <f t="shared" ca="1" si="56"/>
        <v/>
      </c>
      <c r="M1188" t="str">
        <f>IFERROR(INDEX(Inventory!A:A,MATCH(Scan!A1188,Inventory!E:E,0)),"")</f>
        <v/>
      </c>
    </row>
    <row r="1189" spans="2:13" x14ac:dyDescent="0.25">
      <c r="B1189" t="str">
        <f>IF(IFERROR(VLOOKUP(TRIM(A1189),Inventory!E:E,1,0),0)=0,"X","_")</f>
        <v>_</v>
      </c>
      <c r="C1189" t="str">
        <f>IF(IFERROR(VLOOKUP(TRIM(A1189),'Full Inventory'!F:F,1,0),0)=0,"X","_")</f>
        <v>_</v>
      </c>
      <c r="D1189" t="str">
        <f t="shared" si="54"/>
        <v>X</v>
      </c>
      <c r="E1189" t="str">
        <f ca="1">IFERROR(IF(AND(B1189&amp;C1189&amp;D1189="___",INDIRECT("Inventory!A"&amp;MATCH(VLOOKUP(A1189,Inventory!E:E,1,0),Inventory!E:E,0))&lt;&gt;INDIRECT("'Full Inventory'!B"&amp;MATCH(VLOOKUP(A1189,'Full Inventory'!F:F,1,0),'Full Inventory'!F:F,0))),"X","_"),"_")</f>
        <v>_</v>
      </c>
      <c r="K1189" t="str">
        <f t="shared" ca="1" si="55"/>
        <v>__X_</v>
      </c>
      <c r="L1189" t="str">
        <f t="shared" ca="1" si="56"/>
        <v/>
      </c>
      <c r="M1189" t="str">
        <f>IFERROR(INDEX(Inventory!A:A,MATCH(Scan!A1189,Inventory!E:E,0)),"")</f>
        <v/>
      </c>
    </row>
    <row r="1190" spans="2:13" x14ac:dyDescent="0.25">
      <c r="B1190" t="str">
        <f>IF(IFERROR(VLOOKUP(TRIM(A1190),Inventory!E:E,1,0),0)=0,"X","_")</f>
        <v>_</v>
      </c>
      <c r="C1190" t="str">
        <f>IF(IFERROR(VLOOKUP(TRIM(A1190),'Full Inventory'!F:F,1,0),0)=0,"X","_")</f>
        <v>_</v>
      </c>
      <c r="D1190" t="str">
        <f t="shared" si="54"/>
        <v>X</v>
      </c>
      <c r="E1190" t="str">
        <f ca="1">IFERROR(IF(AND(B1190&amp;C1190&amp;D1190="___",INDIRECT("Inventory!A"&amp;MATCH(VLOOKUP(A1190,Inventory!E:E,1,0),Inventory!E:E,0))&lt;&gt;INDIRECT("'Full Inventory'!B"&amp;MATCH(VLOOKUP(A1190,'Full Inventory'!F:F,1,0),'Full Inventory'!F:F,0))),"X","_"),"_")</f>
        <v>_</v>
      </c>
      <c r="K1190" t="str">
        <f t="shared" ca="1" si="55"/>
        <v>__X_</v>
      </c>
      <c r="L1190" t="str">
        <f t="shared" ca="1" si="56"/>
        <v/>
      </c>
      <c r="M1190" t="str">
        <f>IFERROR(INDEX(Inventory!A:A,MATCH(Scan!A1190,Inventory!E:E,0)),"")</f>
        <v/>
      </c>
    </row>
    <row r="1191" spans="2:13" x14ac:dyDescent="0.25">
      <c r="B1191" t="str">
        <f>IF(IFERROR(VLOOKUP(TRIM(A1191),Inventory!E:E,1,0),0)=0,"X","_")</f>
        <v>_</v>
      </c>
      <c r="C1191" t="str">
        <f>IF(IFERROR(VLOOKUP(TRIM(A1191),'Full Inventory'!F:F,1,0),0)=0,"X","_")</f>
        <v>_</v>
      </c>
      <c r="D1191" t="str">
        <f t="shared" si="54"/>
        <v>X</v>
      </c>
      <c r="E1191" t="str">
        <f ca="1">IFERROR(IF(AND(B1191&amp;C1191&amp;D1191="___",INDIRECT("Inventory!A"&amp;MATCH(VLOOKUP(A1191,Inventory!E:E,1,0),Inventory!E:E,0))&lt;&gt;INDIRECT("'Full Inventory'!B"&amp;MATCH(VLOOKUP(A1191,'Full Inventory'!F:F,1,0),'Full Inventory'!F:F,0))),"X","_"),"_")</f>
        <v>_</v>
      </c>
      <c r="K1191" t="str">
        <f t="shared" ca="1" si="55"/>
        <v>__X_</v>
      </c>
      <c r="L1191" t="str">
        <f t="shared" ca="1" si="56"/>
        <v/>
      </c>
      <c r="M1191" t="str">
        <f>IFERROR(INDEX(Inventory!A:A,MATCH(Scan!A1191,Inventory!E:E,0)),"")</f>
        <v/>
      </c>
    </row>
    <row r="1192" spans="2:13" x14ac:dyDescent="0.25">
      <c r="B1192" t="str">
        <f>IF(IFERROR(VLOOKUP(TRIM(A1192),Inventory!E:E,1,0),0)=0,"X","_")</f>
        <v>_</v>
      </c>
      <c r="C1192" t="str">
        <f>IF(IFERROR(VLOOKUP(TRIM(A1192),'Full Inventory'!F:F,1,0),0)=0,"X","_")</f>
        <v>_</v>
      </c>
      <c r="D1192" t="str">
        <f t="shared" si="54"/>
        <v>X</v>
      </c>
      <c r="E1192" t="str">
        <f ca="1">IFERROR(IF(AND(B1192&amp;C1192&amp;D1192="___",INDIRECT("Inventory!A"&amp;MATCH(VLOOKUP(A1192,Inventory!E:E,1,0),Inventory!E:E,0))&lt;&gt;INDIRECT("'Full Inventory'!B"&amp;MATCH(VLOOKUP(A1192,'Full Inventory'!F:F,1,0),'Full Inventory'!F:F,0))),"X","_"),"_")</f>
        <v>_</v>
      </c>
      <c r="K1192" t="str">
        <f t="shared" ca="1" si="55"/>
        <v>__X_</v>
      </c>
      <c r="L1192" t="str">
        <f t="shared" ca="1" si="56"/>
        <v/>
      </c>
      <c r="M1192" t="str">
        <f>IFERROR(INDEX(Inventory!A:A,MATCH(Scan!A1192,Inventory!E:E,0)),"")</f>
        <v/>
      </c>
    </row>
    <row r="1193" spans="2:13" x14ac:dyDescent="0.25">
      <c r="B1193" t="str">
        <f>IF(IFERROR(VLOOKUP(TRIM(A1193),Inventory!E:E,1,0),0)=0,"X","_")</f>
        <v>_</v>
      </c>
      <c r="C1193" t="str">
        <f>IF(IFERROR(VLOOKUP(TRIM(A1193),'Full Inventory'!F:F,1,0),0)=0,"X","_")</f>
        <v>_</v>
      </c>
      <c r="D1193" t="str">
        <f t="shared" si="54"/>
        <v>X</v>
      </c>
      <c r="E1193" t="str">
        <f ca="1">IFERROR(IF(AND(B1193&amp;C1193&amp;D1193="___",INDIRECT("Inventory!A"&amp;MATCH(VLOOKUP(A1193,Inventory!E:E,1,0),Inventory!E:E,0))&lt;&gt;INDIRECT("'Full Inventory'!B"&amp;MATCH(VLOOKUP(A1193,'Full Inventory'!F:F,1,0),'Full Inventory'!F:F,0))),"X","_"),"_")</f>
        <v>_</v>
      </c>
      <c r="K1193" t="str">
        <f t="shared" ca="1" si="55"/>
        <v>__X_</v>
      </c>
      <c r="L1193" t="str">
        <f t="shared" ca="1" si="56"/>
        <v/>
      </c>
      <c r="M1193" t="str">
        <f>IFERROR(INDEX(Inventory!A:A,MATCH(Scan!A1193,Inventory!E:E,0)),"")</f>
        <v/>
      </c>
    </row>
    <row r="1194" spans="2:13" x14ac:dyDescent="0.25">
      <c r="B1194" t="str">
        <f>IF(IFERROR(VLOOKUP(TRIM(A1194),Inventory!E:E,1,0),0)=0,"X","_")</f>
        <v>_</v>
      </c>
      <c r="C1194" t="str">
        <f>IF(IFERROR(VLOOKUP(TRIM(A1194),'Full Inventory'!F:F,1,0),0)=0,"X","_")</f>
        <v>_</v>
      </c>
      <c r="D1194" t="str">
        <f t="shared" si="54"/>
        <v>X</v>
      </c>
      <c r="E1194" t="str">
        <f ca="1">IFERROR(IF(AND(B1194&amp;C1194&amp;D1194="___",INDIRECT("Inventory!A"&amp;MATCH(VLOOKUP(A1194,Inventory!E:E,1,0),Inventory!E:E,0))&lt;&gt;INDIRECT("'Full Inventory'!B"&amp;MATCH(VLOOKUP(A1194,'Full Inventory'!F:F,1,0),'Full Inventory'!F:F,0))),"X","_"),"_")</f>
        <v>_</v>
      </c>
      <c r="K1194" t="str">
        <f t="shared" ca="1" si="55"/>
        <v>__X_</v>
      </c>
      <c r="L1194" t="str">
        <f t="shared" ca="1" si="56"/>
        <v/>
      </c>
      <c r="M1194" t="str">
        <f>IFERROR(INDEX(Inventory!A:A,MATCH(Scan!A1194,Inventory!E:E,0)),"")</f>
        <v/>
      </c>
    </row>
    <row r="1195" spans="2:13" x14ac:dyDescent="0.25">
      <c r="B1195" t="str">
        <f>IF(IFERROR(VLOOKUP(TRIM(A1195),Inventory!E:E,1,0),0)=0,"X","_")</f>
        <v>_</v>
      </c>
      <c r="C1195" t="str">
        <f>IF(IFERROR(VLOOKUP(TRIM(A1195),'Full Inventory'!F:F,1,0),0)=0,"X","_")</f>
        <v>_</v>
      </c>
      <c r="D1195" t="str">
        <f t="shared" si="54"/>
        <v>X</v>
      </c>
      <c r="E1195" t="str">
        <f ca="1">IFERROR(IF(AND(B1195&amp;C1195&amp;D1195="___",INDIRECT("Inventory!A"&amp;MATCH(VLOOKUP(A1195,Inventory!E:E,1,0),Inventory!E:E,0))&lt;&gt;INDIRECT("'Full Inventory'!B"&amp;MATCH(VLOOKUP(A1195,'Full Inventory'!F:F,1,0),'Full Inventory'!F:F,0))),"X","_"),"_")</f>
        <v>_</v>
      </c>
      <c r="K1195" t="str">
        <f t="shared" ca="1" si="55"/>
        <v>__X_</v>
      </c>
      <c r="L1195" t="str">
        <f t="shared" ca="1" si="56"/>
        <v/>
      </c>
      <c r="M1195" t="str">
        <f>IFERROR(INDEX(Inventory!A:A,MATCH(Scan!A1195,Inventory!E:E,0)),"")</f>
        <v/>
      </c>
    </row>
    <row r="1196" spans="2:13" x14ac:dyDescent="0.25">
      <c r="B1196" t="str">
        <f>IF(IFERROR(VLOOKUP(TRIM(A1196),Inventory!E:E,1,0),0)=0,"X","_")</f>
        <v>_</v>
      </c>
      <c r="C1196" t="str">
        <f>IF(IFERROR(VLOOKUP(TRIM(A1196),'Full Inventory'!F:F,1,0),0)=0,"X","_")</f>
        <v>_</v>
      </c>
      <c r="D1196" t="str">
        <f t="shared" si="54"/>
        <v>X</v>
      </c>
      <c r="E1196" t="str">
        <f ca="1">IFERROR(IF(AND(B1196&amp;C1196&amp;D1196="___",INDIRECT("Inventory!A"&amp;MATCH(VLOOKUP(A1196,Inventory!E:E,1,0),Inventory!E:E,0))&lt;&gt;INDIRECT("'Full Inventory'!B"&amp;MATCH(VLOOKUP(A1196,'Full Inventory'!F:F,1,0),'Full Inventory'!F:F,0))),"X","_"),"_")</f>
        <v>_</v>
      </c>
      <c r="K1196" t="str">
        <f t="shared" ca="1" si="55"/>
        <v>__X_</v>
      </c>
      <c r="L1196" t="str">
        <f t="shared" ca="1" si="56"/>
        <v/>
      </c>
      <c r="M1196" t="str">
        <f>IFERROR(INDEX(Inventory!A:A,MATCH(Scan!A1196,Inventory!E:E,0)),"")</f>
        <v/>
      </c>
    </row>
    <row r="1197" spans="2:13" x14ac:dyDescent="0.25">
      <c r="B1197" t="str">
        <f>IF(IFERROR(VLOOKUP(TRIM(A1197),Inventory!E:E,1,0),0)=0,"X","_")</f>
        <v>_</v>
      </c>
      <c r="C1197" t="str">
        <f>IF(IFERROR(VLOOKUP(TRIM(A1197),'Full Inventory'!F:F,1,0),0)=0,"X","_")</f>
        <v>_</v>
      </c>
      <c r="D1197" t="str">
        <f t="shared" si="54"/>
        <v>X</v>
      </c>
      <c r="E1197" t="str">
        <f ca="1">IFERROR(IF(AND(B1197&amp;C1197&amp;D1197="___",INDIRECT("Inventory!A"&amp;MATCH(VLOOKUP(A1197,Inventory!E:E,1,0),Inventory!E:E,0))&lt;&gt;INDIRECT("'Full Inventory'!B"&amp;MATCH(VLOOKUP(A1197,'Full Inventory'!F:F,1,0),'Full Inventory'!F:F,0))),"X","_"),"_")</f>
        <v>_</v>
      </c>
      <c r="K1197" t="str">
        <f t="shared" ca="1" si="55"/>
        <v>__X_</v>
      </c>
      <c r="L1197" t="str">
        <f t="shared" ca="1" si="56"/>
        <v/>
      </c>
      <c r="M1197" t="str">
        <f>IFERROR(INDEX(Inventory!A:A,MATCH(Scan!A1197,Inventory!E:E,0)),"")</f>
        <v/>
      </c>
    </row>
    <row r="1198" spans="2:13" x14ac:dyDescent="0.25">
      <c r="B1198" t="str">
        <f>IF(IFERROR(VLOOKUP(TRIM(A1198),Inventory!E:E,1,0),0)=0,"X","_")</f>
        <v>_</v>
      </c>
      <c r="C1198" t="str">
        <f>IF(IFERROR(VLOOKUP(TRIM(A1198),'Full Inventory'!F:F,1,0),0)=0,"X","_")</f>
        <v>_</v>
      </c>
      <c r="D1198" t="str">
        <f t="shared" si="54"/>
        <v>X</v>
      </c>
      <c r="E1198" t="str">
        <f ca="1">IFERROR(IF(AND(B1198&amp;C1198&amp;D1198="___",INDIRECT("Inventory!A"&amp;MATCH(VLOOKUP(A1198,Inventory!E:E,1,0),Inventory!E:E,0))&lt;&gt;INDIRECT("'Full Inventory'!B"&amp;MATCH(VLOOKUP(A1198,'Full Inventory'!F:F,1,0),'Full Inventory'!F:F,0))),"X","_"),"_")</f>
        <v>_</v>
      </c>
      <c r="K1198" t="str">
        <f t="shared" ca="1" si="55"/>
        <v>__X_</v>
      </c>
      <c r="L1198" t="str">
        <f t="shared" ca="1" si="56"/>
        <v/>
      </c>
      <c r="M1198" t="str">
        <f>IFERROR(INDEX(Inventory!A:A,MATCH(Scan!A1198,Inventory!E:E,0)),"")</f>
        <v/>
      </c>
    </row>
    <row r="1199" spans="2:13" x14ac:dyDescent="0.25">
      <c r="B1199" t="str">
        <f>IF(IFERROR(VLOOKUP(TRIM(A1199),Inventory!E:E,1,0),0)=0,"X","_")</f>
        <v>_</v>
      </c>
      <c r="C1199" t="str">
        <f>IF(IFERROR(VLOOKUP(TRIM(A1199),'Full Inventory'!F:F,1,0),0)=0,"X","_")</f>
        <v>_</v>
      </c>
      <c r="D1199" t="str">
        <f t="shared" si="54"/>
        <v>X</v>
      </c>
      <c r="E1199" t="str">
        <f ca="1">IFERROR(IF(AND(B1199&amp;C1199&amp;D1199="___",INDIRECT("Inventory!A"&amp;MATCH(VLOOKUP(A1199,Inventory!E:E,1,0),Inventory!E:E,0))&lt;&gt;INDIRECT("'Full Inventory'!B"&amp;MATCH(VLOOKUP(A1199,'Full Inventory'!F:F,1,0),'Full Inventory'!F:F,0))),"X","_"),"_")</f>
        <v>_</v>
      </c>
      <c r="K1199" t="str">
        <f t="shared" ca="1" si="55"/>
        <v>__X_</v>
      </c>
      <c r="L1199" t="str">
        <f t="shared" ca="1" si="56"/>
        <v/>
      </c>
      <c r="M1199" t="str">
        <f>IFERROR(INDEX(Inventory!A:A,MATCH(Scan!A1199,Inventory!E:E,0)),"")</f>
        <v/>
      </c>
    </row>
    <row r="1200" spans="2:13" x14ac:dyDescent="0.25">
      <c r="B1200" t="str">
        <f>IF(IFERROR(VLOOKUP(TRIM(A1200),Inventory!E:E,1,0),0)=0,"X","_")</f>
        <v>_</v>
      </c>
      <c r="C1200" t="str">
        <f>IF(IFERROR(VLOOKUP(TRIM(A1200),'Full Inventory'!F:F,1,0),0)=0,"X","_")</f>
        <v>_</v>
      </c>
      <c r="D1200" t="str">
        <f t="shared" si="54"/>
        <v>X</v>
      </c>
      <c r="E1200" t="str">
        <f ca="1">IFERROR(IF(AND(B1200&amp;C1200&amp;D1200="___",INDIRECT("Inventory!A"&amp;MATCH(VLOOKUP(A1200,Inventory!E:E,1,0),Inventory!E:E,0))&lt;&gt;INDIRECT("'Full Inventory'!B"&amp;MATCH(VLOOKUP(A1200,'Full Inventory'!F:F,1,0),'Full Inventory'!F:F,0))),"X","_"),"_")</f>
        <v>_</v>
      </c>
      <c r="K1200" t="str">
        <f t="shared" ca="1" si="55"/>
        <v>__X_</v>
      </c>
      <c r="L1200" t="str">
        <f t="shared" ca="1" si="56"/>
        <v/>
      </c>
      <c r="M1200" t="str">
        <f>IFERROR(INDEX(Inventory!A:A,MATCH(Scan!A1200,Inventory!E:E,0)),"")</f>
        <v/>
      </c>
    </row>
    <row r="1201" spans="2:13" x14ac:dyDescent="0.25">
      <c r="B1201" t="str">
        <f>IF(IFERROR(VLOOKUP(TRIM(A1201),Inventory!E:E,1,0),0)=0,"X","_")</f>
        <v>_</v>
      </c>
      <c r="C1201" t="str">
        <f>IF(IFERROR(VLOOKUP(TRIM(A1201),'Full Inventory'!F:F,1,0),0)=0,"X","_")</f>
        <v>_</v>
      </c>
      <c r="D1201" t="str">
        <f t="shared" si="54"/>
        <v>X</v>
      </c>
      <c r="E1201" t="str">
        <f ca="1">IFERROR(IF(AND(B1201&amp;C1201&amp;D1201="___",INDIRECT("Inventory!A"&amp;MATCH(VLOOKUP(A1201,Inventory!E:E,1,0),Inventory!E:E,0))&lt;&gt;INDIRECT("'Full Inventory'!B"&amp;MATCH(VLOOKUP(A1201,'Full Inventory'!F:F,1,0),'Full Inventory'!F:F,0))),"X","_"),"_")</f>
        <v>_</v>
      </c>
      <c r="K1201" t="str">
        <f t="shared" ca="1" si="55"/>
        <v>__X_</v>
      </c>
      <c r="L1201" t="str">
        <f t="shared" ca="1" si="56"/>
        <v/>
      </c>
      <c r="M1201" t="str">
        <f>IFERROR(INDEX(Inventory!A:A,MATCH(Scan!A1201,Inventory!E:E,0)),"")</f>
        <v/>
      </c>
    </row>
    <row r="1202" spans="2:13" x14ac:dyDescent="0.25">
      <c r="B1202" t="str">
        <f>IF(IFERROR(VLOOKUP(TRIM(A1202),Inventory!E:E,1,0),0)=0,"X","_")</f>
        <v>_</v>
      </c>
      <c r="C1202" t="str">
        <f>IF(IFERROR(VLOOKUP(TRIM(A1202),'Full Inventory'!F:F,1,0),0)=0,"X","_")</f>
        <v>_</v>
      </c>
      <c r="D1202" t="str">
        <f t="shared" si="54"/>
        <v>X</v>
      </c>
      <c r="E1202" t="str">
        <f ca="1">IFERROR(IF(AND(B1202&amp;C1202&amp;D1202="___",INDIRECT("Inventory!A"&amp;MATCH(VLOOKUP(A1202,Inventory!E:E,1,0),Inventory!E:E,0))&lt;&gt;INDIRECT("'Full Inventory'!B"&amp;MATCH(VLOOKUP(A1202,'Full Inventory'!F:F,1,0),'Full Inventory'!F:F,0))),"X","_"),"_")</f>
        <v>_</v>
      </c>
      <c r="K1202" t="str">
        <f t="shared" ca="1" si="55"/>
        <v>__X_</v>
      </c>
      <c r="L1202" t="str">
        <f t="shared" ca="1" si="56"/>
        <v/>
      </c>
      <c r="M1202" t="str">
        <f>IFERROR(INDEX(Inventory!A:A,MATCH(Scan!A1202,Inventory!E:E,0)),"")</f>
        <v/>
      </c>
    </row>
    <row r="1203" spans="2:13" x14ac:dyDescent="0.25">
      <c r="B1203" t="str">
        <f>IF(IFERROR(VLOOKUP(TRIM(A1203),Inventory!E:E,1,0),0)=0,"X","_")</f>
        <v>_</v>
      </c>
      <c r="C1203" t="str">
        <f>IF(IFERROR(VLOOKUP(TRIM(A1203),'Full Inventory'!F:F,1,0),0)=0,"X","_")</f>
        <v>_</v>
      </c>
      <c r="D1203" t="str">
        <f t="shared" si="54"/>
        <v>X</v>
      </c>
      <c r="E1203" t="str">
        <f ca="1">IFERROR(IF(AND(B1203&amp;C1203&amp;D1203="___",INDIRECT("Inventory!A"&amp;MATCH(VLOOKUP(A1203,Inventory!E:E,1,0),Inventory!E:E,0))&lt;&gt;INDIRECT("'Full Inventory'!B"&amp;MATCH(VLOOKUP(A1203,'Full Inventory'!F:F,1,0),'Full Inventory'!F:F,0))),"X","_"),"_")</f>
        <v>_</v>
      </c>
      <c r="K1203" t="str">
        <f t="shared" ca="1" si="55"/>
        <v>__X_</v>
      </c>
      <c r="L1203" t="str">
        <f t="shared" ca="1" si="56"/>
        <v/>
      </c>
      <c r="M1203" t="str">
        <f>IFERROR(INDEX(Inventory!A:A,MATCH(Scan!A1203,Inventory!E:E,0)),"")</f>
        <v/>
      </c>
    </row>
    <row r="1204" spans="2:13" x14ac:dyDescent="0.25">
      <c r="B1204" t="str">
        <f>IF(IFERROR(VLOOKUP(TRIM(A1204),Inventory!E:E,1,0),0)=0,"X","_")</f>
        <v>_</v>
      </c>
      <c r="C1204" t="str">
        <f>IF(IFERROR(VLOOKUP(TRIM(A1204),'Full Inventory'!F:F,1,0),0)=0,"X","_")</f>
        <v>_</v>
      </c>
      <c r="D1204" t="str">
        <f t="shared" si="54"/>
        <v>X</v>
      </c>
      <c r="E1204" t="str">
        <f ca="1">IFERROR(IF(AND(B1204&amp;C1204&amp;D1204="___",INDIRECT("Inventory!A"&amp;MATCH(VLOOKUP(A1204,Inventory!E:E,1,0),Inventory!E:E,0))&lt;&gt;INDIRECT("'Full Inventory'!B"&amp;MATCH(VLOOKUP(A1204,'Full Inventory'!F:F,1,0),'Full Inventory'!F:F,0))),"X","_"),"_")</f>
        <v>_</v>
      </c>
      <c r="K1204" t="str">
        <f t="shared" ca="1" si="55"/>
        <v>__X_</v>
      </c>
      <c r="L1204" t="str">
        <f t="shared" ca="1" si="56"/>
        <v/>
      </c>
      <c r="M1204" t="str">
        <f>IFERROR(INDEX(Inventory!A:A,MATCH(Scan!A1204,Inventory!E:E,0)),"")</f>
        <v/>
      </c>
    </row>
    <row r="1205" spans="2:13" x14ac:dyDescent="0.25">
      <c r="B1205" t="str">
        <f>IF(IFERROR(VLOOKUP(TRIM(A1205),Inventory!E:E,1,0),0)=0,"X","_")</f>
        <v>_</v>
      </c>
      <c r="C1205" t="str">
        <f>IF(IFERROR(VLOOKUP(TRIM(A1205),'Full Inventory'!F:F,1,0),0)=0,"X","_")</f>
        <v>_</v>
      </c>
      <c r="D1205" t="str">
        <f t="shared" si="54"/>
        <v>X</v>
      </c>
      <c r="E1205" t="str">
        <f ca="1">IFERROR(IF(AND(B1205&amp;C1205&amp;D1205="___",INDIRECT("Inventory!A"&amp;MATCH(VLOOKUP(A1205,Inventory!E:E,1,0),Inventory!E:E,0))&lt;&gt;INDIRECT("'Full Inventory'!B"&amp;MATCH(VLOOKUP(A1205,'Full Inventory'!F:F,1,0),'Full Inventory'!F:F,0))),"X","_"),"_")</f>
        <v>_</v>
      </c>
      <c r="K1205" t="str">
        <f t="shared" ca="1" si="55"/>
        <v>__X_</v>
      </c>
      <c r="L1205" t="str">
        <f t="shared" ca="1" si="56"/>
        <v/>
      </c>
      <c r="M1205" t="str">
        <f>IFERROR(INDEX(Inventory!A:A,MATCH(Scan!A1205,Inventory!E:E,0)),"")</f>
        <v/>
      </c>
    </row>
    <row r="1206" spans="2:13" x14ac:dyDescent="0.25">
      <c r="B1206" t="str">
        <f>IF(IFERROR(VLOOKUP(TRIM(A1206),Inventory!E:E,1,0),0)=0,"X","_")</f>
        <v>_</v>
      </c>
      <c r="C1206" t="str">
        <f>IF(IFERROR(VLOOKUP(TRIM(A1206),'Full Inventory'!F:F,1,0),0)=0,"X","_")</f>
        <v>_</v>
      </c>
      <c r="D1206" t="str">
        <f t="shared" si="54"/>
        <v>X</v>
      </c>
      <c r="E1206" t="str">
        <f ca="1">IFERROR(IF(AND(B1206&amp;C1206&amp;D1206="___",INDIRECT("Inventory!A"&amp;MATCH(VLOOKUP(A1206,Inventory!E:E,1,0),Inventory!E:E,0))&lt;&gt;INDIRECT("'Full Inventory'!B"&amp;MATCH(VLOOKUP(A1206,'Full Inventory'!F:F,1,0),'Full Inventory'!F:F,0))),"X","_"),"_")</f>
        <v>_</v>
      </c>
      <c r="K1206" t="str">
        <f t="shared" ca="1" si="55"/>
        <v>__X_</v>
      </c>
      <c r="L1206" t="str">
        <f t="shared" ca="1" si="56"/>
        <v/>
      </c>
      <c r="M1206" t="str">
        <f>IFERROR(INDEX(Inventory!A:A,MATCH(Scan!A1206,Inventory!E:E,0)),"")</f>
        <v/>
      </c>
    </row>
    <row r="1207" spans="2:13" x14ac:dyDescent="0.25">
      <c r="B1207" t="str">
        <f>IF(IFERROR(VLOOKUP(TRIM(A1207),Inventory!E:E,1,0),0)=0,"X","_")</f>
        <v>_</v>
      </c>
      <c r="C1207" t="str">
        <f>IF(IFERROR(VLOOKUP(TRIM(A1207),'Full Inventory'!F:F,1,0),0)=0,"X","_")</f>
        <v>_</v>
      </c>
      <c r="D1207" t="str">
        <f t="shared" si="54"/>
        <v>X</v>
      </c>
      <c r="E1207" t="str">
        <f ca="1">IFERROR(IF(AND(B1207&amp;C1207&amp;D1207="___",INDIRECT("Inventory!A"&amp;MATCH(VLOOKUP(A1207,Inventory!E:E,1,0),Inventory!E:E,0))&lt;&gt;INDIRECT("'Full Inventory'!B"&amp;MATCH(VLOOKUP(A1207,'Full Inventory'!F:F,1,0),'Full Inventory'!F:F,0))),"X","_"),"_")</f>
        <v>_</v>
      </c>
      <c r="K1207" t="str">
        <f t="shared" ca="1" si="55"/>
        <v>__X_</v>
      </c>
      <c r="L1207" t="str">
        <f t="shared" ca="1" si="56"/>
        <v/>
      </c>
      <c r="M1207" t="str">
        <f>IFERROR(INDEX(Inventory!A:A,MATCH(Scan!A1207,Inventory!E:E,0)),"")</f>
        <v/>
      </c>
    </row>
    <row r="1208" spans="2:13" x14ac:dyDescent="0.25">
      <c r="B1208" t="str">
        <f>IF(IFERROR(VLOOKUP(TRIM(A1208),Inventory!E:E,1,0),0)=0,"X","_")</f>
        <v>_</v>
      </c>
      <c r="C1208" t="str">
        <f>IF(IFERROR(VLOOKUP(TRIM(A1208),'Full Inventory'!F:F,1,0),0)=0,"X","_")</f>
        <v>_</v>
      </c>
      <c r="D1208" t="str">
        <f t="shared" si="54"/>
        <v>X</v>
      </c>
      <c r="E1208" t="str">
        <f ca="1">IFERROR(IF(AND(B1208&amp;C1208&amp;D1208="___",INDIRECT("Inventory!A"&amp;MATCH(VLOOKUP(A1208,Inventory!E:E,1,0),Inventory!E:E,0))&lt;&gt;INDIRECT("'Full Inventory'!B"&amp;MATCH(VLOOKUP(A1208,'Full Inventory'!F:F,1,0),'Full Inventory'!F:F,0))),"X","_"),"_")</f>
        <v>_</v>
      </c>
      <c r="K1208" t="str">
        <f t="shared" ca="1" si="55"/>
        <v>__X_</v>
      </c>
      <c r="L1208" t="str">
        <f t="shared" ca="1" si="56"/>
        <v/>
      </c>
      <c r="M1208" t="str">
        <f>IFERROR(INDEX(Inventory!A:A,MATCH(Scan!A1208,Inventory!E:E,0)),"")</f>
        <v/>
      </c>
    </row>
    <row r="1209" spans="2:13" x14ac:dyDescent="0.25">
      <c r="B1209" t="str">
        <f>IF(IFERROR(VLOOKUP(TRIM(A1209),Inventory!E:E,1,0),0)=0,"X","_")</f>
        <v>_</v>
      </c>
      <c r="C1209" t="str">
        <f>IF(IFERROR(VLOOKUP(TRIM(A1209),'Full Inventory'!F:F,1,0),0)=0,"X","_")</f>
        <v>_</v>
      </c>
      <c r="D1209" t="str">
        <f t="shared" si="54"/>
        <v>X</v>
      </c>
      <c r="E1209" t="str">
        <f ca="1">IFERROR(IF(AND(B1209&amp;C1209&amp;D1209="___",INDIRECT("Inventory!A"&amp;MATCH(VLOOKUP(A1209,Inventory!E:E,1,0),Inventory!E:E,0))&lt;&gt;INDIRECT("'Full Inventory'!B"&amp;MATCH(VLOOKUP(A1209,'Full Inventory'!F:F,1,0),'Full Inventory'!F:F,0))),"X","_"),"_")</f>
        <v>_</v>
      </c>
      <c r="K1209" t="str">
        <f t="shared" ca="1" si="55"/>
        <v>__X_</v>
      </c>
      <c r="L1209" t="str">
        <f t="shared" ca="1" si="56"/>
        <v/>
      </c>
      <c r="M1209" t="str">
        <f>IFERROR(INDEX(Inventory!A:A,MATCH(Scan!A1209,Inventory!E:E,0)),"")</f>
        <v/>
      </c>
    </row>
    <row r="1210" spans="2:13" x14ac:dyDescent="0.25">
      <c r="B1210" t="str">
        <f>IF(IFERROR(VLOOKUP(TRIM(A1210),Inventory!E:E,1,0),0)=0,"X","_")</f>
        <v>_</v>
      </c>
      <c r="C1210" t="str">
        <f>IF(IFERROR(VLOOKUP(TRIM(A1210),'Full Inventory'!F:F,1,0),0)=0,"X","_")</f>
        <v>_</v>
      </c>
      <c r="D1210" t="str">
        <f t="shared" si="54"/>
        <v>X</v>
      </c>
      <c r="E1210" t="str">
        <f ca="1">IFERROR(IF(AND(B1210&amp;C1210&amp;D1210="___",INDIRECT("Inventory!A"&amp;MATCH(VLOOKUP(A1210,Inventory!E:E,1,0),Inventory!E:E,0))&lt;&gt;INDIRECT("'Full Inventory'!B"&amp;MATCH(VLOOKUP(A1210,'Full Inventory'!F:F,1,0),'Full Inventory'!F:F,0))),"X","_"),"_")</f>
        <v>_</v>
      </c>
      <c r="K1210" t="str">
        <f t="shared" ca="1" si="55"/>
        <v>__X_</v>
      </c>
      <c r="L1210" t="str">
        <f t="shared" ca="1" si="56"/>
        <v/>
      </c>
      <c r="M1210" t="str">
        <f>IFERROR(INDEX(Inventory!A:A,MATCH(Scan!A1210,Inventory!E:E,0)),"")</f>
        <v/>
      </c>
    </row>
    <row r="1211" spans="2:13" x14ac:dyDescent="0.25">
      <c r="B1211" t="str">
        <f>IF(IFERROR(VLOOKUP(TRIM(A1211),Inventory!E:E,1,0),0)=0,"X","_")</f>
        <v>_</v>
      </c>
      <c r="C1211" t="str">
        <f>IF(IFERROR(VLOOKUP(TRIM(A1211),'Full Inventory'!F:F,1,0),0)=0,"X","_")</f>
        <v>_</v>
      </c>
      <c r="D1211" t="str">
        <f t="shared" si="54"/>
        <v>X</v>
      </c>
      <c r="E1211" t="str">
        <f ca="1">IFERROR(IF(AND(B1211&amp;C1211&amp;D1211="___",INDIRECT("Inventory!A"&amp;MATCH(VLOOKUP(A1211,Inventory!E:E,1,0),Inventory!E:E,0))&lt;&gt;INDIRECT("'Full Inventory'!B"&amp;MATCH(VLOOKUP(A1211,'Full Inventory'!F:F,1,0),'Full Inventory'!F:F,0))),"X","_"),"_")</f>
        <v>_</v>
      </c>
      <c r="K1211" t="str">
        <f t="shared" ca="1" si="55"/>
        <v>__X_</v>
      </c>
      <c r="L1211" t="str">
        <f t="shared" ca="1" si="56"/>
        <v/>
      </c>
      <c r="M1211" t="str">
        <f>IFERROR(INDEX(Inventory!A:A,MATCH(Scan!A1211,Inventory!E:E,0)),"")</f>
        <v/>
      </c>
    </row>
    <row r="1212" spans="2:13" x14ac:dyDescent="0.25">
      <c r="B1212" t="str">
        <f>IF(IFERROR(VLOOKUP(TRIM(A1212),Inventory!E:E,1,0),0)=0,"X","_")</f>
        <v>_</v>
      </c>
      <c r="C1212" t="str">
        <f>IF(IFERROR(VLOOKUP(TRIM(A1212),'Full Inventory'!F:F,1,0),0)=0,"X","_")</f>
        <v>_</v>
      </c>
      <c r="D1212" t="str">
        <f t="shared" si="54"/>
        <v>X</v>
      </c>
      <c r="E1212" t="str">
        <f ca="1">IFERROR(IF(AND(B1212&amp;C1212&amp;D1212="___",INDIRECT("Inventory!A"&amp;MATCH(VLOOKUP(A1212,Inventory!E:E,1,0),Inventory!E:E,0))&lt;&gt;INDIRECT("'Full Inventory'!B"&amp;MATCH(VLOOKUP(A1212,'Full Inventory'!F:F,1,0),'Full Inventory'!F:F,0))),"X","_"),"_")</f>
        <v>_</v>
      </c>
      <c r="K1212" t="str">
        <f t="shared" ca="1" si="55"/>
        <v>__X_</v>
      </c>
      <c r="L1212" t="str">
        <f t="shared" ca="1" si="56"/>
        <v/>
      </c>
      <c r="M1212" t="str">
        <f>IFERROR(INDEX(Inventory!A:A,MATCH(Scan!A1212,Inventory!E:E,0)),"")</f>
        <v/>
      </c>
    </row>
    <row r="1213" spans="2:13" x14ac:dyDescent="0.25">
      <c r="B1213" t="str">
        <f>IF(IFERROR(VLOOKUP(TRIM(A1213),Inventory!E:E,1,0),0)=0,"X","_")</f>
        <v>_</v>
      </c>
      <c r="C1213" t="str">
        <f>IF(IFERROR(VLOOKUP(TRIM(A1213),'Full Inventory'!F:F,1,0),0)=0,"X","_")</f>
        <v>_</v>
      </c>
      <c r="D1213" t="str">
        <f t="shared" si="54"/>
        <v>X</v>
      </c>
      <c r="E1213" t="str">
        <f ca="1">IFERROR(IF(AND(B1213&amp;C1213&amp;D1213="___",INDIRECT("Inventory!A"&amp;MATCH(VLOOKUP(A1213,Inventory!E:E,1,0),Inventory!E:E,0))&lt;&gt;INDIRECT("'Full Inventory'!B"&amp;MATCH(VLOOKUP(A1213,'Full Inventory'!F:F,1,0),'Full Inventory'!F:F,0))),"X","_"),"_")</f>
        <v>_</v>
      </c>
      <c r="K1213" t="str">
        <f t="shared" ca="1" si="55"/>
        <v>__X_</v>
      </c>
      <c r="L1213" t="str">
        <f t="shared" ca="1" si="56"/>
        <v/>
      </c>
      <c r="M1213" t="str">
        <f>IFERROR(INDEX(Inventory!A:A,MATCH(Scan!A1213,Inventory!E:E,0)),"")</f>
        <v/>
      </c>
    </row>
    <row r="1214" spans="2:13" x14ac:dyDescent="0.25">
      <c r="B1214" t="str">
        <f>IF(IFERROR(VLOOKUP(TRIM(A1214),Inventory!E:E,1,0),0)=0,"X","_")</f>
        <v>_</v>
      </c>
      <c r="C1214" t="str">
        <f>IF(IFERROR(VLOOKUP(TRIM(A1214),'Full Inventory'!F:F,1,0),0)=0,"X","_")</f>
        <v>_</v>
      </c>
      <c r="D1214" t="str">
        <f t="shared" si="54"/>
        <v>X</v>
      </c>
      <c r="E1214" t="str">
        <f ca="1">IFERROR(IF(AND(B1214&amp;C1214&amp;D1214="___",INDIRECT("Inventory!A"&amp;MATCH(VLOOKUP(A1214,Inventory!E:E,1,0),Inventory!E:E,0))&lt;&gt;INDIRECT("'Full Inventory'!B"&amp;MATCH(VLOOKUP(A1214,'Full Inventory'!F:F,1,0),'Full Inventory'!F:F,0))),"X","_"),"_")</f>
        <v>_</v>
      </c>
      <c r="K1214" t="str">
        <f t="shared" ca="1" si="55"/>
        <v>__X_</v>
      </c>
      <c r="L1214" t="str">
        <f t="shared" ca="1" si="56"/>
        <v/>
      </c>
      <c r="M1214" t="str">
        <f>IFERROR(INDEX(Inventory!A:A,MATCH(Scan!A1214,Inventory!E:E,0)),"")</f>
        <v/>
      </c>
    </row>
    <row r="1215" spans="2:13" x14ac:dyDescent="0.25">
      <c r="B1215" t="str">
        <f>IF(IFERROR(VLOOKUP(TRIM(A1215),Inventory!E:E,1,0),0)=0,"X","_")</f>
        <v>_</v>
      </c>
      <c r="C1215" t="str">
        <f>IF(IFERROR(VLOOKUP(TRIM(A1215),'Full Inventory'!F:F,1,0),0)=0,"X","_")</f>
        <v>_</v>
      </c>
      <c r="D1215" t="str">
        <f t="shared" si="54"/>
        <v>X</v>
      </c>
      <c r="E1215" t="str">
        <f ca="1">IFERROR(IF(AND(B1215&amp;C1215&amp;D1215="___",INDIRECT("Inventory!A"&amp;MATCH(VLOOKUP(A1215,Inventory!E:E,1,0),Inventory!E:E,0))&lt;&gt;INDIRECT("'Full Inventory'!B"&amp;MATCH(VLOOKUP(A1215,'Full Inventory'!F:F,1,0),'Full Inventory'!F:F,0))),"X","_"),"_")</f>
        <v>_</v>
      </c>
      <c r="K1215" t="str">
        <f t="shared" ca="1" si="55"/>
        <v>__X_</v>
      </c>
      <c r="L1215" t="str">
        <f t="shared" ca="1" si="56"/>
        <v/>
      </c>
      <c r="M1215" t="str">
        <f>IFERROR(INDEX(Inventory!A:A,MATCH(Scan!A1215,Inventory!E:E,0)),"")</f>
        <v/>
      </c>
    </row>
    <row r="1216" spans="2:13" x14ac:dyDescent="0.25">
      <c r="B1216" t="str">
        <f>IF(IFERROR(VLOOKUP(TRIM(A1216),Inventory!E:E,1,0),0)=0,"X","_")</f>
        <v>_</v>
      </c>
      <c r="C1216" t="str">
        <f>IF(IFERROR(VLOOKUP(TRIM(A1216),'Full Inventory'!F:F,1,0),0)=0,"X","_")</f>
        <v>_</v>
      </c>
      <c r="D1216" t="str">
        <f t="shared" si="54"/>
        <v>X</v>
      </c>
      <c r="E1216" t="str">
        <f ca="1">IFERROR(IF(AND(B1216&amp;C1216&amp;D1216="___",INDIRECT("Inventory!A"&amp;MATCH(VLOOKUP(A1216,Inventory!E:E,1,0),Inventory!E:E,0))&lt;&gt;INDIRECT("'Full Inventory'!B"&amp;MATCH(VLOOKUP(A1216,'Full Inventory'!F:F,1,0),'Full Inventory'!F:F,0))),"X","_"),"_")</f>
        <v>_</v>
      </c>
      <c r="K1216" t="str">
        <f t="shared" ca="1" si="55"/>
        <v>__X_</v>
      </c>
      <c r="L1216" t="str">
        <f t="shared" ca="1" si="56"/>
        <v/>
      </c>
      <c r="M1216" t="str">
        <f>IFERROR(INDEX(Inventory!A:A,MATCH(Scan!A1216,Inventory!E:E,0)),"")</f>
        <v/>
      </c>
    </row>
    <row r="1217" spans="2:13" x14ac:dyDescent="0.25">
      <c r="B1217" t="str">
        <f>IF(IFERROR(VLOOKUP(TRIM(A1217),Inventory!E:E,1,0),0)=0,"X","_")</f>
        <v>_</v>
      </c>
      <c r="C1217" t="str">
        <f>IF(IFERROR(VLOOKUP(TRIM(A1217),'Full Inventory'!F:F,1,0),0)=0,"X","_")</f>
        <v>_</v>
      </c>
      <c r="D1217" t="str">
        <f t="shared" si="54"/>
        <v>X</v>
      </c>
      <c r="E1217" t="str">
        <f ca="1">IFERROR(IF(AND(B1217&amp;C1217&amp;D1217="___",INDIRECT("Inventory!A"&amp;MATCH(VLOOKUP(A1217,Inventory!E:E,1,0),Inventory!E:E,0))&lt;&gt;INDIRECT("'Full Inventory'!B"&amp;MATCH(VLOOKUP(A1217,'Full Inventory'!F:F,1,0),'Full Inventory'!F:F,0))),"X","_"),"_")</f>
        <v>_</v>
      </c>
      <c r="K1217" t="str">
        <f t="shared" ca="1" si="55"/>
        <v>__X_</v>
      </c>
      <c r="L1217" t="str">
        <f t="shared" ca="1" si="56"/>
        <v/>
      </c>
      <c r="M1217" t="str">
        <f>IFERROR(INDEX(Inventory!A:A,MATCH(Scan!A1217,Inventory!E:E,0)),"")</f>
        <v/>
      </c>
    </row>
    <row r="1218" spans="2:13" x14ac:dyDescent="0.25">
      <c r="B1218" t="str">
        <f>IF(IFERROR(VLOOKUP(TRIM(A1218),Inventory!E:E,1,0),0)=0,"X","_")</f>
        <v>_</v>
      </c>
      <c r="C1218" t="str">
        <f>IF(IFERROR(VLOOKUP(TRIM(A1218),'Full Inventory'!F:F,1,0),0)=0,"X","_")</f>
        <v>_</v>
      </c>
      <c r="D1218" t="str">
        <f t="shared" ref="D1218:D1281" si="57">IF(TRIM(A1218)&lt;&gt;"","_","X")</f>
        <v>X</v>
      </c>
      <c r="E1218" t="str">
        <f ca="1">IFERROR(IF(AND(B1218&amp;C1218&amp;D1218="___",INDIRECT("Inventory!A"&amp;MATCH(VLOOKUP(A1218,Inventory!E:E,1,0),Inventory!E:E,0))&lt;&gt;INDIRECT("'Full Inventory'!B"&amp;MATCH(VLOOKUP(A1218,'Full Inventory'!F:F,1,0),'Full Inventory'!F:F,0))),"X","_"),"_")</f>
        <v>_</v>
      </c>
      <c r="K1218" t="str">
        <f t="shared" ca="1" si="55"/>
        <v>__X_</v>
      </c>
      <c r="L1218" t="str">
        <f t="shared" ca="1" si="56"/>
        <v/>
      </c>
      <c r="M1218" t="str">
        <f>IFERROR(INDEX(Inventory!A:A,MATCH(Scan!A1218,Inventory!E:E,0)),"")</f>
        <v/>
      </c>
    </row>
    <row r="1219" spans="2:13" x14ac:dyDescent="0.25">
      <c r="B1219" t="str">
        <f>IF(IFERROR(VLOOKUP(TRIM(A1219),Inventory!E:E,1,0),0)=0,"X","_")</f>
        <v>_</v>
      </c>
      <c r="C1219" t="str">
        <f>IF(IFERROR(VLOOKUP(TRIM(A1219),'Full Inventory'!F:F,1,0),0)=0,"X","_")</f>
        <v>_</v>
      </c>
      <c r="D1219" t="str">
        <f t="shared" si="57"/>
        <v>X</v>
      </c>
      <c r="E1219" t="str">
        <f ca="1">IFERROR(IF(AND(B1219&amp;C1219&amp;D1219="___",INDIRECT("Inventory!A"&amp;MATCH(VLOOKUP(A1219,Inventory!E:E,1,0),Inventory!E:E,0))&lt;&gt;INDIRECT("'Full Inventory'!B"&amp;MATCH(VLOOKUP(A1219,'Full Inventory'!F:F,1,0),'Full Inventory'!F:F,0))),"X","_"),"_")</f>
        <v>_</v>
      </c>
      <c r="K1219" t="str">
        <f t="shared" ref="K1219:K1282" ca="1" si="58">B1219&amp;C1219&amp;D1219&amp;E1219</f>
        <v>__X_</v>
      </c>
      <c r="L1219" t="str">
        <f t="shared" ref="L1219:L1282" ca="1" si="59">IF(K1219="____","OK",IF(K1219="_X__","NOT IN FULL INVENTORY",IF(K1219="XX__","NOT IN FULL INVENTORY AND INVENTORY",IF(K1219="X___","NOT IN INVENTORY",IF(K1219="___X","DIFFERENT NAMES IN FULL INVENTORY AND INVENTORY","")))))</f>
        <v/>
      </c>
      <c r="M1219" t="str">
        <f>IFERROR(INDEX(Inventory!A:A,MATCH(Scan!A1219,Inventory!E:E,0)),"")</f>
        <v/>
      </c>
    </row>
    <row r="1220" spans="2:13" x14ac:dyDescent="0.25">
      <c r="B1220" t="str">
        <f>IF(IFERROR(VLOOKUP(TRIM(A1220),Inventory!E:E,1,0),0)=0,"X","_")</f>
        <v>_</v>
      </c>
      <c r="C1220" t="str">
        <f>IF(IFERROR(VLOOKUP(TRIM(A1220),'Full Inventory'!F:F,1,0),0)=0,"X","_")</f>
        <v>_</v>
      </c>
      <c r="D1220" t="str">
        <f t="shared" si="57"/>
        <v>X</v>
      </c>
      <c r="E1220" t="str">
        <f ca="1">IFERROR(IF(AND(B1220&amp;C1220&amp;D1220="___",INDIRECT("Inventory!A"&amp;MATCH(VLOOKUP(A1220,Inventory!E:E,1,0),Inventory!E:E,0))&lt;&gt;INDIRECT("'Full Inventory'!B"&amp;MATCH(VLOOKUP(A1220,'Full Inventory'!F:F,1,0),'Full Inventory'!F:F,0))),"X","_"),"_")</f>
        <v>_</v>
      </c>
      <c r="K1220" t="str">
        <f t="shared" ca="1" si="58"/>
        <v>__X_</v>
      </c>
      <c r="L1220" t="str">
        <f t="shared" ca="1" si="59"/>
        <v/>
      </c>
      <c r="M1220" t="str">
        <f>IFERROR(INDEX(Inventory!A:A,MATCH(Scan!A1220,Inventory!E:E,0)),"")</f>
        <v/>
      </c>
    </row>
    <row r="1221" spans="2:13" x14ac:dyDescent="0.25">
      <c r="B1221" t="str">
        <f>IF(IFERROR(VLOOKUP(TRIM(A1221),Inventory!E:E,1,0),0)=0,"X","_")</f>
        <v>_</v>
      </c>
      <c r="C1221" t="str">
        <f>IF(IFERROR(VLOOKUP(TRIM(A1221),'Full Inventory'!F:F,1,0),0)=0,"X","_")</f>
        <v>_</v>
      </c>
      <c r="D1221" t="str">
        <f t="shared" si="57"/>
        <v>X</v>
      </c>
      <c r="E1221" t="str">
        <f ca="1">IFERROR(IF(AND(B1221&amp;C1221&amp;D1221="___",INDIRECT("Inventory!A"&amp;MATCH(VLOOKUP(A1221,Inventory!E:E,1,0),Inventory!E:E,0))&lt;&gt;INDIRECT("'Full Inventory'!B"&amp;MATCH(VLOOKUP(A1221,'Full Inventory'!F:F,1,0),'Full Inventory'!F:F,0))),"X","_"),"_")</f>
        <v>_</v>
      </c>
      <c r="K1221" t="str">
        <f t="shared" ca="1" si="58"/>
        <v>__X_</v>
      </c>
      <c r="L1221" t="str">
        <f t="shared" ca="1" si="59"/>
        <v/>
      </c>
      <c r="M1221" t="str">
        <f>IFERROR(INDEX(Inventory!A:A,MATCH(Scan!A1221,Inventory!E:E,0)),"")</f>
        <v/>
      </c>
    </row>
    <row r="1222" spans="2:13" x14ac:dyDescent="0.25">
      <c r="B1222" t="str">
        <f>IF(IFERROR(VLOOKUP(TRIM(A1222),Inventory!E:E,1,0),0)=0,"X","_")</f>
        <v>_</v>
      </c>
      <c r="C1222" t="str">
        <f>IF(IFERROR(VLOOKUP(TRIM(A1222),'Full Inventory'!F:F,1,0),0)=0,"X","_")</f>
        <v>_</v>
      </c>
      <c r="D1222" t="str">
        <f t="shared" si="57"/>
        <v>X</v>
      </c>
      <c r="E1222" t="str">
        <f ca="1">IFERROR(IF(AND(B1222&amp;C1222&amp;D1222="___",INDIRECT("Inventory!A"&amp;MATCH(VLOOKUP(A1222,Inventory!E:E,1,0),Inventory!E:E,0))&lt;&gt;INDIRECT("'Full Inventory'!B"&amp;MATCH(VLOOKUP(A1222,'Full Inventory'!F:F,1,0),'Full Inventory'!F:F,0))),"X","_"),"_")</f>
        <v>_</v>
      </c>
      <c r="K1222" t="str">
        <f t="shared" ca="1" si="58"/>
        <v>__X_</v>
      </c>
      <c r="L1222" t="str">
        <f t="shared" ca="1" si="59"/>
        <v/>
      </c>
      <c r="M1222" t="str">
        <f>IFERROR(INDEX(Inventory!A:A,MATCH(Scan!A1222,Inventory!E:E,0)),"")</f>
        <v/>
      </c>
    </row>
    <row r="1223" spans="2:13" x14ac:dyDescent="0.25">
      <c r="B1223" t="str">
        <f>IF(IFERROR(VLOOKUP(TRIM(A1223),Inventory!E:E,1,0),0)=0,"X","_")</f>
        <v>_</v>
      </c>
      <c r="C1223" t="str">
        <f>IF(IFERROR(VLOOKUP(TRIM(A1223),'Full Inventory'!F:F,1,0),0)=0,"X","_")</f>
        <v>_</v>
      </c>
      <c r="D1223" t="str">
        <f t="shared" si="57"/>
        <v>X</v>
      </c>
      <c r="E1223" t="str">
        <f ca="1">IFERROR(IF(AND(B1223&amp;C1223&amp;D1223="___",INDIRECT("Inventory!A"&amp;MATCH(VLOOKUP(A1223,Inventory!E:E,1,0),Inventory!E:E,0))&lt;&gt;INDIRECT("'Full Inventory'!B"&amp;MATCH(VLOOKUP(A1223,'Full Inventory'!F:F,1,0),'Full Inventory'!F:F,0))),"X","_"),"_")</f>
        <v>_</v>
      </c>
      <c r="K1223" t="str">
        <f t="shared" ca="1" si="58"/>
        <v>__X_</v>
      </c>
      <c r="L1223" t="str">
        <f t="shared" ca="1" si="59"/>
        <v/>
      </c>
      <c r="M1223" t="str">
        <f>IFERROR(INDEX(Inventory!A:A,MATCH(Scan!A1223,Inventory!E:E,0)),"")</f>
        <v/>
      </c>
    </row>
    <row r="1224" spans="2:13" x14ac:dyDescent="0.25">
      <c r="B1224" t="str">
        <f>IF(IFERROR(VLOOKUP(TRIM(A1224),Inventory!E:E,1,0),0)=0,"X","_")</f>
        <v>_</v>
      </c>
      <c r="C1224" t="str">
        <f>IF(IFERROR(VLOOKUP(TRIM(A1224),'Full Inventory'!F:F,1,0),0)=0,"X","_")</f>
        <v>_</v>
      </c>
      <c r="D1224" t="str">
        <f t="shared" si="57"/>
        <v>X</v>
      </c>
      <c r="E1224" t="str">
        <f ca="1">IFERROR(IF(AND(B1224&amp;C1224&amp;D1224="___",INDIRECT("Inventory!A"&amp;MATCH(VLOOKUP(A1224,Inventory!E:E,1,0),Inventory!E:E,0))&lt;&gt;INDIRECT("'Full Inventory'!B"&amp;MATCH(VLOOKUP(A1224,'Full Inventory'!F:F,1,0),'Full Inventory'!F:F,0))),"X","_"),"_")</f>
        <v>_</v>
      </c>
      <c r="K1224" t="str">
        <f t="shared" ca="1" si="58"/>
        <v>__X_</v>
      </c>
      <c r="L1224" t="str">
        <f t="shared" ca="1" si="59"/>
        <v/>
      </c>
      <c r="M1224" t="str">
        <f>IFERROR(INDEX(Inventory!A:A,MATCH(Scan!A1224,Inventory!E:E,0)),"")</f>
        <v/>
      </c>
    </row>
    <row r="1225" spans="2:13" x14ac:dyDescent="0.25">
      <c r="B1225" t="str">
        <f>IF(IFERROR(VLOOKUP(TRIM(A1225),Inventory!E:E,1,0),0)=0,"X","_")</f>
        <v>_</v>
      </c>
      <c r="C1225" t="str">
        <f>IF(IFERROR(VLOOKUP(TRIM(A1225),'Full Inventory'!F:F,1,0),0)=0,"X","_")</f>
        <v>_</v>
      </c>
      <c r="D1225" t="str">
        <f t="shared" si="57"/>
        <v>X</v>
      </c>
      <c r="E1225" t="str">
        <f ca="1">IFERROR(IF(AND(B1225&amp;C1225&amp;D1225="___",INDIRECT("Inventory!A"&amp;MATCH(VLOOKUP(A1225,Inventory!E:E,1,0),Inventory!E:E,0))&lt;&gt;INDIRECT("'Full Inventory'!B"&amp;MATCH(VLOOKUP(A1225,'Full Inventory'!F:F,1,0),'Full Inventory'!F:F,0))),"X","_"),"_")</f>
        <v>_</v>
      </c>
      <c r="K1225" t="str">
        <f t="shared" ca="1" si="58"/>
        <v>__X_</v>
      </c>
      <c r="L1225" t="str">
        <f t="shared" ca="1" si="59"/>
        <v/>
      </c>
      <c r="M1225" t="str">
        <f>IFERROR(INDEX(Inventory!A:A,MATCH(Scan!A1225,Inventory!E:E,0)),"")</f>
        <v/>
      </c>
    </row>
    <row r="1226" spans="2:13" x14ac:dyDescent="0.25">
      <c r="B1226" t="str">
        <f>IF(IFERROR(VLOOKUP(TRIM(A1226),Inventory!E:E,1,0),0)=0,"X","_")</f>
        <v>_</v>
      </c>
      <c r="C1226" t="str">
        <f>IF(IFERROR(VLOOKUP(TRIM(A1226),'Full Inventory'!F:F,1,0),0)=0,"X","_")</f>
        <v>_</v>
      </c>
      <c r="D1226" t="str">
        <f t="shared" si="57"/>
        <v>X</v>
      </c>
      <c r="E1226" t="str">
        <f ca="1">IFERROR(IF(AND(B1226&amp;C1226&amp;D1226="___",INDIRECT("Inventory!A"&amp;MATCH(VLOOKUP(A1226,Inventory!E:E,1,0),Inventory!E:E,0))&lt;&gt;INDIRECT("'Full Inventory'!B"&amp;MATCH(VLOOKUP(A1226,'Full Inventory'!F:F,1,0),'Full Inventory'!F:F,0))),"X","_"),"_")</f>
        <v>_</v>
      </c>
      <c r="K1226" t="str">
        <f t="shared" ca="1" si="58"/>
        <v>__X_</v>
      </c>
      <c r="L1226" t="str">
        <f t="shared" ca="1" si="59"/>
        <v/>
      </c>
      <c r="M1226" t="str">
        <f>IFERROR(INDEX(Inventory!A:A,MATCH(Scan!A1226,Inventory!E:E,0)),"")</f>
        <v/>
      </c>
    </row>
    <row r="1227" spans="2:13" x14ac:dyDescent="0.25">
      <c r="B1227" t="str">
        <f>IF(IFERROR(VLOOKUP(TRIM(A1227),Inventory!E:E,1,0),0)=0,"X","_")</f>
        <v>_</v>
      </c>
      <c r="C1227" t="str">
        <f>IF(IFERROR(VLOOKUP(TRIM(A1227),'Full Inventory'!F:F,1,0),0)=0,"X","_")</f>
        <v>_</v>
      </c>
      <c r="D1227" t="str">
        <f t="shared" si="57"/>
        <v>X</v>
      </c>
      <c r="E1227" t="str">
        <f ca="1">IFERROR(IF(AND(B1227&amp;C1227&amp;D1227="___",INDIRECT("Inventory!A"&amp;MATCH(VLOOKUP(A1227,Inventory!E:E,1,0),Inventory!E:E,0))&lt;&gt;INDIRECT("'Full Inventory'!B"&amp;MATCH(VLOOKUP(A1227,'Full Inventory'!F:F,1,0),'Full Inventory'!F:F,0))),"X","_"),"_")</f>
        <v>_</v>
      </c>
      <c r="K1227" t="str">
        <f t="shared" ca="1" si="58"/>
        <v>__X_</v>
      </c>
      <c r="L1227" t="str">
        <f t="shared" ca="1" si="59"/>
        <v/>
      </c>
      <c r="M1227" t="str">
        <f>IFERROR(INDEX(Inventory!A:A,MATCH(Scan!A1227,Inventory!E:E,0)),"")</f>
        <v/>
      </c>
    </row>
    <row r="1228" spans="2:13" x14ac:dyDescent="0.25">
      <c r="B1228" t="str">
        <f>IF(IFERROR(VLOOKUP(TRIM(A1228),Inventory!E:E,1,0),0)=0,"X","_")</f>
        <v>_</v>
      </c>
      <c r="C1228" t="str">
        <f>IF(IFERROR(VLOOKUP(TRIM(A1228),'Full Inventory'!F:F,1,0),0)=0,"X","_")</f>
        <v>_</v>
      </c>
      <c r="D1228" t="str">
        <f t="shared" si="57"/>
        <v>X</v>
      </c>
      <c r="E1228" t="str">
        <f ca="1">IFERROR(IF(AND(B1228&amp;C1228&amp;D1228="___",INDIRECT("Inventory!A"&amp;MATCH(VLOOKUP(A1228,Inventory!E:E,1,0),Inventory!E:E,0))&lt;&gt;INDIRECT("'Full Inventory'!B"&amp;MATCH(VLOOKUP(A1228,'Full Inventory'!F:F,1,0),'Full Inventory'!F:F,0))),"X","_"),"_")</f>
        <v>_</v>
      </c>
      <c r="K1228" t="str">
        <f t="shared" ca="1" si="58"/>
        <v>__X_</v>
      </c>
      <c r="L1228" t="str">
        <f t="shared" ca="1" si="59"/>
        <v/>
      </c>
      <c r="M1228" t="str">
        <f>IFERROR(INDEX(Inventory!A:A,MATCH(Scan!A1228,Inventory!E:E,0)),"")</f>
        <v/>
      </c>
    </row>
    <row r="1229" spans="2:13" x14ac:dyDescent="0.25">
      <c r="B1229" t="str">
        <f>IF(IFERROR(VLOOKUP(TRIM(A1229),Inventory!E:E,1,0),0)=0,"X","_")</f>
        <v>_</v>
      </c>
      <c r="C1229" t="str">
        <f>IF(IFERROR(VLOOKUP(TRIM(A1229),'Full Inventory'!F:F,1,0),0)=0,"X","_")</f>
        <v>_</v>
      </c>
      <c r="D1229" t="str">
        <f t="shared" si="57"/>
        <v>X</v>
      </c>
      <c r="E1229" t="str">
        <f ca="1">IFERROR(IF(AND(B1229&amp;C1229&amp;D1229="___",INDIRECT("Inventory!A"&amp;MATCH(VLOOKUP(A1229,Inventory!E:E,1,0),Inventory!E:E,0))&lt;&gt;INDIRECT("'Full Inventory'!B"&amp;MATCH(VLOOKUP(A1229,'Full Inventory'!F:F,1,0),'Full Inventory'!F:F,0))),"X","_"),"_")</f>
        <v>_</v>
      </c>
      <c r="K1229" t="str">
        <f t="shared" ca="1" si="58"/>
        <v>__X_</v>
      </c>
      <c r="L1229" t="str">
        <f t="shared" ca="1" si="59"/>
        <v/>
      </c>
      <c r="M1229" t="str">
        <f>IFERROR(INDEX(Inventory!A:A,MATCH(Scan!A1229,Inventory!E:E,0)),"")</f>
        <v/>
      </c>
    </row>
    <row r="1230" spans="2:13" x14ac:dyDescent="0.25">
      <c r="B1230" t="str">
        <f>IF(IFERROR(VLOOKUP(TRIM(A1230),Inventory!E:E,1,0),0)=0,"X","_")</f>
        <v>_</v>
      </c>
      <c r="C1230" t="str">
        <f>IF(IFERROR(VLOOKUP(TRIM(A1230),'Full Inventory'!F:F,1,0),0)=0,"X","_")</f>
        <v>_</v>
      </c>
      <c r="D1230" t="str">
        <f t="shared" si="57"/>
        <v>X</v>
      </c>
      <c r="E1230" t="str">
        <f ca="1">IFERROR(IF(AND(B1230&amp;C1230&amp;D1230="___",INDIRECT("Inventory!A"&amp;MATCH(VLOOKUP(A1230,Inventory!E:E,1,0),Inventory!E:E,0))&lt;&gt;INDIRECT("'Full Inventory'!B"&amp;MATCH(VLOOKUP(A1230,'Full Inventory'!F:F,1,0),'Full Inventory'!F:F,0))),"X","_"),"_")</f>
        <v>_</v>
      </c>
      <c r="K1230" t="str">
        <f t="shared" ca="1" si="58"/>
        <v>__X_</v>
      </c>
      <c r="L1230" t="str">
        <f t="shared" ca="1" si="59"/>
        <v/>
      </c>
      <c r="M1230" t="str">
        <f>IFERROR(INDEX(Inventory!A:A,MATCH(Scan!A1230,Inventory!E:E,0)),"")</f>
        <v/>
      </c>
    </row>
    <row r="1231" spans="2:13" x14ac:dyDescent="0.25">
      <c r="B1231" t="str">
        <f>IF(IFERROR(VLOOKUP(TRIM(A1231),Inventory!E:E,1,0),0)=0,"X","_")</f>
        <v>_</v>
      </c>
      <c r="C1231" t="str">
        <f>IF(IFERROR(VLOOKUP(TRIM(A1231),'Full Inventory'!F:F,1,0),0)=0,"X","_")</f>
        <v>_</v>
      </c>
      <c r="D1231" t="str">
        <f t="shared" si="57"/>
        <v>X</v>
      </c>
      <c r="E1231" t="str">
        <f ca="1">IFERROR(IF(AND(B1231&amp;C1231&amp;D1231="___",INDIRECT("Inventory!A"&amp;MATCH(VLOOKUP(A1231,Inventory!E:E,1,0),Inventory!E:E,0))&lt;&gt;INDIRECT("'Full Inventory'!B"&amp;MATCH(VLOOKUP(A1231,'Full Inventory'!F:F,1,0),'Full Inventory'!F:F,0))),"X","_"),"_")</f>
        <v>_</v>
      </c>
      <c r="K1231" t="str">
        <f t="shared" ca="1" si="58"/>
        <v>__X_</v>
      </c>
      <c r="L1231" t="str">
        <f t="shared" ca="1" si="59"/>
        <v/>
      </c>
      <c r="M1231" t="str">
        <f>IFERROR(INDEX(Inventory!A:A,MATCH(Scan!A1231,Inventory!E:E,0)),"")</f>
        <v/>
      </c>
    </row>
    <row r="1232" spans="2:13" x14ac:dyDescent="0.25">
      <c r="B1232" t="str">
        <f>IF(IFERROR(VLOOKUP(TRIM(A1232),Inventory!E:E,1,0),0)=0,"X","_")</f>
        <v>_</v>
      </c>
      <c r="C1232" t="str">
        <f>IF(IFERROR(VLOOKUP(TRIM(A1232),'Full Inventory'!F:F,1,0),0)=0,"X","_")</f>
        <v>_</v>
      </c>
      <c r="D1232" t="str">
        <f t="shared" si="57"/>
        <v>X</v>
      </c>
      <c r="E1232" t="str">
        <f ca="1">IFERROR(IF(AND(B1232&amp;C1232&amp;D1232="___",INDIRECT("Inventory!A"&amp;MATCH(VLOOKUP(A1232,Inventory!E:E,1,0),Inventory!E:E,0))&lt;&gt;INDIRECT("'Full Inventory'!B"&amp;MATCH(VLOOKUP(A1232,'Full Inventory'!F:F,1,0),'Full Inventory'!F:F,0))),"X","_"),"_")</f>
        <v>_</v>
      </c>
      <c r="K1232" t="str">
        <f t="shared" ca="1" si="58"/>
        <v>__X_</v>
      </c>
      <c r="L1232" t="str">
        <f t="shared" ca="1" si="59"/>
        <v/>
      </c>
      <c r="M1232" t="str">
        <f>IFERROR(INDEX(Inventory!A:A,MATCH(Scan!A1232,Inventory!E:E,0)),"")</f>
        <v/>
      </c>
    </row>
    <row r="1233" spans="2:13" x14ac:dyDescent="0.25">
      <c r="B1233" t="str">
        <f>IF(IFERROR(VLOOKUP(TRIM(A1233),Inventory!E:E,1,0),0)=0,"X","_")</f>
        <v>_</v>
      </c>
      <c r="C1233" t="str">
        <f>IF(IFERROR(VLOOKUP(TRIM(A1233),'Full Inventory'!F:F,1,0),0)=0,"X","_")</f>
        <v>_</v>
      </c>
      <c r="D1233" t="str">
        <f t="shared" si="57"/>
        <v>X</v>
      </c>
      <c r="E1233" t="str">
        <f ca="1">IFERROR(IF(AND(B1233&amp;C1233&amp;D1233="___",INDIRECT("Inventory!A"&amp;MATCH(VLOOKUP(A1233,Inventory!E:E,1,0),Inventory!E:E,0))&lt;&gt;INDIRECT("'Full Inventory'!B"&amp;MATCH(VLOOKUP(A1233,'Full Inventory'!F:F,1,0),'Full Inventory'!F:F,0))),"X","_"),"_")</f>
        <v>_</v>
      </c>
      <c r="K1233" t="str">
        <f t="shared" ca="1" si="58"/>
        <v>__X_</v>
      </c>
      <c r="L1233" t="str">
        <f t="shared" ca="1" si="59"/>
        <v/>
      </c>
      <c r="M1233" t="str">
        <f>IFERROR(INDEX(Inventory!A:A,MATCH(Scan!A1233,Inventory!E:E,0)),"")</f>
        <v/>
      </c>
    </row>
    <row r="1234" spans="2:13" x14ac:dyDescent="0.25">
      <c r="B1234" t="str">
        <f>IF(IFERROR(VLOOKUP(TRIM(A1234),Inventory!E:E,1,0),0)=0,"X","_")</f>
        <v>_</v>
      </c>
      <c r="C1234" t="str">
        <f>IF(IFERROR(VLOOKUP(TRIM(A1234),'Full Inventory'!F:F,1,0),0)=0,"X","_")</f>
        <v>_</v>
      </c>
      <c r="D1234" t="str">
        <f t="shared" si="57"/>
        <v>X</v>
      </c>
      <c r="E1234" t="str">
        <f ca="1">IFERROR(IF(AND(B1234&amp;C1234&amp;D1234="___",INDIRECT("Inventory!A"&amp;MATCH(VLOOKUP(A1234,Inventory!E:E,1,0),Inventory!E:E,0))&lt;&gt;INDIRECT("'Full Inventory'!B"&amp;MATCH(VLOOKUP(A1234,'Full Inventory'!F:F,1,0),'Full Inventory'!F:F,0))),"X","_"),"_")</f>
        <v>_</v>
      </c>
      <c r="K1234" t="str">
        <f t="shared" ca="1" si="58"/>
        <v>__X_</v>
      </c>
      <c r="L1234" t="str">
        <f t="shared" ca="1" si="59"/>
        <v/>
      </c>
      <c r="M1234" t="str">
        <f>IFERROR(INDEX(Inventory!A:A,MATCH(Scan!A1234,Inventory!E:E,0)),"")</f>
        <v/>
      </c>
    </row>
    <row r="1235" spans="2:13" x14ac:dyDescent="0.25">
      <c r="B1235" t="str">
        <f>IF(IFERROR(VLOOKUP(TRIM(A1235),Inventory!E:E,1,0),0)=0,"X","_")</f>
        <v>_</v>
      </c>
      <c r="C1235" t="str">
        <f>IF(IFERROR(VLOOKUP(TRIM(A1235),'Full Inventory'!F:F,1,0),0)=0,"X","_")</f>
        <v>_</v>
      </c>
      <c r="D1235" t="str">
        <f t="shared" si="57"/>
        <v>X</v>
      </c>
      <c r="E1235" t="str">
        <f ca="1">IFERROR(IF(AND(B1235&amp;C1235&amp;D1235="___",INDIRECT("Inventory!A"&amp;MATCH(VLOOKUP(A1235,Inventory!E:E,1,0),Inventory!E:E,0))&lt;&gt;INDIRECT("'Full Inventory'!B"&amp;MATCH(VLOOKUP(A1235,'Full Inventory'!F:F,1,0),'Full Inventory'!F:F,0))),"X","_"),"_")</f>
        <v>_</v>
      </c>
      <c r="K1235" t="str">
        <f t="shared" ca="1" si="58"/>
        <v>__X_</v>
      </c>
      <c r="L1235" t="str">
        <f t="shared" ca="1" si="59"/>
        <v/>
      </c>
      <c r="M1235" t="str">
        <f>IFERROR(INDEX(Inventory!A:A,MATCH(Scan!A1235,Inventory!E:E,0)),"")</f>
        <v/>
      </c>
    </row>
    <row r="1236" spans="2:13" x14ac:dyDescent="0.25">
      <c r="B1236" t="str">
        <f>IF(IFERROR(VLOOKUP(TRIM(A1236),Inventory!E:E,1,0),0)=0,"X","_")</f>
        <v>_</v>
      </c>
      <c r="C1236" t="str">
        <f>IF(IFERROR(VLOOKUP(TRIM(A1236),'Full Inventory'!F:F,1,0),0)=0,"X","_")</f>
        <v>_</v>
      </c>
      <c r="D1236" t="str">
        <f t="shared" si="57"/>
        <v>X</v>
      </c>
      <c r="E1236" t="str">
        <f ca="1">IFERROR(IF(AND(B1236&amp;C1236&amp;D1236="___",INDIRECT("Inventory!A"&amp;MATCH(VLOOKUP(A1236,Inventory!E:E,1,0),Inventory!E:E,0))&lt;&gt;INDIRECT("'Full Inventory'!B"&amp;MATCH(VLOOKUP(A1236,'Full Inventory'!F:F,1,0),'Full Inventory'!F:F,0))),"X","_"),"_")</f>
        <v>_</v>
      </c>
      <c r="K1236" t="str">
        <f t="shared" ca="1" si="58"/>
        <v>__X_</v>
      </c>
      <c r="L1236" t="str">
        <f t="shared" ca="1" si="59"/>
        <v/>
      </c>
      <c r="M1236" t="str">
        <f>IFERROR(INDEX(Inventory!A:A,MATCH(Scan!A1236,Inventory!E:E,0)),"")</f>
        <v/>
      </c>
    </row>
    <row r="1237" spans="2:13" x14ac:dyDescent="0.25">
      <c r="B1237" t="str">
        <f>IF(IFERROR(VLOOKUP(TRIM(A1237),Inventory!E:E,1,0),0)=0,"X","_")</f>
        <v>_</v>
      </c>
      <c r="C1237" t="str">
        <f>IF(IFERROR(VLOOKUP(TRIM(A1237),'Full Inventory'!F:F,1,0),0)=0,"X","_")</f>
        <v>_</v>
      </c>
      <c r="D1237" t="str">
        <f t="shared" si="57"/>
        <v>X</v>
      </c>
      <c r="E1237" t="str">
        <f ca="1">IFERROR(IF(AND(B1237&amp;C1237&amp;D1237="___",INDIRECT("Inventory!A"&amp;MATCH(VLOOKUP(A1237,Inventory!E:E,1,0),Inventory!E:E,0))&lt;&gt;INDIRECT("'Full Inventory'!B"&amp;MATCH(VLOOKUP(A1237,'Full Inventory'!F:F,1,0),'Full Inventory'!F:F,0))),"X","_"),"_")</f>
        <v>_</v>
      </c>
      <c r="K1237" t="str">
        <f t="shared" ca="1" si="58"/>
        <v>__X_</v>
      </c>
      <c r="L1237" t="str">
        <f t="shared" ca="1" si="59"/>
        <v/>
      </c>
      <c r="M1237" t="str">
        <f>IFERROR(INDEX(Inventory!A:A,MATCH(Scan!A1237,Inventory!E:E,0)),"")</f>
        <v/>
      </c>
    </row>
    <row r="1238" spans="2:13" x14ac:dyDescent="0.25">
      <c r="B1238" t="str">
        <f>IF(IFERROR(VLOOKUP(TRIM(A1238),Inventory!E:E,1,0),0)=0,"X","_")</f>
        <v>_</v>
      </c>
      <c r="C1238" t="str">
        <f>IF(IFERROR(VLOOKUP(TRIM(A1238),'Full Inventory'!F:F,1,0),0)=0,"X","_")</f>
        <v>_</v>
      </c>
      <c r="D1238" t="str">
        <f t="shared" si="57"/>
        <v>X</v>
      </c>
      <c r="E1238" t="str">
        <f ca="1">IFERROR(IF(AND(B1238&amp;C1238&amp;D1238="___",INDIRECT("Inventory!A"&amp;MATCH(VLOOKUP(A1238,Inventory!E:E,1,0),Inventory!E:E,0))&lt;&gt;INDIRECT("'Full Inventory'!B"&amp;MATCH(VLOOKUP(A1238,'Full Inventory'!F:F,1,0),'Full Inventory'!F:F,0))),"X","_"),"_")</f>
        <v>_</v>
      </c>
      <c r="K1238" t="str">
        <f t="shared" ca="1" si="58"/>
        <v>__X_</v>
      </c>
      <c r="L1238" t="str">
        <f t="shared" ca="1" si="59"/>
        <v/>
      </c>
      <c r="M1238" t="str">
        <f>IFERROR(INDEX(Inventory!A:A,MATCH(Scan!A1238,Inventory!E:E,0)),"")</f>
        <v/>
      </c>
    </row>
    <row r="1239" spans="2:13" x14ac:dyDescent="0.25">
      <c r="B1239" t="str">
        <f>IF(IFERROR(VLOOKUP(TRIM(A1239),Inventory!E:E,1,0),0)=0,"X","_")</f>
        <v>_</v>
      </c>
      <c r="C1239" t="str">
        <f>IF(IFERROR(VLOOKUP(TRIM(A1239),'Full Inventory'!F:F,1,0),0)=0,"X","_")</f>
        <v>_</v>
      </c>
      <c r="D1239" t="str">
        <f t="shared" si="57"/>
        <v>X</v>
      </c>
      <c r="E1239" t="str">
        <f ca="1">IFERROR(IF(AND(B1239&amp;C1239&amp;D1239="___",INDIRECT("Inventory!A"&amp;MATCH(VLOOKUP(A1239,Inventory!E:E,1,0),Inventory!E:E,0))&lt;&gt;INDIRECT("'Full Inventory'!B"&amp;MATCH(VLOOKUP(A1239,'Full Inventory'!F:F,1,0),'Full Inventory'!F:F,0))),"X","_"),"_")</f>
        <v>_</v>
      </c>
      <c r="K1239" t="str">
        <f t="shared" ca="1" si="58"/>
        <v>__X_</v>
      </c>
      <c r="L1239" t="str">
        <f t="shared" ca="1" si="59"/>
        <v/>
      </c>
      <c r="M1239" t="str">
        <f>IFERROR(INDEX(Inventory!A:A,MATCH(Scan!A1239,Inventory!E:E,0)),"")</f>
        <v/>
      </c>
    </row>
    <row r="1240" spans="2:13" x14ac:dyDescent="0.25">
      <c r="B1240" t="str">
        <f>IF(IFERROR(VLOOKUP(TRIM(A1240),Inventory!E:E,1,0),0)=0,"X","_")</f>
        <v>_</v>
      </c>
      <c r="C1240" t="str">
        <f>IF(IFERROR(VLOOKUP(TRIM(A1240),'Full Inventory'!F:F,1,0),0)=0,"X","_")</f>
        <v>_</v>
      </c>
      <c r="D1240" t="str">
        <f t="shared" si="57"/>
        <v>X</v>
      </c>
      <c r="E1240" t="str">
        <f ca="1">IFERROR(IF(AND(B1240&amp;C1240&amp;D1240="___",INDIRECT("Inventory!A"&amp;MATCH(VLOOKUP(A1240,Inventory!E:E,1,0),Inventory!E:E,0))&lt;&gt;INDIRECT("'Full Inventory'!B"&amp;MATCH(VLOOKUP(A1240,'Full Inventory'!F:F,1,0),'Full Inventory'!F:F,0))),"X","_"),"_")</f>
        <v>_</v>
      </c>
      <c r="K1240" t="str">
        <f t="shared" ca="1" si="58"/>
        <v>__X_</v>
      </c>
      <c r="L1240" t="str">
        <f t="shared" ca="1" si="59"/>
        <v/>
      </c>
      <c r="M1240" t="str">
        <f>IFERROR(INDEX(Inventory!A:A,MATCH(Scan!A1240,Inventory!E:E,0)),"")</f>
        <v/>
      </c>
    </row>
    <row r="1241" spans="2:13" x14ac:dyDescent="0.25">
      <c r="B1241" t="str">
        <f>IF(IFERROR(VLOOKUP(TRIM(A1241),Inventory!E:E,1,0),0)=0,"X","_")</f>
        <v>_</v>
      </c>
      <c r="C1241" t="str">
        <f>IF(IFERROR(VLOOKUP(TRIM(A1241),'Full Inventory'!F:F,1,0),0)=0,"X","_")</f>
        <v>_</v>
      </c>
      <c r="D1241" t="str">
        <f t="shared" si="57"/>
        <v>X</v>
      </c>
      <c r="E1241" t="str">
        <f ca="1">IFERROR(IF(AND(B1241&amp;C1241&amp;D1241="___",INDIRECT("Inventory!A"&amp;MATCH(VLOOKUP(A1241,Inventory!E:E,1,0),Inventory!E:E,0))&lt;&gt;INDIRECT("'Full Inventory'!B"&amp;MATCH(VLOOKUP(A1241,'Full Inventory'!F:F,1,0),'Full Inventory'!F:F,0))),"X","_"),"_")</f>
        <v>_</v>
      </c>
      <c r="K1241" t="str">
        <f t="shared" ca="1" si="58"/>
        <v>__X_</v>
      </c>
      <c r="L1241" t="str">
        <f t="shared" ca="1" si="59"/>
        <v/>
      </c>
      <c r="M1241" t="str">
        <f>IFERROR(INDEX(Inventory!A:A,MATCH(Scan!A1241,Inventory!E:E,0)),"")</f>
        <v/>
      </c>
    </row>
    <row r="1242" spans="2:13" x14ac:dyDescent="0.25">
      <c r="B1242" t="str">
        <f>IF(IFERROR(VLOOKUP(TRIM(A1242),Inventory!E:E,1,0),0)=0,"X","_")</f>
        <v>_</v>
      </c>
      <c r="C1242" t="str">
        <f>IF(IFERROR(VLOOKUP(TRIM(A1242),'Full Inventory'!F:F,1,0),0)=0,"X","_")</f>
        <v>_</v>
      </c>
      <c r="D1242" t="str">
        <f t="shared" si="57"/>
        <v>X</v>
      </c>
      <c r="E1242" t="str">
        <f ca="1">IFERROR(IF(AND(B1242&amp;C1242&amp;D1242="___",INDIRECT("Inventory!A"&amp;MATCH(VLOOKUP(A1242,Inventory!E:E,1,0),Inventory!E:E,0))&lt;&gt;INDIRECT("'Full Inventory'!B"&amp;MATCH(VLOOKUP(A1242,'Full Inventory'!F:F,1,0),'Full Inventory'!F:F,0))),"X","_"),"_")</f>
        <v>_</v>
      </c>
      <c r="K1242" t="str">
        <f t="shared" ca="1" si="58"/>
        <v>__X_</v>
      </c>
      <c r="L1242" t="str">
        <f t="shared" ca="1" si="59"/>
        <v/>
      </c>
      <c r="M1242" t="str">
        <f>IFERROR(INDEX(Inventory!A:A,MATCH(Scan!A1242,Inventory!E:E,0)),"")</f>
        <v/>
      </c>
    </row>
    <row r="1243" spans="2:13" x14ac:dyDescent="0.25">
      <c r="B1243" t="str">
        <f>IF(IFERROR(VLOOKUP(TRIM(A1243),Inventory!E:E,1,0),0)=0,"X","_")</f>
        <v>_</v>
      </c>
      <c r="C1243" t="str">
        <f>IF(IFERROR(VLOOKUP(TRIM(A1243),'Full Inventory'!F:F,1,0),0)=0,"X","_")</f>
        <v>_</v>
      </c>
      <c r="D1243" t="str">
        <f t="shared" si="57"/>
        <v>X</v>
      </c>
      <c r="E1243" t="str">
        <f ca="1">IFERROR(IF(AND(B1243&amp;C1243&amp;D1243="___",INDIRECT("Inventory!A"&amp;MATCH(VLOOKUP(A1243,Inventory!E:E,1,0),Inventory!E:E,0))&lt;&gt;INDIRECT("'Full Inventory'!B"&amp;MATCH(VLOOKUP(A1243,'Full Inventory'!F:F,1,0),'Full Inventory'!F:F,0))),"X","_"),"_")</f>
        <v>_</v>
      </c>
      <c r="K1243" t="str">
        <f t="shared" ca="1" si="58"/>
        <v>__X_</v>
      </c>
      <c r="L1243" t="str">
        <f t="shared" ca="1" si="59"/>
        <v/>
      </c>
      <c r="M1243" t="str">
        <f>IFERROR(INDEX(Inventory!A:A,MATCH(Scan!A1243,Inventory!E:E,0)),"")</f>
        <v/>
      </c>
    </row>
    <row r="1244" spans="2:13" x14ac:dyDescent="0.25">
      <c r="B1244" t="str">
        <f>IF(IFERROR(VLOOKUP(TRIM(A1244),Inventory!E:E,1,0),0)=0,"X","_")</f>
        <v>_</v>
      </c>
      <c r="C1244" t="str">
        <f>IF(IFERROR(VLOOKUP(TRIM(A1244),'Full Inventory'!F:F,1,0),0)=0,"X","_")</f>
        <v>_</v>
      </c>
      <c r="D1244" t="str">
        <f t="shared" si="57"/>
        <v>X</v>
      </c>
      <c r="E1244" t="str">
        <f ca="1">IFERROR(IF(AND(B1244&amp;C1244&amp;D1244="___",INDIRECT("Inventory!A"&amp;MATCH(VLOOKUP(A1244,Inventory!E:E,1,0),Inventory!E:E,0))&lt;&gt;INDIRECT("'Full Inventory'!B"&amp;MATCH(VLOOKUP(A1244,'Full Inventory'!F:F,1,0),'Full Inventory'!F:F,0))),"X","_"),"_")</f>
        <v>_</v>
      </c>
      <c r="K1244" t="str">
        <f t="shared" ca="1" si="58"/>
        <v>__X_</v>
      </c>
      <c r="L1244" t="str">
        <f t="shared" ca="1" si="59"/>
        <v/>
      </c>
      <c r="M1244" t="str">
        <f>IFERROR(INDEX(Inventory!A:A,MATCH(Scan!A1244,Inventory!E:E,0)),"")</f>
        <v/>
      </c>
    </row>
    <row r="1245" spans="2:13" x14ac:dyDescent="0.25">
      <c r="B1245" t="str">
        <f>IF(IFERROR(VLOOKUP(TRIM(A1245),Inventory!E:E,1,0),0)=0,"X","_")</f>
        <v>_</v>
      </c>
      <c r="C1245" t="str">
        <f>IF(IFERROR(VLOOKUP(TRIM(A1245),'Full Inventory'!F:F,1,0),0)=0,"X","_")</f>
        <v>_</v>
      </c>
      <c r="D1245" t="str">
        <f t="shared" si="57"/>
        <v>X</v>
      </c>
      <c r="E1245" t="str">
        <f ca="1">IFERROR(IF(AND(B1245&amp;C1245&amp;D1245="___",INDIRECT("Inventory!A"&amp;MATCH(VLOOKUP(A1245,Inventory!E:E,1,0),Inventory!E:E,0))&lt;&gt;INDIRECT("'Full Inventory'!B"&amp;MATCH(VLOOKUP(A1245,'Full Inventory'!F:F,1,0),'Full Inventory'!F:F,0))),"X","_"),"_")</f>
        <v>_</v>
      </c>
      <c r="K1245" t="str">
        <f t="shared" ca="1" si="58"/>
        <v>__X_</v>
      </c>
      <c r="L1245" t="str">
        <f t="shared" ca="1" si="59"/>
        <v/>
      </c>
      <c r="M1245" t="str">
        <f>IFERROR(INDEX(Inventory!A:A,MATCH(Scan!A1245,Inventory!E:E,0)),"")</f>
        <v/>
      </c>
    </row>
    <row r="1246" spans="2:13" x14ac:dyDescent="0.25">
      <c r="B1246" t="str">
        <f>IF(IFERROR(VLOOKUP(TRIM(A1246),Inventory!E:E,1,0),0)=0,"X","_")</f>
        <v>_</v>
      </c>
      <c r="C1246" t="str">
        <f>IF(IFERROR(VLOOKUP(TRIM(A1246),'Full Inventory'!F:F,1,0),0)=0,"X","_")</f>
        <v>_</v>
      </c>
      <c r="D1246" t="str">
        <f t="shared" si="57"/>
        <v>X</v>
      </c>
      <c r="E1246" t="str">
        <f ca="1">IFERROR(IF(AND(B1246&amp;C1246&amp;D1246="___",INDIRECT("Inventory!A"&amp;MATCH(VLOOKUP(A1246,Inventory!E:E,1,0),Inventory!E:E,0))&lt;&gt;INDIRECT("'Full Inventory'!B"&amp;MATCH(VLOOKUP(A1246,'Full Inventory'!F:F,1,0),'Full Inventory'!F:F,0))),"X","_"),"_")</f>
        <v>_</v>
      </c>
      <c r="K1246" t="str">
        <f t="shared" ca="1" si="58"/>
        <v>__X_</v>
      </c>
      <c r="L1246" t="str">
        <f t="shared" ca="1" si="59"/>
        <v/>
      </c>
      <c r="M1246" t="str">
        <f>IFERROR(INDEX(Inventory!A:A,MATCH(Scan!A1246,Inventory!E:E,0)),"")</f>
        <v/>
      </c>
    </row>
    <row r="1247" spans="2:13" x14ac:dyDescent="0.25">
      <c r="B1247" t="str">
        <f>IF(IFERROR(VLOOKUP(TRIM(A1247),Inventory!E:E,1,0),0)=0,"X","_")</f>
        <v>_</v>
      </c>
      <c r="C1247" t="str">
        <f>IF(IFERROR(VLOOKUP(TRIM(A1247),'Full Inventory'!F:F,1,0),0)=0,"X","_")</f>
        <v>_</v>
      </c>
      <c r="D1247" t="str">
        <f t="shared" si="57"/>
        <v>X</v>
      </c>
      <c r="E1247" t="str">
        <f ca="1">IFERROR(IF(AND(B1247&amp;C1247&amp;D1247="___",INDIRECT("Inventory!A"&amp;MATCH(VLOOKUP(A1247,Inventory!E:E,1,0),Inventory!E:E,0))&lt;&gt;INDIRECT("'Full Inventory'!B"&amp;MATCH(VLOOKUP(A1247,'Full Inventory'!F:F,1,0),'Full Inventory'!F:F,0))),"X","_"),"_")</f>
        <v>_</v>
      </c>
      <c r="K1247" t="str">
        <f t="shared" ca="1" si="58"/>
        <v>__X_</v>
      </c>
      <c r="L1247" t="str">
        <f t="shared" ca="1" si="59"/>
        <v/>
      </c>
      <c r="M1247" t="str">
        <f>IFERROR(INDEX(Inventory!A:A,MATCH(Scan!A1247,Inventory!E:E,0)),"")</f>
        <v/>
      </c>
    </row>
    <row r="1248" spans="2:13" x14ac:dyDescent="0.25">
      <c r="B1248" t="str">
        <f>IF(IFERROR(VLOOKUP(TRIM(A1248),Inventory!E:E,1,0),0)=0,"X","_")</f>
        <v>_</v>
      </c>
      <c r="C1248" t="str">
        <f>IF(IFERROR(VLOOKUP(TRIM(A1248),'Full Inventory'!F:F,1,0),0)=0,"X","_")</f>
        <v>_</v>
      </c>
      <c r="D1248" t="str">
        <f t="shared" si="57"/>
        <v>X</v>
      </c>
      <c r="E1248" t="str">
        <f ca="1">IFERROR(IF(AND(B1248&amp;C1248&amp;D1248="___",INDIRECT("Inventory!A"&amp;MATCH(VLOOKUP(A1248,Inventory!E:E,1,0),Inventory!E:E,0))&lt;&gt;INDIRECT("'Full Inventory'!B"&amp;MATCH(VLOOKUP(A1248,'Full Inventory'!F:F,1,0),'Full Inventory'!F:F,0))),"X","_"),"_")</f>
        <v>_</v>
      </c>
      <c r="K1248" t="str">
        <f t="shared" ca="1" si="58"/>
        <v>__X_</v>
      </c>
      <c r="L1248" t="str">
        <f t="shared" ca="1" si="59"/>
        <v/>
      </c>
      <c r="M1248" t="str">
        <f>IFERROR(INDEX(Inventory!A:A,MATCH(Scan!A1248,Inventory!E:E,0)),"")</f>
        <v/>
      </c>
    </row>
    <row r="1249" spans="2:13" x14ac:dyDescent="0.25">
      <c r="B1249" t="str">
        <f>IF(IFERROR(VLOOKUP(TRIM(A1249),Inventory!E:E,1,0),0)=0,"X","_")</f>
        <v>_</v>
      </c>
      <c r="C1249" t="str">
        <f>IF(IFERROR(VLOOKUP(TRIM(A1249),'Full Inventory'!F:F,1,0),0)=0,"X","_")</f>
        <v>_</v>
      </c>
      <c r="D1249" t="str">
        <f t="shared" si="57"/>
        <v>X</v>
      </c>
      <c r="E1249" t="str">
        <f ca="1">IFERROR(IF(AND(B1249&amp;C1249&amp;D1249="___",INDIRECT("Inventory!A"&amp;MATCH(VLOOKUP(A1249,Inventory!E:E,1,0),Inventory!E:E,0))&lt;&gt;INDIRECT("'Full Inventory'!B"&amp;MATCH(VLOOKUP(A1249,'Full Inventory'!F:F,1,0),'Full Inventory'!F:F,0))),"X","_"),"_")</f>
        <v>_</v>
      </c>
      <c r="K1249" t="str">
        <f t="shared" ca="1" si="58"/>
        <v>__X_</v>
      </c>
      <c r="L1249" t="str">
        <f t="shared" ca="1" si="59"/>
        <v/>
      </c>
      <c r="M1249" t="str">
        <f>IFERROR(INDEX(Inventory!A:A,MATCH(Scan!A1249,Inventory!E:E,0)),"")</f>
        <v/>
      </c>
    </row>
    <row r="1250" spans="2:13" x14ac:dyDescent="0.25">
      <c r="B1250" t="str">
        <f>IF(IFERROR(VLOOKUP(TRIM(A1250),Inventory!E:E,1,0),0)=0,"X","_")</f>
        <v>_</v>
      </c>
      <c r="C1250" t="str">
        <f>IF(IFERROR(VLOOKUP(TRIM(A1250),'Full Inventory'!F:F,1,0),0)=0,"X","_")</f>
        <v>_</v>
      </c>
      <c r="D1250" t="str">
        <f t="shared" si="57"/>
        <v>X</v>
      </c>
      <c r="E1250" t="str">
        <f ca="1">IFERROR(IF(AND(B1250&amp;C1250&amp;D1250="___",INDIRECT("Inventory!A"&amp;MATCH(VLOOKUP(A1250,Inventory!E:E,1,0),Inventory!E:E,0))&lt;&gt;INDIRECT("'Full Inventory'!B"&amp;MATCH(VLOOKUP(A1250,'Full Inventory'!F:F,1,0),'Full Inventory'!F:F,0))),"X","_"),"_")</f>
        <v>_</v>
      </c>
      <c r="K1250" t="str">
        <f t="shared" ca="1" si="58"/>
        <v>__X_</v>
      </c>
      <c r="L1250" t="str">
        <f t="shared" ca="1" si="59"/>
        <v/>
      </c>
      <c r="M1250" t="str">
        <f>IFERROR(INDEX(Inventory!A:A,MATCH(Scan!A1250,Inventory!E:E,0)),"")</f>
        <v/>
      </c>
    </row>
    <row r="1251" spans="2:13" x14ac:dyDescent="0.25">
      <c r="B1251" t="str">
        <f>IF(IFERROR(VLOOKUP(TRIM(A1251),Inventory!E:E,1,0),0)=0,"X","_")</f>
        <v>_</v>
      </c>
      <c r="C1251" t="str">
        <f>IF(IFERROR(VLOOKUP(TRIM(A1251),'Full Inventory'!F:F,1,0),0)=0,"X","_")</f>
        <v>_</v>
      </c>
      <c r="D1251" t="str">
        <f t="shared" si="57"/>
        <v>X</v>
      </c>
      <c r="E1251" t="str">
        <f ca="1">IFERROR(IF(AND(B1251&amp;C1251&amp;D1251="___",INDIRECT("Inventory!A"&amp;MATCH(VLOOKUP(A1251,Inventory!E:E,1,0),Inventory!E:E,0))&lt;&gt;INDIRECT("'Full Inventory'!B"&amp;MATCH(VLOOKUP(A1251,'Full Inventory'!F:F,1,0),'Full Inventory'!F:F,0))),"X","_"),"_")</f>
        <v>_</v>
      </c>
      <c r="K1251" t="str">
        <f t="shared" ca="1" si="58"/>
        <v>__X_</v>
      </c>
      <c r="L1251" t="str">
        <f t="shared" ca="1" si="59"/>
        <v/>
      </c>
      <c r="M1251" t="str">
        <f>IFERROR(INDEX(Inventory!A:A,MATCH(Scan!A1251,Inventory!E:E,0)),"")</f>
        <v/>
      </c>
    </row>
    <row r="1252" spans="2:13" x14ac:dyDescent="0.25">
      <c r="B1252" t="str">
        <f>IF(IFERROR(VLOOKUP(TRIM(A1252),Inventory!E:E,1,0),0)=0,"X","_")</f>
        <v>_</v>
      </c>
      <c r="C1252" t="str">
        <f>IF(IFERROR(VLOOKUP(TRIM(A1252),'Full Inventory'!F:F,1,0),0)=0,"X","_")</f>
        <v>_</v>
      </c>
      <c r="D1252" t="str">
        <f t="shared" si="57"/>
        <v>X</v>
      </c>
      <c r="E1252" t="str">
        <f ca="1">IFERROR(IF(AND(B1252&amp;C1252&amp;D1252="___",INDIRECT("Inventory!A"&amp;MATCH(VLOOKUP(A1252,Inventory!E:E,1,0),Inventory!E:E,0))&lt;&gt;INDIRECT("'Full Inventory'!B"&amp;MATCH(VLOOKUP(A1252,'Full Inventory'!F:F,1,0),'Full Inventory'!F:F,0))),"X","_"),"_")</f>
        <v>_</v>
      </c>
      <c r="K1252" t="str">
        <f t="shared" ca="1" si="58"/>
        <v>__X_</v>
      </c>
      <c r="L1252" t="str">
        <f t="shared" ca="1" si="59"/>
        <v/>
      </c>
      <c r="M1252" t="str">
        <f>IFERROR(INDEX(Inventory!A:A,MATCH(Scan!A1252,Inventory!E:E,0)),"")</f>
        <v/>
      </c>
    </row>
    <row r="1253" spans="2:13" x14ac:dyDescent="0.25">
      <c r="B1253" t="str">
        <f>IF(IFERROR(VLOOKUP(TRIM(A1253),Inventory!E:E,1,0),0)=0,"X","_")</f>
        <v>_</v>
      </c>
      <c r="C1253" t="str">
        <f>IF(IFERROR(VLOOKUP(TRIM(A1253),'Full Inventory'!F:F,1,0),0)=0,"X","_")</f>
        <v>_</v>
      </c>
      <c r="D1253" t="str">
        <f t="shared" si="57"/>
        <v>X</v>
      </c>
      <c r="E1253" t="str">
        <f ca="1">IFERROR(IF(AND(B1253&amp;C1253&amp;D1253="___",INDIRECT("Inventory!A"&amp;MATCH(VLOOKUP(A1253,Inventory!E:E,1,0),Inventory!E:E,0))&lt;&gt;INDIRECT("'Full Inventory'!B"&amp;MATCH(VLOOKUP(A1253,'Full Inventory'!F:F,1,0),'Full Inventory'!F:F,0))),"X","_"),"_")</f>
        <v>_</v>
      </c>
      <c r="K1253" t="str">
        <f t="shared" ca="1" si="58"/>
        <v>__X_</v>
      </c>
      <c r="L1253" t="str">
        <f t="shared" ca="1" si="59"/>
        <v/>
      </c>
      <c r="M1253" t="str">
        <f>IFERROR(INDEX(Inventory!A:A,MATCH(Scan!A1253,Inventory!E:E,0)),"")</f>
        <v/>
      </c>
    </row>
    <row r="1254" spans="2:13" x14ac:dyDescent="0.25">
      <c r="B1254" t="str">
        <f>IF(IFERROR(VLOOKUP(TRIM(A1254),Inventory!E:E,1,0),0)=0,"X","_")</f>
        <v>_</v>
      </c>
      <c r="C1254" t="str">
        <f>IF(IFERROR(VLOOKUP(TRIM(A1254),'Full Inventory'!F:F,1,0),0)=0,"X","_")</f>
        <v>_</v>
      </c>
      <c r="D1254" t="str">
        <f t="shared" si="57"/>
        <v>X</v>
      </c>
      <c r="E1254" t="str">
        <f ca="1">IFERROR(IF(AND(B1254&amp;C1254&amp;D1254="___",INDIRECT("Inventory!A"&amp;MATCH(VLOOKUP(A1254,Inventory!E:E,1,0),Inventory!E:E,0))&lt;&gt;INDIRECT("'Full Inventory'!B"&amp;MATCH(VLOOKUP(A1254,'Full Inventory'!F:F,1,0),'Full Inventory'!F:F,0))),"X","_"),"_")</f>
        <v>_</v>
      </c>
      <c r="K1254" t="str">
        <f t="shared" ca="1" si="58"/>
        <v>__X_</v>
      </c>
      <c r="L1254" t="str">
        <f t="shared" ca="1" si="59"/>
        <v/>
      </c>
      <c r="M1254" t="str">
        <f>IFERROR(INDEX(Inventory!A:A,MATCH(Scan!A1254,Inventory!E:E,0)),"")</f>
        <v/>
      </c>
    </row>
    <row r="1255" spans="2:13" x14ac:dyDescent="0.25">
      <c r="B1255" t="str">
        <f>IF(IFERROR(VLOOKUP(TRIM(A1255),Inventory!E:E,1,0),0)=0,"X","_")</f>
        <v>_</v>
      </c>
      <c r="C1255" t="str">
        <f>IF(IFERROR(VLOOKUP(TRIM(A1255),'Full Inventory'!F:F,1,0),0)=0,"X","_")</f>
        <v>_</v>
      </c>
      <c r="D1255" t="str">
        <f t="shared" si="57"/>
        <v>X</v>
      </c>
      <c r="E1255" t="str">
        <f ca="1">IFERROR(IF(AND(B1255&amp;C1255&amp;D1255="___",INDIRECT("Inventory!A"&amp;MATCH(VLOOKUP(A1255,Inventory!E:E,1,0),Inventory!E:E,0))&lt;&gt;INDIRECT("'Full Inventory'!B"&amp;MATCH(VLOOKUP(A1255,'Full Inventory'!F:F,1,0),'Full Inventory'!F:F,0))),"X","_"),"_")</f>
        <v>_</v>
      </c>
      <c r="K1255" t="str">
        <f t="shared" ca="1" si="58"/>
        <v>__X_</v>
      </c>
      <c r="L1255" t="str">
        <f t="shared" ca="1" si="59"/>
        <v/>
      </c>
      <c r="M1255" t="str">
        <f>IFERROR(INDEX(Inventory!A:A,MATCH(Scan!A1255,Inventory!E:E,0)),"")</f>
        <v/>
      </c>
    </row>
    <row r="1256" spans="2:13" x14ac:dyDescent="0.25">
      <c r="B1256" t="str">
        <f>IF(IFERROR(VLOOKUP(TRIM(A1256),Inventory!E:E,1,0),0)=0,"X","_")</f>
        <v>_</v>
      </c>
      <c r="C1256" t="str">
        <f>IF(IFERROR(VLOOKUP(TRIM(A1256),'Full Inventory'!F:F,1,0),0)=0,"X","_")</f>
        <v>_</v>
      </c>
      <c r="D1256" t="str">
        <f t="shared" si="57"/>
        <v>X</v>
      </c>
      <c r="E1256" t="str">
        <f ca="1">IFERROR(IF(AND(B1256&amp;C1256&amp;D1256="___",INDIRECT("Inventory!A"&amp;MATCH(VLOOKUP(A1256,Inventory!E:E,1,0),Inventory!E:E,0))&lt;&gt;INDIRECT("'Full Inventory'!B"&amp;MATCH(VLOOKUP(A1256,'Full Inventory'!F:F,1,0),'Full Inventory'!F:F,0))),"X","_"),"_")</f>
        <v>_</v>
      </c>
      <c r="K1256" t="str">
        <f t="shared" ca="1" si="58"/>
        <v>__X_</v>
      </c>
      <c r="L1256" t="str">
        <f t="shared" ca="1" si="59"/>
        <v/>
      </c>
      <c r="M1256" t="str">
        <f>IFERROR(INDEX(Inventory!A:A,MATCH(Scan!A1256,Inventory!E:E,0)),"")</f>
        <v/>
      </c>
    </row>
    <row r="1257" spans="2:13" x14ac:dyDescent="0.25">
      <c r="B1257" t="str">
        <f>IF(IFERROR(VLOOKUP(TRIM(A1257),Inventory!E:E,1,0),0)=0,"X","_")</f>
        <v>_</v>
      </c>
      <c r="C1257" t="str">
        <f>IF(IFERROR(VLOOKUP(TRIM(A1257),'Full Inventory'!F:F,1,0),0)=0,"X","_")</f>
        <v>_</v>
      </c>
      <c r="D1257" t="str">
        <f t="shared" si="57"/>
        <v>X</v>
      </c>
      <c r="E1257" t="str">
        <f ca="1">IFERROR(IF(AND(B1257&amp;C1257&amp;D1257="___",INDIRECT("Inventory!A"&amp;MATCH(VLOOKUP(A1257,Inventory!E:E,1,0),Inventory!E:E,0))&lt;&gt;INDIRECT("'Full Inventory'!B"&amp;MATCH(VLOOKUP(A1257,'Full Inventory'!F:F,1,0),'Full Inventory'!F:F,0))),"X","_"),"_")</f>
        <v>_</v>
      </c>
      <c r="K1257" t="str">
        <f t="shared" ca="1" si="58"/>
        <v>__X_</v>
      </c>
      <c r="L1257" t="str">
        <f t="shared" ca="1" si="59"/>
        <v/>
      </c>
      <c r="M1257" t="str">
        <f>IFERROR(INDEX(Inventory!A:A,MATCH(Scan!A1257,Inventory!E:E,0)),"")</f>
        <v/>
      </c>
    </row>
    <row r="1258" spans="2:13" x14ac:dyDescent="0.25">
      <c r="B1258" t="str">
        <f>IF(IFERROR(VLOOKUP(TRIM(A1258),Inventory!E:E,1,0),0)=0,"X","_")</f>
        <v>_</v>
      </c>
      <c r="C1258" t="str">
        <f>IF(IFERROR(VLOOKUP(TRIM(A1258),'Full Inventory'!F:F,1,0),0)=0,"X","_")</f>
        <v>_</v>
      </c>
      <c r="D1258" t="str">
        <f t="shared" si="57"/>
        <v>X</v>
      </c>
      <c r="E1258" t="str">
        <f ca="1">IFERROR(IF(AND(B1258&amp;C1258&amp;D1258="___",INDIRECT("Inventory!A"&amp;MATCH(VLOOKUP(A1258,Inventory!E:E,1,0),Inventory!E:E,0))&lt;&gt;INDIRECT("'Full Inventory'!B"&amp;MATCH(VLOOKUP(A1258,'Full Inventory'!F:F,1,0),'Full Inventory'!F:F,0))),"X","_"),"_")</f>
        <v>_</v>
      </c>
      <c r="K1258" t="str">
        <f t="shared" ca="1" si="58"/>
        <v>__X_</v>
      </c>
      <c r="L1258" t="str">
        <f t="shared" ca="1" si="59"/>
        <v/>
      </c>
      <c r="M1258" t="str">
        <f>IFERROR(INDEX(Inventory!A:A,MATCH(Scan!A1258,Inventory!E:E,0)),"")</f>
        <v/>
      </c>
    </row>
    <row r="1259" spans="2:13" x14ac:dyDescent="0.25">
      <c r="B1259" t="str">
        <f>IF(IFERROR(VLOOKUP(TRIM(A1259),Inventory!E:E,1,0),0)=0,"X","_")</f>
        <v>_</v>
      </c>
      <c r="C1259" t="str">
        <f>IF(IFERROR(VLOOKUP(TRIM(A1259),'Full Inventory'!F:F,1,0),0)=0,"X","_")</f>
        <v>_</v>
      </c>
      <c r="D1259" t="str">
        <f t="shared" si="57"/>
        <v>X</v>
      </c>
      <c r="E1259" t="str">
        <f ca="1">IFERROR(IF(AND(B1259&amp;C1259&amp;D1259="___",INDIRECT("Inventory!A"&amp;MATCH(VLOOKUP(A1259,Inventory!E:E,1,0),Inventory!E:E,0))&lt;&gt;INDIRECT("'Full Inventory'!B"&amp;MATCH(VLOOKUP(A1259,'Full Inventory'!F:F,1,0),'Full Inventory'!F:F,0))),"X","_"),"_")</f>
        <v>_</v>
      </c>
      <c r="K1259" t="str">
        <f t="shared" ca="1" si="58"/>
        <v>__X_</v>
      </c>
      <c r="L1259" t="str">
        <f t="shared" ca="1" si="59"/>
        <v/>
      </c>
      <c r="M1259" t="str">
        <f>IFERROR(INDEX(Inventory!A:A,MATCH(Scan!A1259,Inventory!E:E,0)),"")</f>
        <v/>
      </c>
    </row>
    <row r="1260" spans="2:13" x14ac:dyDescent="0.25">
      <c r="B1260" t="str">
        <f>IF(IFERROR(VLOOKUP(TRIM(A1260),Inventory!E:E,1,0),0)=0,"X","_")</f>
        <v>_</v>
      </c>
      <c r="C1260" t="str">
        <f>IF(IFERROR(VLOOKUP(TRIM(A1260),'Full Inventory'!F:F,1,0),0)=0,"X","_")</f>
        <v>_</v>
      </c>
      <c r="D1260" t="str">
        <f t="shared" si="57"/>
        <v>X</v>
      </c>
      <c r="E1260" t="str">
        <f ca="1">IFERROR(IF(AND(B1260&amp;C1260&amp;D1260="___",INDIRECT("Inventory!A"&amp;MATCH(VLOOKUP(A1260,Inventory!E:E,1,0),Inventory!E:E,0))&lt;&gt;INDIRECT("'Full Inventory'!B"&amp;MATCH(VLOOKUP(A1260,'Full Inventory'!F:F,1,0),'Full Inventory'!F:F,0))),"X","_"),"_")</f>
        <v>_</v>
      </c>
      <c r="K1260" t="str">
        <f t="shared" ca="1" si="58"/>
        <v>__X_</v>
      </c>
      <c r="L1260" t="str">
        <f t="shared" ca="1" si="59"/>
        <v/>
      </c>
      <c r="M1260" t="str">
        <f>IFERROR(INDEX(Inventory!A:A,MATCH(Scan!A1260,Inventory!E:E,0)),"")</f>
        <v/>
      </c>
    </row>
    <row r="1261" spans="2:13" x14ac:dyDescent="0.25">
      <c r="B1261" t="str">
        <f>IF(IFERROR(VLOOKUP(TRIM(A1261),Inventory!E:E,1,0),0)=0,"X","_")</f>
        <v>_</v>
      </c>
      <c r="C1261" t="str">
        <f>IF(IFERROR(VLOOKUP(TRIM(A1261),'Full Inventory'!F:F,1,0),0)=0,"X","_")</f>
        <v>_</v>
      </c>
      <c r="D1261" t="str">
        <f t="shared" si="57"/>
        <v>X</v>
      </c>
      <c r="E1261" t="str">
        <f ca="1">IFERROR(IF(AND(B1261&amp;C1261&amp;D1261="___",INDIRECT("Inventory!A"&amp;MATCH(VLOOKUP(A1261,Inventory!E:E,1,0),Inventory!E:E,0))&lt;&gt;INDIRECT("'Full Inventory'!B"&amp;MATCH(VLOOKUP(A1261,'Full Inventory'!F:F,1,0),'Full Inventory'!F:F,0))),"X","_"),"_")</f>
        <v>_</v>
      </c>
      <c r="K1261" t="str">
        <f t="shared" ca="1" si="58"/>
        <v>__X_</v>
      </c>
      <c r="L1261" t="str">
        <f t="shared" ca="1" si="59"/>
        <v/>
      </c>
      <c r="M1261" t="str">
        <f>IFERROR(INDEX(Inventory!A:A,MATCH(Scan!A1261,Inventory!E:E,0)),"")</f>
        <v/>
      </c>
    </row>
    <row r="1262" spans="2:13" x14ac:dyDescent="0.25">
      <c r="B1262" t="str">
        <f>IF(IFERROR(VLOOKUP(TRIM(A1262),Inventory!E:E,1,0),0)=0,"X","_")</f>
        <v>_</v>
      </c>
      <c r="C1262" t="str">
        <f>IF(IFERROR(VLOOKUP(TRIM(A1262),'Full Inventory'!F:F,1,0),0)=0,"X","_")</f>
        <v>_</v>
      </c>
      <c r="D1262" t="str">
        <f t="shared" si="57"/>
        <v>X</v>
      </c>
      <c r="E1262" t="str">
        <f ca="1">IFERROR(IF(AND(B1262&amp;C1262&amp;D1262="___",INDIRECT("Inventory!A"&amp;MATCH(VLOOKUP(A1262,Inventory!E:E,1,0),Inventory!E:E,0))&lt;&gt;INDIRECT("'Full Inventory'!B"&amp;MATCH(VLOOKUP(A1262,'Full Inventory'!F:F,1,0),'Full Inventory'!F:F,0))),"X","_"),"_")</f>
        <v>_</v>
      </c>
      <c r="K1262" t="str">
        <f t="shared" ca="1" si="58"/>
        <v>__X_</v>
      </c>
      <c r="L1262" t="str">
        <f t="shared" ca="1" si="59"/>
        <v/>
      </c>
      <c r="M1262" t="str">
        <f>IFERROR(INDEX(Inventory!A:A,MATCH(Scan!A1262,Inventory!E:E,0)),"")</f>
        <v/>
      </c>
    </row>
    <row r="1263" spans="2:13" x14ac:dyDescent="0.25">
      <c r="B1263" t="str">
        <f>IF(IFERROR(VLOOKUP(TRIM(A1263),Inventory!E:E,1,0),0)=0,"X","_")</f>
        <v>_</v>
      </c>
      <c r="C1263" t="str">
        <f>IF(IFERROR(VLOOKUP(TRIM(A1263),'Full Inventory'!F:F,1,0),0)=0,"X","_")</f>
        <v>_</v>
      </c>
      <c r="D1263" t="str">
        <f t="shared" si="57"/>
        <v>X</v>
      </c>
      <c r="E1263" t="str">
        <f ca="1">IFERROR(IF(AND(B1263&amp;C1263&amp;D1263="___",INDIRECT("Inventory!A"&amp;MATCH(VLOOKUP(A1263,Inventory!E:E,1,0),Inventory!E:E,0))&lt;&gt;INDIRECT("'Full Inventory'!B"&amp;MATCH(VLOOKUP(A1263,'Full Inventory'!F:F,1,0),'Full Inventory'!F:F,0))),"X","_"),"_")</f>
        <v>_</v>
      </c>
      <c r="K1263" t="str">
        <f t="shared" ca="1" si="58"/>
        <v>__X_</v>
      </c>
      <c r="L1263" t="str">
        <f t="shared" ca="1" si="59"/>
        <v/>
      </c>
      <c r="M1263" t="str">
        <f>IFERROR(INDEX(Inventory!A:A,MATCH(Scan!A1263,Inventory!E:E,0)),"")</f>
        <v/>
      </c>
    </row>
    <row r="1264" spans="2:13" x14ac:dyDescent="0.25">
      <c r="B1264" t="str">
        <f>IF(IFERROR(VLOOKUP(TRIM(A1264),Inventory!E:E,1,0),0)=0,"X","_")</f>
        <v>_</v>
      </c>
      <c r="C1264" t="str">
        <f>IF(IFERROR(VLOOKUP(TRIM(A1264),'Full Inventory'!F:F,1,0),0)=0,"X","_")</f>
        <v>_</v>
      </c>
      <c r="D1264" t="str">
        <f t="shared" si="57"/>
        <v>X</v>
      </c>
      <c r="E1264" t="str">
        <f ca="1">IFERROR(IF(AND(B1264&amp;C1264&amp;D1264="___",INDIRECT("Inventory!A"&amp;MATCH(VLOOKUP(A1264,Inventory!E:E,1,0),Inventory!E:E,0))&lt;&gt;INDIRECT("'Full Inventory'!B"&amp;MATCH(VLOOKUP(A1264,'Full Inventory'!F:F,1,0),'Full Inventory'!F:F,0))),"X","_"),"_")</f>
        <v>_</v>
      </c>
      <c r="K1264" t="str">
        <f t="shared" ca="1" si="58"/>
        <v>__X_</v>
      </c>
      <c r="L1264" t="str">
        <f t="shared" ca="1" si="59"/>
        <v/>
      </c>
      <c r="M1264" t="str">
        <f>IFERROR(INDEX(Inventory!A:A,MATCH(Scan!A1264,Inventory!E:E,0)),"")</f>
        <v/>
      </c>
    </row>
    <row r="1265" spans="2:13" x14ac:dyDescent="0.25">
      <c r="B1265" t="str">
        <f>IF(IFERROR(VLOOKUP(TRIM(A1265),Inventory!E:E,1,0),0)=0,"X","_")</f>
        <v>_</v>
      </c>
      <c r="C1265" t="str">
        <f>IF(IFERROR(VLOOKUP(TRIM(A1265),'Full Inventory'!F:F,1,0),0)=0,"X","_")</f>
        <v>_</v>
      </c>
      <c r="D1265" t="str">
        <f t="shared" si="57"/>
        <v>X</v>
      </c>
      <c r="E1265" t="str">
        <f ca="1">IFERROR(IF(AND(B1265&amp;C1265&amp;D1265="___",INDIRECT("Inventory!A"&amp;MATCH(VLOOKUP(A1265,Inventory!E:E,1,0),Inventory!E:E,0))&lt;&gt;INDIRECT("'Full Inventory'!B"&amp;MATCH(VLOOKUP(A1265,'Full Inventory'!F:F,1,0),'Full Inventory'!F:F,0))),"X","_"),"_")</f>
        <v>_</v>
      </c>
      <c r="K1265" t="str">
        <f t="shared" ca="1" si="58"/>
        <v>__X_</v>
      </c>
      <c r="L1265" t="str">
        <f t="shared" ca="1" si="59"/>
        <v/>
      </c>
      <c r="M1265" t="str">
        <f>IFERROR(INDEX(Inventory!A:A,MATCH(Scan!A1265,Inventory!E:E,0)),"")</f>
        <v/>
      </c>
    </row>
    <row r="1266" spans="2:13" x14ac:dyDescent="0.25">
      <c r="B1266" t="str">
        <f>IF(IFERROR(VLOOKUP(TRIM(A1266),Inventory!E:E,1,0),0)=0,"X","_")</f>
        <v>_</v>
      </c>
      <c r="C1266" t="str">
        <f>IF(IFERROR(VLOOKUP(TRIM(A1266),'Full Inventory'!F:F,1,0),0)=0,"X","_")</f>
        <v>_</v>
      </c>
      <c r="D1266" t="str">
        <f t="shared" si="57"/>
        <v>X</v>
      </c>
      <c r="E1266" t="str">
        <f ca="1">IFERROR(IF(AND(B1266&amp;C1266&amp;D1266="___",INDIRECT("Inventory!A"&amp;MATCH(VLOOKUP(A1266,Inventory!E:E,1,0),Inventory!E:E,0))&lt;&gt;INDIRECT("'Full Inventory'!B"&amp;MATCH(VLOOKUP(A1266,'Full Inventory'!F:F,1,0),'Full Inventory'!F:F,0))),"X","_"),"_")</f>
        <v>_</v>
      </c>
      <c r="K1266" t="str">
        <f t="shared" ca="1" si="58"/>
        <v>__X_</v>
      </c>
      <c r="L1266" t="str">
        <f t="shared" ca="1" si="59"/>
        <v/>
      </c>
      <c r="M1266" t="str">
        <f>IFERROR(INDEX(Inventory!A:A,MATCH(Scan!A1266,Inventory!E:E,0)),"")</f>
        <v/>
      </c>
    </row>
    <row r="1267" spans="2:13" x14ac:dyDescent="0.25">
      <c r="B1267" t="str">
        <f>IF(IFERROR(VLOOKUP(TRIM(A1267),Inventory!E:E,1,0),0)=0,"X","_")</f>
        <v>_</v>
      </c>
      <c r="C1267" t="str">
        <f>IF(IFERROR(VLOOKUP(TRIM(A1267),'Full Inventory'!F:F,1,0),0)=0,"X","_")</f>
        <v>_</v>
      </c>
      <c r="D1267" t="str">
        <f t="shared" si="57"/>
        <v>X</v>
      </c>
      <c r="E1267" t="str">
        <f ca="1">IFERROR(IF(AND(B1267&amp;C1267&amp;D1267="___",INDIRECT("Inventory!A"&amp;MATCH(VLOOKUP(A1267,Inventory!E:E,1,0),Inventory!E:E,0))&lt;&gt;INDIRECT("'Full Inventory'!B"&amp;MATCH(VLOOKUP(A1267,'Full Inventory'!F:F,1,0),'Full Inventory'!F:F,0))),"X","_"),"_")</f>
        <v>_</v>
      </c>
      <c r="K1267" t="str">
        <f t="shared" ca="1" si="58"/>
        <v>__X_</v>
      </c>
      <c r="L1267" t="str">
        <f t="shared" ca="1" si="59"/>
        <v/>
      </c>
      <c r="M1267" t="str">
        <f>IFERROR(INDEX(Inventory!A:A,MATCH(Scan!A1267,Inventory!E:E,0)),"")</f>
        <v/>
      </c>
    </row>
    <row r="1268" spans="2:13" x14ac:dyDescent="0.25">
      <c r="B1268" t="str">
        <f>IF(IFERROR(VLOOKUP(TRIM(A1268),Inventory!E:E,1,0),0)=0,"X","_")</f>
        <v>_</v>
      </c>
      <c r="C1268" t="str">
        <f>IF(IFERROR(VLOOKUP(TRIM(A1268),'Full Inventory'!F:F,1,0),0)=0,"X","_")</f>
        <v>_</v>
      </c>
      <c r="D1268" t="str">
        <f t="shared" si="57"/>
        <v>X</v>
      </c>
      <c r="E1268" t="str">
        <f ca="1">IFERROR(IF(AND(B1268&amp;C1268&amp;D1268="___",INDIRECT("Inventory!A"&amp;MATCH(VLOOKUP(A1268,Inventory!E:E,1,0),Inventory!E:E,0))&lt;&gt;INDIRECT("'Full Inventory'!B"&amp;MATCH(VLOOKUP(A1268,'Full Inventory'!F:F,1,0),'Full Inventory'!F:F,0))),"X","_"),"_")</f>
        <v>_</v>
      </c>
      <c r="K1268" t="str">
        <f t="shared" ca="1" si="58"/>
        <v>__X_</v>
      </c>
      <c r="L1268" t="str">
        <f t="shared" ca="1" si="59"/>
        <v/>
      </c>
      <c r="M1268" t="str">
        <f>IFERROR(INDEX(Inventory!A:A,MATCH(Scan!A1268,Inventory!E:E,0)),"")</f>
        <v/>
      </c>
    </row>
    <row r="1269" spans="2:13" x14ac:dyDescent="0.25">
      <c r="B1269" t="str">
        <f>IF(IFERROR(VLOOKUP(TRIM(A1269),Inventory!E:E,1,0),0)=0,"X","_")</f>
        <v>_</v>
      </c>
      <c r="C1269" t="str">
        <f>IF(IFERROR(VLOOKUP(TRIM(A1269),'Full Inventory'!F:F,1,0),0)=0,"X","_")</f>
        <v>_</v>
      </c>
      <c r="D1269" t="str">
        <f t="shared" si="57"/>
        <v>X</v>
      </c>
      <c r="E1269" t="str">
        <f ca="1">IFERROR(IF(AND(B1269&amp;C1269&amp;D1269="___",INDIRECT("Inventory!A"&amp;MATCH(VLOOKUP(A1269,Inventory!E:E,1,0),Inventory!E:E,0))&lt;&gt;INDIRECT("'Full Inventory'!B"&amp;MATCH(VLOOKUP(A1269,'Full Inventory'!F:F,1,0),'Full Inventory'!F:F,0))),"X","_"),"_")</f>
        <v>_</v>
      </c>
      <c r="K1269" t="str">
        <f t="shared" ca="1" si="58"/>
        <v>__X_</v>
      </c>
      <c r="L1269" t="str">
        <f t="shared" ca="1" si="59"/>
        <v/>
      </c>
      <c r="M1269" t="str">
        <f>IFERROR(INDEX(Inventory!A:A,MATCH(Scan!A1269,Inventory!E:E,0)),"")</f>
        <v/>
      </c>
    </row>
    <row r="1270" spans="2:13" x14ac:dyDescent="0.25">
      <c r="B1270" t="str">
        <f>IF(IFERROR(VLOOKUP(TRIM(A1270),Inventory!E:E,1,0),0)=0,"X","_")</f>
        <v>_</v>
      </c>
      <c r="C1270" t="str">
        <f>IF(IFERROR(VLOOKUP(TRIM(A1270),'Full Inventory'!F:F,1,0),0)=0,"X","_")</f>
        <v>_</v>
      </c>
      <c r="D1270" t="str">
        <f t="shared" si="57"/>
        <v>X</v>
      </c>
      <c r="E1270" t="str">
        <f ca="1">IFERROR(IF(AND(B1270&amp;C1270&amp;D1270="___",INDIRECT("Inventory!A"&amp;MATCH(VLOOKUP(A1270,Inventory!E:E,1,0),Inventory!E:E,0))&lt;&gt;INDIRECT("'Full Inventory'!B"&amp;MATCH(VLOOKUP(A1270,'Full Inventory'!F:F,1,0),'Full Inventory'!F:F,0))),"X","_"),"_")</f>
        <v>_</v>
      </c>
      <c r="K1270" t="str">
        <f t="shared" ca="1" si="58"/>
        <v>__X_</v>
      </c>
      <c r="L1270" t="str">
        <f t="shared" ca="1" si="59"/>
        <v/>
      </c>
      <c r="M1270" t="str">
        <f>IFERROR(INDEX(Inventory!A:A,MATCH(Scan!A1270,Inventory!E:E,0)),"")</f>
        <v/>
      </c>
    </row>
    <row r="1271" spans="2:13" x14ac:dyDescent="0.25">
      <c r="B1271" t="str">
        <f>IF(IFERROR(VLOOKUP(TRIM(A1271),Inventory!E:E,1,0),0)=0,"X","_")</f>
        <v>_</v>
      </c>
      <c r="C1271" t="str">
        <f>IF(IFERROR(VLOOKUP(TRIM(A1271),'Full Inventory'!F:F,1,0),0)=0,"X","_")</f>
        <v>_</v>
      </c>
      <c r="D1271" t="str">
        <f t="shared" si="57"/>
        <v>X</v>
      </c>
      <c r="E1271" t="str">
        <f ca="1">IFERROR(IF(AND(B1271&amp;C1271&amp;D1271="___",INDIRECT("Inventory!A"&amp;MATCH(VLOOKUP(A1271,Inventory!E:E,1,0),Inventory!E:E,0))&lt;&gt;INDIRECT("'Full Inventory'!B"&amp;MATCH(VLOOKUP(A1271,'Full Inventory'!F:F,1,0),'Full Inventory'!F:F,0))),"X","_"),"_")</f>
        <v>_</v>
      </c>
      <c r="K1271" t="str">
        <f t="shared" ca="1" si="58"/>
        <v>__X_</v>
      </c>
      <c r="L1271" t="str">
        <f t="shared" ca="1" si="59"/>
        <v/>
      </c>
      <c r="M1271" t="str">
        <f>IFERROR(INDEX(Inventory!A:A,MATCH(Scan!A1271,Inventory!E:E,0)),"")</f>
        <v/>
      </c>
    </row>
    <row r="1272" spans="2:13" x14ac:dyDescent="0.25">
      <c r="B1272" t="str">
        <f>IF(IFERROR(VLOOKUP(TRIM(A1272),Inventory!E:E,1,0),0)=0,"X","_")</f>
        <v>_</v>
      </c>
      <c r="C1272" t="str">
        <f>IF(IFERROR(VLOOKUP(TRIM(A1272),'Full Inventory'!F:F,1,0),0)=0,"X","_")</f>
        <v>_</v>
      </c>
      <c r="D1272" t="str">
        <f t="shared" si="57"/>
        <v>X</v>
      </c>
      <c r="E1272" t="str">
        <f ca="1">IFERROR(IF(AND(B1272&amp;C1272&amp;D1272="___",INDIRECT("Inventory!A"&amp;MATCH(VLOOKUP(A1272,Inventory!E:E,1,0),Inventory!E:E,0))&lt;&gt;INDIRECT("'Full Inventory'!B"&amp;MATCH(VLOOKUP(A1272,'Full Inventory'!F:F,1,0),'Full Inventory'!F:F,0))),"X","_"),"_")</f>
        <v>_</v>
      </c>
      <c r="K1272" t="str">
        <f t="shared" ca="1" si="58"/>
        <v>__X_</v>
      </c>
      <c r="L1272" t="str">
        <f t="shared" ca="1" si="59"/>
        <v/>
      </c>
      <c r="M1272" t="str">
        <f>IFERROR(INDEX(Inventory!A:A,MATCH(Scan!A1272,Inventory!E:E,0)),"")</f>
        <v/>
      </c>
    </row>
    <row r="1273" spans="2:13" x14ac:dyDescent="0.25">
      <c r="B1273" t="str">
        <f>IF(IFERROR(VLOOKUP(TRIM(A1273),Inventory!E:E,1,0),0)=0,"X","_")</f>
        <v>_</v>
      </c>
      <c r="C1273" t="str">
        <f>IF(IFERROR(VLOOKUP(TRIM(A1273),'Full Inventory'!F:F,1,0),0)=0,"X","_")</f>
        <v>_</v>
      </c>
      <c r="D1273" t="str">
        <f t="shared" si="57"/>
        <v>X</v>
      </c>
      <c r="E1273" t="str">
        <f ca="1">IFERROR(IF(AND(B1273&amp;C1273&amp;D1273="___",INDIRECT("Inventory!A"&amp;MATCH(VLOOKUP(A1273,Inventory!E:E,1,0),Inventory!E:E,0))&lt;&gt;INDIRECT("'Full Inventory'!B"&amp;MATCH(VLOOKUP(A1273,'Full Inventory'!F:F,1,0),'Full Inventory'!F:F,0))),"X","_"),"_")</f>
        <v>_</v>
      </c>
      <c r="K1273" t="str">
        <f t="shared" ca="1" si="58"/>
        <v>__X_</v>
      </c>
      <c r="L1273" t="str">
        <f t="shared" ca="1" si="59"/>
        <v/>
      </c>
      <c r="M1273" t="str">
        <f>IFERROR(INDEX(Inventory!A:A,MATCH(Scan!A1273,Inventory!E:E,0)),"")</f>
        <v/>
      </c>
    </row>
    <row r="1274" spans="2:13" x14ac:dyDescent="0.25">
      <c r="B1274" t="str">
        <f>IF(IFERROR(VLOOKUP(TRIM(A1274),Inventory!E:E,1,0),0)=0,"X","_")</f>
        <v>_</v>
      </c>
      <c r="C1274" t="str">
        <f>IF(IFERROR(VLOOKUP(TRIM(A1274),'Full Inventory'!F:F,1,0),0)=0,"X","_")</f>
        <v>_</v>
      </c>
      <c r="D1274" t="str">
        <f t="shared" si="57"/>
        <v>X</v>
      </c>
      <c r="E1274" t="str">
        <f ca="1">IFERROR(IF(AND(B1274&amp;C1274&amp;D1274="___",INDIRECT("Inventory!A"&amp;MATCH(VLOOKUP(A1274,Inventory!E:E,1,0),Inventory!E:E,0))&lt;&gt;INDIRECT("'Full Inventory'!B"&amp;MATCH(VLOOKUP(A1274,'Full Inventory'!F:F,1,0),'Full Inventory'!F:F,0))),"X","_"),"_")</f>
        <v>_</v>
      </c>
      <c r="K1274" t="str">
        <f t="shared" ca="1" si="58"/>
        <v>__X_</v>
      </c>
      <c r="L1274" t="str">
        <f t="shared" ca="1" si="59"/>
        <v/>
      </c>
      <c r="M1274" t="str">
        <f>IFERROR(INDEX(Inventory!A:A,MATCH(Scan!A1274,Inventory!E:E,0)),"")</f>
        <v/>
      </c>
    </row>
    <row r="1275" spans="2:13" x14ac:dyDescent="0.25">
      <c r="B1275" t="str">
        <f>IF(IFERROR(VLOOKUP(TRIM(A1275),Inventory!E:E,1,0),0)=0,"X","_")</f>
        <v>_</v>
      </c>
      <c r="C1275" t="str">
        <f>IF(IFERROR(VLOOKUP(TRIM(A1275),'Full Inventory'!F:F,1,0),0)=0,"X","_")</f>
        <v>_</v>
      </c>
      <c r="D1275" t="str">
        <f t="shared" si="57"/>
        <v>X</v>
      </c>
      <c r="E1275" t="str">
        <f ca="1">IFERROR(IF(AND(B1275&amp;C1275&amp;D1275="___",INDIRECT("Inventory!A"&amp;MATCH(VLOOKUP(A1275,Inventory!E:E,1,0),Inventory!E:E,0))&lt;&gt;INDIRECT("'Full Inventory'!B"&amp;MATCH(VLOOKUP(A1275,'Full Inventory'!F:F,1,0),'Full Inventory'!F:F,0))),"X","_"),"_")</f>
        <v>_</v>
      </c>
      <c r="K1275" t="str">
        <f t="shared" ca="1" si="58"/>
        <v>__X_</v>
      </c>
      <c r="L1275" t="str">
        <f t="shared" ca="1" si="59"/>
        <v/>
      </c>
      <c r="M1275" t="str">
        <f>IFERROR(INDEX(Inventory!A:A,MATCH(Scan!A1275,Inventory!E:E,0)),"")</f>
        <v/>
      </c>
    </row>
    <row r="1276" spans="2:13" x14ac:dyDescent="0.25">
      <c r="B1276" t="str">
        <f>IF(IFERROR(VLOOKUP(TRIM(A1276),Inventory!E:E,1,0),0)=0,"X","_")</f>
        <v>_</v>
      </c>
      <c r="C1276" t="str">
        <f>IF(IFERROR(VLOOKUP(TRIM(A1276),'Full Inventory'!F:F,1,0),0)=0,"X","_")</f>
        <v>_</v>
      </c>
      <c r="D1276" t="str">
        <f t="shared" si="57"/>
        <v>X</v>
      </c>
      <c r="E1276" t="str">
        <f ca="1">IFERROR(IF(AND(B1276&amp;C1276&amp;D1276="___",INDIRECT("Inventory!A"&amp;MATCH(VLOOKUP(A1276,Inventory!E:E,1,0),Inventory!E:E,0))&lt;&gt;INDIRECT("'Full Inventory'!B"&amp;MATCH(VLOOKUP(A1276,'Full Inventory'!F:F,1,0),'Full Inventory'!F:F,0))),"X","_"),"_")</f>
        <v>_</v>
      </c>
      <c r="K1276" t="str">
        <f t="shared" ca="1" si="58"/>
        <v>__X_</v>
      </c>
      <c r="L1276" t="str">
        <f t="shared" ca="1" si="59"/>
        <v/>
      </c>
      <c r="M1276" t="str">
        <f>IFERROR(INDEX(Inventory!A:A,MATCH(Scan!A1276,Inventory!E:E,0)),"")</f>
        <v/>
      </c>
    </row>
    <row r="1277" spans="2:13" x14ac:dyDescent="0.25">
      <c r="B1277" t="str">
        <f>IF(IFERROR(VLOOKUP(TRIM(A1277),Inventory!E:E,1,0),0)=0,"X","_")</f>
        <v>_</v>
      </c>
      <c r="C1277" t="str">
        <f>IF(IFERROR(VLOOKUP(TRIM(A1277),'Full Inventory'!F:F,1,0),0)=0,"X","_")</f>
        <v>_</v>
      </c>
      <c r="D1277" t="str">
        <f t="shared" si="57"/>
        <v>X</v>
      </c>
      <c r="E1277" t="str">
        <f ca="1">IFERROR(IF(AND(B1277&amp;C1277&amp;D1277="___",INDIRECT("Inventory!A"&amp;MATCH(VLOOKUP(A1277,Inventory!E:E,1,0),Inventory!E:E,0))&lt;&gt;INDIRECT("'Full Inventory'!B"&amp;MATCH(VLOOKUP(A1277,'Full Inventory'!F:F,1,0),'Full Inventory'!F:F,0))),"X","_"),"_")</f>
        <v>_</v>
      </c>
      <c r="K1277" t="str">
        <f t="shared" ca="1" si="58"/>
        <v>__X_</v>
      </c>
      <c r="L1277" t="str">
        <f t="shared" ca="1" si="59"/>
        <v/>
      </c>
      <c r="M1277" t="str">
        <f>IFERROR(INDEX(Inventory!A:A,MATCH(Scan!A1277,Inventory!E:E,0)),"")</f>
        <v/>
      </c>
    </row>
    <row r="1278" spans="2:13" x14ac:dyDescent="0.25">
      <c r="B1278" t="str">
        <f>IF(IFERROR(VLOOKUP(TRIM(A1278),Inventory!E:E,1,0),0)=0,"X","_")</f>
        <v>_</v>
      </c>
      <c r="C1278" t="str">
        <f>IF(IFERROR(VLOOKUP(TRIM(A1278),'Full Inventory'!F:F,1,0),0)=0,"X","_")</f>
        <v>_</v>
      </c>
      <c r="D1278" t="str">
        <f t="shared" si="57"/>
        <v>X</v>
      </c>
      <c r="E1278" t="str">
        <f ca="1">IFERROR(IF(AND(B1278&amp;C1278&amp;D1278="___",INDIRECT("Inventory!A"&amp;MATCH(VLOOKUP(A1278,Inventory!E:E,1,0),Inventory!E:E,0))&lt;&gt;INDIRECT("'Full Inventory'!B"&amp;MATCH(VLOOKUP(A1278,'Full Inventory'!F:F,1,0),'Full Inventory'!F:F,0))),"X","_"),"_")</f>
        <v>_</v>
      </c>
      <c r="K1278" t="str">
        <f t="shared" ca="1" si="58"/>
        <v>__X_</v>
      </c>
      <c r="L1278" t="str">
        <f t="shared" ca="1" si="59"/>
        <v/>
      </c>
      <c r="M1278" t="str">
        <f>IFERROR(INDEX(Inventory!A:A,MATCH(Scan!A1278,Inventory!E:E,0)),"")</f>
        <v/>
      </c>
    </row>
    <row r="1279" spans="2:13" x14ac:dyDescent="0.25">
      <c r="B1279" t="str">
        <f>IF(IFERROR(VLOOKUP(TRIM(A1279),Inventory!E:E,1,0),0)=0,"X","_")</f>
        <v>_</v>
      </c>
      <c r="C1279" t="str">
        <f>IF(IFERROR(VLOOKUP(TRIM(A1279),'Full Inventory'!F:F,1,0),0)=0,"X","_")</f>
        <v>_</v>
      </c>
      <c r="D1279" t="str">
        <f t="shared" si="57"/>
        <v>X</v>
      </c>
      <c r="E1279" t="str">
        <f ca="1">IFERROR(IF(AND(B1279&amp;C1279&amp;D1279="___",INDIRECT("Inventory!A"&amp;MATCH(VLOOKUP(A1279,Inventory!E:E,1,0),Inventory!E:E,0))&lt;&gt;INDIRECT("'Full Inventory'!B"&amp;MATCH(VLOOKUP(A1279,'Full Inventory'!F:F,1,0),'Full Inventory'!F:F,0))),"X","_"),"_")</f>
        <v>_</v>
      </c>
      <c r="K1279" t="str">
        <f t="shared" ca="1" si="58"/>
        <v>__X_</v>
      </c>
      <c r="L1279" t="str">
        <f t="shared" ca="1" si="59"/>
        <v/>
      </c>
      <c r="M1279" t="str">
        <f>IFERROR(INDEX(Inventory!A:A,MATCH(Scan!A1279,Inventory!E:E,0)),"")</f>
        <v/>
      </c>
    </row>
    <row r="1280" spans="2:13" x14ac:dyDescent="0.25">
      <c r="B1280" t="str">
        <f>IF(IFERROR(VLOOKUP(TRIM(A1280),Inventory!E:E,1,0),0)=0,"X","_")</f>
        <v>_</v>
      </c>
      <c r="C1280" t="str">
        <f>IF(IFERROR(VLOOKUP(TRIM(A1280),'Full Inventory'!F:F,1,0),0)=0,"X","_")</f>
        <v>_</v>
      </c>
      <c r="D1280" t="str">
        <f t="shared" si="57"/>
        <v>X</v>
      </c>
      <c r="E1280" t="str">
        <f ca="1">IFERROR(IF(AND(B1280&amp;C1280&amp;D1280="___",INDIRECT("Inventory!A"&amp;MATCH(VLOOKUP(A1280,Inventory!E:E,1,0),Inventory!E:E,0))&lt;&gt;INDIRECT("'Full Inventory'!B"&amp;MATCH(VLOOKUP(A1280,'Full Inventory'!F:F,1,0),'Full Inventory'!F:F,0))),"X","_"),"_")</f>
        <v>_</v>
      </c>
      <c r="K1280" t="str">
        <f t="shared" ca="1" si="58"/>
        <v>__X_</v>
      </c>
      <c r="L1280" t="str">
        <f t="shared" ca="1" si="59"/>
        <v/>
      </c>
      <c r="M1280" t="str">
        <f>IFERROR(INDEX(Inventory!A:A,MATCH(Scan!A1280,Inventory!E:E,0)),"")</f>
        <v/>
      </c>
    </row>
    <row r="1281" spans="2:13" x14ac:dyDescent="0.25">
      <c r="B1281" t="str">
        <f>IF(IFERROR(VLOOKUP(TRIM(A1281),Inventory!E:E,1,0),0)=0,"X","_")</f>
        <v>_</v>
      </c>
      <c r="C1281" t="str">
        <f>IF(IFERROR(VLOOKUP(TRIM(A1281),'Full Inventory'!F:F,1,0),0)=0,"X","_")</f>
        <v>_</v>
      </c>
      <c r="D1281" t="str">
        <f t="shared" si="57"/>
        <v>X</v>
      </c>
      <c r="E1281" t="str">
        <f ca="1">IFERROR(IF(AND(B1281&amp;C1281&amp;D1281="___",INDIRECT("Inventory!A"&amp;MATCH(VLOOKUP(A1281,Inventory!E:E,1,0),Inventory!E:E,0))&lt;&gt;INDIRECT("'Full Inventory'!B"&amp;MATCH(VLOOKUP(A1281,'Full Inventory'!F:F,1,0),'Full Inventory'!F:F,0))),"X","_"),"_")</f>
        <v>_</v>
      </c>
      <c r="K1281" t="str">
        <f t="shared" ca="1" si="58"/>
        <v>__X_</v>
      </c>
      <c r="L1281" t="str">
        <f t="shared" ca="1" si="59"/>
        <v/>
      </c>
      <c r="M1281" t="str">
        <f>IFERROR(INDEX(Inventory!A:A,MATCH(Scan!A1281,Inventory!E:E,0)),"")</f>
        <v/>
      </c>
    </row>
    <row r="1282" spans="2:13" x14ac:dyDescent="0.25">
      <c r="B1282" t="str">
        <f>IF(IFERROR(VLOOKUP(TRIM(A1282),Inventory!E:E,1,0),0)=0,"X","_")</f>
        <v>_</v>
      </c>
      <c r="C1282" t="str">
        <f>IF(IFERROR(VLOOKUP(TRIM(A1282),'Full Inventory'!F:F,1,0),0)=0,"X","_")</f>
        <v>_</v>
      </c>
      <c r="D1282" t="str">
        <f t="shared" ref="D1282:D1345" si="60">IF(TRIM(A1282)&lt;&gt;"","_","X")</f>
        <v>X</v>
      </c>
      <c r="E1282" t="str">
        <f ca="1">IFERROR(IF(AND(B1282&amp;C1282&amp;D1282="___",INDIRECT("Inventory!A"&amp;MATCH(VLOOKUP(A1282,Inventory!E:E,1,0),Inventory!E:E,0))&lt;&gt;INDIRECT("'Full Inventory'!B"&amp;MATCH(VLOOKUP(A1282,'Full Inventory'!F:F,1,0),'Full Inventory'!F:F,0))),"X","_"),"_")</f>
        <v>_</v>
      </c>
      <c r="K1282" t="str">
        <f t="shared" ca="1" si="58"/>
        <v>__X_</v>
      </c>
      <c r="L1282" t="str">
        <f t="shared" ca="1" si="59"/>
        <v/>
      </c>
      <c r="M1282" t="str">
        <f>IFERROR(INDEX(Inventory!A:A,MATCH(Scan!A1282,Inventory!E:E,0)),"")</f>
        <v/>
      </c>
    </row>
    <row r="1283" spans="2:13" x14ac:dyDescent="0.25">
      <c r="B1283" t="str">
        <f>IF(IFERROR(VLOOKUP(TRIM(A1283),Inventory!E:E,1,0),0)=0,"X","_")</f>
        <v>_</v>
      </c>
      <c r="C1283" t="str">
        <f>IF(IFERROR(VLOOKUP(TRIM(A1283),'Full Inventory'!F:F,1,0),0)=0,"X","_")</f>
        <v>_</v>
      </c>
      <c r="D1283" t="str">
        <f t="shared" si="60"/>
        <v>X</v>
      </c>
      <c r="E1283" t="str">
        <f ca="1">IFERROR(IF(AND(B1283&amp;C1283&amp;D1283="___",INDIRECT("Inventory!A"&amp;MATCH(VLOOKUP(A1283,Inventory!E:E,1,0),Inventory!E:E,0))&lt;&gt;INDIRECT("'Full Inventory'!B"&amp;MATCH(VLOOKUP(A1283,'Full Inventory'!F:F,1,0),'Full Inventory'!F:F,0))),"X","_"),"_")</f>
        <v>_</v>
      </c>
      <c r="K1283" t="str">
        <f t="shared" ref="K1283:K1346" ca="1" si="61">B1283&amp;C1283&amp;D1283&amp;E1283</f>
        <v>__X_</v>
      </c>
      <c r="L1283" t="str">
        <f t="shared" ref="L1283:L1346" ca="1" si="62">IF(K1283="____","OK",IF(K1283="_X__","NOT IN FULL INVENTORY",IF(K1283="XX__","NOT IN FULL INVENTORY AND INVENTORY",IF(K1283="X___","NOT IN INVENTORY",IF(K1283="___X","DIFFERENT NAMES IN FULL INVENTORY AND INVENTORY","")))))</f>
        <v/>
      </c>
      <c r="M1283" t="str">
        <f>IFERROR(INDEX(Inventory!A:A,MATCH(Scan!A1283,Inventory!E:E,0)),"")</f>
        <v/>
      </c>
    </row>
    <row r="1284" spans="2:13" x14ac:dyDescent="0.25">
      <c r="B1284" t="str">
        <f>IF(IFERROR(VLOOKUP(TRIM(A1284),Inventory!E:E,1,0),0)=0,"X","_")</f>
        <v>_</v>
      </c>
      <c r="C1284" t="str">
        <f>IF(IFERROR(VLOOKUP(TRIM(A1284),'Full Inventory'!F:F,1,0),0)=0,"X","_")</f>
        <v>_</v>
      </c>
      <c r="D1284" t="str">
        <f t="shared" si="60"/>
        <v>X</v>
      </c>
      <c r="E1284" t="str">
        <f ca="1">IFERROR(IF(AND(B1284&amp;C1284&amp;D1284="___",INDIRECT("Inventory!A"&amp;MATCH(VLOOKUP(A1284,Inventory!E:E,1,0),Inventory!E:E,0))&lt;&gt;INDIRECT("'Full Inventory'!B"&amp;MATCH(VLOOKUP(A1284,'Full Inventory'!F:F,1,0),'Full Inventory'!F:F,0))),"X","_"),"_")</f>
        <v>_</v>
      </c>
      <c r="K1284" t="str">
        <f t="shared" ca="1" si="61"/>
        <v>__X_</v>
      </c>
      <c r="L1284" t="str">
        <f t="shared" ca="1" si="62"/>
        <v/>
      </c>
      <c r="M1284" t="str">
        <f>IFERROR(INDEX(Inventory!A:A,MATCH(Scan!A1284,Inventory!E:E,0)),"")</f>
        <v/>
      </c>
    </row>
    <row r="1285" spans="2:13" x14ac:dyDescent="0.25">
      <c r="B1285" t="str">
        <f>IF(IFERROR(VLOOKUP(TRIM(A1285),Inventory!E:E,1,0),0)=0,"X","_")</f>
        <v>_</v>
      </c>
      <c r="C1285" t="str">
        <f>IF(IFERROR(VLOOKUP(TRIM(A1285),'Full Inventory'!F:F,1,0),0)=0,"X","_")</f>
        <v>_</v>
      </c>
      <c r="D1285" t="str">
        <f t="shared" si="60"/>
        <v>X</v>
      </c>
      <c r="E1285" t="str">
        <f ca="1">IFERROR(IF(AND(B1285&amp;C1285&amp;D1285="___",INDIRECT("Inventory!A"&amp;MATCH(VLOOKUP(A1285,Inventory!E:E,1,0),Inventory!E:E,0))&lt;&gt;INDIRECT("'Full Inventory'!B"&amp;MATCH(VLOOKUP(A1285,'Full Inventory'!F:F,1,0),'Full Inventory'!F:F,0))),"X","_"),"_")</f>
        <v>_</v>
      </c>
      <c r="K1285" t="str">
        <f t="shared" ca="1" si="61"/>
        <v>__X_</v>
      </c>
      <c r="L1285" t="str">
        <f t="shared" ca="1" si="62"/>
        <v/>
      </c>
      <c r="M1285" t="str">
        <f>IFERROR(INDEX(Inventory!A:A,MATCH(Scan!A1285,Inventory!E:E,0)),"")</f>
        <v/>
      </c>
    </row>
    <row r="1286" spans="2:13" x14ac:dyDescent="0.25">
      <c r="B1286" t="str">
        <f>IF(IFERROR(VLOOKUP(TRIM(A1286),Inventory!E:E,1,0),0)=0,"X","_")</f>
        <v>_</v>
      </c>
      <c r="C1286" t="str">
        <f>IF(IFERROR(VLOOKUP(TRIM(A1286),'Full Inventory'!F:F,1,0),0)=0,"X","_")</f>
        <v>_</v>
      </c>
      <c r="D1286" t="str">
        <f t="shared" si="60"/>
        <v>X</v>
      </c>
      <c r="E1286" t="str">
        <f ca="1">IFERROR(IF(AND(B1286&amp;C1286&amp;D1286="___",INDIRECT("Inventory!A"&amp;MATCH(VLOOKUP(A1286,Inventory!E:E,1,0),Inventory!E:E,0))&lt;&gt;INDIRECT("'Full Inventory'!B"&amp;MATCH(VLOOKUP(A1286,'Full Inventory'!F:F,1,0),'Full Inventory'!F:F,0))),"X","_"),"_")</f>
        <v>_</v>
      </c>
      <c r="K1286" t="str">
        <f t="shared" ca="1" si="61"/>
        <v>__X_</v>
      </c>
      <c r="L1286" t="str">
        <f t="shared" ca="1" si="62"/>
        <v/>
      </c>
      <c r="M1286" t="str">
        <f>IFERROR(INDEX(Inventory!A:A,MATCH(Scan!A1286,Inventory!E:E,0)),"")</f>
        <v/>
      </c>
    </row>
    <row r="1287" spans="2:13" x14ac:dyDescent="0.25">
      <c r="B1287" t="str">
        <f>IF(IFERROR(VLOOKUP(TRIM(A1287),Inventory!E:E,1,0),0)=0,"X","_")</f>
        <v>_</v>
      </c>
      <c r="C1287" t="str">
        <f>IF(IFERROR(VLOOKUP(TRIM(A1287),'Full Inventory'!F:F,1,0),0)=0,"X","_")</f>
        <v>_</v>
      </c>
      <c r="D1287" t="str">
        <f t="shared" si="60"/>
        <v>X</v>
      </c>
      <c r="E1287" t="str">
        <f ca="1">IFERROR(IF(AND(B1287&amp;C1287&amp;D1287="___",INDIRECT("Inventory!A"&amp;MATCH(VLOOKUP(A1287,Inventory!E:E,1,0),Inventory!E:E,0))&lt;&gt;INDIRECT("'Full Inventory'!B"&amp;MATCH(VLOOKUP(A1287,'Full Inventory'!F:F,1,0),'Full Inventory'!F:F,0))),"X","_"),"_")</f>
        <v>_</v>
      </c>
      <c r="K1287" t="str">
        <f t="shared" ca="1" si="61"/>
        <v>__X_</v>
      </c>
      <c r="L1287" t="str">
        <f t="shared" ca="1" si="62"/>
        <v/>
      </c>
      <c r="M1287" t="str">
        <f>IFERROR(INDEX(Inventory!A:A,MATCH(Scan!A1287,Inventory!E:E,0)),"")</f>
        <v/>
      </c>
    </row>
    <row r="1288" spans="2:13" x14ac:dyDescent="0.25">
      <c r="B1288" t="str">
        <f>IF(IFERROR(VLOOKUP(TRIM(A1288),Inventory!E:E,1,0),0)=0,"X","_")</f>
        <v>_</v>
      </c>
      <c r="C1288" t="str">
        <f>IF(IFERROR(VLOOKUP(TRIM(A1288),'Full Inventory'!F:F,1,0),0)=0,"X","_")</f>
        <v>_</v>
      </c>
      <c r="D1288" t="str">
        <f t="shared" si="60"/>
        <v>X</v>
      </c>
      <c r="E1288" t="str">
        <f ca="1">IFERROR(IF(AND(B1288&amp;C1288&amp;D1288="___",INDIRECT("Inventory!A"&amp;MATCH(VLOOKUP(A1288,Inventory!E:E,1,0),Inventory!E:E,0))&lt;&gt;INDIRECT("'Full Inventory'!B"&amp;MATCH(VLOOKUP(A1288,'Full Inventory'!F:F,1,0),'Full Inventory'!F:F,0))),"X","_"),"_")</f>
        <v>_</v>
      </c>
      <c r="K1288" t="str">
        <f t="shared" ca="1" si="61"/>
        <v>__X_</v>
      </c>
      <c r="L1288" t="str">
        <f t="shared" ca="1" si="62"/>
        <v/>
      </c>
      <c r="M1288" t="str">
        <f>IFERROR(INDEX(Inventory!A:A,MATCH(Scan!A1288,Inventory!E:E,0)),"")</f>
        <v/>
      </c>
    </row>
    <row r="1289" spans="2:13" x14ac:dyDescent="0.25">
      <c r="B1289" t="str">
        <f>IF(IFERROR(VLOOKUP(TRIM(A1289),Inventory!E:E,1,0),0)=0,"X","_")</f>
        <v>_</v>
      </c>
      <c r="C1289" t="str">
        <f>IF(IFERROR(VLOOKUP(TRIM(A1289),'Full Inventory'!F:F,1,0),0)=0,"X","_")</f>
        <v>_</v>
      </c>
      <c r="D1289" t="str">
        <f t="shared" si="60"/>
        <v>X</v>
      </c>
      <c r="E1289" t="str">
        <f ca="1">IFERROR(IF(AND(B1289&amp;C1289&amp;D1289="___",INDIRECT("Inventory!A"&amp;MATCH(VLOOKUP(A1289,Inventory!E:E,1,0),Inventory!E:E,0))&lt;&gt;INDIRECT("'Full Inventory'!B"&amp;MATCH(VLOOKUP(A1289,'Full Inventory'!F:F,1,0),'Full Inventory'!F:F,0))),"X","_"),"_")</f>
        <v>_</v>
      </c>
      <c r="K1289" t="str">
        <f t="shared" ca="1" si="61"/>
        <v>__X_</v>
      </c>
      <c r="L1289" t="str">
        <f t="shared" ca="1" si="62"/>
        <v/>
      </c>
      <c r="M1289" t="str">
        <f>IFERROR(INDEX(Inventory!A:A,MATCH(Scan!A1289,Inventory!E:E,0)),"")</f>
        <v/>
      </c>
    </row>
    <row r="1290" spans="2:13" x14ac:dyDescent="0.25">
      <c r="B1290" t="str">
        <f>IF(IFERROR(VLOOKUP(TRIM(A1290),Inventory!E:E,1,0),0)=0,"X","_")</f>
        <v>_</v>
      </c>
      <c r="C1290" t="str">
        <f>IF(IFERROR(VLOOKUP(TRIM(A1290),'Full Inventory'!F:F,1,0),0)=0,"X","_")</f>
        <v>_</v>
      </c>
      <c r="D1290" t="str">
        <f t="shared" si="60"/>
        <v>X</v>
      </c>
      <c r="E1290" t="str">
        <f ca="1">IFERROR(IF(AND(B1290&amp;C1290&amp;D1290="___",INDIRECT("Inventory!A"&amp;MATCH(VLOOKUP(A1290,Inventory!E:E,1,0),Inventory!E:E,0))&lt;&gt;INDIRECT("'Full Inventory'!B"&amp;MATCH(VLOOKUP(A1290,'Full Inventory'!F:F,1,0),'Full Inventory'!F:F,0))),"X","_"),"_")</f>
        <v>_</v>
      </c>
      <c r="K1290" t="str">
        <f t="shared" ca="1" si="61"/>
        <v>__X_</v>
      </c>
      <c r="L1290" t="str">
        <f t="shared" ca="1" si="62"/>
        <v/>
      </c>
      <c r="M1290" t="str">
        <f>IFERROR(INDEX(Inventory!A:A,MATCH(Scan!A1290,Inventory!E:E,0)),"")</f>
        <v/>
      </c>
    </row>
    <row r="1291" spans="2:13" x14ac:dyDescent="0.25">
      <c r="B1291" t="str">
        <f>IF(IFERROR(VLOOKUP(TRIM(A1291),Inventory!E:E,1,0),0)=0,"X","_")</f>
        <v>_</v>
      </c>
      <c r="C1291" t="str">
        <f>IF(IFERROR(VLOOKUP(TRIM(A1291),'Full Inventory'!F:F,1,0),0)=0,"X","_")</f>
        <v>_</v>
      </c>
      <c r="D1291" t="str">
        <f t="shared" si="60"/>
        <v>X</v>
      </c>
      <c r="E1291" t="str">
        <f ca="1">IFERROR(IF(AND(B1291&amp;C1291&amp;D1291="___",INDIRECT("Inventory!A"&amp;MATCH(VLOOKUP(A1291,Inventory!E:E,1,0),Inventory!E:E,0))&lt;&gt;INDIRECT("'Full Inventory'!B"&amp;MATCH(VLOOKUP(A1291,'Full Inventory'!F:F,1,0),'Full Inventory'!F:F,0))),"X","_"),"_")</f>
        <v>_</v>
      </c>
      <c r="K1291" t="str">
        <f t="shared" ca="1" si="61"/>
        <v>__X_</v>
      </c>
      <c r="L1291" t="str">
        <f t="shared" ca="1" si="62"/>
        <v/>
      </c>
      <c r="M1291" t="str">
        <f>IFERROR(INDEX(Inventory!A:A,MATCH(Scan!A1291,Inventory!E:E,0)),"")</f>
        <v/>
      </c>
    </row>
    <row r="1292" spans="2:13" x14ac:dyDescent="0.25">
      <c r="B1292" t="str">
        <f>IF(IFERROR(VLOOKUP(TRIM(A1292),Inventory!E:E,1,0),0)=0,"X","_")</f>
        <v>_</v>
      </c>
      <c r="C1292" t="str">
        <f>IF(IFERROR(VLOOKUP(TRIM(A1292),'Full Inventory'!F:F,1,0),0)=0,"X","_")</f>
        <v>_</v>
      </c>
      <c r="D1292" t="str">
        <f t="shared" si="60"/>
        <v>X</v>
      </c>
      <c r="E1292" t="str">
        <f ca="1">IFERROR(IF(AND(B1292&amp;C1292&amp;D1292="___",INDIRECT("Inventory!A"&amp;MATCH(VLOOKUP(A1292,Inventory!E:E,1,0),Inventory!E:E,0))&lt;&gt;INDIRECT("'Full Inventory'!B"&amp;MATCH(VLOOKUP(A1292,'Full Inventory'!F:F,1,0),'Full Inventory'!F:F,0))),"X","_"),"_")</f>
        <v>_</v>
      </c>
      <c r="K1292" t="str">
        <f t="shared" ca="1" si="61"/>
        <v>__X_</v>
      </c>
      <c r="L1292" t="str">
        <f t="shared" ca="1" si="62"/>
        <v/>
      </c>
      <c r="M1292" t="str">
        <f>IFERROR(INDEX(Inventory!A:A,MATCH(Scan!A1292,Inventory!E:E,0)),"")</f>
        <v/>
      </c>
    </row>
    <row r="1293" spans="2:13" x14ac:dyDescent="0.25">
      <c r="B1293" t="str">
        <f>IF(IFERROR(VLOOKUP(TRIM(A1293),Inventory!E:E,1,0),0)=0,"X","_")</f>
        <v>_</v>
      </c>
      <c r="C1293" t="str">
        <f>IF(IFERROR(VLOOKUP(TRIM(A1293),'Full Inventory'!F:F,1,0),0)=0,"X","_")</f>
        <v>_</v>
      </c>
      <c r="D1293" t="str">
        <f t="shared" si="60"/>
        <v>X</v>
      </c>
      <c r="E1293" t="str">
        <f ca="1">IFERROR(IF(AND(B1293&amp;C1293&amp;D1293="___",INDIRECT("Inventory!A"&amp;MATCH(VLOOKUP(A1293,Inventory!E:E,1,0),Inventory!E:E,0))&lt;&gt;INDIRECT("'Full Inventory'!B"&amp;MATCH(VLOOKUP(A1293,'Full Inventory'!F:F,1,0),'Full Inventory'!F:F,0))),"X","_"),"_")</f>
        <v>_</v>
      </c>
      <c r="K1293" t="str">
        <f t="shared" ca="1" si="61"/>
        <v>__X_</v>
      </c>
      <c r="L1293" t="str">
        <f t="shared" ca="1" si="62"/>
        <v/>
      </c>
      <c r="M1293" t="str">
        <f>IFERROR(INDEX(Inventory!A:A,MATCH(Scan!A1293,Inventory!E:E,0)),"")</f>
        <v/>
      </c>
    </row>
    <row r="1294" spans="2:13" x14ac:dyDescent="0.25">
      <c r="B1294" t="str">
        <f>IF(IFERROR(VLOOKUP(TRIM(A1294),Inventory!E:E,1,0),0)=0,"X","_")</f>
        <v>_</v>
      </c>
      <c r="C1294" t="str">
        <f>IF(IFERROR(VLOOKUP(TRIM(A1294),'Full Inventory'!F:F,1,0),0)=0,"X","_")</f>
        <v>_</v>
      </c>
      <c r="D1294" t="str">
        <f t="shared" si="60"/>
        <v>X</v>
      </c>
      <c r="E1294" t="str">
        <f ca="1">IFERROR(IF(AND(B1294&amp;C1294&amp;D1294="___",INDIRECT("Inventory!A"&amp;MATCH(VLOOKUP(A1294,Inventory!E:E,1,0),Inventory!E:E,0))&lt;&gt;INDIRECT("'Full Inventory'!B"&amp;MATCH(VLOOKUP(A1294,'Full Inventory'!F:F,1,0),'Full Inventory'!F:F,0))),"X","_"),"_")</f>
        <v>_</v>
      </c>
      <c r="K1294" t="str">
        <f t="shared" ca="1" si="61"/>
        <v>__X_</v>
      </c>
      <c r="L1294" t="str">
        <f t="shared" ca="1" si="62"/>
        <v/>
      </c>
      <c r="M1294" t="str">
        <f>IFERROR(INDEX(Inventory!A:A,MATCH(Scan!A1294,Inventory!E:E,0)),"")</f>
        <v/>
      </c>
    </row>
    <row r="1295" spans="2:13" x14ac:dyDescent="0.25">
      <c r="B1295" t="str">
        <f>IF(IFERROR(VLOOKUP(TRIM(A1295),Inventory!E:E,1,0),0)=0,"X","_")</f>
        <v>_</v>
      </c>
      <c r="C1295" t="str">
        <f>IF(IFERROR(VLOOKUP(TRIM(A1295),'Full Inventory'!F:F,1,0),0)=0,"X","_")</f>
        <v>_</v>
      </c>
      <c r="D1295" t="str">
        <f t="shared" si="60"/>
        <v>X</v>
      </c>
      <c r="E1295" t="str">
        <f ca="1">IFERROR(IF(AND(B1295&amp;C1295&amp;D1295="___",INDIRECT("Inventory!A"&amp;MATCH(VLOOKUP(A1295,Inventory!E:E,1,0),Inventory!E:E,0))&lt;&gt;INDIRECT("'Full Inventory'!B"&amp;MATCH(VLOOKUP(A1295,'Full Inventory'!F:F,1,0),'Full Inventory'!F:F,0))),"X","_"),"_")</f>
        <v>_</v>
      </c>
      <c r="K1295" t="str">
        <f t="shared" ca="1" si="61"/>
        <v>__X_</v>
      </c>
      <c r="L1295" t="str">
        <f t="shared" ca="1" si="62"/>
        <v/>
      </c>
      <c r="M1295" t="str">
        <f>IFERROR(INDEX(Inventory!A:A,MATCH(Scan!A1295,Inventory!E:E,0)),"")</f>
        <v/>
      </c>
    </row>
    <row r="1296" spans="2:13" x14ac:dyDescent="0.25">
      <c r="B1296" t="str">
        <f>IF(IFERROR(VLOOKUP(TRIM(A1296),Inventory!E:E,1,0),0)=0,"X","_")</f>
        <v>_</v>
      </c>
      <c r="C1296" t="str">
        <f>IF(IFERROR(VLOOKUP(TRIM(A1296),'Full Inventory'!F:F,1,0),0)=0,"X","_")</f>
        <v>_</v>
      </c>
      <c r="D1296" t="str">
        <f t="shared" si="60"/>
        <v>X</v>
      </c>
      <c r="E1296" t="str">
        <f ca="1">IFERROR(IF(AND(B1296&amp;C1296&amp;D1296="___",INDIRECT("Inventory!A"&amp;MATCH(VLOOKUP(A1296,Inventory!E:E,1,0),Inventory!E:E,0))&lt;&gt;INDIRECT("'Full Inventory'!B"&amp;MATCH(VLOOKUP(A1296,'Full Inventory'!F:F,1,0),'Full Inventory'!F:F,0))),"X","_"),"_")</f>
        <v>_</v>
      </c>
      <c r="K1296" t="str">
        <f t="shared" ca="1" si="61"/>
        <v>__X_</v>
      </c>
      <c r="L1296" t="str">
        <f t="shared" ca="1" si="62"/>
        <v/>
      </c>
      <c r="M1296" t="str">
        <f>IFERROR(INDEX(Inventory!A:A,MATCH(Scan!A1296,Inventory!E:E,0)),"")</f>
        <v/>
      </c>
    </row>
    <row r="1297" spans="2:13" x14ac:dyDescent="0.25">
      <c r="B1297" t="str">
        <f>IF(IFERROR(VLOOKUP(TRIM(A1297),Inventory!E:E,1,0),0)=0,"X","_")</f>
        <v>_</v>
      </c>
      <c r="C1297" t="str">
        <f>IF(IFERROR(VLOOKUP(TRIM(A1297),'Full Inventory'!F:F,1,0),0)=0,"X","_")</f>
        <v>_</v>
      </c>
      <c r="D1297" t="str">
        <f t="shared" si="60"/>
        <v>X</v>
      </c>
      <c r="E1297" t="str">
        <f ca="1">IFERROR(IF(AND(B1297&amp;C1297&amp;D1297="___",INDIRECT("Inventory!A"&amp;MATCH(VLOOKUP(A1297,Inventory!E:E,1,0),Inventory!E:E,0))&lt;&gt;INDIRECT("'Full Inventory'!B"&amp;MATCH(VLOOKUP(A1297,'Full Inventory'!F:F,1,0),'Full Inventory'!F:F,0))),"X","_"),"_")</f>
        <v>_</v>
      </c>
      <c r="K1297" t="str">
        <f t="shared" ca="1" si="61"/>
        <v>__X_</v>
      </c>
      <c r="L1297" t="str">
        <f t="shared" ca="1" si="62"/>
        <v/>
      </c>
      <c r="M1297" t="str">
        <f>IFERROR(INDEX(Inventory!A:A,MATCH(Scan!A1297,Inventory!E:E,0)),"")</f>
        <v/>
      </c>
    </row>
    <row r="1298" spans="2:13" x14ac:dyDescent="0.25">
      <c r="B1298" t="str">
        <f>IF(IFERROR(VLOOKUP(TRIM(A1298),Inventory!E:E,1,0),0)=0,"X","_")</f>
        <v>_</v>
      </c>
      <c r="C1298" t="str">
        <f>IF(IFERROR(VLOOKUP(TRIM(A1298),'Full Inventory'!F:F,1,0),0)=0,"X","_")</f>
        <v>_</v>
      </c>
      <c r="D1298" t="str">
        <f t="shared" si="60"/>
        <v>X</v>
      </c>
      <c r="E1298" t="str">
        <f ca="1">IFERROR(IF(AND(B1298&amp;C1298&amp;D1298="___",INDIRECT("Inventory!A"&amp;MATCH(VLOOKUP(A1298,Inventory!E:E,1,0),Inventory!E:E,0))&lt;&gt;INDIRECT("'Full Inventory'!B"&amp;MATCH(VLOOKUP(A1298,'Full Inventory'!F:F,1,0),'Full Inventory'!F:F,0))),"X","_"),"_")</f>
        <v>_</v>
      </c>
      <c r="K1298" t="str">
        <f t="shared" ca="1" si="61"/>
        <v>__X_</v>
      </c>
      <c r="L1298" t="str">
        <f t="shared" ca="1" si="62"/>
        <v/>
      </c>
      <c r="M1298" t="str">
        <f>IFERROR(INDEX(Inventory!A:A,MATCH(Scan!A1298,Inventory!E:E,0)),"")</f>
        <v/>
      </c>
    </row>
    <row r="1299" spans="2:13" x14ac:dyDescent="0.25">
      <c r="B1299" t="str">
        <f>IF(IFERROR(VLOOKUP(TRIM(A1299),Inventory!E:E,1,0),0)=0,"X","_")</f>
        <v>_</v>
      </c>
      <c r="C1299" t="str">
        <f>IF(IFERROR(VLOOKUP(TRIM(A1299),'Full Inventory'!F:F,1,0),0)=0,"X","_")</f>
        <v>_</v>
      </c>
      <c r="D1299" t="str">
        <f t="shared" si="60"/>
        <v>X</v>
      </c>
      <c r="E1299" t="str">
        <f ca="1">IFERROR(IF(AND(B1299&amp;C1299&amp;D1299="___",INDIRECT("Inventory!A"&amp;MATCH(VLOOKUP(A1299,Inventory!E:E,1,0),Inventory!E:E,0))&lt;&gt;INDIRECT("'Full Inventory'!B"&amp;MATCH(VLOOKUP(A1299,'Full Inventory'!F:F,1,0),'Full Inventory'!F:F,0))),"X","_"),"_")</f>
        <v>_</v>
      </c>
      <c r="K1299" t="str">
        <f t="shared" ca="1" si="61"/>
        <v>__X_</v>
      </c>
      <c r="L1299" t="str">
        <f t="shared" ca="1" si="62"/>
        <v/>
      </c>
      <c r="M1299" t="str">
        <f>IFERROR(INDEX(Inventory!A:A,MATCH(Scan!A1299,Inventory!E:E,0)),"")</f>
        <v/>
      </c>
    </row>
    <row r="1300" spans="2:13" x14ac:dyDescent="0.25">
      <c r="B1300" t="str">
        <f>IF(IFERROR(VLOOKUP(TRIM(A1300),Inventory!E:E,1,0),0)=0,"X","_")</f>
        <v>_</v>
      </c>
      <c r="C1300" t="str">
        <f>IF(IFERROR(VLOOKUP(TRIM(A1300),'Full Inventory'!F:F,1,0),0)=0,"X","_")</f>
        <v>_</v>
      </c>
      <c r="D1300" t="str">
        <f t="shared" si="60"/>
        <v>X</v>
      </c>
      <c r="E1300" t="str">
        <f ca="1">IFERROR(IF(AND(B1300&amp;C1300&amp;D1300="___",INDIRECT("Inventory!A"&amp;MATCH(VLOOKUP(A1300,Inventory!E:E,1,0),Inventory!E:E,0))&lt;&gt;INDIRECT("'Full Inventory'!B"&amp;MATCH(VLOOKUP(A1300,'Full Inventory'!F:F,1,0),'Full Inventory'!F:F,0))),"X","_"),"_")</f>
        <v>_</v>
      </c>
      <c r="K1300" t="str">
        <f t="shared" ca="1" si="61"/>
        <v>__X_</v>
      </c>
      <c r="L1300" t="str">
        <f t="shared" ca="1" si="62"/>
        <v/>
      </c>
      <c r="M1300" t="str">
        <f>IFERROR(INDEX(Inventory!A:A,MATCH(Scan!A1300,Inventory!E:E,0)),"")</f>
        <v/>
      </c>
    </row>
    <row r="1301" spans="2:13" x14ac:dyDescent="0.25">
      <c r="B1301" t="str">
        <f>IF(IFERROR(VLOOKUP(TRIM(A1301),Inventory!E:E,1,0),0)=0,"X","_")</f>
        <v>_</v>
      </c>
      <c r="C1301" t="str">
        <f>IF(IFERROR(VLOOKUP(TRIM(A1301),'Full Inventory'!F:F,1,0),0)=0,"X","_")</f>
        <v>_</v>
      </c>
      <c r="D1301" t="str">
        <f t="shared" si="60"/>
        <v>X</v>
      </c>
      <c r="E1301" t="str">
        <f ca="1">IFERROR(IF(AND(B1301&amp;C1301&amp;D1301="___",INDIRECT("Inventory!A"&amp;MATCH(VLOOKUP(A1301,Inventory!E:E,1,0),Inventory!E:E,0))&lt;&gt;INDIRECT("'Full Inventory'!B"&amp;MATCH(VLOOKUP(A1301,'Full Inventory'!F:F,1,0),'Full Inventory'!F:F,0))),"X","_"),"_")</f>
        <v>_</v>
      </c>
      <c r="K1301" t="str">
        <f t="shared" ca="1" si="61"/>
        <v>__X_</v>
      </c>
      <c r="L1301" t="str">
        <f t="shared" ca="1" si="62"/>
        <v/>
      </c>
      <c r="M1301" t="str">
        <f>IFERROR(INDEX(Inventory!A:A,MATCH(Scan!A1301,Inventory!E:E,0)),"")</f>
        <v/>
      </c>
    </row>
    <row r="1302" spans="2:13" x14ac:dyDescent="0.25">
      <c r="B1302" t="str">
        <f>IF(IFERROR(VLOOKUP(TRIM(A1302),Inventory!E:E,1,0),0)=0,"X","_")</f>
        <v>_</v>
      </c>
      <c r="C1302" t="str">
        <f>IF(IFERROR(VLOOKUP(TRIM(A1302),'Full Inventory'!F:F,1,0),0)=0,"X","_")</f>
        <v>_</v>
      </c>
      <c r="D1302" t="str">
        <f t="shared" si="60"/>
        <v>X</v>
      </c>
      <c r="E1302" t="str">
        <f ca="1">IFERROR(IF(AND(B1302&amp;C1302&amp;D1302="___",INDIRECT("Inventory!A"&amp;MATCH(VLOOKUP(A1302,Inventory!E:E,1,0),Inventory!E:E,0))&lt;&gt;INDIRECT("'Full Inventory'!B"&amp;MATCH(VLOOKUP(A1302,'Full Inventory'!F:F,1,0),'Full Inventory'!F:F,0))),"X","_"),"_")</f>
        <v>_</v>
      </c>
      <c r="K1302" t="str">
        <f t="shared" ca="1" si="61"/>
        <v>__X_</v>
      </c>
      <c r="L1302" t="str">
        <f t="shared" ca="1" si="62"/>
        <v/>
      </c>
      <c r="M1302" t="str">
        <f>IFERROR(INDEX(Inventory!A:A,MATCH(Scan!A1302,Inventory!E:E,0)),"")</f>
        <v/>
      </c>
    </row>
    <row r="1303" spans="2:13" x14ac:dyDescent="0.25">
      <c r="B1303" t="str">
        <f>IF(IFERROR(VLOOKUP(TRIM(A1303),Inventory!E:E,1,0),0)=0,"X","_")</f>
        <v>_</v>
      </c>
      <c r="C1303" t="str">
        <f>IF(IFERROR(VLOOKUP(TRIM(A1303),'Full Inventory'!F:F,1,0),0)=0,"X","_")</f>
        <v>_</v>
      </c>
      <c r="D1303" t="str">
        <f t="shared" si="60"/>
        <v>X</v>
      </c>
      <c r="E1303" t="str">
        <f ca="1">IFERROR(IF(AND(B1303&amp;C1303&amp;D1303="___",INDIRECT("Inventory!A"&amp;MATCH(VLOOKUP(A1303,Inventory!E:E,1,0),Inventory!E:E,0))&lt;&gt;INDIRECT("'Full Inventory'!B"&amp;MATCH(VLOOKUP(A1303,'Full Inventory'!F:F,1,0),'Full Inventory'!F:F,0))),"X","_"),"_")</f>
        <v>_</v>
      </c>
      <c r="K1303" t="str">
        <f t="shared" ca="1" si="61"/>
        <v>__X_</v>
      </c>
      <c r="L1303" t="str">
        <f t="shared" ca="1" si="62"/>
        <v/>
      </c>
      <c r="M1303" t="str">
        <f>IFERROR(INDEX(Inventory!A:A,MATCH(Scan!A1303,Inventory!E:E,0)),"")</f>
        <v/>
      </c>
    </row>
    <row r="1304" spans="2:13" x14ac:dyDescent="0.25">
      <c r="B1304" t="str">
        <f>IF(IFERROR(VLOOKUP(TRIM(A1304),Inventory!E:E,1,0),0)=0,"X","_")</f>
        <v>_</v>
      </c>
      <c r="C1304" t="str">
        <f>IF(IFERROR(VLOOKUP(TRIM(A1304),'Full Inventory'!F:F,1,0),0)=0,"X","_")</f>
        <v>_</v>
      </c>
      <c r="D1304" t="str">
        <f t="shared" si="60"/>
        <v>X</v>
      </c>
      <c r="E1304" t="str">
        <f ca="1">IFERROR(IF(AND(B1304&amp;C1304&amp;D1304="___",INDIRECT("Inventory!A"&amp;MATCH(VLOOKUP(A1304,Inventory!E:E,1,0),Inventory!E:E,0))&lt;&gt;INDIRECT("'Full Inventory'!B"&amp;MATCH(VLOOKUP(A1304,'Full Inventory'!F:F,1,0),'Full Inventory'!F:F,0))),"X","_"),"_")</f>
        <v>_</v>
      </c>
      <c r="K1304" t="str">
        <f t="shared" ca="1" si="61"/>
        <v>__X_</v>
      </c>
      <c r="L1304" t="str">
        <f t="shared" ca="1" si="62"/>
        <v/>
      </c>
      <c r="M1304" t="str">
        <f>IFERROR(INDEX(Inventory!A:A,MATCH(Scan!A1304,Inventory!E:E,0)),"")</f>
        <v/>
      </c>
    </row>
    <row r="1305" spans="2:13" x14ac:dyDescent="0.25">
      <c r="B1305" t="str">
        <f>IF(IFERROR(VLOOKUP(TRIM(A1305),Inventory!E:E,1,0),0)=0,"X","_")</f>
        <v>_</v>
      </c>
      <c r="C1305" t="str">
        <f>IF(IFERROR(VLOOKUP(TRIM(A1305),'Full Inventory'!F:F,1,0),0)=0,"X","_")</f>
        <v>_</v>
      </c>
      <c r="D1305" t="str">
        <f t="shared" si="60"/>
        <v>X</v>
      </c>
      <c r="E1305" t="str">
        <f ca="1">IFERROR(IF(AND(B1305&amp;C1305&amp;D1305="___",INDIRECT("Inventory!A"&amp;MATCH(VLOOKUP(A1305,Inventory!E:E,1,0),Inventory!E:E,0))&lt;&gt;INDIRECT("'Full Inventory'!B"&amp;MATCH(VLOOKUP(A1305,'Full Inventory'!F:F,1,0),'Full Inventory'!F:F,0))),"X","_"),"_")</f>
        <v>_</v>
      </c>
      <c r="K1305" t="str">
        <f t="shared" ca="1" si="61"/>
        <v>__X_</v>
      </c>
      <c r="L1305" t="str">
        <f t="shared" ca="1" si="62"/>
        <v/>
      </c>
      <c r="M1305" t="str">
        <f>IFERROR(INDEX(Inventory!A:A,MATCH(Scan!A1305,Inventory!E:E,0)),"")</f>
        <v/>
      </c>
    </row>
    <row r="1306" spans="2:13" x14ac:dyDescent="0.25">
      <c r="B1306" t="str">
        <f>IF(IFERROR(VLOOKUP(TRIM(A1306),Inventory!E:E,1,0),0)=0,"X","_")</f>
        <v>_</v>
      </c>
      <c r="C1306" t="str">
        <f>IF(IFERROR(VLOOKUP(TRIM(A1306),'Full Inventory'!F:F,1,0),0)=0,"X","_")</f>
        <v>_</v>
      </c>
      <c r="D1306" t="str">
        <f t="shared" si="60"/>
        <v>X</v>
      </c>
      <c r="E1306" t="str">
        <f ca="1">IFERROR(IF(AND(B1306&amp;C1306&amp;D1306="___",INDIRECT("Inventory!A"&amp;MATCH(VLOOKUP(A1306,Inventory!E:E,1,0),Inventory!E:E,0))&lt;&gt;INDIRECT("'Full Inventory'!B"&amp;MATCH(VLOOKUP(A1306,'Full Inventory'!F:F,1,0),'Full Inventory'!F:F,0))),"X","_"),"_")</f>
        <v>_</v>
      </c>
      <c r="K1306" t="str">
        <f t="shared" ca="1" si="61"/>
        <v>__X_</v>
      </c>
      <c r="L1306" t="str">
        <f t="shared" ca="1" si="62"/>
        <v/>
      </c>
      <c r="M1306" t="str">
        <f>IFERROR(INDEX(Inventory!A:A,MATCH(Scan!A1306,Inventory!E:E,0)),"")</f>
        <v/>
      </c>
    </row>
    <row r="1307" spans="2:13" x14ac:dyDescent="0.25">
      <c r="B1307" t="str">
        <f>IF(IFERROR(VLOOKUP(TRIM(A1307),Inventory!E:E,1,0),0)=0,"X","_")</f>
        <v>_</v>
      </c>
      <c r="C1307" t="str">
        <f>IF(IFERROR(VLOOKUP(TRIM(A1307),'Full Inventory'!F:F,1,0),0)=0,"X","_")</f>
        <v>_</v>
      </c>
      <c r="D1307" t="str">
        <f t="shared" si="60"/>
        <v>X</v>
      </c>
      <c r="E1307" t="str">
        <f ca="1">IFERROR(IF(AND(B1307&amp;C1307&amp;D1307="___",INDIRECT("Inventory!A"&amp;MATCH(VLOOKUP(A1307,Inventory!E:E,1,0),Inventory!E:E,0))&lt;&gt;INDIRECT("'Full Inventory'!B"&amp;MATCH(VLOOKUP(A1307,'Full Inventory'!F:F,1,0),'Full Inventory'!F:F,0))),"X","_"),"_")</f>
        <v>_</v>
      </c>
      <c r="K1307" t="str">
        <f t="shared" ca="1" si="61"/>
        <v>__X_</v>
      </c>
      <c r="L1307" t="str">
        <f t="shared" ca="1" si="62"/>
        <v/>
      </c>
      <c r="M1307" t="str">
        <f>IFERROR(INDEX(Inventory!A:A,MATCH(Scan!A1307,Inventory!E:E,0)),"")</f>
        <v/>
      </c>
    </row>
    <row r="1308" spans="2:13" x14ac:dyDescent="0.25">
      <c r="B1308" t="str">
        <f>IF(IFERROR(VLOOKUP(TRIM(A1308),Inventory!E:E,1,0),0)=0,"X","_")</f>
        <v>_</v>
      </c>
      <c r="C1308" t="str">
        <f>IF(IFERROR(VLOOKUP(TRIM(A1308),'Full Inventory'!F:F,1,0),0)=0,"X","_")</f>
        <v>_</v>
      </c>
      <c r="D1308" t="str">
        <f t="shared" si="60"/>
        <v>X</v>
      </c>
      <c r="E1308" t="str">
        <f ca="1">IFERROR(IF(AND(B1308&amp;C1308&amp;D1308="___",INDIRECT("Inventory!A"&amp;MATCH(VLOOKUP(A1308,Inventory!E:E,1,0),Inventory!E:E,0))&lt;&gt;INDIRECT("'Full Inventory'!B"&amp;MATCH(VLOOKUP(A1308,'Full Inventory'!F:F,1,0),'Full Inventory'!F:F,0))),"X","_"),"_")</f>
        <v>_</v>
      </c>
      <c r="K1308" t="str">
        <f t="shared" ca="1" si="61"/>
        <v>__X_</v>
      </c>
      <c r="L1308" t="str">
        <f t="shared" ca="1" si="62"/>
        <v/>
      </c>
      <c r="M1308" t="str">
        <f>IFERROR(INDEX(Inventory!A:A,MATCH(Scan!A1308,Inventory!E:E,0)),"")</f>
        <v/>
      </c>
    </row>
    <row r="1309" spans="2:13" x14ac:dyDescent="0.25">
      <c r="B1309" t="str">
        <f>IF(IFERROR(VLOOKUP(TRIM(A1309),Inventory!E:E,1,0),0)=0,"X","_")</f>
        <v>_</v>
      </c>
      <c r="C1309" t="str">
        <f>IF(IFERROR(VLOOKUP(TRIM(A1309),'Full Inventory'!F:F,1,0),0)=0,"X","_")</f>
        <v>_</v>
      </c>
      <c r="D1309" t="str">
        <f t="shared" si="60"/>
        <v>X</v>
      </c>
      <c r="E1309" t="str">
        <f ca="1">IFERROR(IF(AND(B1309&amp;C1309&amp;D1309="___",INDIRECT("Inventory!A"&amp;MATCH(VLOOKUP(A1309,Inventory!E:E,1,0),Inventory!E:E,0))&lt;&gt;INDIRECT("'Full Inventory'!B"&amp;MATCH(VLOOKUP(A1309,'Full Inventory'!F:F,1,0),'Full Inventory'!F:F,0))),"X","_"),"_")</f>
        <v>_</v>
      </c>
      <c r="K1309" t="str">
        <f t="shared" ca="1" si="61"/>
        <v>__X_</v>
      </c>
      <c r="L1309" t="str">
        <f t="shared" ca="1" si="62"/>
        <v/>
      </c>
      <c r="M1309" t="str">
        <f>IFERROR(INDEX(Inventory!A:A,MATCH(Scan!A1309,Inventory!E:E,0)),"")</f>
        <v/>
      </c>
    </row>
    <row r="1310" spans="2:13" x14ac:dyDescent="0.25">
      <c r="B1310" t="str">
        <f>IF(IFERROR(VLOOKUP(TRIM(A1310),Inventory!E:E,1,0),0)=0,"X","_")</f>
        <v>_</v>
      </c>
      <c r="C1310" t="str">
        <f>IF(IFERROR(VLOOKUP(TRIM(A1310),'Full Inventory'!F:F,1,0),0)=0,"X","_")</f>
        <v>_</v>
      </c>
      <c r="D1310" t="str">
        <f t="shared" si="60"/>
        <v>X</v>
      </c>
      <c r="E1310" t="str">
        <f ca="1">IFERROR(IF(AND(B1310&amp;C1310&amp;D1310="___",INDIRECT("Inventory!A"&amp;MATCH(VLOOKUP(A1310,Inventory!E:E,1,0),Inventory!E:E,0))&lt;&gt;INDIRECT("'Full Inventory'!B"&amp;MATCH(VLOOKUP(A1310,'Full Inventory'!F:F,1,0),'Full Inventory'!F:F,0))),"X","_"),"_")</f>
        <v>_</v>
      </c>
      <c r="K1310" t="str">
        <f t="shared" ca="1" si="61"/>
        <v>__X_</v>
      </c>
      <c r="L1310" t="str">
        <f t="shared" ca="1" si="62"/>
        <v/>
      </c>
      <c r="M1310" t="str">
        <f>IFERROR(INDEX(Inventory!A:A,MATCH(Scan!A1310,Inventory!E:E,0)),"")</f>
        <v/>
      </c>
    </row>
    <row r="1311" spans="2:13" x14ac:dyDescent="0.25">
      <c r="B1311" t="str">
        <f>IF(IFERROR(VLOOKUP(TRIM(A1311),Inventory!E:E,1,0),0)=0,"X","_")</f>
        <v>_</v>
      </c>
      <c r="C1311" t="str">
        <f>IF(IFERROR(VLOOKUP(TRIM(A1311),'Full Inventory'!F:F,1,0),0)=0,"X","_")</f>
        <v>_</v>
      </c>
      <c r="D1311" t="str">
        <f t="shared" si="60"/>
        <v>X</v>
      </c>
      <c r="E1311" t="str">
        <f ca="1">IFERROR(IF(AND(B1311&amp;C1311&amp;D1311="___",INDIRECT("Inventory!A"&amp;MATCH(VLOOKUP(A1311,Inventory!E:E,1,0),Inventory!E:E,0))&lt;&gt;INDIRECT("'Full Inventory'!B"&amp;MATCH(VLOOKUP(A1311,'Full Inventory'!F:F,1,0),'Full Inventory'!F:F,0))),"X","_"),"_")</f>
        <v>_</v>
      </c>
      <c r="K1311" t="str">
        <f t="shared" ca="1" si="61"/>
        <v>__X_</v>
      </c>
      <c r="L1311" t="str">
        <f t="shared" ca="1" si="62"/>
        <v/>
      </c>
      <c r="M1311" t="str">
        <f>IFERROR(INDEX(Inventory!A:A,MATCH(Scan!A1311,Inventory!E:E,0)),"")</f>
        <v/>
      </c>
    </row>
    <row r="1312" spans="2:13" x14ac:dyDescent="0.25">
      <c r="B1312" t="str">
        <f>IF(IFERROR(VLOOKUP(TRIM(A1312),Inventory!E:E,1,0),0)=0,"X","_")</f>
        <v>_</v>
      </c>
      <c r="C1312" t="str">
        <f>IF(IFERROR(VLOOKUP(TRIM(A1312),'Full Inventory'!F:F,1,0),0)=0,"X","_")</f>
        <v>_</v>
      </c>
      <c r="D1312" t="str">
        <f t="shared" si="60"/>
        <v>X</v>
      </c>
      <c r="E1312" t="str">
        <f ca="1">IFERROR(IF(AND(B1312&amp;C1312&amp;D1312="___",INDIRECT("Inventory!A"&amp;MATCH(VLOOKUP(A1312,Inventory!E:E,1,0),Inventory!E:E,0))&lt;&gt;INDIRECT("'Full Inventory'!B"&amp;MATCH(VLOOKUP(A1312,'Full Inventory'!F:F,1,0),'Full Inventory'!F:F,0))),"X","_"),"_")</f>
        <v>_</v>
      </c>
      <c r="K1312" t="str">
        <f t="shared" ca="1" si="61"/>
        <v>__X_</v>
      </c>
      <c r="L1312" t="str">
        <f t="shared" ca="1" si="62"/>
        <v/>
      </c>
      <c r="M1312" t="str">
        <f>IFERROR(INDEX(Inventory!A:A,MATCH(Scan!A1312,Inventory!E:E,0)),"")</f>
        <v/>
      </c>
    </row>
    <row r="1313" spans="2:13" x14ac:dyDescent="0.25">
      <c r="B1313" t="str">
        <f>IF(IFERROR(VLOOKUP(TRIM(A1313),Inventory!E:E,1,0),0)=0,"X","_")</f>
        <v>_</v>
      </c>
      <c r="C1313" t="str">
        <f>IF(IFERROR(VLOOKUP(TRIM(A1313),'Full Inventory'!F:F,1,0),0)=0,"X","_")</f>
        <v>_</v>
      </c>
      <c r="D1313" t="str">
        <f t="shared" si="60"/>
        <v>X</v>
      </c>
      <c r="E1313" t="str">
        <f ca="1">IFERROR(IF(AND(B1313&amp;C1313&amp;D1313="___",INDIRECT("Inventory!A"&amp;MATCH(VLOOKUP(A1313,Inventory!E:E,1,0),Inventory!E:E,0))&lt;&gt;INDIRECT("'Full Inventory'!B"&amp;MATCH(VLOOKUP(A1313,'Full Inventory'!F:F,1,0),'Full Inventory'!F:F,0))),"X","_"),"_")</f>
        <v>_</v>
      </c>
      <c r="K1313" t="str">
        <f t="shared" ca="1" si="61"/>
        <v>__X_</v>
      </c>
      <c r="L1313" t="str">
        <f t="shared" ca="1" si="62"/>
        <v/>
      </c>
      <c r="M1313" t="str">
        <f>IFERROR(INDEX(Inventory!A:A,MATCH(Scan!A1313,Inventory!E:E,0)),"")</f>
        <v/>
      </c>
    </row>
    <row r="1314" spans="2:13" x14ac:dyDescent="0.25">
      <c r="B1314" t="str">
        <f>IF(IFERROR(VLOOKUP(TRIM(A1314),Inventory!E:E,1,0),0)=0,"X","_")</f>
        <v>_</v>
      </c>
      <c r="C1314" t="str">
        <f>IF(IFERROR(VLOOKUP(TRIM(A1314),'Full Inventory'!F:F,1,0),0)=0,"X","_")</f>
        <v>_</v>
      </c>
      <c r="D1314" t="str">
        <f t="shared" si="60"/>
        <v>X</v>
      </c>
      <c r="E1314" t="str">
        <f ca="1">IFERROR(IF(AND(B1314&amp;C1314&amp;D1314="___",INDIRECT("Inventory!A"&amp;MATCH(VLOOKUP(A1314,Inventory!E:E,1,0),Inventory!E:E,0))&lt;&gt;INDIRECT("'Full Inventory'!B"&amp;MATCH(VLOOKUP(A1314,'Full Inventory'!F:F,1,0),'Full Inventory'!F:F,0))),"X","_"),"_")</f>
        <v>_</v>
      </c>
      <c r="K1314" t="str">
        <f t="shared" ca="1" si="61"/>
        <v>__X_</v>
      </c>
      <c r="L1314" t="str">
        <f t="shared" ca="1" si="62"/>
        <v/>
      </c>
      <c r="M1314" t="str">
        <f>IFERROR(INDEX(Inventory!A:A,MATCH(Scan!A1314,Inventory!E:E,0)),"")</f>
        <v/>
      </c>
    </row>
    <row r="1315" spans="2:13" x14ac:dyDescent="0.25">
      <c r="B1315" t="str">
        <f>IF(IFERROR(VLOOKUP(TRIM(A1315),Inventory!E:E,1,0),0)=0,"X","_")</f>
        <v>_</v>
      </c>
      <c r="C1315" t="str">
        <f>IF(IFERROR(VLOOKUP(TRIM(A1315),'Full Inventory'!F:F,1,0),0)=0,"X","_")</f>
        <v>_</v>
      </c>
      <c r="D1315" t="str">
        <f t="shared" si="60"/>
        <v>X</v>
      </c>
      <c r="E1315" t="str">
        <f ca="1">IFERROR(IF(AND(B1315&amp;C1315&amp;D1315="___",INDIRECT("Inventory!A"&amp;MATCH(VLOOKUP(A1315,Inventory!E:E,1,0),Inventory!E:E,0))&lt;&gt;INDIRECT("'Full Inventory'!B"&amp;MATCH(VLOOKUP(A1315,'Full Inventory'!F:F,1,0),'Full Inventory'!F:F,0))),"X","_"),"_")</f>
        <v>_</v>
      </c>
      <c r="K1315" t="str">
        <f t="shared" ca="1" si="61"/>
        <v>__X_</v>
      </c>
      <c r="L1315" t="str">
        <f t="shared" ca="1" si="62"/>
        <v/>
      </c>
      <c r="M1315" t="str">
        <f>IFERROR(INDEX(Inventory!A:A,MATCH(Scan!A1315,Inventory!E:E,0)),"")</f>
        <v/>
      </c>
    </row>
    <row r="1316" spans="2:13" x14ac:dyDescent="0.25">
      <c r="B1316" t="str">
        <f>IF(IFERROR(VLOOKUP(TRIM(A1316),Inventory!E:E,1,0),0)=0,"X","_")</f>
        <v>_</v>
      </c>
      <c r="C1316" t="str">
        <f>IF(IFERROR(VLOOKUP(TRIM(A1316),'Full Inventory'!F:F,1,0),0)=0,"X","_")</f>
        <v>_</v>
      </c>
      <c r="D1316" t="str">
        <f t="shared" si="60"/>
        <v>X</v>
      </c>
      <c r="E1316" t="str">
        <f ca="1">IFERROR(IF(AND(B1316&amp;C1316&amp;D1316="___",INDIRECT("Inventory!A"&amp;MATCH(VLOOKUP(A1316,Inventory!E:E,1,0),Inventory!E:E,0))&lt;&gt;INDIRECT("'Full Inventory'!B"&amp;MATCH(VLOOKUP(A1316,'Full Inventory'!F:F,1,0),'Full Inventory'!F:F,0))),"X","_"),"_")</f>
        <v>_</v>
      </c>
      <c r="K1316" t="str">
        <f t="shared" ca="1" si="61"/>
        <v>__X_</v>
      </c>
      <c r="L1316" t="str">
        <f t="shared" ca="1" si="62"/>
        <v/>
      </c>
      <c r="M1316" t="str">
        <f>IFERROR(INDEX(Inventory!A:A,MATCH(Scan!A1316,Inventory!E:E,0)),"")</f>
        <v/>
      </c>
    </row>
    <row r="1317" spans="2:13" x14ac:dyDescent="0.25">
      <c r="B1317" t="str">
        <f>IF(IFERROR(VLOOKUP(TRIM(A1317),Inventory!E:E,1,0),0)=0,"X","_")</f>
        <v>_</v>
      </c>
      <c r="C1317" t="str">
        <f>IF(IFERROR(VLOOKUP(TRIM(A1317),'Full Inventory'!F:F,1,0),0)=0,"X","_")</f>
        <v>_</v>
      </c>
      <c r="D1317" t="str">
        <f t="shared" si="60"/>
        <v>X</v>
      </c>
      <c r="E1317" t="str">
        <f ca="1">IFERROR(IF(AND(B1317&amp;C1317&amp;D1317="___",INDIRECT("Inventory!A"&amp;MATCH(VLOOKUP(A1317,Inventory!E:E,1,0),Inventory!E:E,0))&lt;&gt;INDIRECT("'Full Inventory'!B"&amp;MATCH(VLOOKUP(A1317,'Full Inventory'!F:F,1,0),'Full Inventory'!F:F,0))),"X","_"),"_")</f>
        <v>_</v>
      </c>
      <c r="K1317" t="str">
        <f t="shared" ca="1" si="61"/>
        <v>__X_</v>
      </c>
      <c r="L1317" t="str">
        <f t="shared" ca="1" si="62"/>
        <v/>
      </c>
      <c r="M1317" t="str">
        <f>IFERROR(INDEX(Inventory!A:A,MATCH(Scan!A1317,Inventory!E:E,0)),"")</f>
        <v/>
      </c>
    </row>
    <row r="1318" spans="2:13" x14ac:dyDescent="0.25">
      <c r="B1318" t="str">
        <f>IF(IFERROR(VLOOKUP(TRIM(A1318),Inventory!E:E,1,0),0)=0,"X","_")</f>
        <v>_</v>
      </c>
      <c r="C1318" t="str">
        <f>IF(IFERROR(VLOOKUP(TRIM(A1318),'Full Inventory'!F:F,1,0),0)=0,"X","_")</f>
        <v>_</v>
      </c>
      <c r="D1318" t="str">
        <f t="shared" si="60"/>
        <v>X</v>
      </c>
      <c r="E1318" t="str">
        <f ca="1">IFERROR(IF(AND(B1318&amp;C1318&amp;D1318="___",INDIRECT("Inventory!A"&amp;MATCH(VLOOKUP(A1318,Inventory!E:E,1,0),Inventory!E:E,0))&lt;&gt;INDIRECT("'Full Inventory'!B"&amp;MATCH(VLOOKUP(A1318,'Full Inventory'!F:F,1,0),'Full Inventory'!F:F,0))),"X","_"),"_")</f>
        <v>_</v>
      </c>
      <c r="K1318" t="str">
        <f t="shared" ca="1" si="61"/>
        <v>__X_</v>
      </c>
      <c r="L1318" t="str">
        <f t="shared" ca="1" si="62"/>
        <v/>
      </c>
      <c r="M1318" t="str">
        <f>IFERROR(INDEX(Inventory!A:A,MATCH(Scan!A1318,Inventory!E:E,0)),"")</f>
        <v/>
      </c>
    </row>
    <row r="1319" spans="2:13" x14ac:dyDescent="0.25">
      <c r="B1319" t="str">
        <f>IF(IFERROR(VLOOKUP(TRIM(A1319),Inventory!E:E,1,0),0)=0,"X","_")</f>
        <v>_</v>
      </c>
      <c r="C1319" t="str">
        <f>IF(IFERROR(VLOOKUP(TRIM(A1319),'Full Inventory'!F:F,1,0),0)=0,"X","_")</f>
        <v>_</v>
      </c>
      <c r="D1319" t="str">
        <f t="shared" si="60"/>
        <v>X</v>
      </c>
      <c r="E1319" t="str">
        <f ca="1">IFERROR(IF(AND(B1319&amp;C1319&amp;D1319="___",INDIRECT("Inventory!A"&amp;MATCH(VLOOKUP(A1319,Inventory!E:E,1,0),Inventory!E:E,0))&lt;&gt;INDIRECT("'Full Inventory'!B"&amp;MATCH(VLOOKUP(A1319,'Full Inventory'!F:F,1,0),'Full Inventory'!F:F,0))),"X","_"),"_")</f>
        <v>_</v>
      </c>
      <c r="K1319" t="str">
        <f t="shared" ca="1" si="61"/>
        <v>__X_</v>
      </c>
      <c r="L1319" t="str">
        <f t="shared" ca="1" si="62"/>
        <v/>
      </c>
      <c r="M1319" t="str">
        <f>IFERROR(INDEX(Inventory!A:A,MATCH(Scan!A1319,Inventory!E:E,0)),"")</f>
        <v/>
      </c>
    </row>
    <row r="1320" spans="2:13" x14ac:dyDescent="0.25">
      <c r="B1320" t="str">
        <f>IF(IFERROR(VLOOKUP(TRIM(A1320),Inventory!E:E,1,0),0)=0,"X","_")</f>
        <v>_</v>
      </c>
      <c r="C1320" t="str">
        <f>IF(IFERROR(VLOOKUP(TRIM(A1320),'Full Inventory'!F:F,1,0),0)=0,"X","_")</f>
        <v>_</v>
      </c>
      <c r="D1320" t="str">
        <f t="shared" si="60"/>
        <v>X</v>
      </c>
      <c r="E1320" t="str">
        <f ca="1">IFERROR(IF(AND(B1320&amp;C1320&amp;D1320="___",INDIRECT("Inventory!A"&amp;MATCH(VLOOKUP(A1320,Inventory!E:E,1,0),Inventory!E:E,0))&lt;&gt;INDIRECT("'Full Inventory'!B"&amp;MATCH(VLOOKUP(A1320,'Full Inventory'!F:F,1,0),'Full Inventory'!F:F,0))),"X","_"),"_")</f>
        <v>_</v>
      </c>
      <c r="K1320" t="str">
        <f t="shared" ca="1" si="61"/>
        <v>__X_</v>
      </c>
      <c r="L1320" t="str">
        <f t="shared" ca="1" si="62"/>
        <v/>
      </c>
      <c r="M1320" t="str">
        <f>IFERROR(INDEX(Inventory!A:A,MATCH(Scan!A1320,Inventory!E:E,0)),"")</f>
        <v/>
      </c>
    </row>
    <row r="1321" spans="2:13" x14ac:dyDescent="0.25">
      <c r="B1321" t="str">
        <f>IF(IFERROR(VLOOKUP(TRIM(A1321),Inventory!E:E,1,0),0)=0,"X","_")</f>
        <v>_</v>
      </c>
      <c r="C1321" t="str">
        <f>IF(IFERROR(VLOOKUP(TRIM(A1321),'Full Inventory'!F:F,1,0),0)=0,"X","_")</f>
        <v>_</v>
      </c>
      <c r="D1321" t="str">
        <f t="shared" si="60"/>
        <v>X</v>
      </c>
      <c r="E1321" t="str">
        <f ca="1">IFERROR(IF(AND(B1321&amp;C1321&amp;D1321="___",INDIRECT("Inventory!A"&amp;MATCH(VLOOKUP(A1321,Inventory!E:E,1,0),Inventory!E:E,0))&lt;&gt;INDIRECT("'Full Inventory'!B"&amp;MATCH(VLOOKUP(A1321,'Full Inventory'!F:F,1,0),'Full Inventory'!F:F,0))),"X","_"),"_")</f>
        <v>_</v>
      </c>
      <c r="K1321" t="str">
        <f t="shared" ca="1" si="61"/>
        <v>__X_</v>
      </c>
      <c r="L1321" t="str">
        <f t="shared" ca="1" si="62"/>
        <v/>
      </c>
      <c r="M1321" t="str">
        <f>IFERROR(INDEX(Inventory!A:A,MATCH(Scan!A1321,Inventory!E:E,0)),"")</f>
        <v/>
      </c>
    </row>
    <row r="1322" spans="2:13" x14ac:dyDescent="0.25">
      <c r="B1322" t="str">
        <f>IF(IFERROR(VLOOKUP(TRIM(A1322),Inventory!E:E,1,0),0)=0,"X","_")</f>
        <v>_</v>
      </c>
      <c r="C1322" t="str">
        <f>IF(IFERROR(VLOOKUP(TRIM(A1322),'Full Inventory'!F:F,1,0),0)=0,"X","_")</f>
        <v>_</v>
      </c>
      <c r="D1322" t="str">
        <f t="shared" si="60"/>
        <v>X</v>
      </c>
      <c r="E1322" t="str">
        <f ca="1">IFERROR(IF(AND(B1322&amp;C1322&amp;D1322="___",INDIRECT("Inventory!A"&amp;MATCH(VLOOKUP(A1322,Inventory!E:E,1,0),Inventory!E:E,0))&lt;&gt;INDIRECT("'Full Inventory'!B"&amp;MATCH(VLOOKUP(A1322,'Full Inventory'!F:F,1,0),'Full Inventory'!F:F,0))),"X","_"),"_")</f>
        <v>_</v>
      </c>
      <c r="K1322" t="str">
        <f t="shared" ca="1" si="61"/>
        <v>__X_</v>
      </c>
      <c r="L1322" t="str">
        <f t="shared" ca="1" si="62"/>
        <v/>
      </c>
      <c r="M1322" t="str">
        <f>IFERROR(INDEX(Inventory!A:A,MATCH(Scan!A1322,Inventory!E:E,0)),"")</f>
        <v/>
      </c>
    </row>
    <row r="1323" spans="2:13" x14ac:dyDescent="0.25">
      <c r="B1323" t="str">
        <f>IF(IFERROR(VLOOKUP(TRIM(A1323),Inventory!E:E,1,0),0)=0,"X","_")</f>
        <v>_</v>
      </c>
      <c r="C1323" t="str">
        <f>IF(IFERROR(VLOOKUP(TRIM(A1323),'Full Inventory'!F:F,1,0),0)=0,"X","_")</f>
        <v>_</v>
      </c>
      <c r="D1323" t="str">
        <f t="shared" si="60"/>
        <v>X</v>
      </c>
      <c r="E1323" t="str">
        <f ca="1">IFERROR(IF(AND(B1323&amp;C1323&amp;D1323="___",INDIRECT("Inventory!A"&amp;MATCH(VLOOKUP(A1323,Inventory!E:E,1,0),Inventory!E:E,0))&lt;&gt;INDIRECT("'Full Inventory'!B"&amp;MATCH(VLOOKUP(A1323,'Full Inventory'!F:F,1,0),'Full Inventory'!F:F,0))),"X","_"),"_")</f>
        <v>_</v>
      </c>
      <c r="K1323" t="str">
        <f t="shared" ca="1" si="61"/>
        <v>__X_</v>
      </c>
      <c r="L1323" t="str">
        <f t="shared" ca="1" si="62"/>
        <v/>
      </c>
      <c r="M1323" t="str">
        <f>IFERROR(INDEX(Inventory!A:A,MATCH(Scan!A1323,Inventory!E:E,0)),"")</f>
        <v/>
      </c>
    </row>
    <row r="1324" spans="2:13" x14ac:dyDescent="0.25">
      <c r="B1324" t="str">
        <f>IF(IFERROR(VLOOKUP(TRIM(A1324),Inventory!E:E,1,0),0)=0,"X","_")</f>
        <v>_</v>
      </c>
      <c r="C1324" t="str">
        <f>IF(IFERROR(VLOOKUP(TRIM(A1324),'Full Inventory'!F:F,1,0),0)=0,"X","_")</f>
        <v>_</v>
      </c>
      <c r="D1324" t="str">
        <f t="shared" si="60"/>
        <v>X</v>
      </c>
      <c r="E1324" t="str">
        <f ca="1">IFERROR(IF(AND(B1324&amp;C1324&amp;D1324="___",INDIRECT("Inventory!A"&amp;MATCH(VLOOKUP(A1324,Inventory!E:E,1,0),Inventory!E:E,0))&lt;&gt;INDIRECT("'Full Inventory'!B"&amp;MATCH(VLOOKUP(A1324,'Full Inventory'!F:F,1,0),'Full Inventory'!F:F,0))),"X","_"),"_")</f>
        <v>_</v>
      </c>
      <c r="K1324" t="str">
        <f t="shared" ca="1" si="61"/>
        <v>__X_</v>
      </c>
      <c r="L1324" t="str">
        <f t="shared" ca="1" si="62"/>
        <v/>
      </c>
      <c r="M1324" t="str">
        <f>IFERROR(INDEX(Inventory!A:A,MATCH(Scan!A1324,Inventory!E:E,0)),"")</f>
        <v/>
      </c>
    </row>
    <row r="1325" spans="2:13" x14ac:dyDescent="0.25">
      <c r="B1325" t="str">
        <f>IF(IFERROR(VLOOKUP(TRIM(A1325),Inventory!E:E,1,0),0)=0,"X","_")</f>
        <v>_</v>
      </c>
      <c r="C1325" t="str">
        <f>IF(IFERROR(VLOOKUP(TRIM(A1325),'Full Inventory'!F:F,1,0),0)=0,"X","_")</f>
        <v>_</v>
      </c>
      <c r="D1325" t="str">
        <f t="shared" si="60"/>
        <v>X</v>
      </c>
      <c r="E1325" t="str">
        <f ca="1">IFERROR(IF(AND(B1325&amp;C1325&amp;D1325="___",INDIRECT("Inventory!A"&amp;MATCH(VLOOKUP(A1325,Inventory!E:E,1,0),Inventory!E:E,0))&lt;&gt;INDIRECT("'Full Inventory'!B"&amp;MATCH(VLOOKUP(A1325,'Full Inventory'!F:F,1,0),'Full Inventory'!F:F,0))),"X","_"),"_")</f>
        <v>_</v>
      </c>
      <c r="K1325" t="str">
        <f t="shared" ca="1" si="61"/>
        <v>__X_</v>
      </c>
      <c r="L1325" t="str">
        <f t="shared" ca="1" si="62"/>
        <v/>
      </c>
      <c r="M1325" t="str">
        <f>IFERROR(INDEX(Inventory!A:A,MATCH(Scan!A1325,Inventory!E:E,0)),"")</f>
        <v/>
      </c>
    </row>
    <row r="1326" spans="2:13" x14ac:dyDescent="0.25">
      <c r="B1326" t="str">
        <f>IF(IFERROR(VLOOKUP(TRIM(A1326),Inventory!E:E,1,0),0)=0,"X","_")</f>
        <v>_</v>
      </c>
      <c r="C1326" t="str">
        <f>IF(IFERROR(VLOOKUP(TRIM(A1326),'Full Inventory'!F:F,1,0),0)=0,"X","_")</f>
        <v>_</v>
      </c>
      <c r="D1326" t="str">
        <f t="shared" si="60"/>
        <v>X</v>
      </c>
      <c r="E1326" t="str">
        <f ca="1">IFERROR(IF(AND(B1326&amp;C1326&amp;D1326="___",INDIRECT("Inventory!A"&amp;MATCH(VLOOKUP(A1326,Inventory!E:E,1,0),Inventory!E:E,0))&lt;&gt;INDIRECT("'Full Inventory'!B"&amp;MATCH(VLOOKUP(A1326,'Full Inventory'!F:F,1,0),'Full Inventory'!F:F,0))),"X","_"),"_")</f>
        <v>_</v>
      </c>
      <c r="K1326" t="str">
        <f t="shared" ca="1" si="61"/>
        <v>__X_</v>
      </c>
      <c r="L1326" t="str">
        <f t="shared" ca="1" si="62"/>
        <v/>
      </c>
      <c r="M1326" t="str">
        <f>IFERROR(INDEX(Inventory!A:A,MATCH(Scan!A1326,Inventory!E:E,0)),"")</f>
        <v/>
      </c>
    </row>
    <row r="1327" spans="2:13" x14ac:dyDescent="0.25">
      <c r="B1327" t="str">
        <f>IF(IFERROR(VLOOKUP(TRIM(A1327),Inventory!E:E,1,0),0)=0,"X","_")</f>
        <v>_</v>
      </c>
      <c r="C1327" t="str">
        <f>IF(IFERROR(VLOOKUP(TRIM(A1327),'Full Inventory'!F:F,1,0),0)=0,"X","_")</f>
        <v>_</v>
      </c>
      <c r="D1327" t="str">
        <f t="shared" si="60"/>
        <v>X</v>
      </c>
      <c r="E1327" t="str">
        <f ca="1">IFERROR(IF(AND(B1327&amp;C1327&amp;D1327="___",INDIRECT("Inventory!A"&amp;MATCH(VLOOKUP(A1327,Inventory!E:E,1,0),Inventory!E:E,0))&lt;&gt;INDIRECT("'Full Inventory'!B"&amp;MATCH(VLOOKUP(A1327,'Full Inventory'!F:F,1,0),'Full Inventory'!F:F,0))),"X","_"),"_")</f>
        <v>_</v>
      </c>
      <c r="K1327" t="str">
        <f t="shared" ca="1" si="61"/>
        <v>__X_</v>
      </c>
      <c r="L1327" t="str">
        <f t="shared" ca="1" si="62"/>
        <v/>
      </c>
      <c r="M1327" t="str">
        <f>IFERROR(INDEX(Inventory!A:A,MATCH(Scan!A1327,Inventory!E:E,0)),"")</f>
        <v/>
      </c>
    </row>
    <row r="1328" spans="2:13" x14ac:dyDescent="0.25">
      <c r="B1328" t="str">
        <f>IF(IFERROR(VLOOKUP(TRIM(A1328),Inventory!E:E,1,0),0)=0,"X","_")</f>
        <v>_</v>
      </c>
      <c r="C1328" t="str">
        <f>IF(IFERROR(VLOOKUP(TRIM(A1328),'Full Inventory'!F:F,1,0),0)=0,"X","_")</f>
        <v>_</v>
      </c>
      <c r="D1328" t="str">
        <f t="shared" si="60"/>
        <v>X</v>
      </c>
      <c r="E1328" t="str">
        <f ca="1">IFERROR(IF(AND(B1328&amp;C1328&amp;D1328="___",INDIRECT("Inventory!A"&amp;MATCH(VLOOKUP(A1328,Inventory!E:E,1,0),Inventory!E:E,0))&lt;&gt;INDIRECT("'Full Inventory'!B"&amp;MATCH(VLOOKUP(A1328,'Full Inventory'!F:F,1,0),'Full Inventory'!F:F,0))),"X","_"),"_")</f>
        <v>_</v>
      </c>
      <c r="K1328" t="str">
        <f t="shared" ca="1" si="61"/>
        <v>__X_</v>
      </c>
      <c r="L1328" t="str">
        <f t="shared" ca="1" si="62"/>
        <v/>
      </c>
      <c r="M1328" t="str">
        <f>IFERROR(INDEX(Inventory!A:A,MATCH(Scan!A1328,Inventory!E:E,0)),"")</f>
        <v/>
      </c>
    </row>
    <row r="1329" spans="2:13" x14ac:dyDescent="0.25">
      <c r="B1329" t="str">
        <f>IF(IFERROR(VLOOKUP(TRIM(A1329),Inventory!E:E,1,0),0)=0,"X","_")</f>
        <v>_</v>
      </c>
      <c r="C1329" t="str">
        <f>IF(IFERROR(VLOOKUP(TRIM(A1329),'Full Inventory'!F:F,1,0),0)=0,"X","_")</f>
        <v>_</v>
      </c>
      <c r="D1329" t="str">
        <f t="shared" si="60"/>
        <v>X</v>
      </c>
      <c r="E1329" t="str">
        <f ca="1">IFERROR(IF(AND(B1329&amp;C1329&amp;D1329="___",INDIRECT("Inventory!A"&amp;MATCH(VLOOKUP(A1329,Inventory!E:E,1,0),Inventory!E:E,0))&lt;&gt;INDIRECT("'Full Inventory'!B"&amp;MATCH(VLOOKUP(A1329,'Full Inventory'!F:F,1,0),'Full Inventory'!F:F,0))),"X","_"),"_")</f>
        <v>_</v>
      </c>
      <c r="K1329" t="str">
        <f t="shared" ca="1" si="61"/>
        <v>__X_</v>
      </c>
      <c r="L1329" t="str">
        <f t="shared" ca="1" si="62"/>
        <v/>
      </c>
      <c r="M1329" t="str">
        <f>IFERROR(INDEX(Inventory!A:A,MATCH(Scan!A1329,Inventory!E:E,0)),"")</f>
        <v/>
      </c>
    </row>
    <row r="1330" spans="2:13" x14ac:dyDescent="0.25">
      <c r="B1330" t="str">
        <f>IF(IFERROR(VLOOKUP(TRIM(A1330),Inventory!E:E,1,0),0)=0,"X","_")</f>
        <v>_</v>
      </c>
      <c r="C1330" t="str">
        <f>IF(IFERROR(VLOOKUP(TRIM(A1330),'Full Inventory'!F:F,1,0),0)=0,"X","_")</f>
        <v>_</v>
      </c>
      <c r="D1330" t="str">
        <f t="shared" si="60"/>
        <v>X</v>
      </c>
      <c r="E1330" t="str">
        <f ca="1">IFERROR(IF(AND(B1330&amp;C1330&amp;D1330="___",INDIRECT("Inventory!A"&amp;MATCH(VLOOKUP(A1330,Inventory!E:E,1,0),Inventory!E:E,0))&lt;&gt;INDIRECT("'Full Inventory'!B"&amp;MATCH(VLOOKUP(A1330,'Full Inventory'!F:F,1,0),'Full Inventory'!F:F,0))),"X","_"),"_")</f>
        <v>_</v>
      </c>
      <c r="K1330" t="str">
        <f t="shared" ca="1" si="61"/>
        <v>__X_</v>
      </c>
      <c r="L1330" t="str">
        <f t="shared" ca="1" si="62"/>
        <v/>
      </c>
      <c r="M1330" t="str">
        <f>IFERROR(INDEX(Inventory!A:A,MATCH(Scan!A1330,Inventory!E:E,0)),"")</f>
        <v/>
      </c>
    </row>
    <row r="1331" spans="2:13" x14ac:dyDescent="0.25">
      <c r="B1331" t="str">
        <f>IF(IFERROR(VLOOKUP(TRIM(A1331),Inventory!E:E,1,0),0)=0,"X","_")</f>
        <v>_</v>
      </c>
      <c r="C1331" t="str">
        <f>IF(IFERROR(VLOOKUP(TRIM(A1331),'Full Inventory'!F:F,1,0),0)=0,"X","_")</f>
        <v>_</v>
      </c>
      <c r="D1331" t="str">
        <f t="shared" si="60"/>
        <v>X</v>
      </c>
      <c r="E1331" t="str">
        <f ca="1">IFERROR(IF(AND(B1331&amp;C1331&amp;D1331="___",INDIRECT("Inventory!A"&amp;MATCH(VLOOKUP(A1331,Inventory!E:E,1,0),Inventory!E:E,0))&lt;&gt;INDIRECT("'Full Inventory'!B"&amp;MATCH(VLOOKUP(A1331,'Full Inventory'!F:F,1,0),'Full Inventory'!F:F,0))),"X","_"),"_")</f>
        <v>_</v>
      </c>
      <c r="K1331" t="str">
        <f t="shared" ca="1" si="61"/>
        <v>__X_</v>
      </c>
      <c r="L1331" t="str">
        <f t="shared" ca="1" si="62"/>
        <v/>
      </c>
      <c r="M1331" t="str">
        <f>IFERROR(INDEX(Inventory!A:A,MATCH(Scan!A1331,Inventory!E:E,0)),"")</f>
        <v/>
      </c>
    </row>
    <row r="1332" spans="2:13" x14ac:dyDescent="0.25">
      <c r="B1332" t="str">
        <f>IF(IFERROR(VLOOKUP(TRIM(A1332),Inventory!E:E,1,0),0)=0,"X","_")</f>
        <v>_</v>
      </c>
      <c r="C1332" t="str">
        <f>IF(IFERROR(VLOOKUP(TRIM(A1332),'Full Inventory'!F:F,1,0),0)=0,"X","_")</f>
        <v>_</v>
      </c>
      <c r="D1332" t="str">
        <f t="shared" si="60"/>
        <v>X</v>
      </c>
      <c r="E1332" t="str">
        <f ca="1">IFERROR(IF(AND(B1332&amp;C1332&amp;D1332="___",INDIRECT("Inventory!A"&amp;MATCH(VLOOKUP(A1332,Inventory!E:E,1,0),Inventory!E:E,0))&lt;&gt;INDIRECT("'Full Inventory'!B"&amp;MATCH(VLOOKUP(A1332,'Full Inventory'!F:F,1,0),'Full Inventory'!F:F,0))),"X","_"),"_")</f>
        <v>_</v>
      </c>
      <c r="K1332" t="str">
        <f t="shared" ca="1" si="61"/>
        <v>__X_</v>
      </c>
      <c r="L1332" t="str">
        <f t="shared" ca="1" si="62"/>
        <v/>
      </c>
      <c r="M1332" t="str">
        <f>IFERROR(INDEX(Inventory!A:A,MATCH(Scan!A1332,Inventory!E:E,0)),"")</f>
        <v/>
      </c>
    </row>
    <row r="1333" spans="2:13" x14ac:dyDescent="0.25">
      <c r="B1333" t="str">
        <f>IF(IFERROR(VLOOKUP(TRIM(A1333),Inventory!E:E,1,0),0)=0,"X","_")</f>
        <v>_</v>
      </c>
      <c r="C1333" t="str">
        <f>IF(IFERROR(VLOOKUP(TRIM(A1333),'Full Inventory'!F:F,1,0),0)=0,"X","_")</f>
        <v>_</v>
      </c>
      <c r="D1333" t="str">
        <f t="shared" si="60"/>
        <v>X</v>
      </c>
      <c r="E1333" t="str">
        <f ca="1">IFERROR(IF(AND(B1333&amp;C1333&amp;D1333="___",INDIRECT("Inventory!A"&amp;MATCH(VLOOKUP(A1333,Inventory!E:E,1,0),Inventory!E:E,0))&lt;&gt;INDIRECT("'Full Inventory'!B"&amp;MATCH(VLOOKUP(A1333,'Full Inventory'!F:F,1,0),'Full Inventory'!F:F,0))),"X","_"),"_")</f>
        <v>_</v>
      </c>
      <c r="K1333" t="str">
        <f t="shared" ca="1" si="61"/>
        <v>__X_</v>
      </c>
      <c r="L1333" t="str">
        <f t="shared" ca="1" si="62"/>
        <v/>
      </c>
      <c r="M1333" t="str">
        <f>IFERROR(INDEX(Inventory!A:A,MATCH(Scan!A1333,Inventory!E:E,0)),"")</f>
        <v/>
      </c>
    </row>
    <row r="1334" spans="2:13" x14ac:dyDescent="0.25">
      <c r="B1334" t="str">
        <f>IF(IFERROR(VLOOKUP(TRIM(A1334),Inventory!E:E,1,0),0)=0,"X","_")</f>
        <v>_</v>
      </c>
      <c r="C1334" t="str">
        <f>IF(IFERROR(VLOOKUP(TRIM(A1334),'Full Inventory'!F:F,1,0),0)=0,"X","_")</f>
        <v>_</v>
      </c>
      <c r="D1334" t="str">
        <f t="shared" si="60"/>
        <v>X</v>
      </c>
      <c r="E1334" t="str">
        <f ca="1">IFERROR(IF(AND(B1334&amp;C1334&amp;D1334="___",INDIRECT("Inventory!A"&amp;MATCH(VLOOKUP(A1334,Inventory!E:E,1,0),Inventory!E:E,0))&lt;&gt;INDIRECT("'Full Inventory'!B"&amp;MATCH(VLOOKUP(A1334,'Full Inventory'!F:F,1,0),'Full Inventory'!F:F,0))),"X","_"),"_")</f>
        <v>_</v>
      </c>
      <c r="K1334" t="str">
        <f t="shared" ca="1" si="61"/>
        <v>__X_</v>
      </c>
      <c r="L1334" t="str">
        <f t="shared" ca="1" si="62"/>
        <v/>
      </c>
      <c r="M1334" t="str">
        <f>IFERROR(INDEX(Inventory!A:A,MATCH(Scan!A1334,Inventory!E:E,0)),"")</f>
        <v/>
      </c>
    </row>
    <row r="1335" spans="2:13" x14ac:dyDescent="0.25">
      <c r="B1335" t="str">
        <f>IF(IFERROR(VLOOKUP(TRIM(A1335),Inventory!E:E,1,0),0)=0,"X","_")</f>
        <v>_</v>
      </c>
      <c r="C1335" t="str">
        <f>IF(IFERROR(VLOOKUP(TRIM(A1335),'Full Inventory'!F:F,1,0),0)=0,"X","_")</f>
        <v>_</v>
      </c>
      <c r="D1335" t="str">
        <f t="shared" si="60"/>
        <v>X</v>
      </c>
      <c r="E1335" t="str">
        <f ca="1">IFERROR(IF(AND(B1335&amp;C1335&amp;D1335="___",INDIRECT("Inventory!A"&amp;MATCH(VLOOKUP(A1335,Inventory!E:E,1,0),Inventory!E:E,0))&lt;&gt;INDIRECT("'Full Inventory'!B"&amp;MATCH(VLOOKUP(A1335,'Full Inventory'!F:F,1,0),'Full Inventory'!F:F,0))),"X","_"),"_")</f>
        <v>_</v>
      </c>
      <c r="K1335" t="str">
        <f t="shared" ca="1" si="61"/>
        <v>__X_</v>
      </c>
      <c r="L1335" t="str">
        <f t="shared" ca="1" si="62"/>
        <v/>
      </c>
      <c r="M1335" t="str">
        <f>IFERROR(INDEX(Inventory!A:A,MATCH(Scan!A1335,Inventory!E:E,0)),"")</f>
        <v/>
      </c>
    </row>
    <row r="1336" spans="2:13" x14ac:dyDescent="0.25">
      <c r="B1336" t="str">
        <f>IF(IFERROR(VLOOKUP(TRIM(A1336),Inventory!E:E,1,0),0)=0,"X","_")</f>
        <v>_</v>
      </c>
      <c r="C1336" t="str">
        <f>IF(IFERROR(VLOOKUP(TRIM(A1336),'Full Inventory'!F:F,1,0),0)=0,"X","_")</f>
        <v>_</v>
      </c>
      <c r="D1336" t="str">
        <f t="shared" si="60"/>
        <v>X</v>
      </c>
      <c r="E1336" t="str">
        <f ca="1">IFERROR(IF(AND(B1336&amp;C1336&amp;D1336="___",INDIRECT("Inventory!A"&amp;MATCH(VLOOKUP(A1336,Inventory!E:E,1,0),Inventory!E:E,0))&lt;&gt;INDIRECT("'Full Inventory'!B"&amp;MATCH(VLOOKUP(A1336,'Full Inventory'!F:F,1,0),'Full Inventory'!F:F,0))),"X","_"),"_")</f>
        <v>_</v>
      </c>
      <c r="K1336" t="str">
        <f t="shared" ca="1" si="61"/>
        <v>__X_</v>
      </c>
      <c r="L1336" t="str">
        <f t="shared" ca="1" si="62"/>
        <v/>
      </c>
      <c r="M1336" t="str">
        <f>IFERROR(INDEX(Inventory!A:A,MATCH(Scan!A1336,Inventory!E:E,0)),"")</f>
        <v/>
      </c>
    </row>
    <row r="1337" spans="2:13" x14ac:dyDescent="0.25">
      <c r="B1337" t="str">
        <f>IF(IFERROR(VLOOKUP(TRIM(A1337),Inventory!E:E,1,0),0)=0,"X","_")</f>
        <v>_</v>
      </c>
      <c r="C1337" t="str">
        <f>IF(IFERROR(VLOOKUP(TRIM(A1337),'Full Inventory'!F:F,1,0),0)=0,"X","_")</f>
        <v>_</v>
      </c>
      <c r="D1337" t="str">
        <f t="shared" si="60"/>
        <v>X</v>
      </c>
      <c r="E1337" t="str">
        <f ca="1">IFERROR(IF(AND(B1337&amp;C1337&amp;D1337="___",INDIRECT("Inventory!A"&amp;MATCH(VLOOKUP(A1337,Inventory!E:E,1,0),Inventory!E:E,0))&lt;&gt;INDIRECT("'Full Inventory'!B"&amp;MATCH(VLOOKUP(A1337,'Full Inventory'!F:F,1,0),'Full Inventory'!F:F,0))),"X","_"),"_")</f>
        <v>_</v>
      </c>
      <c r="K1337" t="str">
        <f t="shared" ca="1" si="61"/>
        <v>__X_</v>
      </c>
      <c r="L1337" t="str">
        <f t="shared" ca="1" si="62"/>
        <v/>
      </c>
      <c r="M1337" t="str">
        <f>IFERROR(INDEX(Inventory!A:A,MATCH(Scan!A1337,Inventory!E:E,0)),"")</f>
        <v/>
      </c>
    </row>
    <row r="1338" spans="2:13" x14ac:dyDescent="0.25">
      <c r="B1338" t="str">
        <f>IF(IFERROR(VLOOKUP(TRIM(A1338),Inventory!E:E,1,0),0)=0,"X","_")</f>
        <v>_</v>
      </c>
      <c r="C1338" t="str">
        <f>IF(IFERROR(VLOOKUP(TRIM(A1338),'Full Inventory'!F:F,1,0),0)=0,"X","_")</f>
        <v>_</v>
      </c>
      <c r="D1338" t="str">
        <f t="shared" si="60"/>
        <v>X</v>
      </c>
      <c r="E1338" t="str">
        <f ca="1">IFERROR(IF(AND(B1338&amp;C1338&amp;D1338="___",INDIRECT("Inventory!A"&amp;MATCH(VLOOKUP(A1338,Inventory!E:E,1,0),Inventory!E:E,0))&lt;&gt;INDIRECT("'Full Inventory'!B"&amp;MATCH(VLOOKUP(A1338,'Full Inventory'!F:F,1,0),'Full Inventory'!F:F,0))),"X","_"),"_")</f>
        <v>_</v>
      </c>
      <c r="K1338" t="str">
        <f t="shared" ca="1" si="61"/>
        <v>__X_</v>
      </c>
      <c r="L1338" t="str">
        <f t="shared" ca="1" si="62"/>
        <v/>
      </c>
      <c r="M1338" t="str">
        <f>IFERROR(INDEX(Inventory!A:A,MATCH(Scan!A1338,Inventory!E:E,0)),"")</f>
        <v/>
      </c>
    </row>
    <row r="1339" spans="2:13" x14ac:dyDescent="0.25">
      <c r="B1339" t="str">
        <f>IF(IFERROR(VLOOKUP(TRIM(A1339),Inventory!E:E,1,0),0)=0,"X","_")</f>
        <v>_</v>
      </c>
      <c r="C1339" t="str">
        <f>IF(IFERROR(VLOOKUP(TRIM(A1339),'Full Inventory'!F:F,1,0),0)=0,"X","_")</f>
        <v>_</v>
      </c>
      <c r="D1339" t="str">
        <f t="shared" si="60"/>
        <v>X</v>
      </c>
      <c r="E1339" t="str">
        <f ca="1">IFERROR(IF(AND(B1339&amp;C1339&amp;D1339="___",INDIRECT("Inventory!A"&amp;MATCH(VLOOKUP(A1339,Inventory!E:E,1,0),Inventory!E:E,0))&lt;&gt;INDIRECT("'Full Inventory'!B"&amp;MATCH(VLOOKUP(A1339,'Full Inventory'!F:F,1,0),'Full Inventory'!F:F,0))),"X","_"),"_")</f>
        <v>_</v>
      </c>
      <c r="K1339" t="str">
        <f t="shared" ca="1" si="61"/>
        <v>__X_</v>
      </c>
      <c r="L1339" t="str">
        <f t="shared" ca="1" si="62"/>
        <v/>
      </c>
      <c r="M1339" t="str">
        <f>IFERROR(INDEX(Inventory!A:A,MATCH(Scan!A1339,Inventory!E:E,0)),"")</f>
        <v/>
      </c>
    </row>
    <row r="1340" spans="2:13" x14ac:dyDescent="0.25">
      <c r="B1340" t="str">
        <f>IF(IFERROR(VLOOKUP(TRIM(A1340),Inventory!E:E,1,0),0)=0,"X","_")</f>
        <v>_</v>
      </c>
      <c r="C1340" t="str">
        <f>IF(IFERROR(VLOOKUP(TRIM(A1340),'Full Inventory'!F:F,1,0),0)=0,"X","_")</f>
        <v>_</v>
      </c>
      <c r="D1340" t="str">
        <f t="shared" si="60"/>
        <v>X</v>
      </c>
      <c r="E1340" t="str">
        <f ca="1">IFERROR(IF(AND(B1340&amp;C1340&amp;D1340="___",INDIRECT("Inventory!A"&amp;MATCH(VLOOKUP(A1340,Inventory!E:E,1,0),Inventory!E:E,0))&lt;&gt;INDIRECT("'Full Inventory'!B"&amp;MATCH(VLOOKUP(A1340,'Full Inventory'!F:F,1,0),'Full Inventory'!F:F,0))),"X","_"),"_")</f>
        <v>_</v>
      </c>
      <c r="K1340" t="str">
        <f t="shared" ca="1" si="61"/>
        <v>__X_</v>
      </c>
      <c r="L1340" t="str">
        <f t="shared" ca="1" si="62"/>
        <v/>
      </c>
      <c r="M1340" t="str">
        <f>IFERROR(INDEX(Inventory!A:A,MATCH(Scan!A1340,Inventory!E:E,0)),"")</f>
        <v/>
      </c>
    </row>
    <row r="1341" spans="2:13" x14ac:dyDescent="0.25">
      <c r="B1341" t="str">
        <f>IF(IFERROR(VLOOKUP(TRIM(A1341),Inventory!E:E,1,0),0)=0,"X","_")</f>
        <v>_</v>
      </c>
      <c r="C1341" t="str">
        <f>IF(IFERROR(VLOOKUP(TRIM(A1341),'Full Inventory'!F:F,1,0),0)=0,"X","_")</f>
        <v>_</v>
      </c>
      <c r="D1341" t="str">
        <f t="shared" si="60"/>
        <v>X</v>
      </c>
      <c r="E1341" t="str">
        <f ca="1">IFERROR(IF(AND(B1341&amp;C1341&amp;D1341="___",INDIRECT("Inventory!A"&amp;MATCH(VLOOKUP(A1341,Inventory!E:E,1,0),Inventory!E:E,0))&lt;&gt;INDIRECT("'Full Inventory'!B"&amp;MATCH(VLOOKUP(A1341,'Full Inventory'!F:F,1,0),'Full Inventory'!F:F,0))),"X","_"),"_")</f>
        <v>_</v>
      </c>
      <c r="K1341" t="str">
        <f t="shared" ca="1" si="61"/>
        <v>__X_</v>
      </c>
      <c r="L1341" t="str">
        <f t="shared" ca="1" si="62"/>
        <v/>
      </c>
      <c r="M1341" t="str">
        <f>IFERROR(INDEX(Inventory!A:A,MATCH(Scan!A1341,Inventory!E:E,0)),"")</f>
        <v/>
      </c>
    </row>
    <row r="1342" spans="2:13" x14ac:dyDescent="0.25">
      <c r="B1342" t="str">
        <f>IF(IFERROR(VLOOKUP(TRIM(A1342),Inventory!E:E,1,0),0)=0,"X","_")</f>
        <v>_</v>
      </c>
      <c r="C1342" t="str">
        <f>IF(IFERROR(VLOOKUP(TRIM(A1342),'Full Inventory'!F:F,1,0),0)=0,"X","_")</f>
        <v>_</v>
      </c>
      <c r="D1342" t="str">
        <f t="shared" si="60"/>
        <v>X</v>
      </c>
      <c r="E1342" t="str">
        <f ca="1">IFERROR(IF(AND(B1342&amp;C1342&amp;D1342="___",INDIRECT("Inventory!A"&amp;MATCH(VLOOKUP(A1342,Inventory!E:E,1,0),Inventory!E:E,0))&lt;&gt;INDIRECT("'Full Inventory'!B"&amp;MATCH(VLOOKUP(A1342,'Full Inventory'!F:F,1,0),'Full Inventory'!F:F,0))),"X","_"),"_")</f>
        <v>_</v>
      </c>
      <c r="K1342" t="str">
        <f t="shared" ca="1" si="61"/>
        <v>__X_</v>
      </c>
      <c r="L1342" t="str">
        <f t="shared" ca="1" si="62"/>
        <v/>
      </c>
      <c r="M1342" t="str">
        <f>IFERROR(INDEX(Inventory!A:A,MATCH(Scan!A1342,Inventory!E:E,0)),"")</f>
        <v/>
      </c>
    </row>
    <row r="1343" spans="2:13" x14ac:dyDescent="0.25">
      <c r="B1343" t="str">
        <f>IF(IFERROR(VLOOKUP(TRIM(A1343),Inventory!E:E,1,0),0)=0,"X","_")</f>
        <v>_</v>
      </c>
      <c r="C1343" t="str">
        <f>IF(IFERROR(VLOOKUP(TRIM(A1343),'Full Inventory'!F:F,1,0),0)=0,"X","_")</f>
        <v>_</v>
      </c>
      <c r="D1343" t="str">
        <f t="shared" si="60"/>
        <v>X</v>
      </c>
      <c r="E1343" t="str">
        <f ca="1">IFERROR(IF(AND(B1343&amp;C1343&amp;D1343="___",INDIRECT("Inventory!A"&amp;MATCH(VLOOKUP(A1343,Inventory!E:E,1,0),Inventory!E:E,0))&lt;&gt;INDIRECT("'Full Inventory'!B"&amp;MATCH(VLOOKUP(A1343,'Full Inventory'!F:F,1,0),'Full Inventory'!F:F,0))),"X","_"),"_")</f>
        <v>_</v>
      </c>
      <c r="K1343" t="str">
        <f t="shared" ca="1" si="61"/>
        <v>__X_</v>
      </c>
      <c r="L1343" t="str">
        <f t="shared" ca="1" si="62"/>
        <v/>
      </c>
      <c r="M1343" t="str">
        <f>IFERROR(INDEX(Inventory!A:A,MATCH(Scan!A1343,Inventory!E:E,0)),"")</f>
        <v/>
      </c>
    </row>
    <row r="1344" spans="2:13" x14ac:dyDescent="0.25">
      <c r="B1344" t="str">
        <f>IF(IFERROR(VLOOKUP(TRIM(A1344),Inventory!E:E,1,0),0)=0,"X","_")</f>
        <v>_</v>
      </c>
      <c r="C1344" t="str">
        <f>IF(IFERROR(VLOOKUP(TRIM(A1344),'Full Inventory'!F:F,1,0),0)=0,"X","_")</f>
        <v>_</v>
      </c>
      <c r="D1344" t="str">
        <f t="shared" si="60"/>
        <v>X</v>
      </c>
      <c r="E1344" t="str">
        <f ca="1">IFERROR(IF(AND(B1344&amp;C1344&amp;D1344="___",INDIRECT("Inventory!A"&amp;MATCH(VLOOKUP(A1344,Inventory!E:E,1,0),Inventory!E:E,0))&lt;&gt;INDIRECT("'Full Inventory'!B"&amp;MATCH(VLOOKUP(A1344,'Full Inventory'!F:F,1,0),'Full Inventory'!F:F,0))),"X","_"),"_")</f>
        <v>_</v>
      </c>
      <c r="K1344" t="str">
        <f t="shared" ca="1" si="61"/>
        <v>__X_</v>
      </c>
      <c r="L1344" t="str">
        <f t="shared" ca="1" si="62"/>
        <v/>
      </c>
      <c r="M1344" t="str">
        <f>IFERROR(INDEX(Inventory!A:A,MATCH(Scan!A1344,Inventory!E:E,0)),"")</f>
        <v/>
      </c>
    </row>
    <row r="1345" spans="2:13" x14ac:dyDescent="0.25">
      <c r="B1345" t="str">
        <f>IF(IFERROR(VLOOKUP(TRIM(A1345),Inventory!E:E,1,0),0)=0,"X","_")</f>
        <v>_</v>
      </c>
      <c r="C1345" t="str">
        <f>IF(IFERROR(VLOOKUP(TRIM(A1345),'Full Inventory'!F:F,1,0),0)=0,"X","_")</f>
        <v>_</v>
      </c>
      <c r="D1345" t="str">
        <f t="shared" si="60"/>
        <v>X</v>
      </c>
      <c r="E1345" t="str">
        <f ca="1">IFERROR(IF(AND(B1345&amp;C1345&amp;D1345="___",INDIRECT("Inventory!A"&amp;MATCH(VLOOKUP(A1345,Inventory!E:E,1,0),Inventory!E:E,0))&lt;&gt;INDIRECT("'Full Inventory'!B"&amp;MATCH(VLOOKUP(A1345,'Full Inventory'!F:F,1,0),'Full Inventory'!F:F,0))),"X","_"),"_")</f>
        <v>_</v>
      </c>
      <c r="K1345" t="str">
        <f t="shared" ca="1" si="61"/>
        <v>__X_</v>
      </c>
      <c r="L1345" t="str">
        <f t="shared" ca="1" si="62"/>
        <v/>
      </c>
      <c r="M1345" t="str">
        <f>IFERROR(INDEX(Inventory!A:A,MATCH(Scan!A1345,Inventory!E:E,0)),"")</f>
        <v/>
      </c>
    </row>
    <row r="1346" spans="2:13" x14ac:dyDescent="0.25">
      <c r="B1346" t="str">
        <f>IF(IFERROR(VLOOKUP(TRIM(A1346),Inventory!E:E,1,0),0)=0,"X","_")</f>
        <v>_</v>
      </c>
      <c r="C1346" t="str">
        <f>IF(IFERROR(VLOOKUP(TRIM(A1346),'Full Inventory'!F:F,1,0),0)=0,"X","_")</f>
        <v>_</v>
      </c>
      <c r="D1346" t="str">
        <f t="shared" ref="D1346:D1409" si="63">IF(TRIM(A1346)&lt;&gt;"","_","X")</f>
        <v>X</v>
      </c>
      <c r="E1346" t="str">
        <f ca="1">IFERROR(IF(AND(B1346&amp;C1346&amp;D1346="___",INDIRECT("Inventory!A"&amp;MATCH(VLOOKUP(A1346,Inventory!E:E,1,0),Inventory!E:E,0))&lt;&gt;INDIRECT("'Full Inventory'!B"&amp;MATCH(VLOOKUP(A1346,'Full Inventory'!F:F,1,0),'Full Inventory'!F:F,0))),"X","_"),"_")</f>
        <v>_</v>
      </c>
      <c r="K1346" t="str">
        <f t="shared" ca="1" si="61"/>
        <v>__X_</v>
      </c>
      <c r="L1346" t="str">
        <f t="shared" ca="1" si="62"/>
        <v/>
      </c>
      <c r="M1346" t="str">
        <f>IFERROR(INDEX(Inventory!A:A,MATCH(Scan!A1346,Inventory!E:E,0)),"")</f>
        <v/>
      </c>
    </row>
    <row r="1347" spans="2:13" x14ac:dyDescent="0.25">
      <c r="B1347" t="str">
        <f>IF(IFERROR(VLOOKUP(TRIM(A1347),Inventory!E:E,1,0),0)=0,"X","_")</f>
        <v>_</v>
      </c>
      <c r="C1347" t="str">
        <f>IF(IFERROR(VLOOKUP(TRIM(A1347),'Full Inventory'!F:F,1,0),0)=0,"X","_")</f>
        <v>_</v>
      </c>
      <c r="D1347" t="str">
        <f t="shared" si="63"/>
        <v>X</v>
      </c>
      <c r="E1347" t="str">
        <f ca="1">IFERROR(IF(AND(B1347&amp;C1347&amp;D1347="___",INDIRECT("Inventory!A"&amp;MATCH(VLOOKUP(A1347,Inventory!E:E,1,0),Inventory!E:E,0))&lt;&gt;INDIRECT("'Full Inventory'!B"&amp;MATCH(VLOOKUP(A1347,'Full Inventory'!F:F,1,0),'Full Inventory'!F:F,0))),"X","_"),"_")</f>
        <v>_</v>
      </c>
      <c r="K1347" t="str">
        <f t="shared" ref="K1347:K1410" ca="1" si="64">B1347&amp;C1347&amp;D1347&amp;E1347</f>
        <v>__X_</v>
      </c>
      <c r="L1347" t="str">
        <f t="shared" ref="L1347:L1410" ca="1" si="65">IF(K1347="____","OK",IF(K1347="_X__","NOT IN FULL INVENTORY",IF(K1347="XX__","NOT IN FULL INVENTORY AND INVENTORY",IF(K1347="X___","NOT IN INVENTORY",IF(K1347="___X","DIFFERENT NAMES IN FULL INVENTORY AND INVENTORY","")))))</f>
        <v/>
      </c>
      <c r="M1347" t="str">
        <f>IFERROR(INDEX(Inventory!A:A,MATCH(Scan!A1347,Inventory!E:E,0)),"")</f>
        <v/>
      </c>
    </row>
    <row r="1348" spans="2:13" x14ac:dyDescent="0.25">
      <c r="B1348" t="str">
        <f>IF(IFERROR(VLOOKUP(TRIM(A1348),Inventory!E:E,1,0),0)=0,"X","_")</f>
        <v>_</v>
      </c>
      <c r="C1348" t="str">
        <f>IF(IFERROR(VLOOKUP(TRIM(A1348),'Full Inventory'!F:F,1,0),0)=0,"X","_")</f>
        <v>_</v>
      </c>
      <c r="D1348" t="str">
        <f t="shared" si="63"/>
        <v>X</v>
      </c>
      <c r="E1348" t="str">
        <f ca="1">IFERROR(IF(AND(B1348&amp;C1348&amp;D1348="___",INDIRECT("Inventory!A"&amp;MATCH(VLOOKUP(A1348,Inventory!E:E,1,0),Inventory!E:E,0))&lt;&gt;INDIRECT("'Full Inventory'!B"&amp;MATCH(VLOOKUP(A1348,'Full Inventory'!F:F,1,0),'Full Inventory'!F:F,0))),"X","_"),"_")</f>
        <v>_</v>
      </c>
      <c r="K1348" t="str">
        <f t="shared" ca="1" si="64"/>
        <v>__X_</v>
      </c>
      <c r="L1348" t="str">
        <f t="shared" ca="1" si="65"/>
        <v/>
      </c>
      <c r="M1348" t="str">
        <f>IFERROR(INDEX(Inventory!A:A,MATCH(Scan!A1348,Inventory!E:E,0)),"")</f>
        <v/>
      </c>
    </row>
    <row r="1349" spans="2:13" x14ac:dyDescent="0.25">
      <c r="B1349" t="str">
        <f>IF(IFERROR(VLOOKUP(TRIM(A1349),Inventory!E:E,1,0),0)=0,"X","_")</f>
        <v>_</v>
      </c>
      <c r="C1349" t="str">
        <f>IF(IFERROR(VLOOKUP(TRIM(A1349),'Full Inventory'!F:F,1,0),0)=0,"X","_")</f>
        <v>_</v>
      </c>
      <c r="D1349" t="str">
        <f t="shared" si="63"/>
        <v>X</v>
      </c>
      <c r="E1349" t="str">
        <f ca="1">IFERROR(IF(AND(B1349&amp;C1349&amp;D1349="___",INDIRECT("Inventory!A"&amp;MATCH(VLOOKUP(A1349,Inventory!E:E,1,0),Inventory!E:E,0))&lt;&gt;INDIRECT("'Full Inventory'!B"&amp;MATCH(VLOOKUP(A1349,'Full Inventory'!F:F,1,0),'Full Inventory'!F:F,0))),"X","_"),"_")</f>
        <v>_</v>
      </c>
      <c r="K1349" t="str">
        <f t="shared" ca="1" si="64"/>
        <v>__X_</v>
      </c>
      <c r="L1349" t="str">
        <f t="shared" ca="1" si="65"/>
        <v/>
      </c>
      <c r="M1349" t="str">
        <f>IFERROR(INDEX(Inventory!A:A,MATCH(Scan!A1349,Inventory!E:E,0)),"")</f>
        <v/>
      </c>
    </row>
    <row r="1350" spans="2:13" x14ac:dyDescent="0.25">
      <c r="B1350" t="str">
        <f>IF(IFERROR(VLOOKUP(TRIM(A1350),Inventory!E:E,1,0),0)=0,"X","_")</f>
        <v>_</v>
      </c>
      <c r="C1350" t="str">
        <f>IF(IFERROR(VLOOKUP(TRIM(A1350),'Full Inventory'!F:F,1,0),0)=0,"X","_")</f>
        <v>_</v>
      </c>
      <c r="D1350" t="str">
        <f t="shared" si="63"/>
        <v>X</v>
      </c>
      <c r="E1350" t="str">
        <f ca="1">IFERROR(IF(AND(B1350&amp;C1350&amp;D1350="___",INDIRECT("Inventory!A"&amp;MATCH(VLOOKUP(A1350,Inventory!E:E,1,0),Inventory!E:E,0))&lt;&gt;INDIRECT("'Full Inventory'!B"&amp;MATCH(VLOOKUP(A1350,'Full Inventory'!F:F,1,0),'Full Inventory'!F:F,0))),"X","_"),"_")</f>
        <v>_</v>
      </c>
      <c r="K1350" t="str">
        <f t="shared" ca="1" si="64"/>
        <v>__X_</v>
      </c>
      <c r="L1350" t="str">
        <f t="shared" ca="1" si="65"/>
        <v/>
      </c>
      <c r="M1350" t="str">
        <f>IFERROR(INDEX(Inventory!A:A,MATCH(Scan!A1350,Inventory!E:E,0)),"")</f>
        <v/>
      </c>
    </row>
    <row r="1351" spans="2:13" x14ac:dyDescent="0.25">
      <c r="B1351" t="str">
        <f>IF(IFERROR(VLOOKUP(TRIM(A1351),Inventory!E:E,1,0),0)=0,"X","_")</f>
        <v>_</v>
      </c>
      <c r="C1351" t="str">
        <f>IF(IFERROR(VLOOKUP(TRIM(A1351),'Full Inventory'!F:F,1,0),0)=0,"X","_")</f>
        <v>_</v>
      </c>
      <c r="D1351" t="str">
        <f t="shared" si="63"/>
        <v>X</v>
      </c>
      <c r="E1351" t="str">
        <f ca="1">IFERROR(IF(AND(B1351&amp;C1351&amp;D1351="___",INDIRECT("Inventory!A"&amp;MATCH(VLOOKUP(A1351,Inventory!E:E,1,0),Inventory!E:E,0))&lt;&gt;INDIRECT("'Full Inventory'!B"&amp;MATCH(VLOOKUP(A1351,'Full Inventory'!F:F,1,0),'Full Inventory'!F:F,0))),"X","_"),"_")</f>
        <v>_</v>
      </c>
      <c r="K1351" t="str">
        <f t="shared" ca="1" si="64"/>
        <v>__X_</v>
      </c>
      <c r="L1351" t="str">
        <f t="shared" ca="1" si="65"/>
        <v/>
      </c>
      <c r="M1351" t="str">
        <f>IFERROR(INDEX(Inventory!A:A,MATCH(Scan!A1351,Inventory!E:E,0)),"")</f>
        <v/>
      </c>
    </row>
    <row r="1352" spans="2:13" x14ac:dyDescent="0.25">
      <c r="B1352" t="str">
        <f>IF(IFERROR(VLOOKUP(TRIM(A1352),Inventory!E:E,1,0),0)=0,"X","_")</f>
        <v>_</v>
      </c>
      <c r="C1352" t="str">
        <f>IF(IFERROR(VLOOKUP(TRIM(A1352),'Full Inventory'!F:F,1,0),0)=0,"X","_")</f>
        <v>_</v>
      </c>
      <c r="D1352" t="str">
        <f t="shared" si="63"/>
        <v>X</v>
      </c>
      <c r="E1352" t="str">
        <f ca="1">IFERROR(IF(AND(B1352&amp;C1352&amp;D1352="___",INDIRECT("Inventory!A"&amp;MATCH(VLOOKUP(A1352,Inventory!E:E,1,0),Inventory!E:E,0))&lt;&gt;INDIRECT("'Full Inventory'!B"&amp;MATCH(VLOOKUP(A1352,'Full Inventory'!F:F,1,0),'Full Inventory'!F:F,0))),"X","_"),"_")</f>
        <v>_</v>
      </c>
      <c r="K1352" t="str">
        <f t="shared" ca="1" si="64"/>
        <v>__X_</v>
      </c>
      <c r="L1352" t="str">
        <f t="shared" ca="1" si="65"/>
        <v/>
      </c>
      <c r="M1352" t="str">
        <f>IFERROR(INDEX(Inventory!A:A,MATCH(Scan!A1352,Inventory!E:E,0)),"")</f>
        <v/>
      </c>
    </row>
    <row r="1353" spans="2:13" x14ac:dyDescent="0.25">
      <c r="B1353" t="str">
        <f>IF(IFERROR(VLOOKUP(TRIM(A1353),Inventory!E:E,1,0),0)=0,"X","_")</f>
        <v>_</v>
      </c>
      <c r="C1353" t="str">
        <f>IF(IFERROR(VLOOKUP(TRIM(A1353),'Full Inventory'!F:F,1,0),0)=0,"X","_")</f>
        <v>_</v>
      </c>
      <c r="D1353" t="str">
        <f t="shared" si="63"/>
        <v>X</v>
      </c>
      <c r="E1353" t="str">
        <f ca="1">IFERROR(IF(AND(B1353&amp;C1353&amp;D1353="___",INDIRECT("Inventory!A"&amp;MATCH(VLOOKUP(A1353,Inventory!E:E,1,0),Inventory!E:E,0))&lt;&gt;INDIRECT("'Full Inventory'!B"&amp;MATCH(VLOOKUP(A1353,'Full Inventory'!F:F,1,0),'Full Inventory'!F:F,0))),"X","_"),"_")</f>
        <v>_</v>
      </c>
      <c r="K1353" t="str">
        <f t="shared" ca="1" si="64"/>
        <v>__X_</v>
      </c>
      <c r="L1353" t="str">
        <f t="shared" ca="1" si="65"/>
        <v/>
      </c>
      <c r="M1353" t="str">
        <f>IFERROR(INDEX(Inventory!A:A,MATCH(Scan!A1353,Inventory!E:E,0)),"")</f>
        <v/>
      </c>
    </row>
    <row r="1354" spans="2:13" x14ac:dyDescent="0.25">
      <c r="B1354" t="str">
        <f>IF(IFERROR(VLOOKUP(TRIM(A1354),Inventory!E:E,1,0),0)=0,"X","_")</f>
        <v>_</v>
      </c>
      <c r="C1354" t="str">
        <f>IF(IFERROR(VLOOKUP(TRIM(A1354),'Full Inventory'!F:F,1,0),0)=0,"X","_")</f>
        <v>_</v>
      </c>
      <c r="D1354" t="str">
        <f t="shared" si="63"/>
        <v>X</v>
      </c>
      <c r="E1354" t="str">
        <f ca="1">IFERROR(IF(AND(B1354&amp;C1354&amp;D1354="___",INDIRECT("Inventory!A"&amp;MATCH(VLOOKUP(A1354,Inventory!E:E,1,0),Inventory!E:E,0))&lt;&gt;INDIRECT("'Full Inventory'!B"&amp;MATCH(VLOOKUP(A1354,'Full Inventory'!F:F,1,0),'Full Inventory'!F:F,0))),"X","_"),"_")</f>
        <v>_</v>
      </c>
      <c r="K1354" t="str">
        <f t="shared" ca="1" si="64"/>
        <v>__X_</v>
      </c>
      <c r="L1354" t="str">
        <f t="shared" ca="1" si="65"/>
        <v/>
      </c>
      <c r="M1354" t="str">
        <f>IFERROR(INDEX(Inventory!A:A,MATCH(Scan!A1354,Inventory!E:E,0)),"")</f>
        <v/>
      </c>
    </row>
    <row r="1355" spans="2:13" x14ac:dyDescent="0.25">
      <c r="B1355" t="str">
        <f>IF(IFERROR(VLOOKUP(TRIM(A1355),Inventory!E:E,1,0),0)=0,"X","_")</f>
        <v>_</v>
      </c>
      <c r="C1355" t="str">
        <f>IF(IFERROR(VLOOKUP(TRIM(A1355),'Full Inventory'!F:F,1,0),0)=0,"X","_")</f>
        <v>_</v>
      </c>
      <c r="D1355" t="str">
        <f t="shared" si="63"/>
        <v>X</v>
      </c>
      <c r="E1355" t="str">
        <f ca="1">IFERROR(IF(AND(B1355&amp;C1355&amp;D1355="___",INDIRECT("Inventory!A"&amp;MATCH(VLOOKUP(A1355,Inventory!E:E,1,0),Inventory!E:E,0))&lt;&gt;INDIRECT("'Full Inventory'!B"&amp;MATCH(VLOOKUP(A1355,'Full Inventory'!F:F,1,0),'Full Inventory'!F:F,0))),"X","_"),"_")</f>
        <v>_</v>
      </c>
      <c r="K1355" t="str">
        <f t="shared" ca="1" si="64"/>
        <v>__X_</v>
      </c>
      <c r="L1355" t="str">
        <f t="shared" ca="1" si="65"/>
        <v/>
      </c>
      <c r="M1355" t="str">
        <f>IFERROR(INDEX(Inventory!A:A,MATCH(Scan!A1355,Inventory!E:E,0)),"")</f>
        <v/>
      </c>
    </row>
    <row r="1356" spans="2:13" x14ac:dyDescent="0.25">
      <c r="B1356" t="str">
        <f>IF(IFERROR(VLOOKUP(TRIM(A1356),Inventory!E:E,1,0),0)=0,"X","_")</f>
        <v>_</v>
      </c>
      <c r="C1356" t="str">
        <f>IF(IFERROR(VLOOKUP(TRIM(A1356),'Full Inventory'!F:F,1,0),0)=0,"X","_")</f>
        <v>_</v>
      </c>
      <c r="D1356" t="str">
        <f t="shared" si="63"/>
        <v>X</v>
      </c>
      <c r="E1356" t="str">
        <f ca="1">IFERROR(IF(AND(B1356&amp;C1356&amp;D1356="___",INDIRECT("Inventory!A"&amp;MATCH(VLOOKUP(A1356,Inventory!E:E,1,0),Inventory!E:E,0))&lt;&gt;INDIRECT("'Full Inventory'!B"&amp;MATCH(VLOOKUP(A1356,'Full Inventory'!F:F,1,0),'Full Inventory'!F:F,0))),"X","_"),"_")</f>
        <v>_</v>
      </c>
      <c r="K1356" t="str">
        <f t="shared" ca="1" si="64"/>
        <v>__X_</v>
      </c>
      <c r="L1356" t="str">
        <f t="shared" ca="1" si="65"/>
        <v/>
      </c>
      <c r="M1356" t="str">
        <f>IFERROR(INDEX(Inventory!A:A,MATCH(Scan!A1356,Inventory!E:E,0)),"")</f>
        <v/>
      </c>
    </row>
    <row r="1357" spans="2:13" x14ac:dyDescent="0.25">
      <c r="B1357" t="str">
        <f>IF(IFERROR(VLOOKUP(TRIM(A1357),Inventory!E:E,1,0),0)=0,"X","_")</f>
        <v>_</v>
      </c>
      <c r="C1357" t="str">
        <f>IF(IFERROR(VLOOKUP(TRIM(A1357),'Full Inventory'!F:F,1,0),0)=0,"X","_")</f>
        <v>_</v>
      </c>
      <c r="D1357" t="str">
        <f t="shared" si="63"/>
        <v>X</v>
      </c>
      <c r="E1357" t="str">
        <f ca="1">IFERROR(IF(AND(B1357&amp;C1357&amp;D1357="___",INDIRECT("Inventory!A"&amp;MATCH(VLOOKUP(A1357,Inventory!E:E,1,0),Inventory!E:E,0))&lt;&gt;INDIRECT("'Full Inventory'!B"&amp;MATCH(VLOOKUP(A1357,'Full Inventory'!F:F,1,0),'Full Inventory'!F:F,0))),"X","_"),"_")</f>
        <v>_</v>
      </c>
      <c r="K1357" t="str">
        <f t="shared" ca="1" si="64"/>
        <v>__X_</v>
      </c>
      <c r="L1357" t="str">
        <f t="shared" ca="1" si="65"/>
        <v/>
      </c>
      <c r="M1357" t="str">
        <f>IFERROR(INDEX(Inventory!A:A,MATCH(Scan!A1357,Inventory!E:E,0)),"")</f>
        <v/>
      </c>
    </row>
    <row r="1358" spans="2:13" x14ac:dyDescent="0.25">
      <c r="B1358" t="str">
        <f>IF(IFERROR(VLOOKUP(TRIM(A1358),Inventory!E:E,1,0),0)=0,"X","_")</f>
        <v>_</v>
      </c>
      <c r="C1358" t="str">
        <f>IF(IFERROR(VLOOKUP(TRIM(A1358),'Full Inventory'!F:F,1,0),0)=0,"X","_")</f>
        <v>_</v>
      </c>
      <c r="D1358" t="str">
        <f t="shared" si="63"/>
        <v>X</v>
      </c>
      <c r="E1358" t="str">
        <f ca="1">IFERROR(IF(AND(B1358&amp;C1358&amp;D1358="___",INDIRECT("Inventory!A"&amp;MATCH(VLOOKUP(A1358,Inventory!E:E,1,0),Inventory!E:E,0))&lt;&gt;INDIRECT("'Full Inventory'!B"&amp;MATCH(VLOOKUP(A1358,'Full Inventory'!F:F,1,0),'Full Inventory'!F:F,0))),"X","_"),"_")</f>
        <v>_</v>
      </c>
      <c r="K1358" t="str">
        <f t="shared" ca="1" si="64"/>
        <v>__X_</v>
      </c>
      <c r="L1358" t="str">
        <f t="shared" ca="1" si="65"/>
        <v/>
      </c>
      <c r="M1358" t="str">
        <f>IFERROR(INDEX(Inventory!A:A,MATCH(Scan!A1358,Inventory!E:E,0)),"")</f>
        <v/>
      </c>
    </row>
    <row r="1359" spans="2:13" x14ac:dyDescent="0.25">
      <c r="B1359" t="str">
        <f>IF(IFERROR(VLOOKUP(TRIM(A1359),Inventory!E:E,1,0),0)=0,"X","_")</f>
        <v>_</v>
      </c>
      <c r="C1359" t="str">
        <f>IF(IFERROR(VLOOKUP(TRIM(A1359),'Full Inventory'!F:F,1,0),0)=0,"X","_")</f>
        <v>_</v>
      </c>
      <c r="D1359" t="str">
        <f t="shared" si="63"/>
        <v>X</v>
      </c>
      <c r="E1359" t="str">
        <f ca="1">IFERROR(IF(AND(B1359&amp;C1359&amp;D1359="___",INDIRECT("Inventory!A"&amp;MATCH(VLOOKUP(A1359,Inventory!E:E,1,0),Inventory!E:E,0))&lt;&gt;INDIRECT("'Full Inventory'!B"&amp;MATCH(VLOOKUP(A1359,'Full Inventory'!F:F,1,0),'Full Inventory'!F:F,0))),"X","_"),"_")</f>
        <v>_</v>
      </c>
      <c r="K1359" t="str">
        <f t="shared" ca="1" si="64"/>
        <v>__X_</v>
      </c>
      <c r="L1359" t="str">
        <f t="shared" ca="1" si="65"/>
        <v/>
      </c>
      <c r="M1359" t="str">
        <f>IFERROR(INDEX(Inventory!A:A,MATCH(Scan!A1359,Inventory!E:E,0)),"")</f>
        <v/>
      </c>
    </row>
    <row r="1360" spans="2:13" x14ac:dyDescent="0.25">
      <c r="B1360" t="str">
        <f>IF(IFERROR(VLOOKUP(TRIM(A1360),Inventory!E:E,1,0),0)=0,"X","_")</f>
        <v>_</v>
      </c>
      <c r="C1360" t="str">
        <f>IF(IFERROR(VLOOKUP(TRIM(A1360),'Full Inventory'!F:F,1,0),0)=0,"X","_")</f>
        <v>_</v>
      </c>
      <c r="D1360" t="str">
        <f t="shared" si="63"/>
        <v>X</v>
      </c>
      <c r="E1360" t="str">
        <f ca="1">IFERROR(IF(AND(B1360&amp;C1360&amp;D1360="___",INDIRECT("Inventory!A"&amp;MATCH(VLOOKUP(A1360,Inventory!E:E,1,0),Inventory!E:E,0))&lt;&gt;INDIRECT("'Full Inventory'!B"&amp;MATCH(VLOOKUP(A1360,'Full Inventory'!F:F,1,0),'Full Inventory'!F:F,0))),"X","_"),"_")</f>
        <v>_</v>
      </c>
      <c r="K1360" t="str">
        <f t="shared" ca="1" si="64"/>
        <v>__X_</v>
      </c>
      <c r="L1360" t="str">
        <f t="shared" ca="1" si="65"/>
        <v/>
      </c>
      <c r="M1360" t="str">
        <f>IFERROR(INDEX(Inventory!A:A,MATCH(Scan!A1360,Inventory!E:E,0)),"")</f>
        <v/>
      </c>
    </row>
    <row r="1361" spans="2:13" x14ac:dyDescent="0.25">
      <c r="B1361" t="str">
        <f>IF(IFERROR(VLOOKUP(TRIM(A1361),Inventory!E:E,1,0),0)=0,"X","_")</f>
        <v>_</v>
      </c>
      <c r="C1361" t="str">
        <f>IF(IFERROR(VLOOKUP(TRIM(A1361),'Full Inventory'!F:F,1,0),0)=0,"X","_")</f>
        <v>_</v>
      </c>
      <c r="D1361" t="str">
        <f t="shared" si="63"/>
        <v>X</v>
      </c>
      <c r="E1361" t="str">
        <f ca="1">IFERROR(IF(AND(B1361&amp;C1361&amp;D1361="___",INDIRECT("Inventory!A"&amp;MATCH(VLOOKUP(A1361,Inventory!E:E,1,0),Inventory!E:E,0))&lt;&gt;INDIRECT("'Full Inventory'!B"&amp;MATCH(VLOOKUP(A1361,'Full Inventory'!F:F,1,0),'Full Inventory'!F:F,0))),"X","_"),"_")</f>
        <v>_</v>
      </c>
      <c r="K1361" t="str">
        <f t="shared" ca="1" si="64"/>
        <v>__X_</v>
      </c>
      <c r="L1361" t="str">
        <f t="shared" ca="1" si="65"/>
        <v/>
      </c>
      <c r="M1361" t="str">
        <f>IFERROR(INDEX(Inventory!A:A,MATCH(Scan!A1361,Inventory!E:E,0)),"")</f>
        <v/>
      </c>
    </row>
    <row r="1362" spans="2:13" x14ac:dyDescent="0.25">
      <c r="B1362" t="str">
        <f>IF(IFERROR(VLOOKUP(TRIM(A1362),Inventory!E:E,1,0),0)=0,"X","_")</f>
        <v>_</v>
      </c>
      <c r="C1362" t="str">
        <f>IF(IFERROR(VLOOKUP(TRIM(A1362),'Full Inventory'!F:F,1,0),0)=0,"X","_")</f>
        <v>_</v>
      </c>
      <c r="D1362" t="str">
        <f t="shared" si="63"/>
        <v>X</v>
      </c>
      <c r="E1362" t="str">
        <f ca="1">IFERROR(IF(AND(B1362&amp;C1362&amp;D1362="___",INDIRECT("Inventory!A"&amp;MATCH(VLOOKUP(A1362,Inventory!E:E,1,0),Inventory!E:E,0))&lt;&gt;INDIRECT("'Full Inventory'!B"&amp;MATCH(VLOOKUP(A1362,'Full Inventory'!F:F,1,0),'Full Inventory'!F:F,0))),"X","_"),"_")</f>
        <v>_</v>
      </c>
      <c r="K1362" t="str">
        <f t="shared" ca="1" si="64"/>
        <v>__X_</v>
      </c>
      <c r="L1362" t="str">
        <f t="shared" ca="1" si="65"/>
        <v/>
      </c>
      <c r="M1362" t="str">
        <f>IFERROR(INDEX(Inventory!A:A,MATCH(Scan!A1362,Inventory!E:E,0)),"")</f>
        <v/>
      </c>
    </row>
    <row r="1363" spans="2:13" x14ac:dyDescent="0.25">
      <c r="B1363" t="str">
        <f>IF(IFERROR(VLOOKUP(TRIM(A1363),Inventory!E:E,1,0),0)=0,"X","_")</f>
        <v>_</v>
      </c>
      <c r="C1363" t="str">
        <f>IF(IFERROR(VLOOKUP(TRIM(A1363),'Full Inventory'!F:F,1,0),0)=0,"X","_")</f>
        <v>_</v>
      </c>
      <c r="D1363" t="str">
        <f t="shared" si="63"/>
        <v>X</v>
      </c>
      <c r="E1363" t="str">
        <f ca="1">IFERROR(IF(AND(B1363&amp;C1363&amp;D1363="___",INDIRECT("Inventory!A"&amp;MATCH(VLOOKUP(A1363,Inventory!E:E,1,0),Inventory!E:E,0))&lt;&gt;INDIRECT("'Full Inventory'!B"&amp;MATCH(VLOOKUP(A1363,'Full Inventory'!F:F,1,0),'Full Inventory'!F:F,0))),"X","_"),"_")</f>
        <v>_</v>
      </c>
      <c r="K1363" t="str">
        <f t="shared" ca="1" si="64"/>
        <v>__X_</v>
      </c>
      <c r="L1363" t="str">
        <f t="shared" ca="1" si="65"/>
        <v/>
      </c>
      <c r="M1363" t="str">
        <f>IFERROR(INDEX(Inventory!A:A,MATCH(Scan!A1363,Inventory!E:E,0)),"")</f>
        <v/>
      </c>
    </row>
    <row r="1364" spans="2:13" x14ac:dyDescent="0.25">
      <c r="B1364" t="str">
        <f>IF(IFERROR(VLOOKUP(TRIM(A1364),Inventory!E:E,1,0),0)=0,"X","_")</f>
        <v>_</v>
      </c>
      <c r="C1364" t="str">
        <f>IF(IFERROR(VLOOKUP(TRIM(A1364),'Full Inventory'!F:F,1,0),0)=0,"X","_")</f>
        <v>_</v>
      </c>
      <c r="D1364" t="str">
        <f t="shared" si="63"/>
        <v>X</v>
      </c>
      <c r="E1364" t="str">
        <f ca="1">IFERROR(IF(AND(B1364&amp;C1364&amp;D1364="___",INDIRECT("Inventory!A"&amp;MATCH(VLOOKUP(A1364,Inventory!E:E,1,0),Inventory!E:E,0))&lt;&gt;INDIRECT("'Full Inventory'!B"&amp;MATCH(VLOOKUP(A1364,'Full Inventory'!F:F,1,0),'Full Inventory'!F:F,0))),"X","_"),"_")</f>
        <v>_</v>
      </c>
      <c r="K1364" t="str">
        <f t="shared" ca="1" si="64"/>
        <v>__X_</v>
      </c>
      <c r="L1364" t="str">
        <f t="shared" ca="1" si="65"/>
        <v/>
      </c>
      <c r="M1364" t="str">
        <f>IFERROR(INDEX(Inventory!A:A,MATCH(Scan!A1364,Inventory!E:E,0)),"")</f>
        <v/>
      </c>
    </row>
    <row r="1365" spans="2:13" x14ac:dyDescent="0.25">
      <c r="B1365" t="str">
        <f>IF(IFERROR(VLOOKUP(TRIM(A1365),Inventory!E:E,1,0),0)=0,"X","_")</f>
        <v>_</v>
      </c>
      <c r="C1365" t="str">
        <f>IF(IFERROR(VLOOKUP(TRIM(A1365),'Full Inventory'!F:F,1,0),0)=0,"X","_")</f>
        <v>_</v>
      </c>
      <c r="D1365" t="str">
        <f t="shared" si="63"/>
        <v>X</v>
      </c>
      <c r="E1365" t="str">
        <f ca="1">IFERROR(IF(AND(B1365&amp;C1365&amp;D1365="___",INDIRECT("Inventory!A"&amp;MATCH(VLOOKUP(A1365,Inventory!E:E,1,0),Inventory!E:E,0))&lt;&gt;INDIRECT("'Full Inventory'!B"&amp;MATCH(VLOOKUP(A1365,'Full Inventory'!F:F,1,0),'Full Inventory'!F:F,0))),"X","_"),"_")</f>
        <v>_</v>
      </c>
      <c r="K1365" t="str">
        <f t="shared" ca="1" si="64"/>
        <v>__X_</v>
      </c>
      <c r="L1365" t="str">
        <f t="shared" ca="1" si="65"/>
        <v/>
      </c>
      <c r="M1365" t="str">
        <f>IFERROR(INDEX(Inventory!A:A,MATCH(Scan!A1365,Inventory!E:E,0)),"")</f>
        <v/>
      </c>
    </row>
    <row r="1366" spans="2:13" x14ac:dyDescent="0.25">
      <c r="B1366" t="str">
        <f>IF(IFERROR(VLOOKUP(TRIM(A1366),Inventory!E:E,1,0),0)=0,"X","_")</f>
        <v>_</v>
      </c>
      <c r="C1366" t="str">
        <f>IF(IFERROR(VLOOKUP(TRIM(A1366),'Full Inventory'!F:F,1,0),0)=0,"X","_")</f>
        <v>_</v>
      </c>
      <c r="D1366" t="str">
        <f t="shared" si="63"/>
        <v>X</v>
      </c>
      <c r="E1366" t="str">
        <f ca="1">IFERROR(IF(AND(B1366&amp;C1366&amp;D1366="___",INDIRECT("Inventory!A"&amp;MATCH(VLOOKUP(A1366,Inventory!E:E,1,0),Inventory!E:E,0))&lt;&gt;INDIRECT("'Full Inventory'!B"&amp;MATCH(VLOOKUP(A1366,'Full Inventory'!F:F,1,0),'Full Inventory'!F:F,0))),"X","_"),"_")</f>
        <v>_</v>
      </c>
      <c r="K1366" t="str">
        <f t="shared" ca="1" si="64"/>
        <v>__X_</v>
      </c>
      <c r="L1366" t="str">
        <f t="shared" ca="1" si="65"/>
        <v/>
      </c>
      <c r="M1366" t="str">
        <f>IFERROR(INDEX(Inventory!A:A,MATCH(Scan!A1366,Inventory!E:E,0)),"")</f>
        <v/>
      </c>
    </row>
    <row r="1367" spans="2:13" x14ac:dyDescent="0.25">
      <c r="B1367" t="str">
        <f>IF(IFERROR(VLOOKUP(TRIM(A1367),Inventory!E:E,1,0),0)=0,"X","_")</f>
        <v>_</v>
      </c>
      <c r="C1367" t="str">
        <f>IF(IFERROR(VLOOKUP(TRIM(A1367),'Full Inventory'!F:F,1,0),0)=0,"X","_")</f>
        <v>_</v>
      </c>
      <c r="D1367" t="str">
        <f t="shared" si="63"/>
        <v>X</v>
      </c>
      <c r="E1367" t="str">
        <f ca="1">IFERROR(IF(AND(B1367&amp;C1367&amp;D1367="___",INDIRECT("Inventory!A"&amp;MATCH(VLOOKUP(A1367,Inventory!E:E,1,0),Inventory!E:E,0))&lt;&gt;INDIRECT("'Full Inventory'!B"&amp;MATCH(VLOOKUP(A1367,'Full Inventory'!F:F,1,0),'Full Inventory'!F:F,0))),"X","_"),"_")</f>
        <v>_</v>
      </c>
      <c r="K1367" t="str">
        <f t="shared" ca="1" si="64"/>
        <v>__X_</v>
      </c>
      <c r="L1367" t="str">
        <f t="shared" ca="1" si="65"/>
        <v/>
      </c>
      <c r="M1367" t="str">
        <f>IFERROR(INDEX(Inventory!A:A,MATCH(Scan!A1367,Inventory!E:E,0)),"")</f>
        <v/>
      </c>
    </row>
    <row r="1368" spans="2:13" x14ac:dyDescent="0.25">
      <c r="B1368" t="str">
        <f>IF(IFERROR(VLOOKUP(TRIM(A1368),Inventory!E:E,1,0),0)=0,"X","_")</f>
        <v>_</v>
      </c>
      <c r="C1368" t="str">
        <f>IF(IFERROR(VLOOKUP(TRIM(A1368),'Full Inventory'!F:F,1,0),0)=0,"X","_")</f>
        <v>_</v>
      </c>
      <c r="D1368" t="str">
        <f t="shared" si="63"/>
        <v>X</v>
      </c>
      <c r="E1368" t="str">
        <f ca="1">IFERROR(IF(AND(B1368&amp;C1368&amp;D1368="___",INDIRECT("Inventory!A"&amp;MATCH(VLOOKUP(A1368,Inventory!E:E,1,0),Inventory!E:E,0))&lt;&gt;INDIRECT("'Full Inventory'!B"&amp;MATCH(VLOOKUP(A1368,'Full Inventory'!F:F,1,0),'Full Inventory'!F:F,0))),"X","_"),"_")</f>
        <v>_</v>
      </c>
      <c r="K1368" t="str">
        <f t="shared" ca="1" si="64"/>
        <v>__X_</v>
      </c>
      <c r="L1368" t="str">
        <f t="shared" ca="1" si="65"/>
        <v/>
      </c>
      <c r="M1368" t="str">
        <f>IFERROR(INDEX(Inventory!A:A,MATCH(Scan!A1368,Inventory!E:E,0)),"")</f>
        <v/>
      </c>
    </row>
    <row r="1369" spans="2:13" x14ac:dyDescent="0.25">
      <c r="B1369" t="str">
        <f>IF(IFERROR(VLOOKUP(TRIM(A1369),Inventory!E:E,1,0),0)=0,"X","_")</f>
        <v>_</v>
      </c>
      <c r="C1369" t="str">
        <f>IF(IFERROR(VLOOKUP(TRIM(A1369),'Full Inventory'!F:F,1,0),0)=0,"X","_")</f>
        <v>_</v>
      </c>
      <c r="D1369" t="str">
        <f t="shared" si="63"/>
        <v>X</v>
      </c>
      <c r="E1369" t="str">
        <f ca="1">IFERROR(IF(AND(B1369&amp;C1369&amp;D1369="___",INDIRECT("Inventory!A"&amp;MATCH(VLOOKUP(A1369,Inventory!E:E,1,0),Inventory!E:E,0))&lt;&gt;INDIRECT("'Full Inventory'!B"&amp;MATCH(VLOOKUP(A1369,'Full Inventory'!F:F,1,0),'Full Inventory'!F:F,0))),"X","_"),"_")</f>
        <v>_</v>
      </c>
      <c r="K1369" t="str">
        <f t="shared" ca="1" si="64"/>
        <v>__X_</v>
      </c>
      <c r="L1369" t="str">
        <f t="shared" ca="1" si="65"/>
        <v/>
      </c>
      <c r="M1369" t="str">
        <f>IFERROR(INDEX(Inventory!A:A,MATCH(Scan!A1369,Inventory!E:E,0)),"")</f>
        <v/>
      </c>
    </row>
    <row r="1370" spans="2:13" x14ac:dyDescent="0.25">
      <c r="B1370" t="str">
        <f>IF(IFERROR(VLOOKUP(TRIM(A1370),Inventory!E:E,1,0),0)=0,"X","_")</f>
        <v>_</v>
      </c>
      <c r="C1370" t="str">
        <f>IF(IFERROR(VLOOKUP(TRIM(A1370),'Full Inventory'!F:F,1,0),0)=0,"X","_")</f>
        <v>_</v>
      </c>
      <c r="D1370" t="str">
        <f t="shared" si="63"/>
        <v>X</v>
      </c>
      <c r="E1370" t="str">
        <f ca="1">IFERROR(IF(AND(B1370&amp;C1370&amp;D1370="___",INDIRECT("Inventory!A"&amp;MATCH(VLOOKUP(A1370,Inventory!E:E,1,0),Inventory!E:E,0))&lt;&gt;INDIRECT("'Full Inventory'!B"&amp;MATCH(VLOOKUP(A1370,'Full Inventory'!F:F,1,0),'Full Inventory'!F:F,0))),"X","_"),"_")</f>
        <v>_</v>
      </c>
      <c r="K1370" t="str">
        <f t="shared" ca="1" si="64"/>
        <v>__X_</v>
      </c>
      <c r="L1370" t="str">
        <f t="shared" ca="1" si="65"/>
        <v/>
      </c>
      <c r="M1370" t="str">
        <f>IFERROR(INDEX(Inventory!A:A,MATCH(Scan!A1370,Inventory!E:E,0)),"")</f>
        <v/>
      </c>
    </row>
    <row r="1371" spans="2:13" x14ac:dyDescent="0.25">
      <c r="B1371" t="str">
        <f>IF(IFERROR(VLOOKUP(TRIM(A1371),Inventory!E:E,1,0),0)=0,"X","_")</f>
        <v>_</v>
      </c>
      <c r="C1371" t="str">
        <f>IF(IFERROR(VLOOKUP(TRIM(A1371),'Full Inventory'!F:F,1,0),0)=0,"X","_")</f>
        <v>_</v>
      </c>
      <c r="D1371" t="str">
        <f t="shared" si="63"/>
        <v>X</v>
      </c>
      <c r="E1371" t="str">
        <f ca="1">IFERROR(IF(AND(B1371&amp;C1371&amp;D1371="___",INDIRECT("Inventory!A"&amp;MATCH(VLOOKUP(A1371,Inventory!E:E,1,0),Inventory!E:E,0))&lt;&gt;INDIRECT("'Full Inventory'!B"&amp;MATCH(VLOOKUP(A1371,'Full Inventory'!F:F,1,0),'Full Inventory'!F:F,0))),"X","_"),"_")</f>
        <v>_</v>
      </c>
      <c r="K1371" t="str">
        <f t="shared" ca="1" si="64"/>
        <v>__X_</v>
      </c>
      <c r="L1371" t="str">
        <f t="shared" ca="1" si="65"/>
        <v/>
      </c>
      <c r="M1371" t="str">
        <f>IFERROR(INDEX(Inventory!A:A,MATCH(Scan!A1371,Inventory!E:E,0)),"")</f>
        <v/>
      </c>
    </row>
    <row r="1372" spans="2:13" x14ac:dyDescent="0.25">
      <c r="B1372" t="str">
        <f>IF(IFERROR(VLOOKUP(TRIM(A1372),Inventory!E:E,1,0),0)=0,"X","_")</f>
        <v>_</v>
      </c>
      <c r="C1372" t="str">
        <f>IF(IFERROR(VLOOKUP(TRIM(A1372),'Full Inventory'!F:F,1,0),0)=0,"X","_")</f>
        <v>_</v>
      </c>
      <c r="D1372" t="str">
        <f t="shared" si="63"/>
        <v>X</v>
      </c>
      <c r="E1372" t="str">
        <f ca="1">IFERROR(IF(AND(B1372&amp;C1372&amp;D1372="___",INDIRECT("Inventory!A"&amp;MATCH(VLOOKUP(A1372,Inventory!E:E,1,0),Inventory!E:E,0))&lt;&gt;INDIRECT("'Full Inventory'!B"&amp;MATCH(VLOOKUP(A1372,'Full Inventory'!F:F,1,0),'Full Inventory'!F:F,0))),"X","_"),"_")</f>
        <v>_</v>
      </c>
      <c r="K1372" t="str">
        <f t="shared" ca="1" si="64"/>
        <v>__X_</v>
      </c>
      <c r="L1372" t="str">
        <f t="shared" ca="1" si="65"/>
        <v/>
      </c>
      <c r="M1372" t="str">
        <f>IFERROR(INDEX(Inventory!A:A,MATCH(Scan!A1372,Inventory!E:E,0)),"")</f>
        <v/>
      </c>
    </row>
    <row r="1373" spans="2:13" x14ac:dyDescent="0.25">
      <c r="B1373" t="str">
        <f>IF(IFERROR(VLOOKUP(TRIM(A1373),Inventory!E:E,1,0),0)=0,"X","_")</f>
        <v>_</v>
      </c>
      <c r="C1373" t="str">
        <f>IF(IFERROR(VLOOKUP(TRIM(A1373),'Full Inventory'!F:F,1,0),0)=0,"X","_")</f>
        <v>_</v>
      </c>
      <c r="D1373" t="str">
        <f t="shared" si="63"/>
        <v>X</v>
      </c>
      <c r="E1373" t="str">
        <f ca="1">IFERROR(IF(AND(B1373&amp;C1373&amp;D1373="___",INDIRECT("Inventory!A"&amp;MATCH(VLOOKUP(A1373,Inventory!E:E,1,0),Inventory!E:E,0))&lt;&gt;INDIRECT("'Full Inventory'!B"&amp;MATCH(VLOOKUP(A1373,'Full Inventory'!F:F,1,0),'Full Inventory'!F:F,0))),"X","_"),"_")</f>
        <v>_</v>
      </c>
      <c r="K1373" t="str">
        <f t="shared" ca="1" si="64"/>
        <v>__X_</v>
      </c>
      <c r="L1373" t="str">
        <f t="shared" ca="1" si="65"/>
        <v/>
      </c>
      <c r="M1373" t="str">
        <f>IFERROR(INDEX(Inventory!A:A,MATCH(Scan!A1373,Inventory!E:E,0)),"")</f>
        <v/>
      </c>
    </row>
    <row r="1374" spans="2:13" x14ac:dyDescent="0.25">
      <c r="B1374" t="str">
        <f>IF(IFERROR(VLOOKUP(TRIM(A1374),Inventory!E:E,1,0),0)=0,"X","_")</f>
        <v>_</v>
      </c>
      <c r="C1374" t="str">
        <f>IF(IFERROR(VLOOKUP(TRIM(A1374),'Full Inventory'!F:F,1,0),0)=0,"X","_")</f>
        <v>_</v>
      </c>
      <c r="D1374" t="str">
        <f t="shared" si="63"/>
        <v>X</v>
      </c>
      <c r="E1374" t="str">
        <f ca="1">IFERROR(IF(AND(B1374&amp;C1374&amp;D1374="___",INDIRECT("Inventory!A"&amp;MATCH(VLOOKUP(A1374,Inventory!E:E,1,0),Inventory!E:E,0))&lt;&gt;INDIRECT("'Full Inventory'!B"&amp;MATCH(VLOOKUP(A1374,'Full Inventory'!F:F,1,0),'Full Inventory'!F:F,0))),"X","_"),"_")</f>
        <v>_</v>
      </c>
      <c r="K1374" t="str">
        <f t="shared" ca="1" si="64"/>
        <v>__X_</v>
      </c>
      <c r="L1374" t="str">
        <f t="shared" ca="1" si="65"/>
        <v/>
      </c>
      <c r="M1374" t="str">
        <f>IFERROR(INDEX(Inventory!A:A,MATCH(Scan!A1374,Inventory!E:E,0)),"")</f>
        <v/>
      </c>
    </row>
    <row r="1375" spans="2:13" x14ac:dyDescent="0.25">
      <c r="B1375" t="str">
        <f>IF(IFERROR(VLOOKUP(TRIM(A1375),Inventory!E:E,1,0),0)=0,"X","_")</f>
        <v>_</v>
      </c>
      <c r="C1375" t="str">
        <f>IF(IFERROR(VLOOKUP(TRIM(A1375),'Full Inventory'!F:F,1,0),0)=0,"X","_")</f>
        <v>_</v>
      </c>
      <c r="D1375" t="str">
        <f t="shared" si="63"/>
        <v>X</v>
      </c>
      <c r="E1375" t="str">
        <f ca="1">IFERROR(IF(AND(B1375&amp;C1375&amp;D1375="___",INDIRECT("Inventory!A"&amp;MATCH(VLOOKUP(A1375,Inventory!E:E,1,0),Inventory!E:E,0))&lt;&gt;INDIRECT("'Full Inventory'!B"&amp;MATCH(VLOOKUP(A1375,'Full Inventory'!F:F,1,0),'Full Inventory'!F:F,0))),"X","_"),"_")</f>
        <v>_</v>
      </c>
      <c r="K1375" t="str">
        <f t="shared" ca="1" si="64"/>
        <v>__X_</v>
      </c>
      <c r="L1375" t="str">
        <f t="shared" ca="1" si="65"/>
        <v/>
      </c>
      <c r="M1375" t="str">
        <f>IFERROR(INDEX(Inventory!A:A,MATCH(Scan!A1375,Inventory!E:E,0)),"")</f>
        <v/>
      </c>
    </row>
    <row r="1376" spans="2:13" x14ac:dyDescent="0.25">
      <c r="B1376" t="str">
        <f>IF(IFERROR(VLOOKUP(TRIM(A1376),Inventory!E:E,1,0),0)=0,"X","_")</f>
        <v>_</v>
      </c>
      <c r="C1376" t="str">
        <f>IF(IFERROR(VLOOKUP(TRIM(A1376),'Full Inventory'!F:F,1,0),0)=0,"X","_")</f>
        <v>_</v>
      </c>
      <c r="D1376" t="str">
        <f t="shared" si="63"/>
        <v>X</v>
      </c>
      <c r="E1376" t="str">
        <f ca="1">IFERROR(IF(AND(B1376&amp;C1376&amp;D1376="___",INDIRECT("Inventory!A"&amp;MATCH(VLOOKUP(A1376,Inventory!E:E,1,0),Inventory!E:E,0))&lt;&gt;INDIRECT("'Full Inventory'!B"&amp;MATCH(VLOOKUP(A1376,'Full Inventory'!F:F,1,0),'Full Inventory'!F:F,0))),"X","_"),"_")</f>
        <v>_</v>
      </c>
      <c r="K1376" t="str">
        <f t="shared" ca="1" si="64"/>
        <v>__X_</v>
      </c>
      <c r="L1376" t="str">
        <f t="shared" ca="1" si="65"/>
        <v/>
      </c>
      <c r="M1376" t="str">
        <f>IFERROR(INDEX(Inventory!A:A,MATCH(Scan!A1376,Inventory!E:E,0)),"")</f>
        <v/>
      </c>
    </row>
    <row r="1377" spans="2:13" x14ac:dyDescent="0.25">
      <c r="B1377" t="str">
        <f>IF(IFERROR(VLOOKUP(TRIM(A1377),Inventory!E:E,1,0),0)=0,"X","_")</f>
        <v>_</v>
      </c>
      <c r="C1377" t="str">
        <f>IF(IFERROR(VLOOKUP(TRIM(A1377),'Full Inventory'!F:F,1,0),0)=0,"X","_")</f>
        <v>_</v>
      </c>
      <c r="D1377" t="str">
        <f t="shared" si="63"/>
        <v>X</v>
      </c>
      <c r="E1377" t="str">
        <f ca="1">IFERROR(IF(AND(B1377&amp;C1377&amp;D1377="___",INDIRECT("Inventory!A"&amp;MATCH(VLOOKUP(A1377,Inventory!E:E,1,0),Inventory!E:E,0))&lt;&gt;INDIRECT("'Full Inventory'!B"&amp;MATCH(VLOOKUP(A1377,'Full Inventory'!F:F,1,0),'Full Inventory'!F:F,0))),"X","_"),"_")</f>
        <v>_</v>
      </c>
      <c r="K1377" t="str">
        <f t="shared" ca="1" si="64"/>
        <v>__X_</v>
      </c>
      <c r="L1377" t="str">
        <f t="shared" ca="1" si="65"/>
        <v/>
      </c>
      <c r="M1377" t="str">
        <f>IFERROR(INDEX(Inventory!A:A,MATCH(Scan!A1377,Inventory!E:E,0)),"")</f>
        <v/>
      </c>
    </row>
    <row r="1378" spans="2:13" x14ac:dyDescent="0.25">
      <c r="B1378" t="str">
        <f>IF(IFERROR(VLOOKUP(TRIM(A1378),Inventory!E:E,1,0),0)=0,"X","_")</f>
        <v>_</v>
      </c>
      <c r="C1378" t="str">
        <f>IF(IFERROR(VLOOKUP(TRIM(A1378),'Full Inventory'!F:F,1,0),0)=0,"X","_")</f>
        <v>_</v>
      </c>
      <c r="D1378" t="str">
        <f t="shared" si="63"/>
        <v>X</v>
      </c>
      <c r="E1378" t="str">
        <f ca="1">IFERROR(IF(AND(B1378&amp;C1378&amp;D1378="___",INDIRECT("Inventory!A"&amp;MATCH(VLOOKUP(A1378,Inventory!E:E,1,0),Inventory!E:E,0))&lt;&gt;INDIRECT("'Full Inventory'!B"&amp;MATCH(VLOOKUP(A1378,'Full Inventory'!F:F,1,0),'Full Inventory'!F:F,0))),"X","_"),"_")</f>
        <v>_</v>
      </c>
      <c r="K1378" t="str">
        <f t="shared" ca="1" si="64"/>
        <v>__X_</v>
      </c>
      <c r="L1378" t="str">
        <f t="shared" ca="1" si="65"/>
        <v/>
      </c>
      <c r="M1378" t="str">
        <f>IFERROR(INDEX(Inventory!A:A,MATCH(Scan!A1378,Inventory!E:E,0)),"")</f>
        <v/>
      </c>
    </row>
    <row r="1379" spans="2:13" x14ac:dyDescent="0.25">
      <c r="B1379" t="str">
        <f>IF(IFERROR(VLOOKUP(TRIM(A1379),Inventory!E:E,1,0),0)=0,"X","_")</f>
        <v>_</v>
      </c>
      <c r="C1379" t="str">
        <f>IF(IFERROR(VLOOKUP(TRIM(A1379),'Full Inventory'!F:F,1,0),0)=0,"X","_")</f>
        <v>_</v>
      </c>
      <c r="D1379" t="str">
        <f t="shared" si="63"/>
        <v>X</v>
      </c>
      <c r="E1379" t="str">
        <f ca="1">IFERROR(IF(AND(B1379&amp;C1379&amp;D1379="___",INDIRECT("Inventory!A"&amp;MATCH(VLOOKUP(A1379,Inventory!E:E,1,0),Inventory!E:E,0))&lt;&gt;INDIRECT("'Full Inventory'!B"&amp;MATCH(VLOOKUP(A1379,'Full Inventory'!F:F,1,0),'Full Inventory'!F:F,0))),"X","_"),"_")</f>
        <v>_</v>
      </c>
      <c r="K1379" t="str">
        <f t="shared" ca="1" si="64"/>
        <v>__X_</v>
      </c>
      <c r="L1379" t="str">
        <f t="shared" ca="1" si="65"/>
        <v/>
      </c>
      <c r="M1379" t="str">
        <f>IFERROR(INDEX(Inventory!A:A,MATCH(Scan!A1379,Inventory!E:E,0)),"")</f>
        <v/>
      </c>
    </row>
    <row r="1380" spans="2:13" x14ac:dyDescent="0.25">
      <c r="B1380" t="str">
        <f>IF(IFERROR(VLOOKUP(TRIM(A1380),Inventory!E:E,1,0),0)=0,"X","_")</f>
        <v>_</v>
      </c>
      <c r="C1380" t="str">
        <f>IF(IFERROR(VLOOKUP(TRIM(A1380),'Full Inventory'!F:F,1,0),0)=0,"X","_")</f>
        <v>_</v>
      </c>
      <c r="D1380" t="str">
        <f t="shared" si="63"/>
        <v>X</v>
      </c>
      <c r="E1380" t="str">
        <f ca="1">IFERROR(IF(AND(B1380&amp;C1380&amp;D1380="___",INDIRECT("Inventory!A"&amp;MATCH(VLOOKUP(A1380,Inventory!E:E,1,0),Inventory!E:E,0))&lt;&gt;INDIRECT("'Full Inventory'!B"&amp;MATCH(VLOOKUP(A1380,'Full Inventory'!F:F,1,0),'Full Inventory'!F:F,0))),"X","_"),"_")</f>
        <v>_</v>
      </c>
      <c r="K1380" t="str">
        <f t="shared" ca="1" si="64"/>
        <v>__X_</v>
      </c>
      <c r="L1380" t="str">
        <f t="shared" ca="1" si="65"/>
        <v/>
      </c>
      <c r="M1380" t="str">
        <f>IFERROR(INDEX(Inventory!A:A,MATCH(Scan!A1380,Inventory!E:E,0)),"")</f>
        <v/>
      </c>
    </row>
    <row r="1381" spans="2:13" x14ac:dyDescent="0.25">
      <c r="B1381" t="str">
        <f>IF(IFERROR(VLOOKUP(TRIM(A1381),Inventory!E:E,1,0),0)=0,"X","_")</f>
        <v>_</v>
      </c>
      <c r="C1381" t="str">
        <f>IF(IFERROR(VLOOKUP(TRIM(A1381),'Full Inventory'!F:F,1,0),0)=0,"X","_")</f>
        <v>_</v>
      </c>
      <c r="D1381" t="str">
        <f t="shared" si="63"/>
        <v>X</v>
      </c>
      <c r="E1381" t="str">
        <f ca="1">IFERROR(IF(AND(B1381&amp;C1381&amp;D1381="___",INDIRECT("Inventory!A"&amp;MATCH(VLOOKUP(A1381,Inventory!E:E,1,0),Inventory!E:E,0))&lt;&gt;INDIRECT("'Full Inventory'!B"&amp;MATCH(VLOOKUP(A1381,'Full Inventory'!F:F,1,0),'Full Inventory'!F:F,0))),"X","_"),"_")</f>
        <v>_</v>
      </c>
      <c r="K1381" t="str">
        <f t="shared" ca="1" si="64"/>
        <v>__X_</v>
      </c>
      <c r="L1381" t="str">
        <f t="shared" ca="1" si="65"/>
        <v/>
      </c>
      <c r="M1381" t="str">
        <f>IFERROR(INDEX(Inventory!A:A,MATCH(Scan!A1381,Inventory!E:E,0)),"")</f>
        <v/>
      </c>
    </row>
    <row r="1382" spans="2:13" x14ac:dyDescent="0.25">
      <c r="B1382" t="str">
        <f>IF(IFERROR(VLOOKUP(TRIM(A1382),Inventory!E:E,1,0),0)=0,"X","_")</f>
        <v>_</v>
      </c>
      <c r="C1382" t="str">
        <f>IF(IFERROR(VLOOKUP(TRIM(A1382),'Full Inventory'!F:F,1,0),0)=0,"X","_")</f>
        <v>_</v>
      </c>
      <c r="D1382" t="str">
        <f t="shared" si="63"/>
        <v>X</v>
      </c>
      <c r="E1382" t="str">
        <f ca="1">IFERROR(IF(AND(B1382&amp;C1382&amp;D1382="___",INDIRECT("Inventory!A"&amp;MATCH(VLOOKUP(A1382,Inventory!E:E,1,0),Inventory!E:E,0))&lt;&gt;INDIRECT("'Full Inventory'!B"&amp;MATCH(VLOOKUP(A1382,'Full Inventory'!F:F,1,0),'Full Inventory'!F:F,0))),"X","_"),"_")</f>
        <v>_</v>
      </c>
      <c r="K1382" t="str">
        <f t="shared" ca="1" si="64"/>
        <v>__X_</v>
      </c>
      <c r="L1382" t="str">
        <f t="shared" ca="1" si="65"/>
        <v/>
      </c>
      <c r="M1382" t="str">
        <f>IFERROR(INDEX(Inventory!A:A,MATCH(Scan!A1382,Inventory!E:E,0)),"")</f>
        <v/>
      </c>
    </row>
    <row r="1383" spans="2:13" x14ac:dyDescent="0.25">
      <c r="B1383" t="str">
        <f>IF(IFERROR(VLOOKUP(TRIM(A1383),Inventory!E:E,1,0),0)=0,"X","_")</f>
        <v>_</v>
      </c>
      <c r="C1383" t="str">
        <f>IF(IFERROR(VLOOKUP(TRIM(A1383),'Full Inventory'!F:F,1,0),0)=0,"X","_")</f>
        <v>_</v>
      </c>
      <c r="D1383" t="str">
        <f t="shared" si="63"/>
        <v>X</v>
      </c>
      <c r="E1383" t="str">
        <f ca="1">IFERROR(IF(AND(B1383&amp;C1383&amp;D1383="___",INDIRECT("Inventory!A"&amp;MATCH(VLOOKUP(A1383,Inventory!E:E,1,0),Inventory!E:E,0))&lt;&gt;INDIRECT("'Full Inventory'!B"&amp;MATCH(VLOOKUP(A1383,'Full Inventory'!F:F,1,0),'Full Inventory'!F:F,0))),"X","_"),"_")</f>
        <v>_</v>
      </c>
      <c r="K1383" t="str">
        <f t="shared" ca="1" si="64"/>
        <v>__X_</v>
      </c>
      <c r="L1383" t="str">
        <f t="shared" ca="1" si="65"/>
        <v/>
      </c>
      <c r="M1383" t="str">
        <f>IFERROR(INDEX(Inventory!A:A,MATCH(Scan!A1383,Inventory!E:E,0)),"")</f>
        <v/>
      </c>
    </row>
    <row r="1384" spans="2:13" x14ac:dyDescent="0.25">
      <c r="B1384" t="str">
        <f>IF(IFERROR(VLOOKUP(TRIM(A1384),Inventory!E:E,1,0),0)=0,"X","_")</f>
        <v>_</v>
      </c>
      <c r="C1384" t="str">
        <f>IF(IFERROR(VLOOKUP(TRIM(A1384),'Full Inventory'!F:F,1,0),0)=0,"X","_")</f>
        <v>_</v>
      </c>
      <c r="D1384" t="str">
        <f t="shared" si="63"/>
        <v>X</v>
      </c>
      <c r="E1384" t="str">
        <f ca="1">IFERROR(IF(AND(B1384&amp;C1384&amp;D1384="___",INDIRECT("Inventory!A"&amp;MATCH(VLOOKUP(A1384,Inventory!E:E,1,0),Inventory!E:E,0))&lt;&gt;INDIRECT("'Full Inventory'!B"&amp;MATCH(VLOOKUP(A1384,'Full Inventory'!F:F,1,0),'Full Inventory'!F:F,0))),"X","_"),"_")</f>
        <v>_</v>
      </c>
      <c r="K1384" t="str">
        <f t="shared" ca="1" si="64"/>
        <v>__X_</v>
      </c>
      <c r="L1384" t="str">
        <f t="shared" ca="1" si="65"/>
        <v/>
      </c>
      <c r="M1384" t="str">
        <f>IFERROR(INDEX(Inventory!A:A,MATCH(Scan!A1384,Inventory!E:E,0)),"")</f>
        <v/>
      </c>
    </row>
    <row r="1385" spans="2:13" x14ac:dyDescent="0.25">
      <c r="B1385" t="str">
        <f>IF(IFERROR(VLOOKUP(TRIM(A1385),Inventory!E:E,1,0),0)=0,"X","_")</f>
        <v>_</v>
      </c>
      <c r="C1385" t="str">
        <f>IF(IFERROR(VLOOKUP(TRIM(A1385),'Full Inventory'!F:F,1,0),0)=0,"X","_")</f>
        <v>_</v>
      </c>
      <c r="D1385" t="str">
        <f t="shared" si="63"/>
        <v>X</v>
      </c>
      <c r="E1385" t="str">
        <f ca="1">IFERROR(IF(AND(B1385&amp;C1385&amp;D1385="___",INDIRECT("Inventory!A"&amp;MATCH(VLOOKUP(A1385,Inventory!E:E,1,0),Inventory!E:E,0))&lt;&gt;INDIRECT("'Full Inventory'!B"&amp;MATCH(VLOOKUP(A1385,'Full Inventory'!F:F,1,0),'Full Inventory'!F:F,0))),"X","_"),"_")</f>
        <v>_</v>
      </c>
      <c r="K1385" t="str">
        <f t="shared" ca="1" si="64"/>
        <v>__X_</v>
      </c>
      <c r="L1385" t="str">
        <f t="shared" ca="1" si="65"/>
        <v/>
      </c>
      <c r="M1385" t="str">
        <f>IFERROR(INDEX(Inventory!A:A,MATCH(Scan!A1385,Inventory!E:E,0)),"")</f>
        <v/>
      </c>
    </row>
    <row r="1386" spans="2:13" x14ac:dyDescent="0.25">
      <c r="B1386" t="str">
        <f>IF(IFERROR(VLOOKUP(TRIM(A1386),Inventory!E:E,1,0),0)=0,"X","_")</f>
        <v>_</v>
      </c>
      <c r="C1386" t="str">
        <f>IF(IFERROR(VLOOKUP(TRIM(A1386),'Full Inventory'!F:F,1,0),0)=0,"X","_")</f>
        <v>_</v>
      </c>
      <c r="D1386" t="str">
        <f t="shared" si="63"/>
        <v>X</v>
      </c>
      <c r="E1386" t="str">
        <f ca="1">IFERROR(IF(AND(B1386&amp;C1386&amp;D1386="___",INDIRECT("Inventory!A"&amp;MATCH(VLOOKUP(A1386,Inventory!E:E,1,0),Inventory!E:E,0))&lt;&gt;INDIRECT("'Full Inventory'!B"&amp;MATCH(VLOOKUP(A1386,'Full Inventory'!F:F,1,0),'Full Inventory'!F:F,0))),"X","_"),"_")</f>
        <v>_</v>
      </c>
      <c r="K1386" t="str">
        <f t="shared" ca="1" si="64"/>
        <v>__X_</v>
      </c>
      <c r="L1386" t="str">
        <f t="shared" ca="1" si="65"/>
        <v/>
      </c>
      <c r="M1386" t="str">
        <f>IFERROR(INDEX(Inventory!A:A,MATCH(Scan!A1386,Inventory!E:E,0)),"")</f>
        <v/>
      </c>
    </row>
    <row r="1387" spans="2:13" x14ac:dyDescent="0.25">
      <c r="B1387" t="str">
        <f>IF(IFERROR(VLOOKUP(TRIM(A1387),Inventory!E:E,1,0),0)=0,"X","_")</f>
        <v>_</v>
      </c>
      <c r="C1387" t="str">
        <f>IF(IFERROR(VLOOKUP(TRIM(A1387),'Full Inventory'!F:F,1,0),0)=0,"X","_")</f>
        <v>_</v>
      </c>
      <c r="D1387" t="str">
        <f t="shared" si="63"/>
        <v>X</v>
      </c>
      <c r="E1387" t="str">
        <f ca="1">IFERROR(IF(AND(B1387&amp;C1387&amp;D1387="___",INDIRECT("Inventory!A"&amp;MATCH(VLOOKUP(A1387,Inventory!E:E,1,0),Inventory!E:E,0))&lt;&gt;INDIRECT("'Full Inventory'!B"&amp;MATCH(VLOOKUP(A1387,'Full Inventory'!F:F,1,0),'Full Inventory'!F:F,0))),"X","_"),"_")</f>
        <v>_</v>
      </c>
      <c r="K1387" t="str">
        <f t="shared" ca="1" si="64"/>
        <v>__X_</v>
      </c>
      <c r="L1387" t="str">
        <f t="shared" ca="1" si="65"/>
        <v/>
      </c>
      <c r="M1387" t="str">
        <f>IFERROR(INDEX(Inventory!A:A,MATCH(Scan!A1387,Inventory!E:E,0)),"")</f>
        <v/>
      </c>
    </row>
    <row r="1388" spans="2:13" x14ac:dyDescent="0.25">
      <c r="B1388" t="str">
        <f>IF(IFERROR(VLOOKUP(TRIM(A1388),Inventory!E:E,1,0),0)=0,"X","_")</f>
        <v>_</v>
      </c>
      <c r="C1388" t="str">
        <f>IF(IFERROR(VLOOKUP(TRIM(A1388),'Full Inventory'!F:F,1,0),0)=0,"X","_")</f>
        <v>_</v>
      </c>
      <c r="D1388" t="str">
        <f t="shared" si="63"/>
        <v>X</v>
      </c>
      <c r="E1388" t="str">
        <f ca="1">IFERROR(IF(AND(B1388&amp;C1388&amp;D1388="___",INDIRECT("Inventory!A"&amp;MATCH(VLOOKUP(A1388,Inventory!E:E,1,0),Inventory!E:E,0))&lt;&gt;INDIRECT("'Full Inventory'!B"&amp;MATCH(VLOOKUP(A1388,'Full Inventory'!F:F,1,0),'Full Inventory'!F:F,0))),"X","_"),"_")</f>
        <v>_</v>
      </c>
      <c r="K1388" t="str">
        <f t="shared" ca="1" si="64"/>
        <v>__X_</v>
      </c>
      <c r="L1388" t="str">
        <f t="shared" ca="1" si="65"/>
        <v/>
      </c>
      <c r="M1388" t="str">
        <f>IFERROR(INDEX(Inventory!A:A,MATCH(Scan!A1388,Inventory!E:E,0)),"")</f>
        <v/>
      </c>
    </row>
    <row r="1389" spans="2:13" x14ac:dyDescent="0.25">
      <c r="B1389" t="str">
        <f>IF(IFERROR(VLOOKUP(TRIM(A1389),Inventory!E:E,1,0),0)=0,"X","_")</f>
        <v>_</v>
      </c>
      <c r="C1389" t="str">
        <f>IF(IFERROR(VLOOKUP(TRIM(A1389),'Full Inventory'!F:F,1,0),0)=0,"X","_")</f>
        <v>_</v>
      </c>
      <c r="D1389" t="str">
        <f t="shared" si="63"/>
        <v>X</v>
      </c>
      <c r="E1389" t="str">
        <f ca="1">IFERROR(IF(AND(B1389&amp;C1389&amp;D1389="___",INDIRECT("Inventory!A"&amp;MATCH(VLOOKUP(A1389,Inventory!E:E,1,0),Inventory!E:E,0))&lt;&gt;INDIRECT("'Full Inventory'!B"&amp;MATCH(VLOOKUP(A1389,'Full Inventory'!F:F,1,0),'Full Inventory'!F:F,0))),"X","_"),"_")</f>
        <v>_</v>
      </c>
      <c r="K1389" t="str">
        <f t="shared" ca="1" si="64"/>
        <v>__X_</v>
      </c>
      <c r="L1389" t="str">
        <f t="shared" ca="1" si="65"/>
        <v/>
      </c>
      <c r="M1389" t="str">
        <f>IFERROR(INDEX(Inventory!A:A,MATCH(Scan!A1389,Inventory!E:E,0)),"")</f>
        <v/>
      </c>
    </row>
    <row r="1390" spans="2:13" x14ac:dyDescent="0.25">
      <c r="B1390" t="str">
        <f>IF(IFERROR(VLOOKUP(TRIM(A1390),Inventory!E:E,1,0),0)=0,"X","_")</f>
        <v>_</v>
      </c>
      <c r="C1390" t="str">
        <f>IF(IFERROR(VLOOKUP(TRIM(A1390),'Full Inventory'!F:F,1,0),0)=0,"X","_")</f>
        <v>_</v>
      </c>
      <c r="D1390" t="str">
        <f t="shared" si="63"/>
        <v>X</v>
      </c>
      <c r="E1390" t="str">
        <f ca="1">IFERROR(IF(AND(B1390&amp;C1390&amp;D1390="___",INDIRECT("Inventory!A"&amp;MATCH(VLOOKUP(A1390,Inventory!E:E,1,0),Inventory!E:E,0))&lt;&gt;INDIRECT("'Full Inventory'!B"&amp;MATCH(VLOOKUP(A1390,'Full Inventory'!F:F,1,0),'Full Inventory'!F:F,0))),"X","_"),"_")</f>
        <v>_</v>
      </c>
      <c r="K1390" t="str">
        <f t="shared" ca="1" si="64"/>
        <v>__X_</v>
      </c>
      <c r="L1390" t="str">
        <f t="shared" ca="1" si="65"/>
        <v/>
      </c>
      <c r="M1390" t="str">
        <f>IFERROR(INDEX(Inventory!A:A,MATCH(Scan!A1390,Inventory!E:E,0)),"")</f>
        <v/>
      </c>
    </row>
    <row r="1391" spans="2:13" x14ac:dyDescent="0.25">
      <c r="B1391" t="str">
        <f>IF(IFERROR(VLOOKUP(TRIM(A1391),Inventory!E:E,1,0),0)=0,"X","_")</f>
        <v>_</v>
      </c>
      <c r="C1391" t="str">
        <f>IF(IFERROR(VLOOKUP(TRIM(A1391),'Full Inventory'!F:F,1,0),0)=0,"X","_")</f>
        <v>_</v>
      </c>
      <c r="D1391" t="str">
        <f t="shared" si="63"/>
        <v>X</v>
      </c>
      <c r="E1391" t="str">
        <f ca="1">IFERROR(IF(AND(B1391&amp;C1391&amp;D1391="___",INDIRECT("Inventory!A"&amp;MATCH(VLOOKUP(A1391,Inventory!E:E,1,0),Inventory!E:E,0))&lt;&gt;INDIRECT("'Full Inventory'!B"&amp;MATCH(VLOOKUP(A1391,'Full Inventory'!F:F,1,0),'Full Inventory'!F:F,0))),"X","_"),"_")</f>
        <v>_</v>
      </c>
      <c r="K1391" t="str">
        <f t="shared" ca="1" si="64"/>
        <v>__X_</v>
      </c>
      <c r="L1391" t="str">
        <f t="shared" ca="1" si="65"/>
        <v/>
      </c>
      <c r="M1391" t="str">
        <f>IFERROR(INDEX(Inventory!A:A,MATCH(Scan!A1391,Inventory!E:E,0)),"")</f>
        <v/>
      </c>
    </row>
    <row r="1392" spans="2:13" x14ac:dyDescent="0.25">
      <c r="B1392" t="str">
        <f>IF(IFERROR(VLOOKUP(TRIM(A1392),Inventory!E:E,1,0),0)=0,"X","_")</f>
        <v>_</v>
      </c>
      <c r="C1392" t="str">
        <f>IF(IFERROR(VLOOKUP(TRIM(A1392),'Full Inventory'!F:F,1,0),0)=0,"X","_")</f>
        <v>_</v>
      </c>
      <c r="D1392" t="str">
        <f t="shared" si="63"/>
        <v>X</v>
      </c>
      <c r="E1392" t="str">
        <f ca="1">IFERROR(IF(AND(B1392&amp;C1392&amp;D1392="___",INDIRECT("Inventory!A"&amp;MATCH(VLOOKUP(A1392,Inventory!E:E,1,0),Inventory!E:E,0))&lt;&gt;INDIRECT("'Full Inventory'!B"&amp;MATCH(VLOOKUP(A1392,'Full Inventory'!F:F,1,0),'Full Inventory'!F:F,0))),"X","_"),"_")</f>
        <v>_</v>
      </c>
      <c r="K1392" t="str">
        <f t="shared" ca="1" si="64"/>
        <v>__X_</v>
      </c>
      <c r="L1392" t="str">
        <f t="shared" ca="1" si="65"/>
        <v/>
      </c>
      <c r="M1392" t="str">
        <f>IFERROR(INDEX(Inventory!A:A,MATCH(Scan!A1392,Inventory!E:E,0)),"")</f>
        <v/>
      </c>
    </row>
    <row r="1393" spans="2:13" x14ac:dyDescent="0.25">
      <c r="B1393" t="str">
        <f>IF(IFERROR(VLOOKUP(TRIM(A1393),Inventory!E:E,1,0),0)=0,"X","_")</f>
        <v>_</v>
      </c>
      <c r="C1393" t="str">
        <f>IF(IFERROR(VLOOKUP(TRIM(A1393),'Full Inventory'!F:F,1,0),0)=0,"X","_")</f>
        <v>_</v>
      </c>
      <c r="D1393" t="str">
        <f t="shared" si="63"/>
        <v>X</v>
      </c>
      <c r="E1393" t="str">
        <f ca="1">IFERROR(IF(AND(B1393&amp;C1393&amp;D1393="___",INDIRECT("Inventory!A"&amp;MATCH(VLOOKUP(A1393,Inventory!E:E,1,0),Inventory!E:E,0))&lt;&gt;INDIRECT("'Full Inventory'!B"&amp;MATCH(VLOOKUP(A1393,'Full Inventory'!F:F,1,0),'Full Inventory'!F:F,0))),"X","_"),"_")</f>
        <v>_</v>
      </c>
      <c r="K1393" t="str">
        <f t="shared" ca="1" si="64"/>
        <v>__X_</v>
      </c>
      <c r="L1393" t="str">
        <f t="shared" ca="1" si="65"/>
        <v/>
      </c>
      <c r="M1393" t="str">
        <f>IFERROR(INDEX(Inventory!A:A,MATCH(Scan!A1393,Inventory!E:E,0)),"")</f>
        <v/>
      </c>
    </row>
    <row r="1394" spans="2:13" x14ac:dyDescent="0.25">
      <c r="B1394" t="str">
        <f>IF(IFERROR(VLOOKUP(TRIM(A1394),Inventory!E:E,1,0),0)=0,"X","_")</f>
        <v>_</v>
      </c>
      <c r="C1394" t="str">
        <f>IF(IFERROR(VLOOKUP(TRIM(A1394),'Full Inventory'!F:F,1,0),0)=0,"X","_")</f>
        <v>_</v>
      </c>
      <c r="D1394" t="str">
        <f t="shared" si="63"/>
        <v>X</v>
      </c>
      <c r="E1394" t="str">
        <f ca="1">IFERROR(IF(AND(B1394&amp;C1394&amp;D1394="___",INDIRECT("Inventory!A"&amp;MATCH(VLOOKUP(A1394,Inventory!E:E,1,0),Inventory!E:E,0))&lt;&gt;INDIRECT("'Full Inventory'!B"&amp;MATCH(VLOOKUP(A1394,'Full Inventory'!F:F,1,0),'Full Inventory'!F:F,0))),"X","_"),"_")</f>
        <v>_</v>
      </c>
      <c r="K1394" t="str">
        <f t="shared" ca="1" si="64"/>
        <v>__X_</v>
      </c>
      <c r="L1394" t="str">
        <f t="shared" ca="1" si="65"/>
        <v/>
      </c>
      <c r="M1394" t="str">
        <f>IFERROR(INDEX(Inventory!A:A,MATCH(Scan!A1394,Inventory!E:E,0)),"")</f>
        <v/>
      </c>
    </row>
    <row r="1395" spans="2:13" x14ac:dyDescent="0.25">
      <c r="B1395" t="str">
        <f>IF(IFERROR(VLOOKUP(TRIM(A1395),Inventory!E:E,1,0),0)=0,"X","_")</f>
        <v>_</v>
      </c>
      <c r="C1395" t="str">
        <f>IF(IFERROR(VLOOKUP(TRIM(A1395),'Full Inventory'!F:F,1,0),0)=0,"X","_")</f>
        <v>_</v>
      </c>
      <c r="D1395" t="str">
        <f t="shared" si="63"/>
        <v>X</v>
      </c>
      <c r="E1395" t="str">
        <f ca="1">IFERROR(IF(AND(B1395&amp;C1395&amp;D1395="___",INDIRECT("Inventory!A"&amp;MATCH(VLOOKUP(A1395,Inventory!E:E,1,0),Inventory!E:E,0))&lt;&gt;INDIRECT("'Full Inventory'!B"&amp;MATCH(VLOOKUP(A1395,'Full Inventory'!F:F,1,0),'Full Inventory'!F:F,0))),"X","_"),"_")</f>
        <v>_</v>
      </c>
      <c r="K1395" t="str">
        <f t="shared" ca="1" si="64"/>
        <v>__X_</v>
      </c>
      <c r="L1395" t="str">
        <f t="shared" ca="1" si="65"/>
        <v/>
      </c>
      <c r="M1395" t="str">
        <f>IFERROR(INDEX(Inventory!A:A,MATCH(Scan!A1395,Inventory!E:E,0)),"")</f>
        <v/>
      </c>
    </row>
    <row r="1396" spans="2:13" x14ac:dyDescent="0.25">
      <c r="B1396" t="str">
        <f>IF(IFERROR(VLOOKUP(TRIM(A1396),Inventory!E:E,1,0),0)=0,"X","_")</f>
        <v>_</v>
      </c>
      <c r="C1396" t="str">
        <f>IF(IFERROR(VLOOKUP(TRIM(A1396),'Full Inventory'!F:F,1,0),0)=0,"X","_")</f>
        <v>_</v>
      </c>
      <c r="D1396" t="str">
        <f t="shared" si="63"/>
        <v>X</v>
      </c>
      <c r="E1396" t="str">
        <f ca="1">IFERROR(IF(AND(B1396&amp;C1396&amp;D1396="___",INDIRECT("Inventory!A"&amp;MATCH(VLOOKUP(A1396,Inventory!E:E,1,0),Inventory!E:E,0))&lt;&gt;INDIRECT("'Full Inventory'!B"&amp;MATCH(VLOOKUP(A1396,'Full Inventory'!F:F,1,0),'Full Inventory'!F:F,0))),"X","_"),"_")</f>
        <v>_</v>
      </c>
      <c r="K1396" t="str">
        <f t="shared" ca="1" si="64"/>
        <v>__X_</v>
      </c>
      <c r="L1396" t="str">
        <f t="shared" ca="1" si="65"/>
        <v/>
      </c>
      <c r="M1396" t="str">
        <f>IFERROR(INDEX(Inventory!A:A,MATCH(Scan!A1396,Inventory!E:E,0)),"")</f>
        <v/>
      </c>
    </row>
    <row r="1397" spans="2:13" x14ac:dyDescent="0.25">
      <c r="B1397" t="str">
        <f>IF(IFERROR(VLOOKUP(TRIM(A1397),Inventory!E:E,1,0),0)=0,"X","_")</f>
        <v>_</v>
      </c>
      <c r="C1397" t="str">
        <f>IF(IFERROR(VLOOKUP(TRIM(A1397),'Full Inventory'!F:F,1,0),0)=0,"X","_")</f>
        <v>_</v>
      </c>
      <c r="D1397" t="str">
        <f t="shared" si="63"/>
        <v>X</v>
      </c>
      <c r="E1397" t="str">
        <f ca="1">IFERROR(IF(AND(B1397&amp;C1397&amp;D1397="___",INDIRECT("Inventory!A"&amp;MATCH(VLOOKUP(A1397,Inventory!E:E,1,0),Inventory!E:E,0))&lt;&gt;INDIRECT("'Full Inventory'!B"&amp;MATCH(VLOOKUP(A1397,'Full Inventory'!F:F,1,0),'Full Inventory'!F:F,0))),"X","_"),"_")</f>
        <v>_</v>
      </c>
      <c r="K1397" t="str">
        <f t="shared" ca="1" si="64"/>
        <v>__X_</v>
      </c>
      <c r="L1397" t="str">
        <f t="shared" ca="1" si="65"/>
        <v/>
      </c>
      <c r="M1397" t="str">
        <f>IFERROR(INDEX(Inventory!A:A,MATCH(Scan!A1397,Inventory!E:E,0)),"")</f>
        <v/>
      </c>
    </row>
    <row r="1398" spans="2:13" x14ac:dyDescent="0.25">
      <c r="B1398" t="str">
        <f>IF(IFERROR(VLOOKUP(TRIM(A1398),Inventory!E:E,1,0),0)=0,"X","_")</f>
        <v>_</v>
      </c>
      <c r="C1398" t="str">
        <f>IF(IFERROR(VLOOKUP(TRIM(A1398),'Full Inventory'!F:F,1,0),0)=0,"X","_")</f>
        <v>_</v>
      </c>
      <c r="D1398" t="str">
        <f t="shared" si="63"/>
        <v>X</v>
      </c>
      <c r="E1398" t="str">
        <f ca="1">IFERROR(IF(AND(B1398&amp;C1398&amp;D1398="___",INDIRECT("Inventory!A"&amp;MATCH(VLOOKUP(A1398,Inventory!E:E,1,0),Inventory!E:E,0))&lt;&gt;INDIRECT("'Full Inventory'!B"&amp;MATCH(VLOOKUP(A1398,'Full Inventory'!F:F,1,0),'Full Inventory'!F:F,0))),"X","_"),"_")</f>
        <v>_</v>
      </c>
      <c r="K1398" t="str">
        <f t="shared" ca="1" si="64"/>
        <v>__X_</v>
      </c>
      <c r="L1398" t="str">
        <f t="shared" ca="1" si="65"/>
        <v/>
      </c>
      <c r="M1398" t="str">
        <f>IFERROR(INDEX(Inventory!A:A,MATCH(Scan!A1398,Inventory!E:E,0)),"")</f>
        <v/>
      </c>
    </row>
    <row r="1399" spans="2:13" x14ac:dyDescent="0.25">
      <c r="B1399" t="str">
        <f>IF(IFERROR(VLOOKUP(TRIM(A1399),Inventory!E:E,1,0),0)=0,"X","_")</f>
        <v>_</v>
      </c>
      <c r="C1399" t="str">
        <f>IF(IFERROR(VLOOKUP(TRIM(A1399),'Full Inventory'!F:F,1,0),0)=0,"X","_")</f>
        <v>_</v>
      </c>
      <c r="D1399" t="str">
        <f t="shared" si="63"/>
        <v>X</v>
      </c>
      <c r="E1399" t="str">
        <f ca="1">IFERROR(IF(AND(B1399&amp;C1399&amp;D1399="___",INDIRECT("Inventory!A"&amp;MATCH(VLOOKUP(A1399,Inventory!E:E,1,0),Inventory!E:E,0))&lt;&gt;INDIRECT("'Full Inventory'!B"&amp;MATCH(VLOOKUP(A1399,'Full Inventory'!F:F,1,0),'Full Inventory'!F:F,0))),"X","_"),"_")</f>
        <v>_</v>
      </c>
      <c r="K1399" t="str">
        <f t="shared" ca="1" si="64"/>
        <v>__X_</v>
      </c>
      <c r="L1399" t="str">
        <f t="shared" ca="1" si="65"/>
        <v/>
      </c>
      <c r="M1399" t="str">
        <f>IFERROR(INDEX(Inventory!A:A,MATCH(Scan!A1399,Inventory!E:E,0)),"")</f>
        <v/>
      </c>
    </row>
    <row r="1400" spans="2:13" x14ac:dyDescent="0.25">
      <c r="B1400" t="str">
        <f>IF(IFERROR(VLOOKUP(TRIM(A1400),Inventory!E:E,1,0),0)=0,"X","_")</f>
        <v>_</v>
      </c>
      <c r="C1400" t="str">
        <f>IF(IFERROR(VLOOKUP(TRIM(A1400),'Full Inventory'!F:F,1,0),0)=0,"X","_")</f>
        <v>_</v>
      </c>
      <c r="D1400" t="str">
        <f t="shared" si="63"/>
        <v>X</v>
      </c>
      <c r="E1400" t="str">
        <f ca="1">IFERROR(IF(AND(B1400&amp;C1400&amp;D1400="___",INDIRECT("Inventory!A"&amp;MATCH(VLOOKUP(A1400,Inventory!E:E,1,0),Inventory!E:E,0))&lt;&gt;INDIRECT("'Full Inventory'!B"&amp;MATCH(VLOOKUP(A1400,'Full Inventory'!F:F,1,0),'Full Inventory'!F:F,0))),"X","_"),"_")</f>
        <v>_</v>
      </c>
      <c r="K1400" t="str">
        <f t="shared" ca="1" si="64"/>
        <v>__X_</v>
      </c>
      <c r="L1400" t="str">
        <f t="shared" ca="1" si="65"/>
        <v/>
      </c>
      <c r="M1400" t="str">
        <f>IFERROR(INDEX(Inventory!A:A,MATCH(Scan!A1400,Inventory!E:E,0)),"")</f>
        <v/>
      </c>
    </row>
    <row r="1401" spans="2:13" x14ac:dyDescent="0.25">
      <c r="B1401" t="str">
        <f>IF(IFERROR(VLOOKUP(TRIM(A1401),Inventory!E:E,1,0),0)=0,"X","_")</f>
        <v>_</v>
      </c>
      <c r="C1401" t="str">
        <f>IF(IFERROR(VLOOKUP(TRIM(A1401),'Full Inventory'!F:F,1,0),0)=0,"X","_")</f>
        <v>_</v>
      </c>
      <c r="D1401" t="str">
        <f t="shared" si="63"/>
        <v>X</v>
      </c>
      <c r="E1401" t="str">
        <f ca="1">IFERROR(IF(AND(B1401&amp;C1401&amp;D1401="___",INDIRECT("Inventory!A"&amp;MATCH(VLOOKUP(A1401,Inventory!E:E,1,0),Inventory!E:E,0))&lt;&gt;INDIRECT("'Full Inventory'!B"&amp;MATCH(VLOOKUP(A1401,'Full Inventory'!F:F,1,0),'Full Inventory'!F:F,0))),"X","_"),"_")</f>
        <v>_</v>
      </c>
      <c r="K1401" t="str">
        <f t="shared" ca="1" si="64"/>
        <v>__X_</v>
      </c>
      <c r="L1401" t="str">
        <f t="shared" ca="1" si="65"/>
        <v/>
      </c>
      <c r="M1401" t="str">
        <f>IFERROR(INDEX(Inventory!A:A,MATCH(Scan!A1401,Inventory!E:E,0)),"")</f>
        <v/>
      </c>
    </row>
    <row r="1402" spans="2:13" x14ac:dyDescent="0.25">
      <c r="B1402" t="str">
        <f>IF(IFERROR(VLOOKUP(TRIM(A1402),Inventory!E:E,1,0),0)=0,"X","_")</f>
        <v>_</v>
      </c>
      <c r="C1402" t="str">
        <f>IF(IFERROR(VLOOKUP(TRIM(A1402),'Full Inventory'!F:F,1,0),0)=0,"X","_")</f>
        <v>_</v>
      </c>
      <c r="D1402" t="str">
        <f t="shared" si="63"/>
        <v>X</v>
      </c>
      <c r="E1402" t="str">
        <f ca="1">IFERROR(IF(AND(B1402&amp;C1402&amp;D1402="___",INDIRECT("Inventory!A"&amp;MATCH(VLOOKUP(A1402,Inventory!E:E,1,0),Inventory!E:E,0))&lt;&gt;INDIRECT("'Full Inventory'!B"&amp;MATCH(VLOOKUP(A1402,'Full Inventory'!F:F,1,0),'Full Inventory'!F:F,0))),"X","_"),"_")</f>
        <v>_</v>
      </c>
      <c r="K1402" t="str">
        <f t="shared" ca="1" si="64"/>
        <v>__X_</v>
      </c>
      <c r="L1402" t="str">
        <f t="shared" ca="1" si="65"/>
        <v/>
      </c>
      <c r="M1402" t="str">
        <f>IFERROR(INDEX(Inventory!A:A,MATCH(Scan!A1402,Inventory!E:E,0)),"")</f>
        <v/>
      </c>
    </row>
    <row r="1403" spans="2:13" x14ac:dyDescent="0.25">
      <c r="B1403" t="str">
        <f>IF(IFERROR(VLOOKUP(TRIM(A1403),Inventory!E:E,1,0),0)=0,"X","_")</f>
        <v>_</v>
      </c>
      <c r="C1403" t="str">
        <f>IF(IFERROR(VLOOKUP(TRIM(A1403),'Full Inventory'!F:F,1,0),0)=0,"X","_")</f>
        <v>_</v>
      </c>
      <c r="D1403" t="str">
        <f t="shared" si="63"/>
        <v>X</v>
      </c>
      <c r="E1403" t="str">
        <f ca="1">IFERROR(IF(AND(B1403&amp;C1403&amp;D1403="___",INDIRECT("Inventory!A"&amp;MATCH(VLOOKUP(A1403,Inventory!E:E,1,0),Inventory!E:E,0))&lt;&gt;INDIRECT("'Full Inventory'!B"&amp;MATCH(VLOOKUP(A1403,'Full Inventory'!F:F,1,0),'Full Inventory'!F:F,0))),"X","_"),"_")</f>
        <v>_</v>
      </c>
      <c r="K1403" t="str">
        <f t="shared" ca="1" si="64"/>
        <v>__X_</v>
      </c>
      <c r="L1403" t="str">
        <f t="shared" ca="1" si="65"/>
        <v/>
      </c>
      <c r="M1403" t="str">
        <f>IFERROR(INDEX(Inventory!A:A,MATCH(Scan!A1403,Inventory!E:E,0)),"")</f>
        <v/>
      </c>
    </row>
    <row r="1404" spans="2:13" x14ac:dyDescent="0.25">
      <c r="B1404" t="str">
        <f>IF(IFERROR(VLOOKUP(TRIM(A1404),Inventory!E:E,1,0),0)=0,"X","_")</f>
        <v>_</v>
      </c>
      <c r="C1404" t="str">
        <f>IF(IFERROR(VLOOKUP(TRIM(A1404),'Full Inventory'!F:F,1,0),0)=0,"X","_")</f>
        <v>_</v>
      </c>
      <c r="D1404" t="str">
        <f t="shared" si="63"/>
        <v>X</v>
      </c>
      <c r="E1404" t="str">
        <f ca="1">IFERROR(IF(AND(B1404&amp;C1404&amp;D1404="___",INDIRECT("Inventory!A"&amp;MATCH(VLOOKUP(A1404,Inventory!E:E,1,0),Inventory!E:E,0))&lt;&gt;INDIRECT("'Full Inventory'!B"&amp;MATCH(VLOOKUP(A1404,'Full Inventory'!F:F,1,0),'Full Inventory'!F:F,0))),"X","_"),"_")</f>
        <v>_</v>
      </c>
      <c r="K1404" t="str">
        <f t="shared" ca="1" si="64"/>
        <v>__X_</v>
      </c>
      <c r="L1404" t="str">
        <f t="shared" ca="1" si="65"/>
        <v/>
      </c>
      <c r="M1404" t="str">
        <f>IFERROR(INDEX(Inventory!A:A,MATCH(Scan!A1404,Inventory!E:E,0)),"")</f>
        <v/>
      </c>
    </row>
    <row r="1405" spans="2:13" x14ac:dyDescent="0.25">
      <c r="B1405" t="str">
        <f>IF(IFERROR(VLOOKUP(TRIM(A1405),Inventory!E:E,1,0),0)=0,"X","_")</f>
        <v>_</v>
      </c>
      <c r="C1405" t="str">
        <f>IF(IFERROR(VLOOKUP(TRIM(A1405),'Full Inventory'!F:F,1,0),0)=0,"X","_")</f>
        <v>_</v>
      </c>
      <c r="D1405" t="str">
        <f t="shared" si="63"/>
        <v>X</v>
      </c>
      <c r="E1405" t="str">
        <f ca="1">IFERROR(IF(AND(B1405&amp;C1405&amp;D1405="___",INDIRECT("Inventory!A"&amp;MATCH(VLOOKUP(A1405,Inventory!E:E,1,0),Inventory!E:E,0))&lt;&gt;INDIRECT("'Full Inventory'!B"&amp;MATCH(VLOOKUP(A1405,'Full Inventory'!F:F,1,0),'Full Inventory'!F:F,0))),"X","_"),"_")</f>
        <v>_</v>
      </c>
      <c r="K1405" t="str">
        <f t="shared" ca="1" si="64"/>
        <v>__X_</v>
      </c>
      <c r="L1405" t="str">
        <f t="shared" ca="1" si="65"/>
        <v/>
      </c>
      <c r="M1405" t="str">
        <f>IFERROR(INDEX(Inventory!A:A,MATCH(Scan!A1405,Inventory!E:E,0)),"")</f>
        <v/>
      </c>
    </row>
    <row r="1406" spans="2:13" x14ac:dyDescent="0.25">
      <c r="B1406" t="str">
        <f>IF(IFERROR(VLOOKUP(TRIM(A1406),Inventory!E:E,1,0),0)=0,"X","_")</f>
        <v>_</v>
      </c>
      <c r="C1406" t="str">
        <f>IF(IFERROR(VLOOKUP(TRIM(A1406),'Full Inventory'!F:F,1,0),0)=0,"X","_")</f>
        <v>_</v>
      </c>
      <c r="D1406" t="str">
        <f t="shared" si="63"/>
        <v>X</v>
      </c>
      <c r="E1406" t="str">
        <f ca="1">IFERROR(IF(AND(B1406&amp;C1406&amp;D1406="___",INDIRECT("Inventory!A"&amp;MATCH(VLOOKUP(A1406,Inventory!E:E,1,0),Inventory!E:E,0))&lt;&gt;INDIRECT("'Full Inventory'!B"&amp;MATCH(VLOOKUP(A1406,'Full Inventory'!F:F,1,0),'Full Inventory'!F:F,0))),"X","_"),"_")</f>
        <v>_</v>
      </c>
      <c r="K1406" t="str">
        <f t="shared" ca="1" si="64"/>
        <v>__X_</v>
      </c>
      <c r="L1406" t="str">
        <f t="shared" ca="1" si="65"/>
        <v/>
      </c>
      <c r="M1406" t="str">
        <f>IFERROR(INDEX(Inventory!A:A,MATCH(Scan!A1406,Inventory!E:E,0)),"")</f>
        <v/>
      </c>
    </row>
    <row r="1407" spans="2:13" x14ac:dyDescent="0.25">
      <c r="B1407" t="str">
        <f>IF(IFERROR(VLOOKUP(TRIM(A1407),Inventory!E:E,1,0),0)=0,"X","_")</f>
        <v>_</v>
      </c>
      <c r="C1407" t="str">
        <f>IF(IFERROR(VLOOKUP(TRIM(A1407),'Full Inventory'!F:F,1,0),0)=0,"X","_")</f>
        <v>_</v>
      </c>
      <c r="D1407" t="str">
        <f t="shared" si="63"/>
        <v>X</v>
      </c>
      <c r="E1407" t="str">
        <f ca="1">IFERROR(IF(AND(B1407&amp;C1407&amp;D1407="___",INDIRECT("Inventory!A"&amp;MATCH(VLOOKUP(A1407,Inventory!E:E,1,0),Inventory!E:E,0))&lt;&gt;INDIRECT("'Full Inventory'!B"&amp;MATCH(VLOOKUP(A1407,'Full Inventory'!F:F,1,0),'Full Inventory'!F:F,0))),"X","_"),"_")</f>
        <v>_</v>
      </c>
      <c r="K1407" t="str">
        <f t="shared" ca="1" si="64"/>
        <v>__X_</v>
      </c>
      <c r="L1407" t="str">
        <f t="shared" ca="1" si="65"/>
        <v/>
      </c>
      <c r="M1407" t="str">
        <f>IFERROR(INDEX(Inventory!A:A,MATCH(Scan!A1407,Inventory!E:E,0)),"")</f>
        <v/>
      </c>
    </row>
    <row r="1408" spans="2:13" x14ac:dyDescent="0.25">
      <c r="B1408" t="str">
        <f>IF(IFERROR(VLOOKUP(TRIM(A1408),Inventory!E:E,1,0),0)=0,"X","_")</f>
        <v>_</v>
      </c>
      <c r="C1408" t="str">
        <f>IF(IFERROR(VLOOKUP(TRIM(A1408),'Full Inventory'!F:F,1,0),0)=0,"X","_")</f>
        <v>_</v>
      </c>
      <c r="D1408" t="str">
        <f t="shared" si="63"/>
        <v>X</v>
      </c>
      <c r="E1408" t="str">
        <f ca="1">IFERROR(IF(AND(B1408&amp;C1408&amp;D1408="___",INDIRECT("Inventory!A"&amp;MATCH(VLOOKUP(A1408,Inventory!E:E,1,0),Inventory!E:E,0))&lt;&gt;INDIRECT("'Full Inventory'!B"&amp;MATCH(VLOOKUP(A1408,'Full Inventory'!F:F,1,0),'Full Inventory'!F:F,0))),"X","_"),"_")</f>
        <v>_</v>
      </c>
      <c r="K1408" t="str">
        <f t="shared" ca="1" si="64"/>
        <v>__X_</v>
      </c>
      <c r="L1408" t="str">
        <f t="shared" ca="1" si="65"/>
        <v/>
      </c>
      <c r="M1408" t="str">
        <f>IFERROR(INDEX(Inventory!A:A,MATCH(Scan!A1408,Inventory!E:E,0)),"")</f>
        <v/>
      </c>
    </row>
    <row r="1409" spans="2:13" x14ac:dyDescent="0.25">
      <c r="B1409" t="str">
        <f>IF(IFERROR(VLOOKUP(TRIM(A1409),Inventory!E:E,1,0),0)=0,"X","_")</f>
        <v>_</v>
      </c>
      <c r="C1409" t="str">
        <f>IF(IFERROR(VLOOKUP(TRIM(A1409),'Full Inventory'!F:F,1,0),0)=0,"X","_")</f>
        <v>_</v>
      </c>
      <c r="D1409" t="str">
        <f t="shared" si="63"/>
        <v>X</v>
      </c>
      <c r="E1409" t="str">
        <f ca="1">IFERROR(IF(AND(B1409&amp;C1409&amp;D1409="___",INDIRECT("Inventory!A"&amp;MATCH(VLOOKUP(A1409,Inventory!E:E,1,0),Inventory!E:E,0))&lt;&gt;INDIRECT("'Full Inventory'!B"&amp;MATCH(VLOOKUP(A1409,'Full Inventory'!F:F,1,0),'Full Inventory'!F:F,0))),"X","_"),"_")</f>
        <v>_</v>
      </c>
      <c r="K1409" t="str">
        <f t="shared" ca="1" si="64"/>
        <v>__X_</v>
      </c>
      <c r="L1409" t="str">
        <f t="shared" ca="1" si="65"/>
        <v/>
      </c>
      <c r="M1409" t="str">
        <f>IFERROR(INDEX(Inventory!A:A,MATCH(Scan!A1409,Inventory!E:E,0)),"")</f>
        <v/>
      </c>
    </row>
    <row r="1410" spans="2:13" x14ac:dyDescent="0.25">
      <c r="B1410" t="str">
        <f>IF(IFERROR(VLOOKUP(TRIM(A1410),Inventory!E:E,1,0),0)=0,"X","_")</f>
        <v>_</v>
      </c>
      <c r="C1410" t="str">
        <f>IF(IFERROR(VLOOKUP(TRIM(A1410),'Full Inventory'!F:F,1,0),0)=0,"X","_")</f>
        <v>_</v>
      </c>
      <c r="D1410" t="str">
        <f t="shared" ref="D1410:D1473" si="66">IF(TRIM(A1410)&lt;&gt;"","_","X")</f>
        <v>X</v>
      </c>
      <c r="E1410" t="str">
        <f ca="1">IFERROR(IF(AND(B1410&amp;C1410&amp;D1410="___",INDIRECT("Inventory!A"&amp;MATCH(VLOOKUP(A1410,Inventory!E:E,1,0),Inventory!E:E,0))&lt;&gt;INDIRECT("'Full Inventory'!B"&amp;MATCH(VLOOKUP(A1410,'Full Inventory'!F:F,1,0),'Full Inventory'!F:F,0))),"X","_"),"_")</f>
        <v>_</v>
      </c>
      <c r="K1410" t="str">
        <f t="shared" ca="1" si="64"/>
        <v>__X_</v>
      </c>
      <c r="L1410" t="str">
        <f t="shared" ca="1" si="65"/>
        <v/>
      </c>
      <c r="M1410" t="str">
        <f>IFERROR(INDEX(Inventory!A:A,MATCH(Scan!A1410,Inventory!E:E,0)),"")</f>
        <v/>
      </c>
    </row>
    <row r="1411" spans="2:13" x14ac:dyDescent="0.25">
      <c r="B1411" t="str">
        <f>IF(IFERROR(VLOOKUP(TRIM(A1411),Inventory!E:E,1,0),0)=0,"X","_")</f>
        <v>_</v>
      </c>
      <c r="C1411" t="str">
        <f>IF(IFERROR(VLOOKUP(TRIM(A1411),'Full Inventory'!F:F,1,0),0)=0,"X","_")</f>
        <v>_</v>
      </c>
      <c r="D1411" t="str">
        <f t="shared" si="66"/>
        <v>X</v>
      </c>
      <c r="E1411" t="str">
        <f ca="1">IFERROR(IF(AND(B1411&amp;C1411&amp;D1411="___",INDIRECT("Inventory!A"&amp;MATCH(VLOOKUP(A1411,Inventory!E:E,1,0),Inventory!E:E,0))&lt;&gt;INDIRECT("'Full Inventory'!B"&amp;MATCH(VLOOKUP(A1411,'Full Inventory'!F:F,1,0),'Full Inventory'!F:F,0))),"X","_"),"_")</f>
        <v>_</v>
      </c>
      <c r="K1411" t="str">
        <f t="shared" ref="K1411:K1474" ca="1" si="67">B1411&amp;C1411&amp;D1411&amp;E1411</f>
        <v>__X_</v>
      </c>
      <c r="L1411" t="str">
        <f t="shared" ref="L1411:L1474" ca="1" si="68">IF(K1411="____","OK",IF(K1411="_X__","NOT IN FULL INVENTORY",IF(K1411="XX__","NOT IN FULL INVENTORY AND INVENTORY",IF(K1411="X___","NOT IN INVENTORY",IF(K1411="___X","DIFFERENT NAMES IN FULL INVENTORY AND INVENTORY","")))))</f>
        <v/>
      </c>
      <c r="M1411" t="str">
        <f>IFERROR(INDEX(Inventory!A:A,MATCH(Scan!A1411,Inventory!E:E,0)),"")</f>
        <v/>
      </c>
    </row>
    <row r="1412" spans="2:13" x14ac:dyDescent="0.25">
      <c r="B1412" t="str">
        <f>IF(IFERROR(VLOOKUP(TRIM(A1412),Inventory!E:E,1,0),0)=0,"X","_")</f>
        <v>_</v>
      </c>
      <c r="C1412" t="str">
        <f>IF(IFERROR(VLOOKUP(TRIM(A1412),'Full Inventory'!F:F,1,0),0)=0,"X","_")</f>
        <v>_</v>
      </c>
      <c r="D1412" t="str">
        <f t="shared" si="66"/>
        <v>X</v>
      </c>
      <c r="E1412" t="str">
        <f ca="1">IFERROR(IF(AND(B1412&amp;C1412&amp;D1412="___",INDIRECT("Inventory!A"&amp;MATCH(VLOOKUP(A1412,Inventory!E:E,1,0),Inventory!E:E,0))&lt;&gt;INDIRECT("'Full Inventory'!B"&amp;MATCH(VLOOKUP(A1412,'Full Inventory'!F:F,1,0),'Full Inventory'!F:F,0))),"X","_"),"_")</f>
        <v>_</v>
      </c>
      <c r="K1412" t="str">
        <f t="shared" ca="1" si="67"/>
        <v>__X_</v>
      </c>
      <c r="L1412" t="str">
        <f t="shared" ca="1" si="68"/>
        <v/>
      </c>
      <c r="M1412" t="str">
        <f>IFERROR(INDEX(Inventory!A:A,MATCH(Scan!A1412,Inventory!E:E,0)),"")</f>
        <v/>
      </c>
    </row>
    <row r="1413" spans="2:13" x14ac:dyDescent="0.25">
      <c r="B1413" t="str">
        <f>IF(IFERROR(VLOOKUP(TRIM(A1413),Inventory!E:E,1,0),0)=0,"X","_")</f>
        <v>_</v>
      </c>
      <c r="C1413" t="str">
        <f>IF(IFERROR(VLOOKUP(TRIM(A1413),'Full Inventory'!F:F,1,0),0)=0,"X","_")</f>
        <v>_</v>
      </c>
      <c r="D1413" t="str">
        <f t="shared" si="66"/>
        <v>X</v>
      </c>
      <c r="E1413" t="str">
        <f ca="1">IFERROR(IF(AND(B1413&amp;C1413&amp;D1413="___",INDIRECT("Inventory!A"&amp;MATCH(VLOOKUP(A1413,Inventory!E:E,1,0),Inventory!E:E,0))&lt;&gt;INDIRECT("'Full Inventory'!B"&amp;MATCH(VLOOKUP(A1413,'Full Inventory'!F:F,1,0),'Full Inventory'!F:F,0))),"X","_"),"_")</f>
        <v>_</v>
      </c>
      <c r="K1413" t="str">
        <f t="shared" ca="1" si="67"/>
        <v>__X_</v>
      </c>
      <c r="L1413" t="str">
        <f t="shared" ca="1" si="68"/>
        <v/>
      </c>
      <c r="M1413" t="str">
        <f>IFERROR(INDEX(Inventory!A:A,MATCH(Scan!A1413,Inventory!E:E,0)),"")</f>
        <v/>
      </c>
    </row>
    <row r="1414" spans="2:13" x14ac:dyDescent="0.25">
      <c r="B1414" t="str">
        <f>IF(IFERROR(VLOOKUP(TRIM(A1414),Inventory!E:E,1,0),0)=0,"X","_")</f>
        <v>_</v>
      </c>
      <c r="C1414" t="str">
        <f>IF(IFERROR(VLOOKUP(TRIM(A1414),'Full Inventory'!F:F,1,0),0)=0,"X","_")</f>
        <v>_</v>
      </c>
      <c r="D1414" t="str">
        <f t="shared" si="66"/>
        <v>X</v>
      </c>
      <c r="E1414" t="str">
        <f ca="1">IFERROR(IF(AND(B1414&amp;C1414&amp;D1414="___",INDIRECT("Inventory!A"&amp;MATCH(VLOOKUP(A1414,Inventory!E:E,1,0),Inventory!E:E,0))&lt;&gt;INDIRECT("'Full Inventory'!B"&amp;MATCH(VLOOKUP(A1414,'Full Inventory'!F:F,1,0),'Full Inventory'!F:F,0))),"X","_"),"_")</f>
        <v>_</v>
      </c>
      <c r="K1414" t="str">
        <f t="shared" ca="1" si="67"/>
        <v>__X_</v>
      </c>
      <c r="L1414" t="str">
        <f t="shared" ca="1" si="68"/>
        <v/>
      </c>
      <c r="M1414" t="str">
        <f>IFERROR(INDEX(Inventory!A:A,MATCH(Scan!A1414,Inventory!E:E,0)),"")</f>
        <v/>
      </c>
    </row>
    <row r="1415" spans="2:13" x14ac:dyDescent="0.25">
      <c r="B1415" t="str">
        <f>IF(IFERROR(VLOOKUP(TRIM(A1415),Inventory!E:E,1,0),0)=0,"X","_")</f>
        <v>_</v>
      </c>
      <c r="C1415" t="str">
        <f>IF(IFERROR(VLOOKUP(TRIM(A1415),'Full Inventory'!F:F,1,0),0)=0,"X","_")</f>
        <v>_</v>
      </c>
      <c r="D1415" t="str">
        <f t="shared" si="66"/>
        <v>X</v>
      </c>
      <c r="E1415" t="str">
        <f ca="1">IFERROR(IF(AND(B1415&amp;C1415&amp;D1415="___",INDIRECT("Inventory!A"&amp;MATCH(VLOOKUP(A1415,Inventory!E:E,1,0),Inventory!E:E,0))&lt;&gt;INDIRECT("'Full Inventory'!B"&amp;MATCH(VLOOKUP(A1415,'Full Inventory'!F:F,1,0),'Full Inventory'!F:F,0))),"X","_"),"_")</f>
        <v>_</v>
      </c>
      <c r="K1415" t="str">
        <f t="shared" ca="1" si="67"/>
        <v>__X_</v>
      </c>
      <c r="L1415" t="str">
        <f t="shared" ca="1" si="68"/>
        <v/>
      </c>
      <c r="M1415" t="str">
        <f>IFERROR(INDEX(Inventory!A:A,MATCH(Scan!A1415,Inventory!E:E,0)),"")</f>
        <v/>
      </c>
    </row>
    <row r="1416" spans="2:13" x14ac:dyDescent="0.25">
      <c r="B1416" t="str">
        <f>IF(IFERROR(VLOOKUP(TRIM(A1416),Inventory!E:E,1,0),0)=0,"X","_")</f>
        <v>_</v>
      </c>
      <c r="C1416" t="str">
        <f>IF(IFERROR(VLOOKUP(TRIM(A1416),'Full Inventory'!F:F,1,0),0)=0,"X","_")</f>
        <v>_</v>
      </c>
      <c r="D1416" t="str">
        <f t="shared" si="66"/>
        <v>X</v>
      </c>
      <c r="E1416" t="str">
        <f ca="1">IFERROR(IF(AND(B1416&amp;C1416&amp;D1416="___",INDIRECT("Inventory!A"&amp;MATCH(VLOOKUP(A1416,Inventory!E:E,1,0),Inventory!E:E,0))&lt;&gt;INDIRECT("'Full Inventory'!B"&amp;MATCH(VLOOKUP(A1416,'Full Inventory'!F:F,1,0),'Full Inventory'!F:F,0))),"X","_"),"_")</f>
        <v>_</v>
      </c>
      <c r="K1416" t="str">
        <f t="shared" ca="1" si="67"/>
        <v>__X_</v>
      </c>
      <c r="L1416" t="str">
        <f t="shared" ca="1" si="68"/>
        <v/>
      </c>
      <c r="M1416" t="str">
        <f>IFERROR(INDEX(Inventory!A:A,MATCH(Scan!A1416,Inventory!E:E,0)),"")</f>
        <v/>
      </c>
    </row>
    <row r="1417" spans="2:13" x14ac:dyDescent="0.25">
      <c r="B1417" t="str">
        <f>IF(IFERROR(VLOOKUP(TRIM(A1417),Inventory!E:E,1,0),0)=0,"X","_")</f>
        <v>_</v>
      </c>
      <c r="C1417" t="str">
        <f>IF(IFERROR(VLOOKUP(TRIM(A1417),'Full Inventory'!F:F,1,0),0)=0,"X","_")</f>
        <v>_</v>
      </c>
      <c r="D1417" t="str">
        <f t="shared" si="66"/>
        <v>X</v>
      </c>
      <c r="E1417" t="str">
        <f ca="1">IFERROR(IF(AND(B1417&amp;C1417&amp;D1417="___",INDIRECT("Inventory!A"&amp;MATCH(VLOOKUP(A1417,Inventory!E:E,1,0),Inventory!E:E,0))&lt;&gt;INDIRECT("'Full Inventory'!B"&amp;MATCH(VLOOKUP(A1417,'Full Inventory'!F:F,1,0),'Full Inventory'!F:F,0))),"X","_"),"_")</f>
        <v>_</v>
      </c>
      <c r="K1417" t="str">
        <f t="shared" ca="1" si="67"/>
        <v>__X_</v>
      </c>
      <c r="L1417" t="str">
        <f t="shared" ca="1" si="68"/>
        <v/>
      </c>
      <c r="M1417" t="str">
        <f>IFERROR(INDEX(Inventory!A:A,MATCH(Scan!A1417,Inventory!E:E,0)),"")</f>
        <v/>
      </c>
    </row>
    <row r="1418" spans="2:13" x14ac:dyDescent="0.25">
      <c r="B1418" t="str">
        <f>IF(IFERROR(VLOOKUP(TRIM(A1418),Inventory!E:E,1,0),0)=0,"X","_")</f>
        <v>_</v>
      </c>
      <c r="C1418" t="str">
        <f>IF(IFERROR(VLOOKUP(TRIM(A1418),'Full Inventory'!F:F,1,0),0)=0,"X","_")</f>
        <v>_</v>
      </c>
      <c r="D1418" t="str">
        <f t="shared" si="66"/>
        <v>X</v>
      </c>
      <c r="E1418" t="str">
        <f ca="1">IFERROR(IF(AND(B1418&amp;C1418&amp;D1418="___",INDIRECT("Inventory!A"&amp;MATCH(VLOOKUP(A1418,Inventory!E:E,1,0),Inventory!E:E,0))&lt;&gt;INDIRECT("'Full Inventory'!B"&amp;MATCH(VLOOKUP(A1418,'Full Inventory'!F:F,1,0),'Full Inventory'!F:F,0))),"X","_"),"_")</f>
        <v>_</v>
      </c>
      <c r="K1418" t="str">
        <f t="shared" ca="1" si="67"/>
        <v>__X_</v>
      </c>
      <c r="L1418" t="str">
        <f t="shared" ca="1" si="68"/>
        <v/>
      </c>
      <c r="M1418" t="str">
        <f>IFERROR(INDEX(Inventory!A:A,MATCH(Scan!A1418,Inventory!E:E,0)),"")</f>
        <v/>
      </c>
    </row>
    <row r="1419" spans="2:13" x14ac:dyDescent="0.25">
      <c r="B1419" t="str">
        <f>IF(IFERROR(VLOOKUP(TRIM(A1419),Inventory!E:E,1,0),0)=0,"X","_")</f>
        <v>_</v>
      </c>
      <c r="C1419" t="str">
        <f>IF(IFERROR(VLOOKUP(TRIM(A1419),'Full Inventory'!F:F,1,0),0)=0,"X","_")</f>
        <v>_</v>
      </c>
      <c r="D1419" t="str">
        <f t="shared" si="66"/>
        <v>X</v>
      </c>
      <c r="E1419" t="str">
        <f ca="1">IFERROR(IF(AND(B1419&amp;C1419&amp;D1419="___",INDIRECT("Inventory!A"&amp;MATCH(VLOOKUP(A1419,Inventory!E:E,1,0),Inventory!E:E,0))&lt;&gt;INDIRECT("'Full Inventory'!B"&amp;MATCH(VLOOKUP(A1419,'Full Inventory'!F:F,1,0),'Full Inventory'!F:F,0))),"X","_"),"_")</f>
        <v>_</v>
      </c>
      <c r="K1419" t="str">
        <f t="shared" ca="1" si="67"/>
        <v>__X_</v>
      </c>
      <c r="L1419" t="str">
        <f t="shared" ca="1" si="68"/>
        <v/>
      </c>
      <c r="M1419" t="str">
        <f>IFERROR(INDEX(Inventory!A:A,MATCH(Scan!A1419,Inventory!E:E,0)),"")</f>
        <v/>
      </c>
    </row>
    <row r="1420" spans="2:13" x14ac:dyDescent="0.25">
      <c r="B1420" t="str">
        <f>IF(IFERROR(VLOOKUP(TRIM(A1420),Inventory!E:E,1,0),0)=0,"X","_")</f>
        <v>_</v>
      </c>
      <c r="C1420" t="str">
        <f>IF(IFERROR(VLOOKUP(TRIM(A1420),'Full Inventory'!F:F,1,0),0)=0,"X","_")</f>
        <v>_</v>
      </c>
      <c r="D1420" t="str">
        <f t="shared" si="66"/>
        <v>X</v>
      </c>
      <c r="E1420" t="str">
        <f ca="1">IFERROR(IF(AND(B1420&amp;C1420&amp;D1420="___",INDIRECT("Inventory!A"&amp;MATCH(VLOOKUP(A1420,Inventory!E:E,1,0),Inventory!E:E,0))&lt;&gt;INDIRECT("'Full Inventory'!B"&amp;MATCH(VLOOKUP(A1420,'Full Inventory'!F:F,1,0),'Full Inventory'!F:F,0))),"X","_"),"_")</f>
        <v>_</v>
      </c>
      <c r="K1420" t="str">
        <f t="shared" ca="1" si="67"/>
        <v>__X_</v>
      </c>
      <c r="L1420" t="str">
        <f t="shared" ca="1" si="68"/>
        <v/>
      </c>
      <c r="M1420" t="str">
        <f>IFERROR(INDEX(Inventory!A:A,MATCH(Scan!A1420,Inventory!E:E,0)),"")</f>
        <v/>
      </c>
    </row>
    <row r="1421" spans="2:13" x14ac:dyDescent="0.25">
      <c r="B1421" t="str">
        <f>IF(IFERROR(VLOOKUP(TRIM(A1421),Inventory!E:E,1,0),0)=0,"X","_")</f>
        <v>_</v>
      </c>
      <c r="C1421" t="str">
        <f>IF(IFERROR(VLOOKUP(TRIM(A1421),'Full Inventory'!F:F,1,0),0)=0,"X","_")</f>
        <v>_</v>
      </c>
      <c r="D1421" t="str">
        <f t="shared" si="66"/>
        <v>X</v>
      </c>
      <c r="E1421" t="str">
        <f ca="1">IFERROR(IF(AND(B1421&amp;C1421&amp;D1421="___",INDIRECT("Inventory!A"&amp;MATCH(VLOOKUP(A1421,Inventory!E:E,1,0),Inventory!E:E,0))&lt;&gt;INDIRECT("'Full Inventory'!B"&amp;MATCH(VLOOKUP(A1421,'Full Inventory'!F:F,1,0),'Full Inventory'!F:F,0))),"X","_"),"_")</f>
        <v>_</v>
      </c>
      <c r="K1421" t="str">
        <f t="shared" ca="1" si="67"/>
        <v>__X_</v>
      </c>
      <c r="L1421" t="str">
        <f t="shared" ca="1" si="68"/>
        <v/>
      </c>
      <c r="M1421" t="str">
        <f>IFERROR(INDEX(Inventory!A:A,MATCH(Scan!A1421,Inventory!E:E,0)),"")</f>
        <v/>
      </c>
    </row>
    <row r="1422" spans="2:13" x14ac:dyDescent="0.25">
      <c r="B1422" t="str">
        <f>IF(IFERROR(VLOOKUP(TRIM(A1422),Inventory!E:E,1,0),0)=0,"X","_")</f>
        <v>_</v>
      </c>
      <c r="C1422" t="str">
        <f>IF(IFERROR(VLOOKUP(TRIM(A1422),'Full Inventory'!F:F,1,0),0)=0,"X","_")</f>
        <v>_</v>
      </c>
      <c r="D1422" t="str">
        <f t="shared" si="66"/>
        <v>X</v>
      </c>
      <c r="E1422" t="str">
        <f ca="1">IFERROR(IF(AND(B1422&amp;C1422&amp;D1422="___",INDIRECT("Inventory!A"&amp;MATCH(VLOOKUP(A1422,Inventory!E:E,1,0),Inventory!E:E,0))&lt;&gt;INDIRECT("'Full Inventory'!B"&amp;MATCH(VLOOKUP(A1422,'Full Inventory'!F:F,1,0),'Full Inventory'!F:F,0))),"X","_"),"_")</f>
        <v>_</v>
      </c>
      <c r="K1422" t="str">
        <f t="shared" ca="1" si="67"/>
        <v>__X_</v>
      </c>
      <c r="L1422" t="str">
        <f t="shared" ca="1" si="68"/>
        <v/>
      </c>
      <c r="M1422" t="str">
        <f>IFERROR(INDEX(Inventory!A:A,MATCH(Scan!A1422,Inventory!E:E,0)),"")</f>
        <v/>
      </c>
    </row>
    <row r="1423" spans="2:13" x14ac:dyDescent="0.25">
      <c r="B1423" t="str">
        <f>IF(IFERROR(VLOOKUP(TRIM(A1423),Inventory!E:E,1,0),0)=0,"X","_")</f>
        <v>_</v>
      </c>
      <c r="C1423" t="str">
        <f>IF(IFERROR(VLOOKUP(TRIM(A1423),'Full Inventory'!F:F,1,0),0)=0,"X","_")</f>
        <v>_</v>
      </c>
      <c r="D1423" t="str">
        <f t="shared" si="66"/>
        <v>X</v>
      </c>
      <c r="E1423" t="str">
        <f ca="1">IFERROR(IF(AND(B1423&amp;C1423&amp;D1423="___",INDIRECT("Inventory!A"&amp;MATCH(VLOOKUP(A1423,Inventory!E:E,1,0),Inventory!E:E,0))&lt;&gt;INDIRECT("'Full Inventory'!B"&amp;MATCH(VLOOKUP(A1423,'Full Inventory'!F:F,1,0),'Full Inventory'!F:F,0))),"X","_"),"_")</f>
        <v>_</v>
      </c>
      <c r="K1423" t="str">
        <f t="shared" ca="1" si="67"/>
        <v>__X_</v>
      </c>
      <c r="L1423" t="str">
        <f t="shared" ca="1" si="68"/>
        <v/>
      </c>
      <c r="M1423" t="str">
        <f>IFERROR(INDEX(Inventory!A:A,MATCH(Scan!A1423,Inventory!E:E,0)),"")</f>
        <v/>
      </c>
    </row>
    <row r="1424" spans="2:13" x14ac:dyDescent="0.25">
      <c r="B1424" t="str">
        <f>IF(IFERROR(VLOOKUP(TRIM(A1424),Inventory!E:E,1,0),0)=0,"X","_")</f>
        <v>_</v>
      </c>
      <c r="C1424" t="str">
        <f>IF(IFERROR(VLOOKUP(TRIM(A1424),'Full Inventory'!F:F,1,0),0)=0,"X","_")</f>
        <v>_</v>
      </c>
      <c r="D1424" t="str">
        <f t="shared" si="66"/>
        <v>X</v>
      </c>
      <c r="E1424" t="str">
        <f ca="1">IFERROR(IF(AND(B1424&amp;C1424&amp;D1424="___",INDIRECT("Inventory!A"&amp;MATCH(VLOOKUP(A1424,Inventory!E:E,1,0),Inventory!E:E,0))&lt;&gt;INDIRECT("'Full Inventory'!B"&amp;MATCH(VLOOKUP(A1424,'Full Inventory'!F:F,1,0),'Full Inventory'!F:F,0))),"X","_"),"_")</f>
        <v>_</v>
      </c>
      <c r="K1424" t="str">
        <f t="shared" ca="1" si="67"/>
        <v>__X_</v>
      </c>
      <c r="L1424" t="str">
        <f t="shared" ca="1" si="68"/>
        <v/>
      </c>
      <c r="M1424" t="str">
        <f>IFERROR(INDEX(Inventory!A:A,MATCH(Scan!A1424,Inventory!E:E,0)),"")</f>
        <v/>
      </c>
    </row>
    <row r="1425" spans="2:13" x14ac:dyDescent="0.25">
      <c r="B1425" t="str">
        <f>IF(IFERROR(VLOOKUP(TRIM(A1425),Inventory!E:E,1,0),0)=0,"X","_")</f>
        <v>_</v>
      </c>
      <c r="C1425" t="str">
        <f>IF(IFERROR(VLOOKUP(TRIM(A1425),'Full Inventory'!F:F,1,0),0)=0,"X","_")</f>
        <v>_</v>
      </c>
      <c r="D1425" t="str">
        <f t="shared" si="66"/>
        <v>X</v>
      </c>
      <c r="E1425" t="str">
        <f ca="1">IFERROR(IF(AND(B1425&amp;C1425&amp;D1425="___",INDIRECT("Inventory!A"&amp;MATCH(VLOOKUP(A1425,Inventory!E:E,1,0),Inventory!E:E,0))&lt;&gt;INDIRECT("'Full Inventory'!B"&amp;MATCH(VLOOKUP(A1425,'Full Inventory'!F:F,1,0),'Full Inventory'!F:F,0))),"X","_"),"_")</f>
        <v>_</v>
      </c>
      <c r="K1425" t="str">
        <f t="shared" ca="1" si="67"/>
        <v>__X_</v>
      </c>
      <c r="L1425" t="str">
        <f t="shared" ca="1" si="68"/>
        <v/>
      </c>
      <c r="M1425" t="str">
        <f>IFERROR(INDEX(Inventory!A:A,MATCH(Scan!A1425,Inventory!E:E,0)),"")</f>
        <v/>
      </c>
    </row>
    <row r="1426" spans="2:13" x14ac:dyDescent="0.25">
      <c r="B1426" t="str">
        <f>IF(IFERROR(VLOOKUP(TRIM(A1426),Inventory!E:E,1,0),0)=0,"X","_")</f>
        <v>_</v>
      </c>
      <c r="C1426" t="str">
        <f>IF(IFERROR(VLOOKUP(TRIM(A1426),'Full Inventory'!F:F,1,0),0)=0,"X","_")</f>
        <v>_</v>
      </c>
      <c r="D1426" t="str">
        <f t="shared" si="66"/>
        <v>X</v>
      </c>
      <c r="E1426" t="str">
        <f ca="1">IFERROR(IF(AND(B1426&amp;C1426&amp;D1426="___",INDIRECT("Inventory!A"&amp;MATCH(VLOOKUP(A1426,Inventory!E:E,1,0),Inventory!E:E,0))&lt;&gt;INDIRECT("'Full Inventory'!B"&amp;MATCH(VLOOKUP(A1426,'Full Inventory'!F:F,1,0),'Full Inventory'!F:F,0))),"X","_"),"_")</f>
        <v>_</v>
      </c>
      <c r="K1426" t="str">
        <f t="shared" ca="1" si="67"/>
        <v>__X_</v>
      </c>
      <c r="L1426" t="str">
        <f t="shared" ca="1" si="68"/>
        <v/>
      </c>
      <c r="M1426" t="str">
        <f>IFERROR(INDEX(Inventory!A:A,MATCH(Scan!A1426,Inventory!E:E,0)),"")</f>
        <v/>
      </c>
    </row>
    <row r="1427" spans="2:13" x14ac:dyDescent="0.25">
      <c r="B1427" t="str">
        <f>IF(IFERROR(VLOOKUP(TRIM(A1427),Inventory!E:E,1,0),0)=0,"X","_")</f>
        <v>_</v>
      </c>
      <c r="C1427" t="str">
        <f>IF(IFERROR(VLOOKUP(TRIM(A1427),'Full Inventory'!F:F,1,0),0)=0,"X","_")</f>
        <v>_</v>
      </c>
      <c r="D1427" t="str">
        <f t="shared" si="66"/>
        <v>X</v>
      </c>
      <c r="E1427" t="str">
        <f ca="1">IFERROR(IF(AND(B1427&amp;C1427&amp;D1427="___",INDIRECT("Inventory!A"&amp;MATCH(VLOOKUP(A1427,Inventory!E:E,1,0),Inventory!E:E,0))&lt;&gt;INDIRECT("'Full Inventory'!B"&amp;MATCH(VLOOKUP(A1427,'Full Inventory'!F:F,1,0),'Full Inventory'!F:F,0))),"X","_"),"_")</f>
        <v>_</v>
      </c>
      <c r="K1427" t="str">
        <f t="shared" ca="1" si="67"/>
        <v>__X_</v>
      </c>
      <c r="L1427" t="str">
        <f t="shared" ca="1" si="68"/>
        <v/>
      </c>
      <c r="M1427" t="str">
        <f>IFERROR(INDEX(Inventory!A:A,MATCH(Scan!A1427,Inventory!E:E,0)),"")</f>
        <v/>
      </c>
    </row>
    <row r="1428" spans="2:13" x14ac:dyDescent="0.25">
      <c r="B1428" t="str">
        <f>IF(IFERROR(VLOOKUP(TRIM(A1428),Inventory!E:E,1,0),0)=0,"X","_")</f>
        <v>_</v>
      </c>
      <c r="C1428" t="str">
        <f>IF(IFERROR(VLOOKUP(TRIM(A1428),'Full Inventory'!F:F,1,0),0)=0,"X","_")</f>
        <v>_</v>
      </c>
      <c r="D1428" t="str">
        <f t="shared" si="66"/>
        <v>X</v>
      </c>
      <c r="E1428" t="str">
        <f ca="1">IFERROR(IF(AND(B1428&amp;C1428&amp;D1428="___",INDIRECT("Inventory!A"&amp;MATCH(VLOOKUP(A1428,Inventory!E:E,1,0),Inventory!E:E,0))&lt;&gt;INDIRECT("'Full Inventory'!B"&amp;MATCH(VLOOKUP(A1428,'Full Inventory'!F:F,1,0),'Full Inventory'!F:F,0))),"X","_"),"_")</f>
        <v>_</v>
      </c>
      <c r="K1428" t="str">
        <f t="shared" ca="1" si="67"/>
        <v>__X_</v>
      </c>
      <c r="L1428" t="str">
        <f t="shared" ca="1" si="68"/>
        <v/>
      </c>
      <c r="M1428" t="str">
        <f>IFERROR(INDEX(Inventory!A:A,MATCH(Scan!A1428,Inventory!E:E,0)),"")</f>
        <v/>
      </c>
    </row>
    <row r="1429" spans="2:13" x14ac:dyDescent="0.25">
      <c r="B1429" t="str">
        <f>IF(IFERROR(VLOOKUP(TRIM(A1429),Inventory!E:E,1,0),0)=0,"X","_")</f>
        <v>_</v>
      </c>
      <c r="C1429" t="str">
        <f>IF(IFERROR(VLOOKUP(TRIM(A1429),'Full Inventory'!F:F,1,0),0)=0,"X","_")</f>
        <v>_</v>
      </c>
      <c r="D1429" t="str">
        <f t="shared" si="66"/>
        <v>X</v>
      </c>
      <c r="E1429" t="str">
        <f ca="1">IFERROR(IF(AND(B1429&amp;C1429&amp;D1429="___",INDIRECT("Inventory!A"&amp;MATCH(VLOOKUP(A1429,Inventory!E:E,1,0),Inventory!E:E,0))&lt;&gt;INDIRECT("'Full Inventory'!B"&amp;MATCH(VLOOKUP(A1429,'Full Inventory'!F:F,1,0),'Full Inventory'!F:F,0))),"X","_"),"_")</f>
        <v>_</v>
      </c>
      <c r="K1429" t="str">
        <f t="shared" ca="1" si="67"/>
        <v>__X_</v>
      </c>
      <c r="L1429" t="str">
        <f t="shared" ca="1" si="68"/>
        <v/>
      </c>
      <c r="M1429" t="str">
        <f>IFERROR(INDEX(Inventory!A:A,MATCH(Scan!A1429,Inventory!E:E,0)),"")</f>
        <v/>
      </c>
    </row>
    <row r="1430" spans="2:13" x14ac:dyDescent="0.25">
      <c r="B1430" t="str">
        <f>IF(IFERROR(VLOOKUP(TRIM(A1430),Inventory!E:E,1,0),0)=0,"X","_")</f>
        <v>_</v>
      </c>
      <c r="C1430" t="str">
        <f>IF(IFERROR(VLOOKUP(TRIM(A1430),'Full Inventory'!F:F,1,0),0)=0,"X","_")</f>
        <v>_</v>
      </c>
      <c r="D1430" t="str">
        <f t="shared" si="66"/>
        <v>X</v>
      </c>
      <c r="E1430" t="str">
        <f ca="1">IFERROR(IF(AND(B1430&amp;C1430&amp;D1430="___",INDIRECT("Inventory!A"&amp;MATCH(VLOOKUP(A1430,Inventory!E:E,1,0),Inventory!E:E,0))&lt;&gt;INDIRECT("'Full Inventory'!B"&amp;MATCH(VLOOKUP(A1430,'Full Inventory'!F:F,1,0),'Full Inventory'!F:F,0))),"X","_"),"_")</f>
        <v>_</v>
      </c>
      <c r="K1430" t="str">
        <f t="shared" ca="1" si="67"/>
        <v>__X_</v>
      </c>
      <c r="L1430" t="str">
        <f t="shared" ca="1" si="68"/>
        <v/>
      </c>
      <c r="M1430" t="str">
        <f>IFERROR(INDEX(Inventory!A:A,MATCH(Scan!A1430,Inventory!E:E,0)),"")</f>
        <v/>
      </c>
    </row>
    <row r="1431" spans="2:13" x14ac:dyDescent="0.25">
      <c r="B1431" t="str">
        <f>IF(IFERROR(VLOOKUP(TRIM(A1431),Inventory!E:E,1,0),0)=0,"X","_")</f>
        <v>_</v>
      </c>
      <c r="C1431" t="str">
        <f>IF(IFERROR(VLOOKUP(TRIM(A1431),'Full Inventory'!F:F,1,0),0)=0,"X","_")</f>
        <v>_</v>
      </c>
      <c r="D1431" t="str">
        <f t="shared" si="66"/>
        <v>X</v>
      </c>
      <c r="E1431" t="str">
        <f ca="1">IFERROR(IF(AND(B1431&amp;C1431&amp;D1431="___",INDIRECT("Inventory!A"&amp;MATCH(VLOOKUP(A1431,Inventory!E:E,1,0),Inventory!E:E,0))&lt;&gt;INDIRECT("'Full Inventory'!B"&amp;MATCH(VLOOKUP(A1431,'Full Inventory'!F:F,1,0),'Full Inventory'!F:F,0))),"X","_"),"_")</f>
        <v>_</v>
      </c>
      <c r="K1431" t="str">
        <f t="shared" ca="1" si="67"/>
        <v>__X_</v>
      </c>
      <c r="L1431" t="str">
        <f t="shared" ca="1" si="68"/>
        <v/>
      </c>
      <c r="M1431" t="str">
        <f>IFERROR(INDEX(Inventory!A:A,MATCH(Scan!A1431,Inventory!E:E,0)),"")</f>
        <v/>
      </c>
    </row>
    <row r="1432" spans="2:13" x14ac:dyDescent="0.25">
      <c r="B1432" t="str">
        <f>IF(IFERROR(VLOOKUP(TRIM(A1432),Inventory!E:E,1,0),0)=0,"X","_")</f>
        <v>_</v>
      </c>
      <c r="C1432" t="str">
        <f>IF(IFERROR(VLOOKUP(TRIM(A1432),'Full Inventory'!F:F,1,0),0)=0,"X","_")</f>
        <v>_</v>
      </c>
      <c r="D1432" t="str">
        <f t="shared" si="66"/>
        <v>X</v>
      </c>
      <c r="E1432" t="str">
        <f ca="1">IFERROR(IF(AND(B1432&amp;C1432&amp;D1432="___",INDIRECT("Inventory!A"&amp;MATCH(VLOOKUP(A1432,Inventory!E:E,1,0),Inventory!E:E,0))&lt;&gt;INDIRECT("'Full Inventory'!B"&amp;MATCH(VLOOKUP(A1432,'Full Inventory'!F:F,1,0),'Full Inventory'!F:F,0))),"X","_"),"_")</f>
        <v>_</v>
      </c>
      <c r="K1432" t="str">
        <f t="shared" ca="1" si="67"/>
        <v>__X_</v>
      </c>
      <c r="L1432" t="str">
        <f t="shared" ca="1" si="68"/>
        <v/>
      </c>
      <c r="M1432" t="str">
        <f>IFERROR(INDEX(Inventory!A:A,MATCH(Scan!A1432,Inventory!E:E,0)),"")</f>
        <v/>
      </c>
    </row>
    <row r="1433" spans="2:13" x14ac:dyDescent="0.25">
      <c r="B1433" t="str">
        <f>IF(IFERROR(VLOOKUP(TRIM(A1433),Inventory!E:E,1,0),0)=0,"X","_")</f>
        <v>_</v>
      </c>
      <c r="C1433" t="str">
        <f>IF(IFERROR(VLOOKUP(TRIM(A1433),'Full Inventory'!F:F,1,0),0)=0,"X","_")</f>
        <v>_</v>
      </c>
      <c r="D1433" t="str">
        <f t="shared" si="66"/>
        <v>X</v>
      </c>
      <c r="E1433" t="str">
        <f ca="1">IFERROR(IF(AND(B1433&amp;C1433&amp;D1433="___",INDIRECT("Inventory!A"&amp;MATCH(VLOOKUP(A1433,Inventory!E:E,1,0),Inventory!E:E,0))&lt;&gt;INDIRECT("'Full Inventory'!B"&amp;MATCH(VLOOKUP(A1433,'Full Inventory'!F:F,1,0),'Full Inventory'!F:F,0))),"X","_"),"_")</f>
        <v>_</v>
      </c>
      <c r="K1433" t="str">
        <f t="shared" ca="1" si="67"/>
        <v>__X_</v>
      </c>
      <c r="L1433" t="str">
        <f t="shared" ca="1" si="68"/>
        <v/>
      </c>
      <c r="M1433" t="str">
        <f>IFERROR(INDEX(Inventory!A:A,MATCH(Scan!A1433,Inventory!E:E,0)),"")</f>
        <v/>
      </c>
    </row>
    <row r="1434" spans="2:13" x14ac:dyDescent="0.25">
      <c r="B1434" t="str">
        <f>IF(IFERROR(VLOOKUP(TRIM(A1434),Inventory!E:E,1,0),0)=0,"X","_")</f>
        <v>_</v>
      </c>
      <c r="C1434" t="str">
        <f>IF(IFERROR(VLOOKUP(TRIM(A1434),'Full Inventory'!F:F,1,0),0)=0,"X","_")</f>
        <v>_</v>
      </c>
      <c r="D1434" t="str">
        <f t="shared" si="66"/>
        <v>X</v>
      </c>
      <c r="E1434" t="str">
        <f ca="1">IFERROR(IF(AND(B1434&amp;C1434&amp;D1434="___",INDIRECT("Inventory!A"&amp;MATCH(VLOOKUP(A1434,Inventory!E:E,1,0),Inventory!E:E,0))&lt;&gt;INDIRECT("'Full Inventory'!B"&amp;MATCH(VLOOKUP(A1434,'Full Inventory'!F:F,1,0),'Full Inventory'!F:F,0))),"X","_"),"_")</f>
        <v>_</v>
      </c>
      <c r="K1434" t="str">
        <f t="shared" ca="1" si="67"/>
        <v>__X_</v>
      </c>
      <c r="L1434" t="str">
        <f t="shared" ca="1" si="68"/>
        <v/>
      </c>
      <c r="M1434" t="str">
        <f>IFERROR(INDEX(Inventory!A:A,MATCH(Scan!A1434,Inventory!E:E,0)),"")</f>
        <v/>
      </c>
    </row>
    <row r="1435" spans="2:13" x14ac:dyDescent="0.25">
      <c r="B1435" t="str">
        <f>IF(IFERROR(VLOOKUP(TRIM(A1435),Inventory!E:E,1,0),0)=0,"X","_")</f>
        <v>_</v>
      </c>
      <c r="C1435" t="str">
        <f>IF(IFERROR(VLOOKUP(TRIM(A1435),'Full Inventory'!F:F,1,0),0)=0,"X","_")</f>
        <v>_</v>
      </c>
      <c r="D1435" t="str">
        <f t="shared" si="66"/>
        <v>X</v>
      </c>
      <c r="E1435" t="str">
        <f ca="1">IFERROR(IF(AND(B1435&amp;C1435&amp;D1435="___",INDIRECT("Inventory!A"&amp;MATCH(VLOOKUP(A1435,Inventory!E:E,1,0),Inventory!E:E,0))&lt;&gt;INDIRECT("'Full Inventory'!B"&amp;MATCH(VLOOKUP(A1435,'Full Inventory'!F:F,1,0),'Full Inventory'!F:F,0))),"X","_"),"_")</f>
        <v>_</v>
      </c>
      <c r="K1435" t="str">
        <f t="shared" ca="1" si="67"/>
        <v>__X_</v>
      </c>
      <c r="L1435" t="str">
        <f t="shared" ca="1" si="68"/>
        <v/>
      </c>
      <c r="M1435" t="str">
        <f>IFERROR(INDEX(Inventory!A:A,MATCH(Scan!A1435,Inventory!E:E,0)),"")</f>
        <v/>
      </c>
    </row>
    <row r="1436" spans="2:13" x14ac:dyDescent="0.25">
      <c r="B1436" t="str">
        <f>IF(IFERROR(VLOOKUP(TRIM(A1436),Inventory!E:E,1,0),0)=0,"X","_")</f>
        <v>_</v>
      </c>
      <c r="C1436" t="str">
        <f>IF(IFERROR(VLOOKUP(TRIM(A1436),'Full Inventory'!F:F,1,0),0)=0,"X","_")</f>
        <v>_</v>
      </c>
      <c r="D1436" t="str">
        <f t="shared" si="66"/>
        <v>X</v>
      </c>
      <c r="E1436" t="str">
        <f ca="1">IFERROR(IF(AND(B1436&amp;C1436&amp;D1436="___",INDIRECT("Inventory!A"&amp;MATCH(VLOOKUP(A1436,Inventory!E:E,1,0),Inventory!E:E,0))&lt;&gt;INDIRECT("'Full Inventory'!B"&amp;MATCH(VLOOKUP(A1436,'Full Inventory'!F:F,1,0),'Full Inventory'!F:F,0))),"X","_"),"_")</f>
        <v>_</v>
      </c>
      <c r="K1436" t="str">
        <f t="shared" ca="1" si="67"/>
        <v>__X_</v>
      </c>
      <c r="L1436" t="str">
        <f t="shared" ca="1" si="68"/>
        <v/>
      </c>
      <c r="M1436" t="str">
        <f>IFERROR(INDEX(Inventory!A:A,MATCH(Scan!A1436,Inventory!E:E,0)),"")</f>
        <v/>
      </c>
    </row>
    <row r="1437" spans="2:13" x14ac:dyDescent="0.25">
      <c r="B1437" t="str">
        <f>IF(IFERROR(VLOOKUP(TRIM(A1437),Inventory!E:E,1,0),0)=0,"X","_")</f>
        <v>_</v>
      </c>
      <c r="C1437" t="str">
        <f>IF(IFERROR(VLOOKUP(TRIM(A1437),'Full Inventory'!F:F,1,0),0)=0,"X","_")</f>
        <v>_</v>
      </c>
      <c r="D1437" t="str">
        <f t="shared" si="66"/>
        <v>X</v>
      </c>
      <c r="E1437" t="str">
        <f ca="1">IFERROR(IF(AND(B1437&amp;C1437&amp;D1437="___",INDIRECT("Inventory!A"&amp;MATCH(VLOOKUP(A1437,Inventory!E:E,1,0),Inventory!E:E,0))&lt;&gt;INDIRECT("'Full Inventory'!B"&amp;MATCH(VLOOKUP(A1437,'Full Inventory'!F:F,1,0),'Full Inventory'!F:F,0))),"X","_"),"_")</f>
        <v>_</v>
      </c>
      <c r="K1437" t="str">
        <f t="shared" ca="1" si="67"/>
        <v>__X_</v>
      </c>
      <c r="L1437" t="str">
        <f t="shared" ca="1" si="68"/>
        <v/>
      </c>
      <c r="M1437" t="str">
        <f>IFERROR(INDEX(Inventory!A:A,MATCH(Scan!A1437,Inventory!E:E,0)),"")</f>
        <v/>
      </c>
    </row>
    <row r="1438" spans="2:13" x14ac:dyDescent="0.25">
      <c r="B1438" t="str">
        <f>IF(IFERROR(VLOOKUP(TRIM(A1438),Inventory!E:E,1,0),0)=0,"X","_")</f>
        <v>_</v>
      </c>
      <c r="C1438" t="str">
        <f>IF(IFERROR(VLOOKUP(TRIM(A1438),'Full Inventory'!F:F,1,0),0)=0,"X","_")</f>
        <v>_</v>
      </c>
      <c r="D1438" t="str">
        <f t="shared" si="66"/>
        <v>X</v>
      </c>
      <c r="E1438" t="str">
        <f ca="1">IFERROR(IF(AND(B1438&amp;C1438&amp;D1438="___",INDIRECT("Inventory!A"&amp;MATCH(VLOOKUP(A1438,Inventory!E:E,1,0),Inventory!E:E,0))&lt;&gt;INDIRECT("'Full Inventory'!B"&amp;MATCH(VLOOKUP(A1438,'Full Inventory'!F:F,1,0),'Full Inventory'!F:F,0))),"X","_"),"_")</f>
        <v>_</v>
      </c>
      <c r="K1438" t="str">
        <f t="shared" ca="1" si="67"/>
        <v>__X_</v>
      </c>
      <c r="L1438" t="str">
        <f t="shared" ca="1" si="68"/>
        <v/>
      </c>
      <c r="M1438" t="str">
        <f>IFERROR(INDEX(Inventory!A:A,MATCH(Scan!A1438,Inventory!E:E,0)),"")</f>
        <v/>
      </c>
    </row>
    <row r="1439" spans="2:13" x14ac:dyDescent="0.25">
      <c r="B1439" t="str">
        <f>IF(IFERROR(VLOOKUP(TRIM(A1439),Inventory!E:E,1,0),0)=0,"X","_")</f>
        <v>_</v>
      </c>
      <c r="C1439" t="str">
        <f>IF(IFERROR(VLOOKUP(TRIM(A1439),'Full Inventory'!F:F,1,0),0)=0,"X","_")</f>
        <v>_</v>
      </c>
      <c r="D1439" t="str">
        <f t="shared" si="66"/>
        <v>X</v>
      </c>
      <c r="E1439" t="str">
        <f ca="1">IFERROR(IF(AND(B1439&amp;C1439&amp;D1439="___",INDIRECT("Inventory!A"&amp;MATCH(VLOOKUP(A1439,Inventory!E:E,1,0),Inventory!E:E,0))&lt;&gt;INDIRECT("'Full Inventory'!B"&amp;MATCH(VLOOKUP(A1439,'Full Inventory'!F:F,1,0),'Full Inventory'!F:F,0))),"X","_"),"_")</f>
        <v>_</v>
      </c>
      <c r="K1439" t="str">
        <f t="shared" ca="1" si="67"/>
        <v>__X_</v>
      </c>
      <c r="L1439" t="str">
        <f t="shared" ca="1" si="68"/>
        <v/>
      </c>
      <c r="M1439" t="str">
        <f>IFERROR(INDEX(Inventory!A:A,MATCH(Scan!A1439,Inventory!E:E,0)),"")</f>
        <v/>
      </c>
    </row>
    <row r="1440" spans="2:13" x14ac:dyDescent="0.25">
      <c r="B1440" t="str">
        <f>IF(IFERROR(VLOOKUP(TRIM(A1440),Inventory!E:E,1,0),0)=0,"X","_")</f>
        <v>_</v>
      </c>
      <c r="C1440" t="str">
        <f>IF(IFERROR(VLOOKUP(TRIM(A1440),'Full Inventory'!F:F,1,0),0)=0,"X","_")</f>
        <v>_</v>
      </c>
      <c r="D1440" t="str">
        <f t="shared" si="66"/>
        <v>X</v>
      </c>
      <c r="E1440" t="str">
        <f ca="1">IFERROR(IF(AND(B1440&amp;C1440&amp;D1440="___",INDIRECT("Inventory!A"&amp;MATCH(VLOOKUP(A1440,Inventory!E:E,1,0),Inventory!E:E,0))&lt;&gt;INDIRECT("'Full Inventory'!B"&amp;MATCH(VLOOKUP(A1440,'Full Inventory'!F:F,1,0),'Full Inventory'!F:F,0))),"X","_"),"_")</f>
        <v>_</v>
      </c>
      <c r="K1440" t="str">
        <f t="shared" ca="1" si="67"/>
        <v>__X_</v>
      </c>
      <c r="L1440" t="str">
        <f t="shared" ca="1" si="68"/>
        <v/>
      </c>
      <c r="M1440" t="str">
        <f>IFERROR(INDEX(Inventory!A:A,MATCH(Scan!A1440,Inventory!E:E,0)),"")</f>
        <v/>
      </c>
    </row>
    <row r="1441" spans="2:13" x14ac:dyDescent="0.25">
      <c r="B1441" t="str">
        <f>IF(IFERROR(VLOOKUP(TRIM(A1441),Inventory!E:E,1,0),0)=0,"X","_")</f>
        <v>_</v>
      </c>
      <c r="C1441" t="str">
        <f>IF(IFERROR(VLOOKUP(TRIM(A1441),'Full Inventory'!F:F,1,0),0)=0,"X","_")</f>
        <v>_</v>
      </c>
      <c r="D1441" t="str">
        <f t="shared" si="66"/>
        <v>X</v>
      </c>
      <c r="E1441" t="str">
        <f ca="1">IFERROR(IF(AND(B1441&amp;C1441&amp;D1441="___",INDIRECT("Inventory!A"&amp;MATCH(VLOOKUP(A1441,Inventory!E:E,1,0),Inventory!E:E,0))&lt;&gt;INDIRECT("'Full Inventory'!B"&amp;MATCH(VLOOKUP(A1441,'Full Inventory'!F:F,1,0),'Full Inventory'!F:F,0))),"X","_"),"_")</f>
        <v>_</v>
      </c>
      <c r="K1441" t="str">
        <f t="shared" ca="1" si="67"/>
        <v>__X_</v>
      </c>
      <c r="L1441" t="str">
        <f t="shared" ca="1" si="68"/>
        <v/>
      </c>
      <c r="M1441" t="str">
        <f>IFERROR(INDEX(Inventory!A:A,MATCH(Scan!A1441,Inventory!E:E,0)),"")</f>
        <v/>
      </c>
    </row>
    <row r="1442" spans="2:13" x14ac:dyDescent="0.25">
      <c r="B1442" t="str">
        <f>IF(IFERROR(VLOOKUP(TRIM(A1442),Inventory!E:E,1,0),0)=0,"X","_")</f>
        <v>_</v>
      </c>
      <c r="C1442" t="str">
        <f>IF(IFERROR(VLOOKUP(TRIM(A1442),'Full Inventory'!F:F,1,0),0)=0,"X","_")</f>
        <v>_</v>
      </c>
      <c r="D1442" t="str">
        <f t="shared" si="66"/>
        <v>X</v>
      </c>
      <c r="E1442" t="str">
        <f ca="1">IFERROR(IF(AND(B1442&amp;C1442&amp;D1442="___",INDIRECT("Inventory!A"&amp;MATCH(VLOOKUP(A1442,Inventory!E:E,1,0),Inventory!E:E,0))&lt;&gt;INDIRECT("'Full Inventory'!B"&amp;MATCH(VLOOKUP(A1442,'Full Inventory'!F:F,1,0),'Full Inventory'!F:F,0))),"X","_"),"_")</f>
        <v>_</v>
      </c>
      <c r="K1442" t="str">
        <f t="shared" ca="1" si="67"/>
        <v>__X_</v>
      </c>
      <c r="L1442" t="str">
        <f t="shared" ca="1" si="68"/>
        <v/>
      </c>
      <c r="M1442" t="str">
        <f>IFERROR(INDEX(Inventory!A:A,MATCH(Scan!A1442,Inventory!E:E,0)),"")</f>
        <v/>
      </c>
    </row>
    <row r="1443" spans="2:13" x14ac:dyDescent="0.25">
      <c r="B1443" t="str">
        <f>IF(IFERROR(VLOOKUP(TRIM(A1443),Inventory!E:E,1,0),0)=0,"X","_")</f>
        <v>_</v>
      </c>
      <c r="C1443" t="str">
        <f>IF(IFERROR(VLOOKUP(TRIM(A1443),'Full Inventory'!F:F,1,0),0)=0,"X","_")</f>
        <v>_</v>
      </c>
      <c r="D1443" t="str">
        <f t="shared" si="66"/>
        <v>X</v>
      </c>
      <c r="E1443" t="str">
        <f ca="1">IFERROR(IF(AND(B1443&amp;C1443&amp;D1443="___",INDIRECT("Inventory!A"&amp;MATCH(VLOOKUP(A1443,Inventory!E:E,1,0),Inventory!E:E,0))&lt;&gt;INDIRECT("'Full Inventory'!B"&amp;MATCH(VLOOKUP(A1443,'Full Inventory'!F:F,1,0),'Full Inventory'!F:F,0))),"X","_"),"_")</f>
        <v>_</v>
      </c>
      <c r="K1443" t="str">
        <f t="shared" ca="1" si="67"/>
        <v>__X_</v>
      </c>
      <c r="L1443" t="str">
        <f t="shared" ca="1" si="68"/>
        <v/>
      </c>
      <c r="M1443" t="str">
        <f>IFERROR(INDEX(Inventory!A:A,MATCH(Scan!A1443,Inventory!E:E,0)),"")</f>
        <v/>
      </c>
    </row>
    <row r="1444" spans="2:13" x14ac:dyDescent="0.25">
      <c r="B1444" t="str">
        <f>IF(IFERROR(VLOOKUP(TRIM(A1444),Inventory!E:E,1,0),0)=0,"X","_")</f>
        <v>_</v>
      </c>
      <c r="C1444" t="str">
        <f>IF(IFERROR(VLOOKUP(TRIM(A1444),'Full Inventory'!F:F,1,0),0)=0,"X","_")</f>
        <v>_</v>
      </c>
      <c r="D1444" t="str">
        <f t="shared" si="66"/>
        <v>X</v>
      </c>
      <c r="E1444" t="str">
        <f ca="1">IFERROR(IF(AND(B1444&amp;C1444&amp;D1444="___",INDIRECT("Inventory!A"&amp;MATCH(VLOOKUP(A1444,Inventory!E:E,1,0),Inventory!E:E,0))&lt;&gt;INDIRECT("'Full Inventory'!B"&amp;MATCH(VLOOKUP(A1444,'Full Inventory'!F:F,1,0),'Full Inventory'!F:F,0))),"X","_"),"_")</f>
        <v>_</v>
      </c>
      <c r="K1444" t="str">
        <f t="shared" ca="1" si="67"/>
        <v>__X_</v>
      </c>
      <c r="L1444" t="str">
        <f t="shared" ca="1" si="68"/>
        <v/>
      </c>
      <c r="M1444" t="str">
        <f>IFERROR(INDEX(Inventory!A:A,MATCH(Scan!A1444,Inventory!E:E,0)),"")</f>
        <v/>
      </c>
    </row>
    <row r="1445" spans="2:13" x14ac:dyDescent="0.25">
      <c r="B1445" t="str">
        <f>IF(IFERROR(VLOOKUP(TRIM(A1445),Inventory!E:E,1,0),0)=0,"X","_")</f>
        <v>_</v>
      </c>
      <c r="C1445" t="str">
        <f>IF(IFERROR(VLOOKUP(TRIM(A1445),'Full Inventory'!F:F,1,0),0)=0,"X","_")</f>
        <v>_</v>
      </c>
      <c r="D1445" t="str">
        <f t="shared" si="66"/>
        <v>X</v>
      </c>
      <c r="E1445" t="str">
        <f ca="1">IFERROR(IF(AND(B1445&amp;C1445&amp;D1445="___",INDIRECT("Inventory!A"&amp;MATCH(VLOOKUP(A1445,Inventory!E:E,1,0),Inventory!E:E,0))&lt;&gt;INDIRECT("'Full Inventory'!B"&amp;MATCH(VLOOKUP(A1445,'Full Inventory'!F:F,1,0),'Full Inventory'!F:F,0))),"X","_"),"_")</f>
        <v>_</v>
      </c>
      <c r="K1445" t="str">
        <f t="shared" ca="1" si="67"/>
        <v>__X_</v>
      </c>
      <c r="L1445" t="str">
        <f t="shared" ca="1" si="68"/>
        <v/>
      </c>
      <c r="M1445" t="str">
        <f>IFERROR(INDEX(Inventory!A:A,MATCH(Scan!A1445,Inventory!E:E,0)),"")</f>
        <v/>
      </c>
    </row>
    <row r="1446" spans="2:13" x14ac:dyDescent="0.25">
      <c r="B1446" t="str">
        <f>IF(IFERROR(VLOOKUP(TRIM(A1446),Inventory!E:E,1,0),0)=0,"X","_")</f>
        <v>_</v>
      </c>
      <c r="C1446" t="str">
        <f>IF(IFERROR(VLOOKUP(TRIM(A1446),'Full Inventory'!F:F,1,0),0)=0,"X","_")</f>
        <v>_</v>
      </c>
      <c r="D1446" t="str">
        <f t="shared" si="66"/>
        <v>X</v>
      </c>
      <c r="E1446" t="str">
        <f ca="1">IFERROR(IF(AND(B1446&amp;C1446&amp;D1446="___",INDIRECT("Inventory!A"&amp;MATCH(VLOOKUP(A1446,Inventory!E:E,1,0),Inventory!E:E,0))&lt;&gt;INDIRECT("'Full Inventory'!B"&amp;MATCH(VLOOKUP(A1446,'Full Inventory'!F:F,1,0),'Full Inventory'!F:F,0))),"X","_"),"_")</f>
        <v>_</v>
      </c>
      <c r="K1446" t="str">
        <f t="shared" ca="1" si="67"/>
        <v>__X_</v>
      </c>
      <c r="L1446" t="str">
        <f t="shared" ca="1" si="68"/>
        <v/>
      </c>
      <c r="M1446" t="str">
        <f>IFERROR(INDEX(Inventory!A:A,MATCH(Scan!A1446,Inventory!E:E,0)),"")</f>
        <v/>
      </c>
    </row>
    <row r="1447" spans="2:13" x14ac:dyDescent="0.25">
      <c r="B1447" t="str">
        <f>IF(IFERROR(VLOOKUP(TRIM(A1447),Inventory!E:E,1,0),0)=0,"X","_")</f>
        <v>_</v>
      </c>
      <c r="C1447" t="str">
        <f>IF(IFERROR(VLOOKUP(TRIM(A1447),'Full Inventory'!F:F,1,0),0)=0,"X","_")</f>
        <v>_</v>
      </c>
      <c r="D1447" t="str">
        <f t="shared" si="66"/>
        <v>X</v>
      </c>
      <c r="E1447" t="str">
        <f ca="1">IFERROR(IF(AND(B1447&amp;C1447&amp;D1447="___",INDIRECT("Inventory!A"&amp;MATCH(VLOOKUP(A1447,Inventory!E:E,1,0),Inventory!E:E,0))&lt;&gt;INDIRECT("'Full Inventory'!B"&amp;MATCH(VLOOKUP(A1447,'Full Inventory'!F:F,1,0),'Full Inventory'!F:F,0))),"X","_"),"_")</f>
        <v>_</v>
      </c>
      <c r="K1447" t="str">
        <f t="shared" ca="1" si="67"/>
        <v>__X_</v>
      </c>
      <c r="L1447" t="str">
        <f t="shared" ca="1" si="68"/>
        <v/>
      </c>
      <c r="M1447" t="str">
        <f>IFERROR(INDEX(Inventory!A:A,MATCH(Scan!A1447,Inventory!E:E,0)),"")</f>
        <v/>
      </c>
    </row>
    <row r="1448" spans="2:13" x14ac:dyDescent="0.25">
      <c r="B1448" t="str">
        <f>IF(IFERROR(VLOOKUP(TRIM(A1448),Inventory!E:E,1,0),0)=0,"X","_")</f>
        <v>_</v>
      </c>
      <c r="C1448" t="str">
        <f>IF(IFERROR(VLOOKUP(TRIM(A1448),'Full Inventory'!F:F,1,0),0)=0,"X","_")</f>
        <v>_</v>
      </c>
      <c r="D1448" t="str">
        <f t="shared" si="66"/>
        <v>X</v>
      </c>
      <c r="E1448" t="str">
        <f ca="1">IFERROR(IF(AND(B1448&amp;C1448&amp;D1448="___",INDIRECT("Inventory!A"&amp;MATCH(VLOOKUP(A1448,Inventory!E:E,1,0),Inventory!E:E,0))&lt;&gt;INDIRECT("'Full Inventory'!B"&amp;MATCH(VLOOKUP(A1448,'Full Inventory'!F:F,1,0),'Full Inventory'!F:F,0))),"X","_"),"_")</f>
        <v>_</v>
      </c>
      <c r="K1448" t="str">
        <f t="shared" ca="1" si="67"/>
        <v>__X_</v>
      </c>
      <c r="L1448" t="str">
        <f t="shared" ca="1" si="68"/>
        <v/>
      </c>
      <c r="M1448" t="str">
        <f>IFERROR(INDEX(Inventory!A:A,MATCH(Scan!A1448,Inventory!E:E,0)),"")</f>
        <v/>
      </c>
    </row>
    <row r="1449" spans="2:13" x14ac:dyDescent="0.25">
      <c r="B1449" t="str">
        <f>IF(IFERROR(VLOOKUP(TRIM(A1449),Inventory!E:E,1,0),0)=0,"X","_")</f>
        <v>_</v>
      </c>
      <c r="C1449" t="str">
        <f>IF(IFERROR(VLOOKUP(TRIM(A1449),'Full Inventory'!F:F,1,0),0)=0,"X","_")</f>
        <v>_</v>
      </c>
      <c r="D1449" t="str">
        <f t="shared" si="66"/>
        <v>X</v>
      </c>
      <c r="E1449" t="str">
        <f ca="1">IFERROR(IF(AND(B1449&amp;C1449&amp;D1449="___",INDIRECT("Inventory!A"&amp;MATCH(VLOOKUP(A1449,Inventory!E:E,1,0),Inventory!E:E,0))&lt;&gt;INDIRECT("'Full Inventory'!B"&amp;MATCH(VLOOKUP(A1449,'Full Inventory'!F:F,1,0),'Full Inventory'!F:F,0))),"X","_"),"_")</f>
        <v>_</v>
      </c>
      <c r="K1449" t="str">
        <f t="shared" ca="1" si="67"/>
        <v>__X_</v>
      </c>
      <c r="L1449" t="str">
        <f t="shared" ca="1" si="68"/>
        <v/>
      </c>
      <c r="M1449" t="str">
        <f>IFERROR(INDEX(Inventory!A:A,MATCH(Scan!A1449,Inventory!E:E,0)),"")</f>
        <v/>
      </c>
    </row>
    <row r="1450" spans="2:13" x14ac:dyDescent="0.25">
      <c r="B1450" t="str">
        <f>IF(IFERROR(VLOOKUP(TRIM(A1450),Inventory!E:E,1,0),0)=0,"X","_")</f>
        <v>_</v>
      </c>
      <c r="C1450" t="str">
        <f>IF(IFERROR(VLOOKUP(TRIM(A1450),'Full Inventory'!F:F,1,0),0)=0,"X","_")</f>
        <v>_</v>
      </c>
      <c r="D1450" t="str">
        <f t="shared" si="66"/>
        <v>X</v>
      </c>
      <c r="E1450" t="str">
        <f ca="1">IFERROR(IF(AND(B1450&amp;C1450&amp;D1450="___",INDIRECT("Inventory!A"&amp;MATCH(VLOOKUP(A1450,Inventory!E:E,1,0),Inventory!E:E,0))&lt;&gt;INDIRECT("'Full Inventory'!B"&amp;MATCH(VLOOKUP(A1450,'Full Inventory'!F:F,1,0),'Full Inventory'!F:F,0))),"X","_"),"_")</f>
        <v>_</v>
      </c>
      <c r="K1450" t="str">
        <f t="shared" ca="1" si="67"/>
        <v>__X_</v>
      </c>
      <c r="L1450" t="str">
        <f t="shared" ca="1" si="68"/>
        <v/>
      </c>
      <c r="M1450" t="str">
        <f>IFERROR(INDEX(Inventory!A:A,MATCH(Scan!A1450,Inventory!E:E,0)),"")</f>
        <v/>
      </c>
    </row>
    <row r="1451" spans="2:13" x14ac:dyDescent="0.25">
      <c r="B1451" t="str">
        <f>IF(IFERROR(VLOOKUP(TRIM(A1451),Inventory!E:E,1,0),0)=0,"X","_")</f>
        <v>_</v>
      </c>
      <c r="C1451" t="str">
        <f>IF(IFERROR(VLOOKUP(TRIM(A1451),'Full Inventory'!F:F,1,0),0)=0,"X","_")</f>
        <v>_</v>
      </c>
      <c r="D1451" t="str">
        <f t="shared" si="66"/>
        <v>X</v>
      </c>
      <c r="E1451" t="str">
        <f ca="1">IFERROR(IF(AND(B1451&amp;C1451&amp;D1451="___",INDIRECT("Inventory!A"&amp;MATCH(VLOOKUP(A1451,Inventory!E:E,1,0),Inventory!E:E,0))&lt;&gt;INDIRECT("'Full Inventory'!B"&amp;MATCH(VLOOKUP(A1451,'Full Inventory'!F:F,1,0),'Full Inventory'!F:F,0))),"X","_"),"_")</f>
        <v>_</v>
      </c>
      <c r="K1451" t="str">
        <f t="shared" ca="1" si="67"/>
        <v>__X_</v>
      </c>
      <c r="L1451" t="str">
        <f t="shared" ca="1" si="68"/>
        <v/>
      </c>
      <c r="M1451" t="str">
        <f>IFERROR(INDEX(Inventory!A:A,MATCH(Scan!A1451,Inventory!E:E,0)),"")</f>
        <v/>
      </c>
    </row>
    <row r="1452" spans="2:13" x14ac:dyDescent="0.25">
      <c r="B1452" t="str">
        <f>IF(IFERROR(VLOOKUP(TRIM(A1452),Inventory!E:E,1,0),0)=0,"X","_")</f>
        <v>_</v>
      </c>
      <c r="C1452" t="str">
        <f>IF(IFERROR(VLOOKUP(TRIM(A1452),'Full Inventory'!F:F,1,0),0)=0,"X","_")</f>
        <v>_</v>
      </c>
      <c r="D1452" t="str">
        <f t="shared" si="66"/>
        <v>X</v>
      </c>
      <c r="E1452" t="str">
        <f ca="1">IFERROR(IF(AND(B1452&amp;C1452&amp;D1452="___",INDIRECT("Inventory!A"&amp;MATCH(VLOOKUP(A1452,Inventory!E:E,1,0),Inventory!E:E,0))&lt;&gt;INDIRECT("'Full Inventory'!B"&amp;MATCH(VLOOKUP(A1452,'Full Inventory'!F:F,1,0),'Full Inventory'!F:F,0))),"X","_"),"_")</f>
        <v>_</v>
      </c>
      <c r="K1452" t="str">
        <f t="shared" ca="1" si="67"/>
        <v>__X_</v>
      </c>
      <c r="L1452" t="str">
        <f t="shared" ca="1" si="68"/>
        <v/>
      </c>
      <c r="M1452" t="str">
        <f>IFERROR(INDEX(Inventory!A:A,MATCH(Scan!A1452,Inventory!E:E,0)),"")</f>
        <v/>
      </c>
    </row>
    <row r="1453" spans="2:13" x14ac:dyDescent="0.25">
      <c r="B1453" t="str">
        <f>IF(IFERROR(VLOOKUP(TRIM(A1453),Inventory!E:E,1,0),0)=0,"X","_")</f>
        <v>_</v>
      </c>
      <c r="C1453" t="str">
        <f>IF(IFERROR(VLOOKUP(TRIM(A1453),'Full Inventory'!F:F,1,0),0)=0,"X","_")</f>
        <v>_</v>
      </c>
      <c r="D1453" t="str">
        <f t="shared" si="66"/>
        <v>X</v>
      </c>
      <c r="E1453" t="str">
        <f ca="1">IFERROR(IF(AND(B1453&amp;C1453&amp;D1453="___",INDIRECT("Inventory!A"&amp;MATCH(VLOOKUP(A1453,Inventory!E:E,1,0),Inventory!E:E,0))&lt;&gt;INDIRECT("'Full Inventory'!B"&amp;MATCH(VLOOKUP(A1453,'Full Inventory'!F:F,1,0),'Full Inventory'!F:F,0))),"X","_"),"_")</f>
        <v>_</v>
      </c>
      <c r="K1453" t="str">
        <f t="shared" ca="1" si="67"/>
        <v>__X_</v>
      </c>
      <c r="L1453" t="str">
        <f t="shared" ca="1" si="68"/>
        <v/>
      </c>
      <c r="M1453" t="str">
        <f>IFERROR(INDEX(Inventory!A:A,MATCH(Scan!A1453,Inventory!E:E,0)),"")</f>
        <v/>
      </c>
    </row>
    <row r="1454" spans="2:13" x14ac:dyDescent="0.25">
      <c r="B1454" t="str">
        <f>IF(IFERROR(VLOOKUP(TRIM(A1454),Inventory!E:E,1,0),0)=0,"X","_")</f>
        <v>_</v>
      </c>
      <c r="C1454" t="str">
        <f>IF(IFERROR(VLOOKUP(TRIM(A1454),'Full Inventory'!F:F,1,0),0)=0,"X","_")</f>
        <v>_</v>
      </c>
      <c r="D1454" t="str">
        <f t="shared" si="66"/>
        <v>X</v>
      </c>
      <c r="E1454" t="str">
        <f ca="1">IFERROR(IF(AND(B1454&amp;C1454&amp;D1454="___",INDIRECT("Inventory!A"&amp;MATCH(VLOOKUP(A1454,Inventory!E:E,1,0),Inventory!E:E,0))&lt;&gt;INDIRECT("'Full Inventory'!B"&amp;MATCH(VLOOKUP(A1454,'Full Inventory'!F:F,1,0),'Full Inventory'!F:F,0))),"X","_"),"_")</f>
        <v>_</v>
      </c>
      <c r="K1454" t="str">
        <f t="shared" ca="1" si="67"/>
        <v>__X_</v>
      </c>
      <c r="L1454" t="str">
        <f t="shared" ca="1" si="68"/>
        <v/>
      </c>
      <c r="M1454" t="str">
        <f>IFERROR(INDEX(Inventory!A:A,MATCH(Scan!A1454,Inventory!E:E,0)),"")</f>
        <v/>
      </c>
    </row>
    <row r="1455" spans="2:13" x14ac:dyDescent="0.25">
      <c r="B1455" t="str">
        <f>IF(IFERROR(VLOOKUP(TRIM(A1455),Inventory!E:E,1,0),0)=0,"X","_")</f>
        <v>_</v>
      </c>
      <c r="C1455" t="str">
        <f>IF(IFERROR(VLOOKUP(TRIM(A1455),'Full Inventory'!F:F,1,0),0)=0,"X","_")</f>
        <v>_</v>
      </c>
      <c r="D1455" t="str">
        <f t="shared" si="66"/>
        <v>X</v>
      </c>
      <c r="E1455" t="str">
        <f ca="1">IFERROR(IF(AND(B1455&amp;C1455&amp;D1455="___",INDIRECT("Inventory!A"&amp;MATCH(VLOOKUP(A1455,Inventory!E:E,1,0),Inventory!E:E,0))&lt;&gt;INDIRECT("'Full Inventory'!B"&amp;MATCH(VLOOKUP(A1455,'Full Inventory'!F:F,1,0),'Full Inventory'!F:F,0))),"X","_"),"_")</f>
        <v>_</v>
      </c>
      <c r="K1455" t="str">
        <f t="shared" ca="1" si="67"/>
        <v>__X_</v>
      </c>
      <c r="L1455" t="str">
        <f t="shared" ca="1" si="68"/>
        <v/>
      </c>
      <c r="M1455" t="str">
        <f>IFERROR(INDEX(Inventory!A:A,MATCH(Scan!A1455,Inventory!E:E,0)),"")</f>
        <v/>
      </c>
    </row>
    <row r="1456" spans="2:13" x14ac:dyDescent="0.25">
      <c r="B1456" t="str">
        <f>IF(IFERROR(VLOOKUP(TRIM(A1456),Inventory!E:E,1,0),0)=0,"X","_")</f>
        <v>_</v>
      </c>
      <c r="C1456" t="str">
        <f>IF(IFERROR(VLOOKUP(TRIM(A1456),'Full Inventory'!F:F,1,0),0)=0,"X","_")</f>
        <v>_</v>
      </c>
      <c r="D1456" t="str">
        <f t="shared" si="66"/>
        <v>X</v>
      </c>
      <c r="E1456" t="str">
        <f ca="1">IFERROR(IF(AND(B1456&amp;C1456&amp;D1456="___",INDIRECT("Inventory!A"&amp;MATCH(VLOOKUP(A1456,Inventory!E:E,1,0),Inventory!E:E,0))&lt;&gt;INDIRECT("'Full Inventory'!B"&amp;MATCH(VLOOKUP(A1456,'Full Inventory'!F:F,1,0),'Full Inventory'!F:F,0))),"X","_"),"_")</f>
        <v>_</v>
      </c>
      <c r="K1456" t="str">
        <f t="shared" ca="1" si="67"/>
        <v>__X_</v>
      </c>
      <c r="L1456" t="str">
        <f t="shared" ca="1" si="68"/>
        <v/>
      </c>
      <c r="M1456" t="str">
        <f>IFERROR(INDEX(Inventory!A:A,MATCH(Scan!A1456,Inventory!E:E,0)),"")</f>
        <v/>
      </c>
    </row>
    <row r="1457" spans="2:13" x14ac:dyDescent="0.25">
      <c r="B1457" t="str">
        <f>IF(IFERROR(VLOOKUP(TRIM(A1457),Inventory!E:E,1,0),0)=0,"X","_")</f>
        <v>_</v>
      </c>
      <c r="C1457" t="str">
        <f>IF(IFERROR(VLOOKUP(TRIM(A1457),'Full Inventory'!F:F,1,0),0)=0,"X","_")</f>
        <v>_</v>
      </c>
      <c r="D1457" t="str">
        <f t="shared" si="66"/>
        <v>X</v>
      </c>
      <c r="E1457" t="str">
        <f ca="1">IFERROR(IF(AND(B1457&amp;C1457&amp;D1457="___",INDIRECT("Inventory!A"&amp;MATCH(VLOOKUP(A1457,Inventory!E:E,1,0),Inventory!E:E,0))&lt;&gt;INDIRECT("'Full Inventory'!B"&amp;MATCH(VLOOKUP(A1457,'Full Inventory'!F:F,1,0),'Full Inventory'!F:F,0))),"X","_"),"_")</f>
        <v>_</v>
      </c>
      <c r="K1457" t="str">
        <f t="shared" ca="1" si="67"/>
        <v>__X_</v>
      </c>
      <c r="L1457" t="str">
        <f t="shared" ca="1" si="68"/>
        <v/>
      </c>
      <c r="M1457" t="str">
        <f>IFERROR(INDEX(Inventory!A:A,MATCH(Scan!A1457,Inventory!E:E,0)),"")</f>
        <v/>
      </c>
    </row>
    <row r="1458" spans="2:13" x14ac:dyDescent="0.25">
      <c r="B1458" t="str">
        <f>IF(IFERROR(VLOOKUP(TRIM(A1458),Inventory!E:E,1,0),0)=0,"X","_")</f>
        <v>_</v>
      </c>
      <c r="C1458" t="str">
        <f>IF(IFERROR(VLOOKUP(TRIM(A1458),'Full Inventory'!F:F,1,0),0)=0,"X","_")</f>
        <v>_</v>
      </c>
      <c r="D1458" t="str">
        <f t="shared" si="66"/>
        <v>X</v>
      </c>
      <c r="E1458" t="str">
        <f ca="1">IFERROR(IF(AND(B1458&amp;C1458&amp;D1458="___",INDIRECT("Inventory!A"&amp;MATCH(VLOOKUP(A1458,Inventory!E:E,1,0),Inventory!E:E,0))&lt;&gt;INDIRECT("'Full Inventory'!B"&amp;MATCH(VLOOKUP(A1458,'Full Inventory'!F:F,1,0),'Full Inventory'!F:F,0))),"X","_"),"_")</f>
        <v>_</v>
      </c>
      <c r="K1458" t="str">
        <f t="shared" ca="1" si="67"/>
        <v>__X_</v>
      </c>
      <c r="L1458" t="str">
        <f t="shared" ca="1" si="68"/>
        <v/>
      </c>
      <c r="M1458" t="str">
        <f>IFERROR(INDEX(Inventory!A:A,MATCH(Scan!A1458,Inventory!E:E,0)),"")</f>
        <v/>
      </c>
    </row>
    <row r="1459" spans="2:13" x14ac:dyDescent="0.25">
      <c r="B1459" t="str">
        <f>IF(IFERROR(VLOOKUP(TRIM(A1459),Inventory!E:E,1,0),0)=0,"X","_")</f>
        <v>_</v>
      </c>
      <c r="C1459" t="str">
        <f>IF(IFERROR(VLOOKUP(TRIM(A1459),'Full Inventory'!F:F,1,0),0)=0,"X","_")</f>
        <v>_</v>
      </c>
      <c r="D1459" t="str">
        <f t="shared" si="66"/>
        <v>X</v>
      </c>
      <c r="E1459" t="str">
        <f ca="1">IFERROR(IF(AND(B1459&amp;C1459&amp;D1459="___",INDIRECT("Inventory!A"&amp;MATCH(VLOOKUP(A1459,Inventory!E:E,1,0),Inventory!E:E,0))&lt;&gt;INDIRECT("'Full Inventory'!B"&amp;MATCH(VLOOKUP(A1459,'Full Inventory'!F:F,1,0),'Full Inventory'!F:F,0))),"X","_"),"_")</f>
        <v>_</v>
      </c>
      <c r="K1459" t="str">
        <f t="shared" ca="1" si="67"/>
        <v>__X_</v>
      </c>
      <c r="L1459" t="str">
        <f t="shared" ca="1" si="68"/>
        <v/>
      </c>
      <c r="M1459" t="str">
        <f>IFERROR(INDEX(Inventory!A:A,MATCH(Scan!A1459,Inventory!E:E,0)),"")</f>
        <v/>
      </c>
    </row>
    <row r="1460" spans="2:13" x14ac:dyDescent="0.25">
      <c r="B1460" t="str">
        <f>IF(IFERROR(VLOOKUP(TRIM(A1460),Inventory!E:E,1,0),0)=0,"X","_")</f>
        <v>_</v>
      </c>
      <c r="C1460" t="str">
        <f>IF(IFERROR(VLOOKUP(TRIM(A1460),'Full Inventory'!F:F,1,0),0)=0,"X","_")</f>
        <v>_</v>
      </c>
      <c r="D1460" t="str">
        <f t="shared" si="66"/>
        <v>X</v>
      </c>
      <c r="E1460" t="str">
        <f ca="1">IFERROR(IF(AND(B1460&amp;C1460&amp;D1460="___",INDIRECT("Inventory!A"&amp;MATCH(VLOOKUP(A1460,Inventory!E:E,1,0),Inventory!E:E,0))&lt;&gt;INDIRECT("'Full Inventory'!B"&amp;MATCH(VLOOKUP(A1460,'Full Inventory'!F:F,1,0),'Full Inventory'!F:F,0))),"X","_"),"_")</f>
        <v>_</v>
      </c>
      <c r="K1460" t="str">
        <f t="shared" ca="1" si="67"/>
        <v>__X_</v>
      </c>
      <c r="L1460" t="str">
        <f t="shared" ca="1" si="68"/>
        <v/>
      </c>
      <c r="M1460" t="str">
        <f>IFERROR(INDEX(Inventory!A:A,MATCH(Scan!A1460,Inventory!E:E,0)),"")</f>
        <v/>
      </c>
    </row>
    <row r="1461" spans="2:13" x14ac:dyDescent="0.25">
      <c r="B1461" t="str">
        <f>IF(IFERROR(VLOOKUP(TRIM(A1461),Inventory!E:E,1,0),0)=0,"X","_")</f>
        <v>_</v>
      </c>
      <c r="C1461" t="str">
        <f>IF(IFERROR(VLOOKUP(TRIM(A1461),'Full Inventory'!F:F,1,0),0)=0,"X","_")</f>
        <v>_</v>
      </c>
      <c r="D1461" t="str">
        <f t="shared" si="66"/>
        <v>X</v>
      </c>
      <c r="E1461" t="str">
        <f ca="1">IFERROR(IF(AND(B1461&amp;C1461&amp;D1461="___",INDIRECT("Inventory!A"&amp;MATCH(VLOOKUP(A1461,Inventory!E:E,1,0),Inventory!E:E,0))&lt;&gt;INDIRECT("'Full Inventory'!B"&amp;MATCH(VLOOKUP(A1461,'Full Inventory'!F:F,1,0),'Full Inventory'!F:F,0))),"X","_"),"_")</f>
        <v>_</v>
      </c>
      <c r="K1461" t="str">
        <f t="shared" ca="1" si="67"/>
        <v>__X_</v>
      </c>
      <c r="L1461" t="str">
        <f t="shared" ca="1" si="68"/>
        <v/>
      </c>
      <c r="M1461" t="str">
        <f>IFERROR(INDEX(Inventory!A:A,MATCH(Scan!A1461,Inventory!E:E,0)),"")</f>
        <v/>
      </c>
    </row>
    <row r="1462" spans="2:13" x14ac:dyDescent="0.25">
      <c r="B1462" t="str">
        <f>IF(IFERROR(VLOOKUP(TRIM(A1462),Inventory!E:E,1,0),0)=0,"X","_")</f>
        <v>_</v>
      </c>
      <c r="C1462" t="str">
        <f>IF(IFERROR(VLOOKUP(TRIM(A1462),'Full Inventory'!F:F,1,0),0)=0,"X","_")</f>
        <v>_</v>
      </c>
      <c r="D1462" t="str">
        <f t="shared" si="66"/>
        <v>X</v>
      </c>
      <c r="E1462" t="str">
        <f ca="1">IFERROR(IF(AND(B1462&amp;C1462&amp;D1462="___",INDIRECT("Inventory!A"&amp;MATCH(VLOOKUP(A1462,Inventory!E:E,1,0),Inventory!E:E,0))&lt;&gt;INDIRECT("'Full Inventory'!B"&amp;MATCH(VLOOKUP(A1462,'Full Inventory'!F:F,1,0),'Full Inventory'!F:F,0))),"X","_"),"_")</f>
        <v>_</v>
      </c>
      <c r="K1462" t="str">
        <f t="shared" ca="1" si="67"/>
        <v>__X_</v>
      </c>
      <c r="L1462" t="str">
        <f t="shared" ca="1" si="68"/>
        <v/>
      </c>
      <c r="M1462" t="str">
        <f>IFERROR(INDEX(Inventory!A:A,MATCH(Scan!A1462,Inventory!E:E,0)),"")</f>
        <v/>
      </c>
    </row>
    <row r="1463" spans="2:13" x14ac:dyDescent="0.25">
      <c r="B1463" t="str">
        <f>IF(IFERROR(VLOOKUP(TRIM(A1463),Inventory!E:E,1,0),0)=0,"X","_")</f>
        <v>_</v>
      </c>
      <c r="C1463" t="str">
        <f>IF(IFERROR(VLOOKUP(TRIM(A1463),'Full Inventory'!F:F,1,0),0)=0,"X","_")</f>
        <v>_</v>
      </c>
      <c r="D1463" t="str">
        <f t="shared" si="66"/>
        <v>X</v>
      </c>
      <c r="E1463" t="str">
        <f ca="1">IFERROR(IF(AND(B1463&amp;C1463&amp;D1463="___",INDIRECT("Inventory!A"&amp;MATCH(VLOOKUP(A1463,Inventory!E:E,1,0),Inventory!E:E,0))&lt;&gt;INDIRECT("'Full Inventory'!B"&amp;MATCH(VLOOKUP(A1463,'Full Inventory'!F:F,1,0),'Full Inventory'!F:F,0))),"X","_"),"_")</f>
        <v>_</v>
      </c>
      <c r="K1463" t="str">
        <f t="shared" ca="1" si="67"/>
        <v>__X_</v>
      </c>
      <c r="L1463" t="str">
        <f t="shared" ca="1" si="68"/>
        <v/>
      </c>
      <c r="M1463" t="str">
        <f>IFERROR(INDEX(Inventory!A:A,MATCH(Scan!A1463,Inventory!E:E,0)),"")</f>
        <v/>
      </c>
    </row>
    <row r="1464" spans="2:13" x14ac:dyDescent="0.25">
      <c r="B1464" t="str">
        <f>IF(IFERROR(VLOOKUP(TRIM(A1464),Inventory!E:E,1,0),0)=0,"X","_")</f>
        <v>_</v>
      </c>
      <c r="C1464" t="str">
        <f>IF(IFERROR(VLOOKUP(TRIM(A1464),'Full Inventory'!F:F,1,0),0)=0,"X","_")</f>
        <v>_</v>
      </c>
      <c r="D1464" t="str">
        <f t="shared" si="66"/>
        <v>X</v>
      </c>
      <c r="E1464" t="str">
        <f ca="1">IFERROR(IF(AND(B1464&amp;C1464&amp;D1464="___",INDIRECT("Inventory!A"&amp;MATCH(VLOOKUP(A1464,Inventory!E:E,1,0),Inventory!E:E,0))&lt;&gt;INDIRECT("'Full Inventory'!B"&amp;MATCH(VLOOKUP(A1464,'Full Inventory'!F:F,1,0),'Full Inventory'!F:F,0))),"X","_"),"_")</f>
        <v>_</v>
      </c>
      <c r="K1464" t="str">
        <f t="shared" ca="1" si="67"/>
        <v>__X_</v>
      </c>
      <c r="L1464" t="str">
        <f t="shared" ca="1" si="68"/>
        <v/>
      </c>
      <c r="M1464" t="str">
        <f>IFERROR(INDEX(Inventory!A:A,MATCH(Scan!A1464,Inventory!E:E,0)),"")</f>
        <v/>
      </c>
    </row>
    <row r="1465" spans="2:13" x14ac:dyDescent="0.25">
      <c r="B1465" t="str">
        <f>IF(IFERROR(VLOOKUP(TRIM(A1465),Inventory!E:E,1,0),0)=0,"X","_")</f>
        <v>_</v>
      </c>
      <c r="C1465" t="str">
        <f>IF(IFERROR(VLOOKUP(TRIM(A1465),'Full Inventory'!F:F,1,0),0)=0,"X","_")</f>
        <v>_</v>
      </c>
      <c r="D1465" t="str">
        <f t="shared" si="66"/>
        <v>X</v>
      </c>
      <c r="E1465" t="str">
        <f ca="1">IFERROR(IF(AND(B1465&amp;C1465&amp;D1465="___",INDIRECT("Inventory!A"&amp;MATCH(VLOOKUP(A1465,Inventory!E:E,1,0),Inventory!E:E,0))&lt;&gt;INDIRECT("'Full Inventory'!B"&amp;MATCH(VLOOKUP(A1465,'Full Inventory'!F:F,1,0),'Full Inventory'!F:F,0))),"X","_"),"_")</f>
        <v>_</v>
      </c>
      <c r="K1465" t="str">
        <f t="shared" ca="1" si="67"/>
        <v>__X_</v>
      </c>
      <c r="L1465" t="str">
        <f t="shared" ca="1" si="68"/>
        <v/>
      </c>
      <c r="M1465" t="str">
        <f>IFERROR(INDEX(Inventory!A:A,MATCH(Scan!A1465,Inventory!E:E,0)),"")</f>
        <v/>
      </c>
    </row>
    <row r="1466" spans="2:13" x14ac:dyDescent="0.25">
      <c r="B1466" t="str">
        <f>IF(IFERROR(VLOOKUP(TRIM(A1466),Inventory!E:E,1,0),0)=0,"X","_")</f>
        <v>_</v>
      </c>
      <c r="C1466" t="str">
        <f>IF(IFERROR(VLOOKUP(TRIM(A1466),'Full Inventory'!F:F,1,0),0)=0,"X","_")</f>
        <v>_</v>
      </c>
      <c r="D1466" t="str">
        <f t="shared" si="66"/>
        <v>X</v>
      </c>
      <c r="E1466" t="str">
        <f ca="1">IFERROR(IF(AND(B1466&amp;C1466&amp;D1466="___",INDIRECT("Inventory!A"&amp;MATCH(VLOOKUP(A1466,Inventory!E:E,1,0),Inventory!E:E,0))&lt;&gt;INDIRECT("'Full Inventory'!B"&amp;MATCH(VLOOKUP(A1466,'Full Inventory'!F:F,1,0),'Full Inventory'!F:F,0))),"X","_"),"_")</f>
        <v>_</v>
      </c>
      <c r="K1466" t="str">
        <f t="shared" ca="1" si="67"/>
        <v>__X_</v>
      </c>
      <c r="L1466" t="str">
        <f t="shared" ca="1" si="68"/>
        <v/>
      </c>
      <c r="M1466" t="str">
        <f>IFERROR(INDEX(Inventory!A:A,MATCH(Scan!A1466,Inventory!E:E,0)),"")</f>
        <v/>
      </c>
    </row>
    <row r="1467" spans="2:13" x14ac:dyDescent="0.25">
      <c r="B1467" t="str">
        <f>IF(IFERROR(VLOOKUP(TRIM(A1467),Inventory!E:E,1,0),0)=0,"X","_")</f>
        <v>_</v>
      </c>
      <c r="C1467" t="str">
        <f>IF(IFERROR(VLOOKUP(TRIM(A1467),'Full Inventory'!F:F,1,0),0)=0,"X","_")</f>
        <v>_</v>
      </c>
      <c r="D1467" t="str">
        <f t="shared" si="66"/>
        <v>X</v>
      </c>
      <c r="E1467" t="str">
        <f ca="1">IFERROR(IF(AND(B1467&amp;C1467&amp;D1467="___",INDIRECT("Inventory!A"&amp;MATCH(VLOOKUP(A1467,Inventory!E:E,1,0),Inventory!E:E,0))&lt;&gt;INDIRECT("'Full Inventory'!B"&amp;MATCH(VLOOKUP(A1467,'Full Inventory'!F:F,1,0),'Full Inventory'!F:F,0))),"X","_"),"_")</f>
        <v>_</v>
      </c>
      <c r="K1467" t="str">
        <f t="shared" ca="1" si="67"/>
        <v>__X_</v>
      </c>
      <c r="L1467" t="str">
        <f t="shared" ca="1" si="68"/>
        <v/>
      </c>
      <c r="M1467" t="str">
        <f>IFERROR(INDEX(Inventory!A:A,MATCH(Scan!A1467,Inventory!E:E,0)),"")</f>
        <v/>
      </c>
    </row>
    <row r="1468" spans="2:13" x14ac:dyDescent="0.25">
      <c r="B1468" t="str">
        <f>IF(IFERROR(VLOOKUP(TRIM(A1468),Inventory!E:E,1,0),0)=0,"X","_")</f>
        <v>_</v>
      </c>
      <c r="C1468" t="str">
        <f>IF(IFERROR(VLOOKUP(TRIM(A1468),'Full Inventory'!F:F,1,0),0)=0,"X","_")</f>
        <v>_</v>
      </c>
      <c r="D1468" t="str">
        <f t="shared" si="66"/>
        <v>X</v>
      </c>
      <c r="E1468" t="str">
        <f ca="1">IFERROR(IF(AND(B1468&amp;C1468&amp;D1468="___",INDIRECT("Inventory!A"&amp;MATCH(VLOOKUP(A1468,Inventory!E:E,1,0),Inventory!E:E,0))&lt;&gt;INDIRECT("'Full Inventory'!B"&amp;MATCH(VLOOKUP(A1468,'Full Inventory'!F:F,1,0),'Full Inventory'!F:F,0))),"X","_"),"_")</f>
        <v>_</v>
      </c>
      <c r="K1468" t="str">
        <f t="shared" ca="1" si="67"/>
        <v>__X_</v>
      </c>
      <c r="L1468" t="str">
        <f t="shared" ca="1" si="68"/>
        <v/>
      </c>
      <c r="M1468" t="str">
        <f>IFERROR(INDEX(Inventory!A:A,MATCH(Scan!A1468,Inventory!E:E,0)),"")</f>
        <v/>
      </c>
    </row>
    <row r="1469" spans="2:13" x14ac:dyDescent="0.25">
      <c r="B1469" t="str">
        <f>IF(IFERROR(VLOOKUP(TRIM(A1469),Inventory!E:E,1,0),0)=0,"X","_")</f>
        <v>_</v>
      </c>
      <c r="C1469" t="str">
        <f>IF(IFERROR(VLOOKUP(TRIM(A1469),'Full Inventory'!F:F,1,0),0)=0,"X","_")</f>
        <v>_</v>
      </c>
      <c r="D1469" t="str">
        <f t="shared" si="66"/>
        <v>X</v>
      </c>
      <c r="E1469" t="str">
        <f ca="1">IFERROR(IF(AND(B1469&amp;C1469&amp;D1469="___",INDIRECT("Inventory!A"&amp;MATCH(VLOOKUP(A1469,Inventory!E:E,1,0),Inventory!E:E,0))&lt;&gt;INDIRECT("'Full Inventory'!B"&amp;MATCH(VLOOKUP(A1469,'Full Inventory'!F:F,1,0),'Full Inventory'!F:F,0))),"X","_"),"_")</f>
        <v>_</v>
      </c>
      <c r="K1469" t="str">
        <f t="shared" ca="1" si="67"/>
        <v>__X_</v>
      </c>
      <c r="L1469" t="str">
        <f t="shared" ca="1" si="68"/>
        <v/>
      </c>
      <c r="M1469" t="str">
        <f>IFERROR(INDEX(Inventory!A:A,MATCH(Scan!A1469,Inventory!E:E,0)),"")</f>
        <v/>
      </c>
    </row>
    <row r="1470" spans="2:13" x14ac:dyDescent="0.25">
      <c r="B1470" t="str">
        <f>IF(IFERROR(VLOOKUP(TRIM(A1470),Inventory!E:E,1,0),0)=0,"X","_")</f>
        <v>_</v>
      </c>
      <c r="C1470" t="str">
        <f>IF(IFERROR(VLOOKUP(TRIM(A1470),'Full Inventory'!F:F,1,0),0)=0,"X","_")</f>
        <v>_</v>
      </c>
      <c r="D1470" t="str">
        <f t="shared" si="66"/>
        <v>X</v>
      </c>
      <c r="E1470" t="str">
        <f ca="1">IFERROR(IF(AND(B1470&amp;C1470&amp;D1470="___",INDIRECT("Inventory!A"&amp;MATCH(VLOOKUP(A1470,Inventory!E:E,1,0),Inventory!E:E,0))&lt;&gt;INDIRECT("'Full Inventory'!B"&amp;MATCH(VLOOKUP(A1470,'Full Inventory'!F:F,1,0),'Full Inventory'!F:F,0))),"X","_"),"_")</f>
        <v>_</v>
      </c>
      <c r="K1470" t="str">
        <f t="shared" ca="1" si="67"/>
        <v>__X_</v>
      </c>
      <c r="L1470" t="str">
        <f t="shared" ca="1" si="68"/>
        <v/>
      </c>
      <c r="M1470" t="str">
        <f>IFERROR(INDEX(Inventory!A:A,MATCH(Scan!A1470,Inventory!E:E,0)),"")</f>
        <v/>
      </c>
    </row>
    <row r="1471" spans="2:13" x14ac:dyDescent="0.25">
      <c r="B1471" t="str">
        <f>IF(IFERROR(VLOOKUP(TRIM(A1471),Inventory!E:E,1,0),0)=0,"X","_")</f>
        <v>_</v>
      </c>
      <c r="C1471" t="str">
        <f>IF(IFERROR(VLOOKUP(TRIM(A1471),'Full Inventory'!F:F,1,0),0)=0,"X","_")</f>
        <v>_</v>
      </c>
      <c r="D1471" t="str">
        <f t="shared" si="66"/>
        <v>X</v>
      </c>
      <c r="E1471" t="str">
        <f ca="1">IFERROR(IF(AND(B1471&amp;C1471&amp;D1471="___",INDIRECT("Inventory!A"&amp;MATCH(VLOOKUP(A1471,Inventory!E:E,1,0),Inventory!E:E,0))&lt;&gt;INDIRECT("'Full Inventory'!B"&amp;MATCH(VLOOKUP(A1471,'Full Inventory'!F:F,1,0),'Full Inventory'!F:F,0))),"X","_"),"_")</f>
        <v>_</v>
      </c>
      <c r="K1471" t="str">
        <f t="shared" ca="1" si="67"/>
        <v>__X_</v>
      </c>
      <c r="L1471" t="str">
        <f t="shared" ca="1" si="68"/>
        <v/>
      </c>
      <c r="M1471" t="str">
        <f>IFERROR(INDEX(Inventory!A:A,MATCH(Scan!A1471,Inventory!E:E,0)),"")</f>
        <v/>
      </c>
    </row>
    <row r="1472" spans="2:13" x14ac:dyDescent="0.25">
      <c r="B1472" t="str">
        <f>IF(IFERROR(VLOOKUP(TRIM(A1472),Inventory!E:E,1,0),0)=0,"X","_")</f>
        <v>_</v>
      </c>
      <c r="C1472" t="str">
        <f>IF(IFERROR(VLOOKUP(TRIM(A1472),'Full Inventory'!F:F,1,0),0)=0,"X","_")</f>
        <v>_</v>
      </c>
      <c r="D1472" t="str">
        <f t="shared" si="66"/>
        <v>X</v>
      </c>
      <c r="E1472" t="str">
        <f ca="1">IFERROR(IF(AND(B1472&amp;C1472&amp;D1472="___",INDIRECT("Inventory!A"&amp;MATCH(VLOOKUP(A1472,Inventory!E:E,1,0),Inventory!E:E,0))&lt;&gt;INDIRECT("'Full Inventory'!B"&amp;MATCH(VLOOKUP(A1472,'Full Inventory'!F:F,1,0),'Full Inventory'!F:F,0))),"X","_"),"_")</f>
        <v>_</v>
      </c>
      <c r="K1472" t="str">
        <f t="shared" ca="1" si="67"/>
        <v>__X_</v>
      </c>
      <c r="L1472" t="str">
        <f t="shared" ca="1" si="68"/>
        <v/>
      </c>
      <c r="M1472" t="str">
        <f>IFERROR(INDEX(Inventory!A:A,MATCH(Scan!A1472,Inventory!E:E,0)),"")</f>
        <v/>
      </c>
    </row>
    <row r="1473" spans="2:13" x14ac:dyDescent="0.25">
      <c r="B1473" t="str">
        <f>IF(IFERROR(VLOOKUP(TRIM(A1473),Inventory!E:E,1,0),0)=0,"X","_")</f>
        <v>_</v>
      </c>
      <c r="C1473" t="str">
        <f>IF(IFERROR(VLOOKUP(TRIM(A1473),'Full Inventory'!F:F,1,0),0)=0,"X","_")</f>
        <v>_</v>
      </c>
      <c r="D1473" t="str">
        <f t="shared" si="66"/>
        <v>X</v>
      </c>
      <c r="E1473" t="str">
        <f ca="1">IFERROR(IF(AND(B1473&amp;C1473&amp;D1473="___",INDIRECT("Inventory!A"&amp;MATCH(VLOOKUP(A1473,Inventory!E:E,1,0),Inventory!E:E,0))&lt;&gt;INDIRECT("'Full Inventory'!B"&amp;MATCH(VLOOKUP(A1473,'Full Inventory'!F:F,1,0),'Full Inventory'!F:F,0))),"X","_"),"_")</f>
        <v>_</v>
      </c>
      <c r="K1473" t="str">
        <f t="shared" ca="1" si="67"/>
        <v>__X_</v>
      </c>
      <c r="L1473" t="str">
        <f t="shared" ca="1" si="68"/>
        <v/>
      </c>
      <c r="M1473" t="str">
        <f>IFERROR(INDEX(Inventory!A:A,MATCH(Scan!A1473,Inventory!E:E,0)),"")</f>
        <v/>
      </c>
    </row>
    <row r="1474" spans="2:13" x14ac:dyDescent="0.25">
      <c r="B1474" t="str">
        <f>IF(IFERROR(VLOOKUP(TRIM(A1474),Inventory!E:E,1,0),0)=0,"X","_")</f>
        <v>_</v>
      </c>
      <c r="C1474" t="str">
        <f>IF(IFERROR(VLOOKUP(TRIM(A1474),'Full Inventory'!F:F,1,0),0)=0,"X","_")</f>
        <v>_</v>
      </c>
      <c r="D1474" t="str">
        <f t="shared" ref="D1474:D1537" si="69">IF(TRIM(A1474)&lt;&gt;"","_","X")</f>
        <v>X</v>
      </c>
      <c r="E1474" t="str">
        <f ca="1">IFERROR(IF(AND(B1474&amp;C1474&amp;D1474="___",INDIRECT("Inventory!A"&amp;MATCH(VLOOKUP(A1474,Inventory!E:E,1,0),Inventory!E:E,0))&lt;&gt;INDIRECT("'Full Inventory'!B"&amp;MATCH(VLOOKUP(A1474,'Full Inventory'!F:F,1,0),'Full Inventory'!F:F,0))),"X","_"),"_")</f>
        <v>_</v>
      </c>
      <c r="K1474" t="str">
        <f t="shared" ca="1" si="67"/>
        <v>__X_</v>
      </c>
      <c r="L1474" t="str">
        <f t="shared" ca="1" si="68"/>
        <v/>
      </c>
      <c r="M1474" t="str">
        <f>IFERROR(INDEX(Inventory!A:A,MATCH(Scan!A1474,Inventory!E:E,0)),"")</f>
        <v/>
      </c>
    </row>
    <row r="1475" spans="2:13" x14ac:dyDescent="0.25">
      <c r="B1475" t="str">
        <f>IF(IFERROR(VLOOKUP(TRIM(A1475),Inventory!E:E,1,0),0)=0,"X","_")</f>
        <v>_</v>
      </c>
      <c r="C1475" t="str">
        <f>IF(IFERROR(VLOOKUP(TRIM(A1475),'Full Inventory'!F:F,1,0),0)=0,"X","_")</f>
        <v>_</v>
      </c>
      <c r="D1475" t="str">
        <f t="shared" si="69"/>
        <v>X</v>
      </c>
      <c r="E1475" t="str">
        <f ca="1">IFERROR(IF(AND(B1475&amp;C1475&amp;D1475="___",INDIRECT("Inventory!A"&amp;MATCH(VLOOKUP(A1475,Inventory!E:E,1,0),Inventory!E:E,0))&lt;&gt;INDIRECT("'Full Inventory'!B"&amp;MATCH(VLOOKUP(A1475,'Full Inventory'!F:F,1,0),'Full Inventory'!F:F,0))),"X","_"),"_")</f>
        <v>_</v>
      </c>
      <c r="K1475" t="str">
        <f t="shared" ref="K1475:K1538" ca="1" si="70">B1475&amp;C1475&amp;D1475&amp;E1475</f>
        <v>__X_</v>
      </c>
      <c r="L1475" t="str">
        <f t="shared" ref="L1475:L1538" ca="1" si="71">IF(K1475="____","OK",IF(K1475="_X__","NOT IN FULL INVENTORY",IF(K1475="XX__","NOT IN FULL INVENTORY AND INVENTORY",IF(K1475="X___","NOT IN INVENTORY",IF(K1475="___X","DIFFERENT NAMES IN FULL INVENTORY AND INVENTORY","")))))</f>
        <v/>
      </c>
      <c r="M1475" t="str">
        <f>IFERROR(INDEX(Inventory!A:A,MATCH(Scan!A1475,Inventory!E:E,0)),"")</f>
        <v/>
      </c>
    </row>
    <row r="1476" spans="2:13" x14ac:dyDescent="0.25">
      <c r="B1476" t="str">
        <f>IF(IFERROR(VLOOKUP(TRIM(A1476),Inventory!E:E,1,0),0)=0,"X","_")</f>
        <v>_</v>
      </c>
      <c r="C1476" t="str">
        <f>IF(IFERROR(VLOOKUP(TRIM(A1476),'Full Inventory'!F:F,1,0),0)=0,"X","_")</f>
        <v>_</v>
      </c>
      <c r="D1476" t="str">
        <f t="shared" si="69"/>
        <v>X</v>
      </c>
      <c r="E1476" t="str">
        <f ca="1">IFERROR(IF(AND(B1476&amp;C1476&amp;D1476="___",INDIRECT("Inventory!A"&amp;MATCH(VLOOKUP(A1476,Inventory!E:E,1,0),Inventory!E:E,0))&lt;&gt;INDIRECT("'Full Inventory'!B"&amp;MATCH(VLOOKUP(A1476,'Full Inventory'!F:F,1,0),'Full Inventory'!F:F,0))),"X","_"),"_")</f>
        <v>_</v>
      </c>
      <c r="K1476" t="str">
        <f t="shared" ca="1" si="70"/>
        <v>__X_</v>
      </c>
      <c r="L1476" t="str">
        <f t="shared" ca="1" si="71"/>
        <v/>
      </c>
      <c r="M1476" t="str">
        <f>IFERROR(INDEX(Inventory!A:A,MATCH(Scan!A1476,Inventory!E:E,0)),"")</f>
        <v/>
      </c>
    </row>
    <row r="1477" spans="2:13" x14ac:dyDescent="0.25">
      <c r="B1477" t="str">
        <f>IF(IFERROR(VLOOKUP(TRIM(A1477),Inventory!E:E,1,0),0)=0,"X","_")</f>
        <v>_</v>
      </c>
      <c r="C1477" t="str">
        <f>IF(IFERROR(VLOOKUP(TRIM(A1477),'Full Inventory'!F:F,1,0),0)=0,"X","_")</f>
        <v>_</v>
      </c>
      <c r="D1477" t="str">
        <f t="shared" si="69"/>
        <v>X</v>
      </c>
      <c r="E1477" t="str">
        <f ca="1">IFERROR(IF(AND(B1477&amp;C1477&amp;D1477="___",INDIRECT("Inventory!A"&amp;MATCH(VLOOKUP(A1477,Inventory!E:E,1,0),Inventory!E:E,0))&lt;&gt;INDIRECT("'Full Inventory'!B"&amp;MATCH(VLOOKUP(A1477,'Full Inventory'!F:F,1,0),'Full Inventory'!F:F,0))),"X","_"),"_")</f>
        <v>_</v>
      </c>
      <c r="K1477" t="str">
        <f t="shared" ca="1" si="70"/>
        <v>__X_</v>
      </c>
      <c r="L1477" t="str">
        <f t="shared" ca="1" si="71"/>
        <v/>
      </c>
      <c r="M1477" t="str">
        <f>IFERROR(INDEX(Inventory!A:A,MATCH(Scan!A1477,Inventory!E:E,0)),"")</f>
        <v/>
      </c>
    </row>
    <row r="1478" spans="2:13" x14ac:dyDescent="0.25">
      <c r="B1478" t="str">
        <f>IF(IFERROR(VLOOKUP(TRIM(A1478),Inventory!E:E,1,0),0)=0,"X","_")</f>
        <v>_</v>
      </c>
      <c r="C1478" t="str">
        <f>IF(IFERROR(VLOOKUP(TRIM(A1478),'Full Inventory'!F:F,1,0),0)=0,"X","_")</f>
        <v>_</v>
      </c>
      <c r="D1478" t="str">
        <f t="shared" si="69"/>
        <v>X</v>
      </c>
      <c r="E1478" t="str">
        <f ca="1">IFERROR(IF(AND(B1478&amp;C1478&amp;D1478="___",INDIRECT("Inventory!A"&amp;MATCH(VLOOKUP(A1478,Inventory!E:E,1,0),Inventory!E:E,0))&lt;&gt;INDIRECT("'Full Inventory'!B"&amp;MATCH(VLOOKUP(A1478,'Full Inventory'!F:F,1,0),'Full Inventory'!F:F,0))),"X","_"),"_")</f>
        <v>_</v>
      </c>
      <c r="K1478" t="str">
        <f t="shared" ca="1" si="70"/>
        <v>__X_</v>
      </c>
      <c r="L1478" t="str">
        <f t="shared" ca="1" si="71"/>
        <v/>
      </c>
      <c r="M1478" t="str">
        <f>IFERROR(INDEX(Inventory!A:A,MATCH(Scan!A1478,Inventory!E:E,0)),"")</f>
        <v/>
      </c>
    </row>
    <row r="1479" spans="2:13" x14ac:dyDescent="0.25">
      <c r="B1479" t="str">
        <f>IF(IFERROR(VLOOKUP(TRIM(A1479),Inventory!E:E,1,0),0)=0,"X","_")</f>
        <v>_</v>
      </c>
      <c r="C1479" t="str">
        <f>IF(IFERROR(VLOOKUP(TRIM(A1479),'Full Inventory'!F:F,1,0),0)=0,"X","_")</f>
        <v>_</v>
      </c>
      <c r="D1479" t="str">
        <f t="shared" si="69"/>
        <v>X</v>
      </c>
      <c r="E1479" t="str">
        <f ca="1">IFERROR(IF(AND(B1479&amp;C1479&amp;D1479="___",INDIRECT("Inventory!A"&amp;MATCH(VLOOKUP(A1479,Inventory!E:E,1,0),Inventory!E:E,0))&lt;&gt;INDIRECT("'Full Inventory'!B"&amp;MATCH(VLOOKUP(A1479,'Full Inventory'!F:F,1,0),'Full Inventory'!F:F,0))),"X","_"),"_")</f>
        <v>_</v>
      </c>
      <c r="K1479" t="str">
        <f t="shared" ca="1" si="70"/>
        <v>__X_</v>
      </c>
      <c r="L1479" t="str">
        <f t="shared" ca="1" si="71"/>
        <v/>
      </c>
      <c r="M1479" t="str">
        <f>IFERROR(INDEX(Inventory!A:A,MATCH(Scan!A1479,Inventory!E:E,0)),"")</f>
        <v/>
      </c>
    </row>
    <row r="1480" spans="2:13" x14ac:dyDescent="0.25">
      <c r="B1480" t="str">
        <f>IF(IFERROR(VLOOKUP(TRIM(A1480),Inventory!E:E,1,0),0)=0,"X","_")</f>
        <v>_</v>
      </c>
      <c r="C1480" t="str">
        <f>IF(IFERROR(VLOOKUP(TRIM(A1480),'Full Inventory'!F:F,1,0),0)=0,"X","_")</f>
        <v>_</v>
      </c>
      <c r="D1480" t="str">
        <f t="shared" si="69"/>
        <v>X</v>
      </c>
      <c r="E1480" t="str">
        <f ca="1">IFERROR(IF(AND(B1480&amp;C1480&amp;D1480="___",INDIRECT("Inventory!A"&amp;MATCH(VLOOKUP(A1480,Inventory!E:E,1,0),Inventory!E:E,0))&lt;&gt;INDIRECT("'Full Inventory'!B"&amp;MATCH(VLOOKUP(A1480,'Full Inventory'!F:F,1,0),'Full Inventory'!F:F,0))),"X","_"),"_")</f>
        <v>_</v>
      </c>
      <c r="K1480" t="str">
        <f t="shared" ca="1" si="70"/>
        <v>__X_</v>
      </c>
      <c r="L1480" t="str">
        <f t="shared" ca="1" si="71"/>
        <v/>
      </c>
      <c r="M1480" t="str">
        <f>IFERROR(INDEX(Inventory!A:A,MATCH(Scan!A1480,Inventory!E:E,0)),"")</f>
        <v/>
      </c>
    </row>
    <row r="1481" spans="2:13" x14ac:dyDescent="0.25">
      <c r="B1481" t="str">
        <f>IF(IFERROR(VLOOKUP(TRIM(A1481),Inventory!E:E,1,0),0)=0,"X","_")</f>
        <v>_</v>
      </c>
      <c r="C1481" t="str">
        <f>IF(IFERROR(VLOOKUP(TRIM(A1481),'Full Inventory'!F:F,1,0),0)=0,"X","_")</f>
        <v>_</v>
      </c>
      <c r="D1481" t="str">
        <f t="shared" si="69"/>
        <v>X</v>
      </c>
      <c r="E1481" t="str">
        <f ca="1">IFERROR(IF(AND(B1481&amp;C1481&amp;D1481="___",INDIRECT("Inventory!A"&amp;MATCH(VLOOKUP(A1481,Inventory!E:E,1,0),Inventory!E:E,0))&lt;&gt;INDIRECT("'Full Inventory'!B"&amp;MATCH(VLOOKUP(A1481,'Full Inventory'!F:F,1,0),'Full Inventory'!F:F,0))),"X","_"),"_")</f>
        <v>_</v>
      </c>
      <c r="K1481" t="str">
        <f t="shared" ca="1" si="70"/>
        <v>__X_</v>
      </c>
      <c r="L1481" t="str">
        <f t="shared" ca="1" si="71"/>
        <v/>
      </c>
      <c r="M1481" t="str">
        <f>IFERROR(INDEX(Inventory!A:A,MATCH(Scan!A1481,Inventory!E:E,0)),"")</f>
        <v/>
      </c>
    </row>
    <row r="1482" spans="2:13" x14ac:dyDescent="0.25">
      <c r="B1482" t="str">
        <f>IF(IFERROR(VLOOKUP(TRIM(A1482),Inventory!E:E,1,0),0)=0,"X","_")</f>
        <v>_</v>
      </c>
      <c r="C1482" t="str">
        <f>IF(IFERROR(VLOOKUP(TRIM(A1482),'Full Inventory'!F:F,1,0),0)=0,"X","_")</f>
        <v>_</v>
      </c>
      <c r="D1482" t="str">
        <f t="shared" si="69"/>
        <v>X</v>
      </c>
      <c r="E1482" t="str">
        <f ca="1">IFERROR(IF(AND(B1482&amp;C1482&amp;D1482="___",INDIRECT("Inventory!A"&amp;MATCH(VLOOKUP(A1482,Inventory!E:E,1,0),Inventory!E:E,0))&lt;&gt;INDIRECT("'Full Inventory'!B"&amp;MATCH(VLOOKUP(A1482,'Full Inventory'!F:F,1,0),'Full Inventory'!F:F,0))),"X","_"),"_")</f>
        <v>_</v>
      </c>
      <c r="K1482" t="str">
        <f t="shared" ca="1" si="70"/>
        <v>__X_</v>
      </c>
      <c r="L1482" t="str">
        <f t="shared" ca="1" si="71"/>
        <v/>
      </c>
      <c r="M1482" t="str">
        <f>IFERROR(INDEX(Inventory!A:A,MATCH(Scan!A1482,Inventory!E:E,0)),"")</f>
        <v/>
      </c>
    </row>
    <row r="1483" spans="2:13" x14ac:dyDescent="0.25">
      <c r="B1483" t="str">
        <f>IF(IFERROR(VLOOKUP(TRIM(A1483),Inventory!E:E,1,0),0)=0,"X","_")</f>
        <v>_</v>
      </c>
      <c r="C1483" t="str">
        <f>IF(IFERROR(VLOOKUP(TRIM(A1483),'Full Inventory'!F:F,1,0),0)=0,"X","_")</f>
        <v>_</v>
      </c>
      <c r="D1483" t="str">
        <f t="shared" si="69"/>
        <v>X</v>
      </c>
      <c r="E1483" t="str">
        <f ca="1">IFERROR(IF(AND(B1483&amp;C1483&amp;D1483="___",INDIRECT("Inventory!A"&amp;MATCH(VLOOKUP(A1483,Inventory!E:E,1,0),Inventory!E:E,0))&lt;&gt;INDIRECT("'Full Inventory'!B"&amp;MATCH(VLOOKUP(A1483,'Full Inventory'!F:F,1,0),'Full Inventory'!F:F,0))),"X","_"),"_")</f>
        <v>_</v>
      </c>
      <c r="K1483" t="str">
        <f t="shared" ca="1" si="70"/>
        <v>__X_</v>
      </c>
      <c r="L1483" t="str">
        <f t="shared" ca="1" si="71"/>
        <v/>
      </c>
      <c r="M1483" t="str">
        <f>IFERROR(INDEX(Inventory!A:A,MATCH(Scan!A1483,Inventory!E:E,0)),"")</f>
        <v/>
      </c>
    </row>
    <row r="1484" spans="2:13" x14ac:dyDescent="0.25">
      <c r="B1484" t="str">
        <f>IF(IFERROR(VLOOKUP(TRIM(A1484),Inventory!E:E,1,0),0)=0,"X","_")</f>
        <v>_</v>
      </c>
      <c r="C1484" t="str">
        <f>IF(IFERROR(VLOOKUP(TRIM(A1484),'Full Inventory'!F:F,1,0),0)=0,"X","_")</f>
        <v>_</v>
      </c>
      <c r="D1484" t="str">
        <f t="shared" si="69"/>
        <v>X</v>
      </c>
      <c r="E1484" t="str">
        <f ca="1">IFERROR(IF(AND(B1484&amp;C1484&amp;D1484="___",INDIRECT("Inventory!A"&amp;MATCH(VLOOKUP(A1484,Inventory!E:E,1,0),Inventory!E:E,0))&lt;&gt;INDIRECT("'Full Inventory'!B"&amp;MATCH(VLOOKUP(A1484,'Full Inventory'!F:F,1,0),'Full Inventory'!F:F,0))),"X","_"),"_")</f>
        <v>_</v>
      </c>
      <c r="K1484" t="str">
        <f t="shared" ca="1" si="70"/>
        <v>__X_</v>
      </c>
      <c r="L1484" t="str">
        <f t="shared" ca="1" si="71"/>
        <v/>
      </c>
      <c r="M1484" t="str">
        <f>IFERROR(INDEX(Inventory!A:A,MATCH(Scan!A1484,Inventory!E:E,0)),"")</f>
        <v/>
      </c>
    </row>
    <row r="1485" spans="2:13" x14ac:dyDescent="0.25">
      <c r="B1485" t="str">
        <f>IF(IFERROR(VLOOKUP(TRIM(A1485),Inventory!E:E,1,0),0)=0,"X","_")</f>
        <v>_</v>
      </c>
      <c r="C1485" t="str">
        <f>IF(IFERROR(VLOOKUP(TRIM(A1485),'Full Inventory'!F:F,1,0),0)=0,"X","_")</f>
        <v>_</v>
      </c>
      <c r="D1485" t="str">
        <f t="shared" si="69"/>
        <v>X</v>
      </c>
      <c r="E1485" t="str">
        <f ca="1">IFERROR(IF(AND(B1485&amp;C1485&amp;D1485="___",INDIRECT("Inventory!A"&amp;MATCH(VLOOKUP(A1485,Inventory!E:E,1,0),Inventory!E:E,0))&lt;&gt;INDIRECT("'Full Inventory'!B"&amp;MATCH(VLOOKUP(A1485,'Full Inventory'!F:F,1,0),'Full Inventory'!F:F,0))),"X","_"),"_")</f>
        <v>_</v>
      </c>
      <c r="K1485" t="str">
        <f t="shared" ca="1" si="70"/>
        <v>__X_</v>
      </c>
      <c r="L1485" t="str">
        <f t="shared" ca="1" si="71"/>
        <v/>
      </c>
      <c r="M1485" t="str">
        <f>IFERROR(INDEX(Inventory!A:A,MATCH(Scan!A1485,Inventory!E:E,0)),"")</f>
        <v/>
      </c>
    </row>
    <row r="1486" spans="2:13" x14ac:dyDescent="0.25">
      <c r="B1486" t="str">
        <f>IF(IFERROR(VLOOKUP(TRIM(A1486),Inventory!E:E,1,0),0)=0,"X","_")</f>
        <v>_</v>
      </c>
      <c r="C1486" t="str">
        <f>IF(IFERROR(VLOOKUP(TRIM(A1486),'Full Inventory'!F:F,1,0),0)=0,"X","_")</f>
        <v>_</v>
      </c>
      <c r="D1486" t="str">
        <f t="shared" si="69"/>
        <v>X</v>
      </c>
      <c r="E1486" t="str">
        <f ca="1">IFERROR(IF(AND(B1486&amp;C1486&amp;D1486="___",INDIRECT("Inventory!A"&amp;MATCH(VLOOKUP(A1486,Inventory!E:E,1,0),Inventory!E:E,0))&lt;&gt;INDIRECT("'Full Inventory'!B"&amp;MATCH(VLOOKUP(A1486,'Full Inventory'!F:F,1,0),'Full Inventory'!F:F,0))),"X","_"),"_")</f>
        <v>_</v>
      </c>
      <c r="K1486" t="str">
        <f t="shared" ca="1" si="70"/>
        <v>__X_</v>
      </c>
      <c r="L1486" t="str">
        <f t="shared" ca="1" si="71"/>
        <v/>
      </c>
      <c r="M1486" t="str">
        <f>IFERROR(INDEX(Inventory!A:A,MATCH(Scan!A1486,Inventory!E:E,0)),"")</f>
        <v/>
      </c>
    </row>
    <row r="1487" spans="2:13" x14ac:dyDescent="0.25">
      <c r="B1487" t="str">
        <f>IF(IFERROR(VLOOKUP(TRIM(A1487),Inventory!E:E,1,0),0)=0,"X","_")</f>
        <v>_</v>
      </c>
      <c r="C1487" t="str">
        <f>IF(IFERROR(VLOOKUP(TRIM(A1487),'Full Inventory'!F:F,1,0),0)=0,"X","_")</f>
        <v>_</v>
      </c>
      <c r="D1487" t="str">
        <f t="shared" si="69"/>
        <v>X</v>
      </c>
      <c r="E1487" t="str">
        <f ca="1">IFERROR(IF(AND(B1487&amp;C1487&amp;D1487="___",INDIRECT("Inventory!A"&amp;MATCH(VLOOKUP(A1487,Inventory!E:E,1,0),Inventory!E:E,0))&lt;&gt;INDIRECT("'Full Inventory'!B"&amp;MATCH(VLOOKUP(A1487,'Full Inventory'!F:F,1,0),'Full Inventory'!F:F,0))),"X","_"),"_")</f>
        <v>_</v>
      </c>
      <c r="K1487" t="str">
        <f t="shared" ca="1" si="70"/>
        <v>__X_</v>
      </c>
      <c r="L1487" t="str">
        <f t="shared" ca="1" si="71"/>
        <v/>
      </c>
      <c r="M1487" t="str">
        <f>IFERROR(INDEX(Inventory!A:A,MATCH(Scan!A1487,Inventory!E:E,0)),"")</f>
        <v/>
      </c>
    </row>
    <row r="1488" spans="2:13" x14ac:dyDescent="0.25">
      <c r="B1488" t="str">
        <f>IF(IFERROR(VLOOKUP(TRIM(A1488),Inventory!E:E,1,0),0)=0,"X","_")</f>
        <v>_</v>
      </c>
      <c r="C1488" t="str">
        <f>IF(IFERROR(VLOOKUP(TRIM(A1488),'Full Inventory'!F:F,1,0),0)=0,"X","_")</f>
        <v>_</v>
      </c>
      <c r="D1488" t="str">
        <f t="shared" si="69"/>
        <v>X</v>
      </c>
      <c r="E1488" t="str">
        <f ca="1">IFERROR(IF(AND(B1488&amp;C1488&amp;D1488="___",INDIRECT("Inventory!A"&amp;MATCH(VLOOKUP(A1488,Inventory!E:E,1,0),Inventory!E:E,0))&lt;&gt;INDIRECT("'Full Inventory'!B"&amp;MATCH(VLOOKUP(A1488,'Full Inventory'!F:F,1,0),'Full Inventory'!F:F,0))),"X","_"),"_")</f>
        <v>_</v>
      </c>
      <c r="K1488" t="str">
        <f t="shared" ca="1" si="70"/>
        <v>__X_</v>
      </c>
      <c r="L1488" t="str">
        <f t="shared" ca="1" si="71"/>
        <v/>
      </c>
      <c r="M1488" t="str">
        <f>IFERROR(INDEX(Inventory!A:A,MATCH(Scan!A1488,Inventory!E:E,0)),"")</f>
        <v/>
      </c>
    </row>
    <row r="1489" spans="2:13" x14ac:dyDescent="0.25">
      <c r="B1489" t="str">
        <f>IF(IFERROR(VLOOKUP(TRIM(A1489),Inventory!E:E,1,0),0)=0,"X","_")</f>
        <v>_</v>
      </c>
      <c r="C1489" t="str">
        <f>IF(IFERROR(VLOOKUP(TRIM(A1489),'Full Inventory'!F:F,1,0),0)=0,"X","_")</f>
        <v>_</v>
      </c>
      <c r="D1489" t="str">
        <f t="shared" si="69"/>
        <v>X</v>
      </c>
      <c r="E1489" t="str">
        <f ca="1">IFERROR(IF(AND(B1489&amp;C1489&amp;D1489="___",INDIRECT("Inventory!A"&amp;MATCH(VLOOKUP(A1489,Inventory!E:E,1,0),Inventory!E:E,0))&lt;&gt;INDIRECT("'Full Inventory'!B"&amp;MATCH(VLOOKUP(A1489,'Full Inventory'!F:F,1,0),'Full Inventory'!F:F,0))),"X","_"),"_")</f>
        <v>_</v>
      </c>
      <c r="K1489" t="str">
        <f t="shared" ca="1" si="70"/>
        <v>__X_</v>
      </c>
      <c r="L1489" t="str">
        <f t="shared" ca="1" si="71"/>
        <v/>
      </c>
      <c r="M1489" t="str">
        <f>IFERROR(INDEX(Inventory!A:A,MATCH(Scan!A1489,Inventory!E:E,0)),"")</f>
        <v/>
      </c>
    </row>
    <row r="1490" spans="2:13" x14ac:dyDescent="0.25">
      <c r="B1490" t="str">
        <f>IF(IFERROR(VLOOKUP(TRIM(A1490),Inventory!E:E,1,0),0)=0,"X","_")</f>
        <v>_</v>
      </c>
      <c r="C1490" t="str">
        <f>IF(IFERROR(VLOOKUP(TRIM(A1490),'Full Inventory'!F:F,1,0),0)=0,"X","_")</f>
        <v>_</v>
      </c>
      <c r="D1490" t="str">
        <f t="shared" si="69"/>
        <v>X</v>
      </c>
      <c r="E1490" t="str">
        <f ca="1">IFERROR(IF(AND(B1490&amp;C1490&amp;D1490="___",INDIRECT("Inventory!A"&amp;MATCH(VLOOKUP(A1490,Inventory!E:E,1,0),Inventory!E:E,0))&lt;&gt;INDIRECT("'Full Inventory'!B"&amp;MATCH(VLOOKUP(A1490,'Full Inventory'!F:F,1,0),'Full Inventory'!F:F,0))),"X","_"),"_")</f>
        <v>_</v>
      </c>
      <c r="K1490" t="str">
        <f t="shared" ca="1" si="70"/>
        <v>__X_</v>
      </c>
      <c r="L1490" t="str">
        <f t="shared" ca="1" si="71"/>
        <v/>
      </c>
      <c r="M1490" t="str">
        <f>IFERROR(INDEX(Inventory!A:A,MATCH(Scan!A1490,Inventory!E:E,0)),"")</f>
        <v/>
      </c>
    </row>
    <row r="1491" spans="2:13" x14ac:dyDescent="0.25">
      <c r="B1491" t="str">
        <f>IF(IFERROR(VLOOKUP(TRIM(A1491),Inventory!E:E,1,0),0)=0,"X","_")</f>
        <v>_</v>
      </c>
      <c r="C1491" t="str">
        <f>IF(IFERROR(VLOOKUP(TRIM(A1491),'Full Inventory'!F:F,1,0),0)=0,"X","_")</f>
        <v>_</v>
      </c>
      <c r="D1491" t="str">
        <f t="shared" si="69"/>
        <v>X</v>
      </c>
      <c r="E1491" t="str">
        <f ca="1">IFERROR(IF(AND(B1491&amp;C1491&amp;D1491="___",INDIRECT("Inventory!A"&amp;MATCH(VLOOKUP(A1491,Inventory!E:E,1,0),Inventory!E:E,0))&lt;&gt;INDIRECT("'Full Inventory'!B"&amp;MATCH(VLOOKUP(A1491,'Full Inventory'!F:F,1,0),'Full Inventory'!F:F,0))),"X","_"),"_")</f>
        <v>_</v>
      </c>
      <c r="K1491" t="str">
        <f t="shared" ca="1" si="70"/>
        <v>__X_</v>
      </c>
      <c r="L1491" t="str">
        <f t="shared" ca="1" si="71"/>
        <v/>
      </c>
      <c r="M1491" t="str">
        <f>IFERROR(INDEX(Inventory!A:A,MATCH(Scan!A1491,Inventory!E:E,0)),"")</f>
        <v/>
      </c>
    </row>
    <row r="1492" spans="2:13" x14ac:dyDescent="0.25">
      <c r="B1492" t="str">
        <f>IF(IFERROR(VLOOKUP(TRIM(A1492),Inventory!E:E,1,0),0)=0,"X","_")</f>
        <v>_</v>
      </c>
      <c r="C1492" t="str">
        <f>IF(IFERROR(VLOOKUP(TRIM(A1492),'Full Inventory'!F:F,1,0),0)=0,"X","_")</f>
        <v>_</v>
      </c>
      <c r="D1492" t="str">
        <f t="shared" si="69"/>
        <v>X</v>
      </c>
      <c r="E1492" t="str">
        <f ca="1">IFERROR(IF(AND(B1492&amp;C1492&amp;D1492="___",INDIRECT("Inventory!A"&amp;MATCH(VLOOKUP(A1492,Inventory!E:E,1,0),Inventory!E:E,0))&lt;&gt;INDIRECT("'Full Inventory'!B"&amp;MATCH(VLOOKUP(A1492,'Full Inventory'!F:F,1,0),'Full Inventory'!F:F,0))),"X","_"),"_")</f>
        <v>_</v>
      </c>
      <c r="K1492" t="str">
        <f t="shared" ca="1" si="70"/>
        <v>__X_</v>
      </c>
      <c r="L1492" t="str">
        <f t="shared" ca="1" si="71"/>
        <v/>
      </c>
      <c r="M1492" t="str">
        <f>IFERROR(INDEX(Inventory!A:A,MATCH(Scan!A1492,Inventory!E:E,0)),"")</f>
        <v/>
      </c>
    </row>
    <row r="1493" spans="2:13" x14ac:dyDescent="0.25">
      <c r="B1493" t="str">
        <f>IF(IFERROR(VLOOKUP(TRIM(A1493),Inventory!E:E,1,0),0)=0,"X","_")</f>
        <v>_</v>
      </c>
      <c r="C1493" t="str">
        <f>IF(IFERROR(VLOOKUP(TRIM(A1493),'Full Inventory'!F:F,1,0),0)=0,"X","_")</f>
        <v>_</v>
      </c>
      <c r="D1493" t="str">
        <f t="shared" si="69"/>
        <v>X</v>
      </c>
      <c r="E1493" t="str">
        <f ca="1">IFERROR(IF(AND(B1493&amp;C1493&amp;D1493="___",INDIRECT("Inventory!A"&amp;MATCH(VLOOKUP(A1493,Inventory!E:E,1,0),Inventory!E:E,0))&lt;&gt;INDIRECT("'Full Inventory'!B"&amp;MATCH(VLOOKUP(A1493,'Full Inventory'!F:F,1,0),'Full Inventory'!F:F,0))),"X","_"),"_")</f>
        <v>_</v>
      </c>
      <c r="K1493" t="str">
        <f t="shared" ca="1" si="70"/>
        <v>__X_</v>
      </c>
      <c r="L1493" t="str">
        <f t="shared" ca="1" si="71"/>
        <v/>
      </c>
      <c r="M1493" t="str">
        <f>IFERROR(INDEX(Inventory!A:A,MATCH(Scan!A1493,Inventory!E:E,0)),"")</f>
        <v/>
      </c>
    </row>
    <row r="1494" spans="2:13" x14ac:dyDescent="0.25">
      <c r="B1494" t="str">
        <f>IF(IFERROR(VLOOKUP(TRIM(A1494),Inventory!E:E,1,0),0)=0,"X","_")</f>
        <v>_</v>
      </c>
      <c r="C1494" t="str">
        <f>IF(IFERROR(VLOOKUP(TRIM(A1494),'Full Inventory'!F:F,1,0),0)=0,"X","_")</f>
        <v>_</v>
      </c>
      <c r="D1494" t="str">
        <f t="shared" si="69"/>
        <v>X</v>
      </c>
      <c r="E1494" t="str">
        <f ca="1">IFERROR(IF(AND(B1494&amp;C1494&amp;D1494="___",INDIRECT("Inventory!A"&amp;MATCH(VLOOKUP(A1494,Inventory!E:E,1,0),Inventory!E:E,0))&lt;&gt;INDIRECT("'Full Inventory'!B"&amp;MATCH(VLOOKUP(A1494,'Full Inventory'!F:F,1,0),'Full Inventory'!F:F,0))),"X","_"),"_")</f>
        <v>_</v>
      </c>
      <c r="K1494" t="str">
        <f t="shared" ca="1" si="70"/>
        <v>__X_</v>
      </c>
      <c r="L1494" t="str">
        <f t="shared" ca="1" si="71"/>
        <v/>
      </c>
      <c r="M1494" t="str">
        <f>IFERROR(INDEX(Inventory!A:A,MATCH(Scan!A1494,Inventory!E:E,0)),"")</f>
        <v/>
      </c>
    </row>
    <row r="1495" spans="2:13" x14ac:dyDescent="0.25">
      <c r="B1495" t="str">
        <f>IF(IFERROR(VLOOKUP(TRIM(A1495),Inventory!E:E,1,0),0)=0,"X","_")</f>
        <v>_</v>
      </c>
      <c r="C1495" t="str">
        <f>IF(IFERROR(VLOOKUP(TRIM(A1495),'Full Inventory'!F:F,1,0),0)=0,"X","_")</f>
        <v>_</v>
      </c>
      <c r="D1495" t="str">
        <f t="shared" si="69"/>
        <v>X</v>
      </c>
      <c r="E1495" t="str">
        <f ca="1">IFERROR(IF(AND(B1495&amp;C1495&amp;D1495="___",INDIRECT("Inventory!A"&amp;MATCH(VLOOKUP(A1495,Inventory!E:E,1,0),Inventory!E:E,0))&lt;&gt;INDIRECT("'Full Inventory'!B"&amp;MATCH(VLOOKUP(A1495,'Full Inventory'!F:F,1,0),'Full Inventory'!F:F,0))),"X","_"),"_")</f>
        <v>_</v>
      </c>
      <c r="K1495" t="str">
        <f t="shared" ca="1" si="70"/>
        <v>__X_</v>
      </c>
      <c r="L1495" t="str">
        <f t="shared" ca="1" si="71"/>
        <v/>
      </c>
      <c r="M1495" t="str">
        <f>IFERROR(INDEX(Inventory!A:A,MATCH(Scan!A1495,Inventory!E:E,0)),"")</f>
        <v/>
      </c>
    </row>
    <row r="1496" spans="2:13" x14ac:dyDescent="0.25">
      <c r="B1496" t="str">
        <f>IF(IFERROR(VLOOKUP(TRIM(A1496),Inventory!E:E,1,0),0)=0,"X","_")</f>
        <v>_</v>
      </c>
      <c r="C1496" t="str">
        <f>IF(IFERROR(VLOOKUP(TRIM(A1496),'Full Inventory'!F:F,1,0),0)=0,"X","_")</f>
        <v>_</v>
      </c>
      <c r="D1496" t="str">
        <f t="shared" si="69"/>
        <v>X</v>
      </c>
      <c r="E1496" t="str">
        <f ca="1">IFERROR(IF(AND(B1496&amp;C1496&amp;D1496="___",INDIRECT("Inventory!A"&amp;MATCH(VLOOKUP(A1496,Inventory!E:E,1,0),Inventory!E:E,0))&lt;&gt;INDIRECT("'Full Inventory'!B"&amp;MATCH(VLOOKUP(A1496,'Full Inventory'!F:F,1,0),'Full Inventory'!F:F,0))),"X","_"),"_")</f>
        <v>_</v>
      </c>
      <c r="K1496" t="str">
        <f t="shared" ca="1" si="70"/>
        <v>__X_</v>
      </c>
      <c r="L1496" t="str">
        <f t="shared" ca="1" si="71"/>
        <v/>
      </c>
      <c r="M1496" t="str">
        <f>IFERROR(INDEX(Inventory!A:A,MATCH(Scan!A1496,Inventory!E:E,0)),"")</f>
        <v/>
      </c>
    </row>
    <row r="1497" spans="2:13" x14ac:dyDescent="0.25">
      <c r="B1497" t="str">
        <f>IF(IFERROR(VLOOKUP(TRIM(A1497),Inventory!E:E,1,0),0)=0,"X","_")</f>
        <v>_</v>
      </c>
      <c r="C1497" t="str">
        <f>IF(IFERROR(VLOOKUP(TRIM(A1497),'Full Inventory'!F:F,1,0),0)=0,"X","_")</f>
        <v>_</v>
      </c>
      <c r="D1497" t="str">
        <f t="shared" si="69"/>
        <v>X</v>
      </c>
      <c r="E1497" t="str">
        <f ca="1">IFERROR(IF(AND(B1497&amp;C1497&amp;D1497="___",INDIRECT("Inventory!A"&amp;MATCH(VLOOKUP(A1497,Inventory!E:E,1,0),Inventory!E:E,0))&lt;&gt;INDIRECT("'Full Inventory'!B"&amp;MATCH(VLOOKUP(A1497,'Full Inventory'!F:F,1,0),'Full Inventory'!F:F,0))),"X","_"),"_")</f>
        <v>_</v>
      </c>
      <c r="K1497" t="str">
        <f t="shared" ca="1" si="70"/>
        <v>__X_</v>
      </c>
      <c r="L1497" t="str">
        <f t="shared" ca="1" si="71"/>
        <v/>
      </c>
      <c r="M1497" t="str">
        <f>IFERROR(INDEX(Inventory!A:A,MATCH(Scan!A1497,Inventory!E:E,0)),"")</f>
        <v/>
      </c>
    </row>
    <row r="1498" spans="2:13" x14ac:dyDescent="0.25">
      <c r="B1498" t="str">
        <f>IF(IFERROR(VLOOKUP(TRIM(A1498),Inventory!E:E,1,0),0)=0,"X","_")</f>
        <v>_</v>
      </c>
      <c r="C1498" t="str">
        <f>IF(IFERROR(VLOOKUP(TRIM(A1498),'Full Inventory'!F:F,1,0),0)=0,"X","_")</f>
        <v>_</v>
      </c>
      <c r="D1498" t="str">
        <f t="shared" si="69"/>
        <v>X</v>
      </c>
      <c r="E1498" t="str">
        <f ca="1">IFERROR(IF(AND(B1498&amp;C1498&amp;D1498="___",INDIRECT("Inventory!A"&amp;MATCH(VLOOKUP(A1498,Inventory!E:E,1,0),Inventory!E:E,0))&lt;&gt;INDIRECT("'Full Inventory'!B"&amp;MATCH(VLOOKUP(A1498,'Full Inventory'!F:F,1,0),'Full Inventory'!F:F,0))),"X","_"),"_")</f>
        <v>_</v>
      </c>
      <c r="K1498" t="str">
        <f t="shared" ca="1" si="70"/>
        <v>__X_</v>
      </c>
      <c r="L1498" t="str">
        <f t="shared" ca="1" si="71"/>
        <v/>
      </c>
      <c r="M1498" t="str">
        <f>IFERROR(INDEX(Inventory!A:A,MATCH(Scan!A1498,Inventory!E:E,0)),"")</f>
        <v/>
      </c>
    </row>
    <row r="1499" spans="2:13" x14ac:dyDescent="0.25">
      <c r="B1499" t="str">
        <f>IF(IFERROR(VLOOKUP(TRIM(A1499),Inventory!E:E,1,0),0)=0,"X","_")</f>
        <v>_</v>
      </c>
      <c r="C1499" t="str">
        <f>IF(IFERROR(VLOOKUP(TRIM(A1499),'Full Inventory'!F:F,1,0),0)=0,"X","_")</f>
        <v>_</v>
      </c>
      <c r="D1499" t="str">
        <f t="shared" si="69"/>
        <v>X</v>
      </c>
      <c r="E1499" t="str">
        <f ca="1">IFERROR(IF(AND(B1499&amp;C1499&amp;D1499="___",INDIRECT("Inventory!A"&amp;MATCH(VLOOKUP(A1499,Inventory!E:E,1,0),Inventory!E:E,0))&lt;&gt;INDIRECT("'Full Inventory'!B"&amp;MATCH(VLOOKUP(A1499,'Full Inventory'!F:F,1,0),'Full Inventory'!F:F,0))),"X","_"),"_")</f>
        <v>_</v>
      </c>
      <c r="K1499" t="str">
        <f t="shared" ca="1" si="70"/>
        <v>__X_</v>
      </c>
      <c r="L1499" t="str">
        <f t="shared" ca="1" si="71"/>
        <v/>
      </c>
      <c r="M1499" t="str">
        <f>IFERROR(INDEX(Inventory!A:A,MATCH(Scan!A1499,Inventory!E:E,0)),"")</f>
        <v/>
      </c>
    </row>
    <row r="1500" spans="2:13" x14ac:dyDescent="0.25">
      <c r="B1500" t="str">
        <f>IF(IFERROR(VLOOKUP(TRIM(A1500),Inventory!E:E,1,0),0)=0,"X","_")</f>
        <v>_</v>
      </c>
      <c r="C1500" t="str">
        <f>IF(IFERROR(VLOOKUP(TRIM(A1500),'Full Inventory'!F:F,1,0),0)=0,"X","_")</f>
        <v>_</v>
      </c>
      <c r="D1500" t="str">
        <f t="shared" si="69"/>
        <v>X</v>
      </c>
      <c r="E1500" t="str">
        <f ca="1">IFERROR(IF(AND(B1500&amp;C1500&amp;D1500="___",INDIRECT("Inventory!A"&amp;MATCH(VLOOKUP(A1500,Inventory!E:E,1,0),Inventory!E:E,0))&lt;&gt;INDIRECT("'Full Inventory'!B"&amp;MATCH(VLOOKUP(A1500,'Full Inventory'!F:F,1,0),'Full Inventory'!F:F,0))),"X","_"),"_")</f>
        <v>_</v>
      </c>
      <c r="K1500" t="str">
        <f t="shared" ca="1" si="70"/>
        <v>__X_</v>
      </c>
      <c r="L1500" t="str">
        <f t="shared" ca="1" si="71"/>
        <v/>
      </c>
      <c r="M1500" t="str">
        <f>IFERROR(INDEX(Inventory!A:A,MATCH(Scan!A1500,Inventory!E:E,0)),"")</f>
        <v/>
      </c>
    </row>
    <row r="1501" spans="2:13" x14ac:dyDescent="0.25">
      <c r="B1501" t="str">
        <f>IF(IFERROR(VLOOKUP(TRIM(A1501),Inventory!E:E,1,0),0)=0,"X","_")</f>
        <v>_</v>
      </c>
      <c r="C1501" t="str">
        <f>IF(IFERROR(VLOOKUP(TRIM(A1501),'Full Inventory'!F:F,1,0),0)=0,"X","_")</f>
        <v>_</v>
      </c>
      <c r="D1501" t="str">
        <f t="shared" si="69"/>
        <v>X</v>
      </c>
      <c r="E1501" t="str">
        <f ca="1">IFERROR(IF(AND(B1501&amp;C1501&amp;D1501="___",INDIRECT("Inventory!A"&amp;MATCH(VLOOKUP(A1501,Inventory!E:E,1,0),Inventory!E:E,0))&lt;&gt;INDIRECT("'Full Inventory'!B"&amp;MATCH(VLOOKUP(A1501,'Full Inventory'!F:F,1,0),'Full Inventory'!F:F,0))),"X","_"),"_")</f>
        <v>_</v>
      </c>
      <c r="K1501" t="str">
        <f t="shared" ca="1" si="70"/>
        <v>__X_</v>
      </c>
      <c r="L1501" t="str">
        <f t="shared" ca="1" si="71"/>
        <v/>
      </c>
      <c r="M1501" t="str">
        <f>IFERROR(INDEX(Inventory!A:A,MATCH(Scan!A1501,Inventory!E:E,0)),"")</f>
        <v/>
      </c>
    </row>
    <row r="1502" spans="2:13" x14ac:dyDescent="0.25">
      <c r="B1502" t="str">
        <f>IF(IFERROR(VLOOKUP(TRIM(A1502),Inventory!E:E,1,0),0)=0,"X","_")</f>
        <v>_</v>
      </c>
      <c r="C1502" t="str">
        <f>IF(IFERROR(VLOOKUP(TRIM(A1502),'Full Inventory'!F:F,1,0),0)=0,"X","_")</f>
        <v>_</v>
      </c>
      <c r="D1502" t="str">
        <f t="shared" si="69"/>
        <v>X</v>
      </c>
      <c r="E1502" t="str">
        <f ca="1">IFERROR(IF(AND(B1502&amp;C1502&amp;D1502="___",INDIRECT("Inventory!A"&amp;MATCH(VLOOKUP(A1502,Inventory!E:E,1,0),Inventory!E:E,0))&lt;&gt;INDIRECT("'Full Inventory'!B"&amp;MATCH(VLOOKUP(A1502,'Full Inventory'!F:F,1,0),'Full Inventory'!F:F,0))),"X","_"),"_")</f>
        <v>_</v>
      </c>
      <c r="K1502" t="str">
        <f t="shared" ca="1" si="70"/>
        <v>__X_</v>
      </c>
      <c r="L1502" t="str">
        <f t="shared" ca="1" si="71"/>
        <v/>
      </c>
      <c r="M1502" t="str">
        <f>IFERROR(INDEX(Inventory!A:A,MATCH(Scan!A1502,Inventory!E:E,0)),"")</f>
        <v/>
      </c>
    </row>
    <row r="1503" spans="2:13" x14ac:dyDescent="0.25">
      <c r="B1503" t="str">
        <f>IF(IFERROR(VLOOKUP(TRIM(A1503),Inventory!E:E,1,0),0)=0,"X","_")</f>
        <v>_</v>
      </c>
      <c r="C1503" t="str">
        <f>IF(IFERROR(VLOOKUP(TRIM(A1503),'Full Inventory'!F:F,1,0),0)=0,"X","_")</f>
        <v>_</v>
      </c>
      <c r="D1503" t="str">
        <f t="shared" si="69"/>
        <v>X</v>
      </c>
      <c r="E1503" t="str">
        <f ca="1">IFERROR(IF(AND(B1503&amp;C1503&amp;D1503="___",INDIRECT("Inventory!A"&amp;MATCH(VLOOKUP(A1503,Inventory!E:E,1,0),Inventory!E:E,0))&lt;&gt;INDIRECT("'Full Inventory'!B"&amp;MATCH(VLOOKUP(A1503,'Full Inventory'!F:F,1,0),'Full Inventory'!F:F,0))),"X","_"),"_")</f>
        <v>_</v>
      </c>
      <c r="K1503" t="str">
        <f t="shared" ca="1" si="70"/>
        <v>__X_</v>
      </c>
      <c r="L1503" t="str">
        <f t="shared" ca="1" si="71"/>
        <v/>
      </c>
      <c r="M1503" t="str">
        <f>IFERROR(INDEX(Inventory!A:A,MATCH(Scan!A1503,Inventory!E:E,0)),"")</f>
        <v/>
      </c>
    </row>
    <row r="1504" spans="2:13" x14ac:dyDescent="0.25">
      <c r="B1504" t="str">
        <f>IF(IFERROR(VLOOKUP(TRIM(A1504),Inventory!E:E,1,0),0)=0,"X","_")</f>
        <v>_</v>
      </c>
      <c r="C1504" t="str">
        <f>IF(IFERROR(VLOOKUP(TRIM(A1504),'Full Inventory'!F:F,1,0),0)=0,"X","_")</f>
        <v>_</v>
      </c>
      <c r="D1504" t="str">
        <f t="shared" si="69"/>
        <v>X</v>
      </c>
      <c r="E1504" t="str">
        <f ca="1">IFERROR(IF(AND(B1504&amp;C1504&amp;D1504="___",INDIRECT("Inventory!A"&amp;MATCH(VLOOKUP(A1504,Inventory!E:E,1,0),Inventory!E:E,0))&lt;&gt;INDIRECT("'Full Inventory'!B"&amp;MATCH(VLOOKUP(A1504,'Full Inventory'!F:F,1,0),'Full Inventory'!F:F,0))),"X","_"),"_")</f>
        <v>_</v>
      </c>
      <c r="K1504" t="str">
        <f t="shared" ca="1" si="70"/>
        <v>__X_</v>
      </c>
      <c r="L1504" t="str">
        <f t="shared" ca="1" si="71"/>
        <v/>
      </c>
      <c r="M1504" t="str">
        <f>IFERROR(INDEX(Inventory!A:A,MATCH(Scan!A1504,Inventory!E:E,0)),"")</f>
        <v/>
      </c>
    </row>
    <row r="1505" spans="2:13" x14ac:dyDescent="0.25">
      <c r="B1505" t="str">
        <f>IF(IFERROR(VLOOKUP(TRIM(A1505),Inventory!E:E,1,0),0)=0,"X","_")</f>
        <v>_</v>
      </c>
      <c r="C1505" t="str">
        <f>IF(IFERROR(VLOOKUP(TRIM(A1505),'Full Inventory'!F:F,1,0),0)=0,"X","_")</f>
        <v>_</v>
      </c>
      <c r="D1505" t="str">
        <f t="shared" si="69"/>
        <v>X</v>
      </c>
      <c r="E1505" t="str">
        <f ca="1">IFERROR(IF(AND(B1505&amp;C1505&amp;D1505="___",INDIRECT("Inventory!A"&amp;MATCH(VLOOKUP(A1505,Inventory!E:E,1,0),Inventory!E:E,0))&lt;&gt;INDIRECT("'Full Inventory'!B"&amp;MATCH(VLOOKUP(A1505,'Full Inventory'!F:F,1,0),'Full Inventory'!F:F,0))),"X","_"),"_")</f>
        <v>_</v>
      </c>
      <c r="K1505" t="str">
        <f t="shared" ca="1" si="70"/>
        <v>__X_</v>
      </c>
      <c r="L1505" t="str">
        <f t="shared" ca="1" si="71"/>
        <v/>
      </c>
      <c r="M1505" t="str">
        <f>IFERROR(INDEX(Inventory!A:A,MATCH(Scan!A1505,Inventory!E:E,0)),"")</f>
        <v/>
      </c>
    </row>
    <row r="1506" spans="2:13" x14ac:dyDescent="0.25">
      <c r="B1506" t="str">
        <f>IF(IFERROR(VLOOKUP(TRIM(A1506),Inventory!E:E,1,0),0)=0,"X","_")</f>
        <v>_</v>
      </c>
      <c r="C1506" t="str">
        <f>IF(IFERROR(VLOOKUP(TRIM(A1506),'Full Inventory'!F:F,1,0),0)=0,"X","_")</f>
        <v>_</v>
      </c>
      <c r="D1506" t="str">
        <f t="shared" si="69"/>
        <v>X</v>
      </c>
      <c r="E1506" t="str">
        <f ca="1">IFERROR(IF(AND(B1506&amp;C1506&amp;D1506="___",INDIRECT("Inventory!A"&amp;MATCH(VLOOKUP(A1506,Inventory!E:E,1,0),Inventory!E:E,0))&lt;&gt;INDIRECT("'Full Inventory'!B"&amp;MATCH(VLOOKUP(A1506,'Full Inventory'!F:F,1,0),'Full Inventory'!F:F,0))),"X","_"),"_")</f>
        <v>_</v>
      </c>
      <c r="K1506" t="str">
        <f t="shared" ca="1" si="70"/>
        <v>__X_</v>
      </c>
      <c r="L1506" t="str">
        <f t="shared" ca="1" si="71"/>
        <v/>
      </c>
      <c r="M1506" t="str">
        <f>IFERROR(INDEX(Inventory!A:A,MATCH(Scan!A1506,Inventory!E:E,0)),"")</f>
        <v/>
      </c>
    </row>
    <row r="1507" spans="2:13" x14ac:dyDescent="0.25">
      <c r="B1507" t="str">
        <f>IF(IFERROR(VLOOKUP(TRIM(A1507),Inventory!E:E,1,0),0)=0,"X","_")</f>
        <v>_</v>
      </c>
      <c r="C1507" t="str">
        <f>IF(IFERROR(VLOOKUP(TRIM(A1507),'Full Inventory'!F:F,1,0),0)=0,"X","_")</f>
        <v>_</v>
      </c>
      <c r="D1507" t="str">
        <f t="shared" si="69"/>
        <v>X</v>
      </c>
      <c r="E1507" t="str">
        <f ca="1">IFERROR(IF(AND(B1507&amp;C1507&amp;D1507="___",INDIRECT("Inventory!A"&amp;MATCH(VLOOKUP(A1507,Inventory!E:E,1,0),Inventory!E:E,0))&lt;&gt;INDIRECT("'Full Inventory'!B"&amp;MATCH(VLOOKUP(A1507,'Full Inventory'!F:F,1,0),'Full Inventory'!F:F,0))),"X","_"),"_")</f>
        <v>_</v>
      </c>
      <c r="K1507" t="str">
        <f t="shared" ca="1" si="70"/>
        <v>__X_</v>
      </c>
      <c r="L1507" t="str">
        <f t="shared" ca="1" si="71"/>
        <v/>
      </c>
      <c r="M1507" t="str">
        <f>IFERROR(INDEX(Inventory!A:A,MATCH(Scan!A1507,Inventory!E:E,0)),"")</f>
        <v/>
      </c>
    </row>
    <row r="1508" spans="2:13" x14ac:dyDescent="0.25">
      <c r="B1508" t="str">
        <f>IF(IFERROR(VLOOKUP(TRIM(A1508),Inventory!E:E,1,0),0)=0,"X","_")</f>
        <v>_</v>
      </c>
      <c r="C1508" t="str">
        <f>IF(IFERROR(VLOOKUP(TRIM(A1508),'Full Inventory'!F:F,1,0),0)=0,"X","_")</f>
        <v>_</v>
      </c>
      <c r="D1508" t="str">
        <f t="shared" si="69"/>
        <v>X</v>
      </c>
      <c r="E1508" t="str">
        <f ca="1">IFERROR(IF(AND(B1508&amp;C1508&amp;D1508="___",INDIRECT("Inventory!A"&amp;MATCH(VLOOKUP(A1508,Inventory!E:E,1,0),Inventory!E:E,0))&lt;&gt;INDIRECT("'Full Inventory'!B"&amp;MATCH(VLOOKUP(A1508,'Full Inventory'!F:F,1,0),'Full Inventory'!F:F,0))),"X","_"),"_")</f>
        <v>_</v>
      </c>
      <c r="K1508" t="str">
        <f t="shared" ca="1" si="70"/>
        <v>__X_</v>
      </c>
      <c r="L1508" t="str">
        <f t="shared" ca="1" si="71"/>
        <v/>
      </c>
      <c r="M1508" t="str">
        <f>IFERROR(INDEX(Inventory!A:A,MATCH(Scan!A1508,Inventory!E:E,0)),"")</f>
        <v/>
      </c>
    </row>
    <row r="1509" spans="2:13" x14ac:dyDescent="0.25">
      <c r="B1509" t="str">
        <f>IF(IFERROR(VLOOKUP(TRIM(A1509),Inventory!E:E,1,0),0)=0,"X","_")</f>
        <v>_</v>
      </c>
      <c r="C1509" t="str">
        <f>IF(IFERROR(VLOOKUP(TRIM(A1509),'Full Inventory'!F:F,1,0),0)=0,"X","_")</f>
        <v>_</v>
      </c>
      <c r="D1509" t="str">
        <f t="shared" si="69"/>
        <v>X</v>
      </c>
      <c r="E1509" t="str">
        <f ca="1">IFERROR(IF(AND(B1509&amp;C1509&amp;D1509="___",INDIRECT("Inventory!A"&amp;MATCH(VLOOKUP(A1509,Inventory!E:E,1,0),Inventory!E:E,0))&lt;&gt;INDIRECT("'Full Inventory'!B"&amp;MATCH(VLOOKUP(A1509,'Full Inventory'!F:F,1,0),'Full Inventory'!F:F,0))),"X","_"),"_")</f>
        <v>_</v>
      </c>
      <c r="K1509" t="str">
        <f t="shared" ca="1" si="70"/>
        <v>__X_</v>
      </c>
      <c r="L1509" t="str">
        <f t="shared" ca="1" si="71"/>
        <v/>
      </c>
      <c r="M1509" t="str">
        <f>IFERROR(INDEX(Inventory!A:A,MATCH(Scan!A1509,Inventory!E:E,0)),"")</f>
        <v/>
      </c>
    </row>
    <row r="1510" spans="2:13" x14ac:dyDescent="0.25">
      <c r="B1510" t="str">
        <f>IF(IFERROR(VLOOKUP(TRIM(A1510),Inventory!E:E,1,0),0)=0,"X","_")</f>
        <v>_</v>
      </c>
      <c r="C1510" t="str">
        <f>IF(IFERROR(VLOOKUP(TRIM(A1510),'Full Inventory'!F:F,1,0),0)=0,"X","_")</f>
        <v>_</v>
      </c>
      <c r="D1510" t="str">
        <f t="shared" si="69"/>
        <v>X</v>
      </c>
      <c r="E1510" t="str">
        <f ca="1">IFERROR(IF(AND(B1510&amp;C1510&amp;D1510="___",INDIRECT("Inventory!A"&amp;MATCH(VLOOKUP(A1510,Inventory!E:E,1,0),Inventory!E:E,0))&lt;&gt;INDIRECT("'Full Inventory'!B"&amp;MATCH(VLOOKUP(A1510,'Full Inventory'!F:F,1,0),'Full Inventory'!F:F,0))),"X","_"),"_")</f>
        <v>_</v>
      </c>
      <c r="K1510" t="str">
        <f t="shared" ca="1" si="70"/>
        <v>__X_</v>
      </c>
      <c r="L1510" t="str">
        <f t="shared" ca="1" si="71"/>
        <v/>
      </c>
      <c r="M1510" t="str">
        <f>IFERROR(INDEX(Inventory!A:A,MATCH(Scan!A1510,Inventory!E:E,0)),"")</f>
        <v/>
      </c>
    </row>
    <row r="1511" spans="2:13" x14ac:dyDescent="0.25">
      <c r="B1511" t="str">
        <f>IF(IFERROR(VLOOKUP(TRIM(A1511),Inventory!E:E,1,0),0)=0,"X","_")</f>
        <v>_</v>
      </c>
      <c r="C1511" t="str">
        <f>IF(IFERROR(VLOOKUP(TRIM(A1511),'Full Inventory'!F:F,1,0),0)=0,"X","_")</f>
        <v>_</v>
      </c>
      <c r="D1511" t="str">
        <f t="shared" si="69"/>
        <v>X</v>
      </c>
      <c r="E1511" t="str">
        <f ca="1">IFERROR(IF(AND(B1511&amp;C1511&amp;D1511="___",INDIRECT("Inventory!A"&amp;MATCH(VLOOKUP(A1511,Inventory!E:E,1,0),Inventory!E:E,0))&lt;&gt;INDIRECT("'Full Inventory'!B"&amp;MATCH(VLOOKUP(A1511,'Full Inventory'!F:F,1,0),'Full Inventory'!F:F,0))),"X","_"),"_")</f>
        <v>_</v>
      </c>
      <c r="K1511" t="str">
        <f t="shared" ca="1" si="70"/>
        <v>__X_</v>
      </c>
      <c r="L1511" t="str">
        <f t="shared" ca="1" si="71"/>
        <v/>
      </c>
      <c r="M1511" t="str">
        <f>IFERROR(INDEX(Inventory!A:A,MATCH(Scan!A1511,Inventory!E:E,0)),"")</f>
        <v/>
      </c>
    </row>
    <row r="1512" spans="2:13" x14ac:dyDescent="0.25">
      <c r="B1512" t="str">
        <f>IF(IFERROR(VLOOKUP(TRIM(A1512),Inventory!E:E,1,0),0)=0,"X","_")</f>
        <v>_</v>
      </c>
      <c r="C1512" t="str">
        <f>IF(IFERROR(VLOOKUP(TRIM(A1512),'Full Inventory'!F:F,1,0),0)=0,"X","_")</f>
        <v>_</v>
      </c>
      <c r="D1512" t="str">
        <f t="shared" si="69"/>
        <v>X</v>
      </c>
      <c r="E1512" t="str">
        <f ca="1">IFERROR(IF(AND(B1512&amp;C1512&amp;D1512="___",INDIRECT("Inventory!A"&amp;MATCH(VLOOKUP(A1512,Inventory!E:E,1,0),Inventory!E:E,0))&lt;&gt;INDIRECT("'Full Inventory'!B"&amp;MATCH(VLOOKUP(A1512,'Full Inventory'!F:F,1,0),'Full Inventory'!F:F,0))),"X","_"),"_")</f>
        <v>_</v>
      </c>
      <c r="K1512" t="str">
        <f t="shared" ca="1" si="70"/>
        <v>__X_</v>
      </c>
      <c r="L1512" t="str">
        <f t="shared" ca="1" si="71"/>
        <v/>
      </c>
      <c r="M1512" t="str">
        <f>IFERROR(INDEX(Inventory!A:A,MATCH(Scan!A1512,Inventory!E:E,0)),"")</f>
        <v/>
      </c>
    </row>
    <row r="1513" spans="2:13" x14ac:dyDescent="0.25">
      <c r="B1513" t="str">
        <f>IF(IFERROR(VLOOKUP(TRIM(A1513),Inventory!E:E,1,0),0)=0,"X","_")</f>
        <v>_</v>
      </c>
      <c r="C1513" t="str">
        <f>IF(IFERROR(VLOOKUP(TRIM(A1513),'Full Inventory'!F:F,1,0),0)=0,"X","_")</f>
        <v>_</v>
      </c>
      <c r="D1513" t="str">
        <f t="shared" si="69"/>
        <v>X</v>
      </c>
      <c r="E1513" t="str">
        <f ca="1">IFERROR(IF(AND(B1513&amp;C1513&amp;D1513="___",INDIRECT("Inventory!A"&amp;MATCH(VLOOKUP(A1513,Inventory!E:E,1,0),Inventory!E:E,0))&lt;&gt;INDIRECT("'Full Inventory'!B"&amp;MATCH(VLOOKUP(A1513,'Full Inventory'!F:F,1,0),'Full Inventory'!F:F,0))),"X","_"),"_")</f>
        <v>_</v>
      </c>
      <c r="K1513" t="str">
        <f t="shared" ca="1" si="70"/>
        <v>__X_</v>
      </c>
      <c r="L1513" t="str">
        <f t="shared" ca="1" si="71"/>
        <v/>
      </c>
      <c r="M1513" t="str">
        <f>IFERROR(INDEX(Inventory!A:A,MATCH(Scan!A1513,Inventory!E:E,0)),"")</f>
        <v/>
      </c>
    </row>
    <row r="1514" spans="2:13" x14ac:dyDescent="0.25">
      <c r="B1514" t="str">
        <f>IF(IFERROR(VLOOKUP(TRIM(A1514),Inventory!E:E,1,0),0)=0,"X","_")</f>
        <v>_</v>
      </c>
      <c r="C1514" t="str">
        <f>IF(IFERROR(VLOOKUP(TRIM(A1514),'Full Inventory'!F:F,1,0),0)=0,"X","_")</f>
        <v>_</v>
      </c>
      <c r="D1514" t="str">
        <f t="shared" si="69"/>
        <v>X</v>
      </c>
      <c r="E1514" t="str">
        <f ca="1">IFERROR(IF(AND(B1514&amp;C1514&amp;D1514="___",INDIRECT("Inventory!A"&amp;MATCH(VLOOKUP(A1514,Inventory!E:E,1,0),Inventory!E:E,0))&lt;&gt;INDIRECT("'Full Inventory'!B"&amp;MATCH(VLOOKUP(A1514,'Full Inventory'!F:F,1,0),'Full Inventory'!F:F,0))),"X","_"),"_")</f>
        <v>_</v>
      </c>
      <c r="K1514" t="str">
        <f t="shared" ca="1" si="70"/>
        <v>__X_</v>
      </c>
      <c r="L1514" t="str">
        <f t="shared" ca="1" si="71"/>
        <v/>
      </c>
      <c r="M1514" t="str">
        <f>IFERROR(INDEX(Inventory!A:A,MATCH(Scan!A1514,Inventory!E:E,0)),"")</f>
        <v/>
      </c>
    </row>
    <row r="1515" spans="2:13" x14ac:dyDescent="0.25">
      <c r="B1515" t="str">
        <f>IF(IFERROR(VLOOKUP(TRIM(A1515),Inventory!E:E,1,0),0)=0,"X","_")</f>
        <v>_</v>
      </c>
      <c r="C1515" t="str">
        <f>IF(IFERROR(VLOOKUP(TRIM(A1515),'Full Inventory'!F:F,1,0),0)=0,"X","_")</f>
        <v>_</v>
      </c>
      <c r="D1515" t="str">
        <f t="shared" si="69"/>
        <v>X</v>
      </c>
      <c r="E1515" t="str">
        <f ca="1">IFERROR(IF(AND(B1515&amp;C1515&amp;D1515="___",INDIRECT("Inventory!A"&amp;MATCH(VLOOKUP(A1515,Inventory!E:E,1,0),Inventory!E:E,0))&lt;&gt;INDIRECT("'Full Inventory'!B"&amp;MATCH(VLOOKUP(A1515,'Full Inventory'!F:F,1,0),'Full Inventory'!F:F,0))),"X","_"),"_")</f>
        <v>_</v>
      </c>
      <c r="K1515" t="str">
        <f t="shared" ca="1" si="70"/>
        <v>__X_</v>
      </c>
      <c r="L1515" t="str">
        <f t="shared" ca="1" si="71"/>
        <v/>
      </c>
      <c r="M1515" t="str">
        <f>IFERROR(INDEX(Inventory!A:A,MATCH(Scan!A1515,Inventory!E:E,0)),"")</f>
        <v/>
      </c>
    </row>
    <row r="1516" spans="2:13" x14ac:dyDescent="0.25">
      <c r="B1516" t="str">
        <f>IF(IFERROR(VLOOKUP(TRIM(A1516),Inventory!E:E,1,0),0)=0,"X","_")</f>
        <v>_</v>
      </c>
      <c r="C1516" t="str">
        <f>IF(IFERROR(VLOOKUP(TRIM(A1516),'Full Inventory'!F:F,1,0),0)=0,"X","_")</f>
        <v>_</v>
      </c>
      <c r="D1516" t="str">
        <f t="shared" si="69"/>
        <v>X</v>
      </c>
      <c r="E1516" t="str">
        <f ca="1">IFERROR(IF(AND(B1516&amp;C1516&amp;D1516="___",INDIRECT("Inventory!A"&amp;MATCH(VLOOKUP(A1516,Inventory!E:E,1,0),Inventory!E:E,0))&lt;&gt;INDIRECT("'Full Inventory'!B"&amp;MATCH(VLOOKUP(A1516,'Full Inventory'!F:F,1,0),'Full Inventory'!F:F,0))),"X","_"),"_")</f>
        <v>_</v>
      </c>
      <c r="K1516" t="str">
        <f t="shared" ca="1" si="70"/>
        <v>__X_</v>
      </c>
      <c r="L1516" t="str">
        <f t="shared" ca="1" si="71"/>
        <v/>
      </c>
      <c r="M1516" t="str">
        <f>IFERROR(INDEX(Inventory!A:A,MATCH(Scan!A1516,Inventory!E:E,0)),"")</f>
        <v/>
      </c>
    </row>
    <row r="1517" spans="2:13" x14ac:dyDescent="0.25">
      <c r="B1517" t="str">
        <f>IF(IFERROR(VLOOKUP(TRIM(A1517),Inventory!E:E,1,0),0)=0,"X","_")</f>
        <v>_</v>
      </c>
      <c r="C1517" t="str">
        <f>IF(IFERROR(VLOOKUP(TRIM(A1517),'Full Inventory'!F:F,1,0),0)=0,"X","_")</f>
        <v>_</v>
      </c>
      <c r="D1517" t="str">
        <f t="shared" si="69"/>
        <v>X</v>
      </c>
      <c r="E1517" t="str">
        <f ca="1">IFERROR(IF(AND(B1517&amp;C1517&amp;D1517="___",INDIRECT("Inventory!A"&amp;MATCH(VLOOKUP(A1517,Inventory!E:E,1,0),Inventory!E:E,0))&lt;&gt;INDIRECT("'Full Inventory'!B"&amp;MATCH(VLOOKUP(A1517,'Full Inventory'!F:F,1,0),'Full Inventory'!F:F,0))),"X","_"),"_")</f>
        <v>_</v>
      </c>
      <c r="K1517" t="str">
        <f t="shared" ca="1" si="70"/>
        <v>__X_</v>
      </c>
      <c r="L1517" t="str">
        <f t="shared" ca="1" si="71"/>
        <v/>
      </c>
      <c r="M1517" t="str">
        <f>IFERROR(INDEX(Inventory!A:A,MATCH(Scan!A1517,Inventory!E:E,0)),"")</f>
        <v/>
      </c>
    </row>
    <row r="1518" spans="2:13" x14ac:dyDescent="0.25">
      <c r="B1518" t="str">
        <f>IF(IFERROR(VLOOKUP(TRIM(A1518),Inventory!E:E,1,0),0)=0,"X","_")</f>
        <v>_</v>
      </c>
      <c r="C1518" t="str">
        <f>IF(IFERROR(VLOOKUP(TRIM(A1518),'Full Inventory'!F:F,1,0),0)=0,"X","_")</f>
        <v>_</v>
      </c>
      <c r="D1518" t="str">
        <f t="shared" si="69"/>
        <v>X</v>
      </c>
      <c r="E1518" t="str">
        <f ca="1">IFERROR(IF(AND(B1518&amp;C1518&amp;D1518="___",INDIRECT("Inventory!A"&amp;MATCH(VLOOKUP(A1518,Inventory!E:E,1,0),Inventory!E:E,0))&lt;&gt;INDIRECT("'Full Inventory'!B"&amp;MATCH(VLOOKUP(A1518,'Full Inventory'!F:F,1,0),'Full Inventory'!F:F,0))),"X","_"),"_")</f>
        <v>_</v>
      </c>
      <c r="K1518" t="str">
        <f t="shared" ca="1" si="70"/>
        <v>__X_</v>
      </c>
      <c r="L1518" t="str">
        <f t="shared" ca="1" si="71"/>
        <v/>
      </c>
      <c r="M1518" t="str">
        <f>IFERROR(INDEX(Inventory!A:A,MATCH(Scan!A1518,Inventory!E:E,0)),"")</f>
        <v/>
      </c>
    </row>
    <row r="1519" spans="2:13" x14ac:dyDescent="0.25">
      <c r="B1519" t="str">
        <f>IF(IFERROR(VLOOKUP(TRIM(A1519),Inventory!E:E,1,0),0)=0,"X","_")</f>
        <v>_</v>
      </c>
      <c r="C1519" t="str">
        <f>IF(IFERROR(VLOOKUP(TRIM(A1519),'Full Inventory'!F:F,1,0),0)=0,"X","_")</f>
        <v>_</v>
      </c>
      <c r="D1519" t="str">
        <f t="shared" si="69"/>
        <v>X</v>
      </c>
      <c r="E1519" t="str">
        <f ca="1">IFERROR(IF(AND(B1519&amp;C1519&amp;D1519="___",INDIRECT("Inventory!A"&amp;MATCH(VLOOKUP(A1519,Inventory!E:E,1,0),Inventory!E:E,0))&lt;&gt;INDIRECT("'Full Inventory'!B"&amp;MATCH(VLOOKUP(A1519,'Full Inventory'!F:F,1,0),'Full Inventory'!F:F,0))),"X","_"),"_")</f>
        <v>_</v>
      </c>
      <c r="K1519" t="str">
        <f t="shared" ca="1" si="70"/>
        <v>__X_</v>
      </c>
      <c r="L1519" t="str">
        <f t="shared" ca="1" si="71"/>
        <v/>
      </c>
      <c r="M1519" t="str">
        <f>IFERROR(INDEX(Inventory!A:A,MATCH(Scan!A1519,Inventory!E:E,0)),"")</f>
        <v/>
      </c>
    </row>
    <row r="1520" spans="2:13" x14ac:dyDescent="0.25">
      <c r="B1520" t="str">
        <f>IF(IFERROR(VLOOKUP(TRIM(A1520),Inventory!E:E,1,0),0)=0,"X","_")</f>
        <v>_</v>
      </c>
      <c r="C1520" t="str">
        <f>IF(IFERROR(VLOOKUP(TRIM(A1520),'Full Inventory'!F:F,1,0),0)=0,"X","_")</f>
        <v>_</v>
      </c>
      <c r="D1520" t="str">
        <f t="shared" si="69"/>
        <v>X</v>
      </c>
      <c r="E1520" t="str">
        <f ca="1">IFERROR(IF(AND(B1520&amp;C1520&amp;D1520="___",INDIRECT("Inventory!A"&amp;MATCH(VLOOKUP(A1520,Inventory!E:E,1,0),Inventory!E:E,0))&lt;&gt;INDIRECT("'Full Inventory'!B"&amp;MATCH(VLOOKUP(A1520,'Full Inventory'!F:F,1,0),'Full Inventory'!F:F,0))),"X","_"),"_")</f>
        <v>_</v>
      </c>
      <c r="K1520" t="str">
        <f t="shared" ca="1" si="70"/>
        <v>__X_</v>
      </c>
      <c r="L1520" t="str">
        <f t="shared" ca="1" si="71"/>
        <v/>
      </c>
      <c r="M1520" t="str">
        <f>IFERROR(INDEX(Inventory!A:A,MATCH(Scan!A1520,Inventory!E:E,0)),"")</f>
        <v/>
      </c>
    </row>
    <row r="1521" spans="2:13" x14ac:dyDescent="0.25">
      <c r="B1521" t="str">
        <f>IF(IFERROR(VLOOKUP(TRIM(A1521),Inventory!E:E,1,0),0)=0,"X","_")</f>
        <v>_</v>
      </c>
      <c r="C1521" t="str">
        <f>IF(IFERROR(VLOOKUP(TRIM(A1521),'Full Inventory'!F:F,1,0),0)=0,"X","_")</f>
        <v>_</v>
      </c>
      <c r="D1521" t="str">
        <f t="shared" si="69"/>
        <v>X</v>
      </c>
      <c r="E1521" t="str">
        <f ca="1">IFERROR(IF(AND(B1521&amp;C1521&amp;D1521="___",INDIRECT("Inventory!A"&amp;MATCH(VLOOKUP(A1521,Inventory!E:E,1,0),Inventory!E:E,0))&lt;&gt;INDIRECT("'Full Inventory'!B"&amp;MATCH(VLOOKUP(A1521,'Full Inventory'!F:F,1,0),'Full Inventory'!F:F,0))),"X","_"),"_")</f>
        <v>_</v>
      </c>
      <c r="K1521" t="str">
        <f t="shared" ca="1" si="70"/>
        <v>__X_</v>
      </c>
      <c r="L1521" t="str">
        <f t="shared" ca="1" si="71"/>
        <v/>
      </c>
      <c r="M1521" t="str">
        <f>IFERROR(INDEX(Inventory!A:A,MATCH(Scan!A1521,Inventory!E:E,0)),"")</f>
        <v/>
      </c>
    </row>
    <row r="1522" spans="2:13" x14ac:dyDescent="0.25">
      <c r="B1522" t="str">
        <f>IF(IFERROR(VLOOKUP(TRIM(A1522),Inventory!E:E,1,0),0)=0,"X","_")</f>
        <v>_</v>
      </c>
      <c r="C1522" t="str">
        <f>IF(IFERROR(VLOOKUP(TRIM(A1522),'Full Inventory'!F:F,1,0),0)=0,"X","_")</f>
        <v>_</v>
      </c>
      <c r="D1522" t="str">
        <f t="shared" si="69"/>
        <v>X</v>
      </c>
      <c r="E1522" t="str">
        <f ca="1">IFERROR(IF(AND(B1522&amp;C1522&amp;D1522="___",INDIRECT("Inventory!A"&amp;MATCH(VLOOKUP(A1522,Inventory!E:E,1,0),Inventory!E:E,0))&lt;&gt;INDIRECT("'Full Inventory'!B"&amp;MATCH(VLOOKUP(A1522,'Full Inventory'!F:F,1,0),'Full Inventory'!F:F,0))),"X","_"),"_")</f>
        <v>_</v>
      </c>
      <c r="K1522" t="str">
        <f t="shared" ca="1" si="70"/>
        <v>__X_</v>
      </c>
      <c r="L1522" t="str">
        <f t="shared" ca="1" si="71"/>
        <v/>
      </c>
      <c r="M1522" t="str">
        <f>IFERROR(INDEX(Inventory!A:A,MATCH(Scan!A1522,Inventory!E:E,0)),"")</f>
        <v/>
      </c>
    </row>
    <row r="1523" spans="2:13" x14ac:dyDescent="0.25">
      <c r="B1523" t="str">
        <f>IF(IFERROR(VLOOKUP(TRIM(A1523),Inventory!E:E,1,0),0)=0,"X","_")</f>
        <v>_</v>
      </c>
      <c r="C1523" t="str">
        <f>IF(IFERROR(VLOOKUP(TRIM(A1523),'Full Inventory'!F:F,1,0),0)=0,"X","_")</f>
        <v>_</v>
      </c>
      <c r="D1523" t="str">
        <f t="shared" si="69"/>
        <v>X</v>
      </c>
      <c r="E1523" t="str">
        <f ca="1">IFERROR(IF(AND(B1523&amp;C1523&amp;D1523="___",INDIRECT("Inventory!A"&amp;MATCH(VLOOKUP(A1523,Inventory!E:E,1,0),Inventory!E:E,0))&lt;&gt;INDIRECT("'Full Inventory'!B"&amp;MATCH(VLOOKUP(A1523,'Full Inventory'!F:F,1,0),'Full Inventory'!F:F,0))),"X","_"),"_")</f>
        <v>_</v>
      </c>
      <c r="K1523" t="str">
        <f t="shared" ca="1" si="70"/>
        <v>__X_</v>
      </c>
      <c r="L1523" t="str">
        <f t="shared" ca="1" si="71"/>
        <v/>
      </c>
      <c r="M1523" t="str">
        <f>IFERROR(INDEX(Inventory!A:A,MATCH(Scan!A1523,Inventory!E:E,0)),"")</f>
        <v/>
      </c>
    </row>
    <row r="1524" spans="2:13" x14ac:dyDescent="0.25">
      <c r="B1524" t="str">
        <f>IF(IFERROR(VLOOKUP(TRIM(A1524),Inventory!E:E,1,0),0)=0,"X","_")</f>
        <v>_</v>
      </c>
      <c r="C1524" t="str">
        <f>IF(IFERROR(VLOOKUP(TRIM(A1524),'Full Inventory'!F:F,1,0),0)=0,"X","_")</f>
        <v>_</v>
      </c>
      <c r="D1524" t="str">
        <f t="shared" si="69"/>
        <v>X</v>
      </c>
      <c r="E1524" t="str">
        <f ca="1">IFERROR(IF(AND(B1524&amp;C1524&amp;D1524="___",INDIRECT("Inventory!A"&amp;MATCH(VLOOKUP(A1524,Inventory!E:E,1,0),Inventory!E:E,0))&lt;&gt;INDIRECT("'Full Inventory'!B"&amp;MATCH(VLOOKUP(A1524,'Full Inventory'!F:F,1,0),'Full Inventory'!F:F,0))),"X","_"),"_")</f>
        <v>_</v>
      </c>
      <c r="K1524" t="str">
        <f t="shared" ca="1" si="70"/>
        <v>__X_</v>
      </c>
      <c r="L1524" t="str">
        <f t="shared" ca="1" si="71"/>
        <v/>
      </c>
      <c r="M1524" t="str">
        <f>IFERROR(INDEX(Inventory!A:A,MATCH(Scan!A1524,Inventory!E:E,0)),"")</f>
        <v/>
      </c>
    </row>
    <row r="1525" spans="2:13" x14ac:dyDescent="0.25">
      <c r="B1525" t="str">
        <f>IF(IFERROR(VLOOKUP(TRIM(A1525),Inventory!E:E,1,0),0)=0,"X","_")</f>
        <v>_</v>
      </c>
      <c r="C1525" t="str">
        <f>IF(IFERROR(VLOOKUP(TRIM(A1525),'Full Inventory'!F:F,1,0),0)=0,"X","_")</f>
        <v>_</v>
      </c>
      <c r="D1525" t="str">
        <f t="shared" si="69"/>
        <v>X</v>
      </c>
      <c r="E1525" t="str">
        <f ca="1">IFERROR(IF(AND(B1525&amp;C1525&amp;D1525="___",INDIRECT("Inventory!A"&amp;MATCH(VLOOKUP(A1525,Inventory!E:E,1,0),Inventory!E:E,0))&lt;&gt;INDIRECT("'Full Inventory'!B"&amp;MATCH(VLOOKUP(A1525,'Full Inventory'!F:F,1,0),'Full Inventory'!F:F,0))),"X","_"),"_")</f>
        <v>_</v>
      </c>
      <c r="K1525" t="str">
        <f t="shared" ca="1" si="70"/>
        <v>__X_</v>
      </c>
      <c r="L1525" t="str">
        <f t="shared" ca="1" si="71"/>
        <v/>
      </c>
      <c r="M1525" t="str">
        <f>IFERROR(INDEX(Inventory!A:A,MATCH(Scan!A1525,Inventory!E:E,0)),"")</f>
        <v/>
      </c>
    </row>
    <row r="1526" spans="2:13" x14ac:dyDescent="0.25">
      <c r="B1526" t="str">
        <f>IF(IFERROR(VLOOKUP(TRIM(A1526),Inventory!E:E,1,0),0)=0,"X","_")</f>
        <v>_</v>
      </c>
      <c r="C1526" t="str">
        <f>IF(IFERROR(VLOOKUP(TRIM(A1526),'Full Inventory'!F:F,1,0),0)=0,"X","_")</f>
        <v>_</v>
      </c>
      <c r="D1526" t="str">
        <f t="shared" si="69"/>
        <v>X</v>
      </c>
      <c r="E1526" t="str">
        <f ca="1">IFERROR(IF(AND(B1526&amp;C1526&amp;D1526="___",INDIRECT("Inventory!A"&amp;MATCH(VLOOKUP(A1526,Inventory!E:E,1,0),Inventory!E:E,0))&lt;&gt;INDIRECT("'Full Inventory'!B"&amp;MATCH(VLOOKUP(A1526,'Full Inventory'!F:F,1,0),'Full Inventory'!F:F,0))),"X","_"),"_")</f>
        <v>_</v>
      </c>
      <c r="K1526" t="str">
        <f t="shared" ca="1" si="70"/>
        <v>__X_</v>
      </c>
      <c r="L1526" t="str">
        <f t="shared" ca="1" si="71"/>
        <v/>
      </c>
      <c r="M1526" t="str">
        <f>IFERROR(INDEX(Inventory!A:A,MATCH(Scan!A1526,Inventory!E:E,0)),"")</f>
        <v/>
      </c>
    </row>
    <row r="1527" spans="2:13" x14ac:dyDescent="0.25">
      <c r="B1527" t="str">
        <f>IF(IFERROR(VLOOKUP(TRIM(A1527),Inventory!E:E,1,0),0)=0,"X","_")</f>
        <v>_</v>
      </c>
      <c r="C1527" t="str">
        <f>IF(IFERROR(VLOOKUP(TRIM(A1527),'Full Inventory'!F:F,1,0),0)=0,"X","_")</f>
        <v>_</v>
      </c>
      <c r="D1527" t="str">
        <f t="shared" si="69"/>
        <v>X</v>
      </c>
      <c r="E1527" t="str">
        <f ca="1">IFERROR(IF(AND(B1527&amp;C1527&amp;D1527="___",INDIRECT("Inventory!A"&amp;MATCH(VLOOKUP(A1527,Inventory!E:E,1,0),Inventory!E:E,0))&lt;&gt;INDIRECT("'Full Inventory'!B"&amp;MATCH(VLOOKUP(A1527,'Full Inventory'!F:F,1,0),'Full Inventory'!F:F,0))),"X","_"),"_")</f>
        <v>_</v>
      </c>
      <c r="K1527" t="str">
        <f t="shared" ca="1" si="70"/>
        <v>__X_</v>
      </c>
      <c r="L1527" t="str">
        <f t="shared" ca="1" si="71"/>
        <v/>
      </c>
      <c r="M1527" t="str">
        <f>IFERROR(INDEX(Inventory!A:A,MATCH(Scan!A1527,Inventory!E:E,0)),"")</f>
        <v/>
      </c>
    </row>
    <row r="1528" spans="2:13" x14ac:dyDescent="0.25">
      <c r="B1528" t="str">
        <f>IF(IFERROR(VLOOKUP(TRIM(A1528),Inventory!E:E,1,0),0)=0,"X","_")</f>
        <v>_</v>
      </c>
      <c r="C1528" t="str">
        <f>IF(IFERROR(VLOOKUP(TRIM(A1528),'Full Inventory'!F:F,1,0),0)=0,"X","_")</f>
        <v>_</v>
      </c>
      <c r="D1528" t="str">
        <f t="shared" si="69"/>
        <v>X</v>
      </c>
      <c r="E1528" t="str">
        <f ca="1">IFERROR(IF(AND(B1528&amp;C1528&amp;D1528="___",INDIRECT("Inventory!A"&amp;MATCH(VLOOKUP(A1528,Inventory!E:E,1,0),Inventory!E:E,0))&lt;&gt;INDIRECT("'Full Inventory'!B"&amp;MATCH(VLOOKUP(A1528,'Full Inventory'!F:F,1,0),'Full Inventory'!F:F,0))),"X","_"),"_")</f>
        <v>_</v>
      </c>
      <c r="K1528" t="str">
        <f t="shared" ca="1" si="70"/>
        <v>__X_</v>
      </c>
      <c r="L1528" t="str">
        <f t="shared" ca="1" si="71"/>
        <v/>
      </c>
      <c r="M1528" t="str">
        <f>IFERROR(INDEX(Inventory!A:A,MATCH(Scan!A1528,Inventory!E:E,0)),"")</f>
        <v/>
      </c>
    </row>
    <row r="1529" spans="2:13" x14ac:dyDescent="0.25">
      <c r="B1529" t="str">
        <f>IF(IFERROR(VLOOKUP(TRIM(A1529),Inventory!E:E,1,0),0)=0,"X","_")</f>
        <v>_</v>
      </c>
      <c r="C1529" t="str">
        <f>IF(IFERROR(VLOOKUP(TRIM(A1529),'Full Inventory'!F:F,1,0),0)=0,"X","_")</f>
        <v>_</v>
      </c>
      <c r="D1529" t="str">
        <f t="shared" si="69"/>
        <v>X</v>
      </c>
      <c r="E1529" t="str">
        <f ca="1">IFERROR(IF(AND(B1529&amp;C1529&amp;D1529="___",INDIRECT("Inventory!A"&amp;MATCH(VLOOKUP(A1529,Inventory!E:E,1,0),Inventory!E:E,0))&lt;&gt;INDIRECT("'Full Inventory'!B"&amp;MATCH(VLOOKUP(A1529,'Full Inventory'!F:F,1,0),'Full Inventory'!F:F,0))),"X","_"),"_")</f>
        <v>_</v>
      </c>
      <c r="K1529" t="str">
        <f t="shared" ca="1" si="70"/>
        <v>__X_</v>
      </c>
      <c r="L1529" t="str">
        <f t="shared" ca="1" si="71"/>
        <v/>
      </c>
      <c r="M1529" t="str">
        <f>IFERROR(INDEX(Inventory!A:A,MATCH(Scan!A1529,Inventory!E:E,0)),"")</f>
        <v/>
      </c>
    </row>
    <row r="1530" spans="2:13" x14ac:dyDescent="0.25">
      <c r="B1530" t="str">
        <f>IF(IFERROR(VLOOKUP(TRIM(A1530),Inventory!E:E,1,0),0)=0,"X","_")</f>
        <v>_</v>
      </c>
      <c r="C1530" t="str">
        <f>IF(IFERROR(VLOOKUP(TRIM(A1530),'Full Inventory'!F:F,1,0),0)=0,"X","_")</f>
        <v>_</v>
      </c>
      <c r="D1530" t="str">
        <f t="shared" si="69"/>
        <v>X</v>
      </c>
      <c r="E1530" t="str">
        <f ca="1">IFERROR(IF(AND(B1530&amp;C1530&amp;D1530="___",INDIRECT("Inventory!A"&amp;MATCH(VLOOKUP(A1530,Inventory!E:E,1,0),Inventory!E:E,0))&lt;&gt;INDIRECT("'Full Inventory'!B"&amp;MATCH(VLOOKUP(A1530,'Full Inventory'!F:F,1,0),'Full Inventory'!F:F,0))),"X","_"),"_")</f>
        <v>_</v>
      </c>
      <c r="K1530" t="str">
        <f t="shared" ca="1" si="70"/>
        <v>__X_</v>
      </c>
      <c r="L1530" t="str">
        <f t="shared" ca="1" si="71"/>
        <v/>
      </c>
      <c r="M1530" t="str">
        <f>IFERROR(INDEX(Inventory!A:A,MATCH(Scan!A1530,Inventory!E:E,0)),"")</f>
        <v/>
      </c>
    </row>
    <row r="1531" spans="2:13" x14ac:dyDescent="0.25">
      <c r="B1531" t="str">
        <f>IF(IFERROR(VLOOKUP(TRIM(A1531),Inventory!E:E,1,0),0)=0,"X","_")</f>
        <v>_</v>
      </c>
      <c r="C1531" t="str">
        <f>IF(IFERROR(VLOOKUP(TRIM(A1531),'Full Inventory'!F:F,1,0),0)=0,"X","_")</f>
        <v>_</v>
      </c>
      <c r="D1531" t="str">
        <f t="shared" si="69"/>
        <v>X</v>
      </c>
      <c r="E1531" t="str">
        <f ca="1">IFERROR(IF(AND(B1531&amp;C1531&amp;D1531="___",INDIRECT("Inventory!A"&amp;MATCH(VLOOKUP(A1531,Inventory!E:E,1,0),Inventory!E:E,0))&lt;&gt;INDIRECT("'Full Inventory'!B"&amp;MATCH(VLOOKUP(A1531,'Full Inventory'!F:F,1,0),'Full Inventory'!F:F,0))),"X","_"),"_")</f>
        <v>_</v>
      </c>
      <c r="K1531" t="str">
        <f t="shared" ca="1" si="70"/>
        <v>__X_</v>
      </c>
      <c r="L1531" t="str">
        <f t="shared" ca="1" si="71"/>
        <v/>
      </c>
      <c r="M1531" t="str">
        <f>IFERROR(INDEX(Inventory!A:A,MATCH(Scan!A1531,Inventory!E:E,0)),"")</f>
        <v/>
      </c>
    </row>
    <row r="1532" spans="2:13" x14ac:dyDescent="0.25">
      <c r="B1532" t="str">
        <f>IF(IFERROR(VLOOKUP(TRIM(A1532),Inventory!E:E,1,0),0)=0,"X","_")</f>
        <v>_</v>
      </c>
      <c r="C1532" t="str">
        <f>IF(IFERROR(VLOOKUP(TRIM(A1532),'Full Inventory'!F:F,1,0),0)=0,"X","_")</f>
        <v>_</v>
      </c>
      <c r="D1532" t="str">
        <f t="shared" si="69"/>
        <v>X</v>
      </c>
      <c r="E1532" t="str">
        <f ca="1">IFERROR(IF(AND(B1532&amp;C1532&amp;D1532="___",INDIRECT("Inventory!A"&amp;MATCH(VLOOKUP(A1532,Inventory!E:E,1,0),Inventory!E:E,0))&lt;&gt;INDIRECT("'Full Inventory'!B"&amp;MATCH(VLOOKUP(A1532,'Full Inventory'!F:F,1,0),'Full Inventory'!F:F,0))),"X","_"),"_")</f>
        <v>_</v>
      </c>
      <c r="K1532" t="str">
        <f t="shared" ca="1" si="70"/>
        <v>__X_</v>
      </c>
      <c r="L1532" t="str">
        <f t="shared" ca="1" si="71"/>
        <v/>
      </c>
      <c r="M1532" t="str">
        <f>IFERROR(INDEX(Inventory!A:A,MATCH(Scan!A1532,Inventory!E:E,0)),"")</f>
        <v/>
      </c>
    </row>
    <row r="1533" spans="2:13" x14ac:dyDescent="0.25">
      <c r="B1533" t="str">
        <f>IF(IFERROR(VLOOKUP(TRIM(A1533),Inventory!E:E,1,0),0)=0,"X","_")</f>
        <v>_</v>
      </c>
      <c r="C1533" t="str">
        <f>IF(IFERROR(VLOOKUP(TRIM(A1533),'Full Inventory'!F:F,1,0),0)=0,"X","_")</f>
        <v>_</v>
      </c>
      <c r="D1533" t="str">
        <f t="shared" si="69"/>
        <v>X</v>
      </c>
      <c r="E1533" t="str">
        <f ca="1">IFERROR(IF(AND(B1533&amp;C1533&amp;D1533="___",INDIRECT("Inventory!A"&amp;MATCH(VLOOKUP(A1533,Inventory!E:E,1,0),Inventory!E:E,0))&lt;&gt;INDIRECT("'Full Inventory'!B"&amp;MATCH(VLOOKUP(A1533,'Full Inventory'!F:F,1,0),'Full Inventory'!F:F,0))),"X","_"),"_")</f>
        <v>_</v>
      </c>
      <c r="K1533" t="str">
        <f t="shared" ca="1" si="70"/>
        <v>__X_</v>
      </c>
      <c r="L1533" t="str">
        <f t="shared" ca="1" si="71"/>
        <v/>
      </c>
      <c r="M1533" t="str">
        <f>IFERROR(INDEX(Inventory!A:A,MATCH(Scan!A1533,Inventory!E:E,0)),"")</f>
        <v/>
      </c>
    </row>
    <row r="1534" spans="2:13" x14ac:dyDescent="0.25">
      <c r="B1534" t="str">
        <f>IF(IFERROR(VLOOKUP(TRIM(A1534),Inventory!E:E,1,0),0)=0,"X","_")</f>
        <v>_</v>
      </c>
      <c r="C1534" t="str">
        <f>IF(IFERROR(VLOOKUP(TRIM(A1534),'Full Inventory'!F:F,1,0),0)=0,"X","_")</f>
        <v>_</v>
      </c>
      <c r="D1534" t="str">
        <f t="shared" si="69"/>
        <v>X</v>
      </c>
      <c r="E1534" t="str">
        <f ca="1">IFERROR(IF(AND(B1534&amp;C1534&amp;D1534="___",INDIRECT("Inventory!A"&amp;MATCH(VLOOKUP(A1534,Inventory!E:E,1,0),Inventory!E:E,0))&lt;&gt;INDIRECT("'Full Inventory'!B"&amp;MATCH(VLOOKUP(A1534,'Full Inventory'!F:F,1,0),'Full Inventory'!F:F,0))),"X","_"),"_")</f>
        <v>_</v>
      </c>
      <c r="K1534" t="str">
        <f t="shared" ca="1" si="70"/>
        <v>__X_</v>
      </c>
      <c r="L1534" t="str">
        <f t="shared" ca="1" si="71"/>
        <v/>
      </c>
      <c r="M1534" t="str">
        <f>IFERROR(INDEX(Inventory!A:A,MATCH(Scan!A1534,Inventory!E:E,0)),"")</f>
        <v/>
      </c>
    </row>
    <row r="1535" spans="2:13" x14ac:dyDescent="0.25">
      <c r="B1535" t="str">
        <f>IF(IFERROR(VLOOKUP(TRIM(A1535),Inventory!E:E,1,0),0)=0,"X","_")</f>
        <v>_</v>
      </c>
      <c r="C1535" t="str">
        <f>IF(IFERROR(VLOOKUP(TRIM(A1535),'Full Inventory'!F:F,1,0),0)=0,"X","_")</f>
        <v>_</v>
      </c>
      <c r="D1535" t="str">
        <f t="shared" si="69"/>
        <v>X</v>
      </c>
      <c r="E1535" t="str">
        <f ca="1">IFERROR(IF(AND(B1535&amp;C1535&amp;D1535="___",INDIRECT("Inventory!A"&amp;MATCH(VLOOKUP(A1535,Inventory!E:E,1,0),Inventory!E:E,0))&lt;&gt;INDIRECT("'Full Inventory'!B"&amp;MATCH(VLOOKUP(A1535,'Full Inventory'!F:F,1,0),'Full Inventory'!F:F,0))),"X","_"),"_")</f>
        <v>_</v>
      </c>
      <c r="K1535" t="str">
        <f t="shared" ca="1" si="70"/>
        <v>__X_</v>
      </c>
      <c r="L1535" t="str">
        <f t="shared" ca="1" si="71"/>
        <v/>
      </c>
      <c r="M1535" t="str">
        <f>IFERROR(INDEX(Inventory!A:A,MATCH(Scan!A1535,Inventory!E:E,0)),"")</f>
        <v/>
      </c>
    </row>
    <row r="1536" spans="2:13" x14ac:dyDescent="0.25">
      <c r="B1536" t="str">
        <f>IF(IFERROR(VLOOKUP(TRIM(A1536),Inventory!E:E,1,0),0)=0,"X","_")</f>
        <v>_</v>
      </c>
      <c r="C1536" t="str">
        <f>IF(IFERROR(VLOOKUP(TRIM(A1536),'Full Inventory'!F:F,1,0),0)=0,"X","_")</f>
        <v>_</v>
      </c>
      <c r="D1536" t="str">
        <f t="shared" si="69"/>
        <v>X</v>
      </c>
      <c r="E1536" t="str">
        <f ca="1">IFERROR(IF(AND(B1536&amp;C1536&amp;D1536="___",INDIRECT("Inventory!A"&amp;MATCH(VLOOKUP(A1536,Inventory!E:E,1,0),Inventory!E:E,0))&lt;&gt;INDIRECT("'Full Inventory'!B"&amp;MATCH(VLOOKUP(A1536,'Full Inventory'!F:F,1,0),'Full Inventory'!F:F,0))),"X","_"),"_")</f>
        <v>_</v>
      </c>
      <c r="K1536" t="str">
        <f t="shared" ca="1" si="70"/>
        <v>__X_</v>
      </c>
      <c r="L1536" t="str">
        <f t="shared" ca="1" si="71"/>
        <v/>
      </c>
      <c r="M1536" t="str">
        <f>IFERROR(INDEX(Inventory!A:A,MATCH(Scan!A1536,Inventory!E:E,0)),"")</f>
        <v/>
      </c>
    </row>
    <row r="1537" spans="2:13" x14ac:dyDescent="0.25">
      <c r="B1537" t="str">
        <f>IF(IFERROR(VLOOKUP(TRIM(A1537),Inventory!E:E,1,0),0)=0,"X","_")</f>
        <v>_</v>
      </c>
      <c r="C1537" t="str">
        <f>IF(IFERROR(VLOOKUP(TRIM(A1537),'Full Inventory'!F:F,1,0),0)=0,"X","_")</f>
        <v>_</v>
      </c>
      <c r="D1537" t="str">
        <f t="shared" si="69"/>
        <v>X</v>
      </c>
      <c r="E1537" t="str">
        <f ca="1">IFERROR(IF(AND(B1537&amp;C1537&amp;D1537="___",INDIRECT("Inventory!A"&amp;MATCH(VLOOKUP(A1537,Inventory!E:E,1,0),Inventory!E:E,0))&lt;&gt;INDIRECT("'Full Inventory'!B"&amp;MATCH(VLOOKUP(A1537,'Full Inventory'!F:F,1,0),'Full Inventory'!F:F,0))),"X","_"),"_")</f>
        <v>_</v>
      </c>
      <c r="K1537" t="str">
        <f t="shared" ca="1" si="70"/>
        <v>__X_</v>
      </c>
      <c r="L1537" t="str">
        <f t="shared" ca="1" si="71"/>
        <v/>
      </c>
      <c r="M1537" t="str">
        <f>IFERROR(INDEX(Inventory!A:A,MATCH(Scan!A1537,Inventory!E:E,0)),"")</f>
        <v/>
      </c>
    </row>
    <row r="1538" spans="2:13" x14ac:dyDescent="0.25">
      <c r="B1538" t="str">
        <f>IF(IFERROR(VLOOKUP(TRIM(A1538),Inventory!E:E,1,0),0)=0,"X","_")</f>
        <v>_</v>
      </c>
      <c r="C1538" t="str">
        <f>IF(IFERROR(VLOOKUP(TRIM(A1538),'Full Inventory'!F:F,1,0),0)=0,"X","_")</f>
        <v>_</v>
      </c>
      <c r="D1538" t="str">
        <f t="shared" ref="D1538:D1601" si="72">IF(TRIM(A1538)&lt;&gt;"","_","X")</f>
        <v>X</v>
      </c>
      <c r="E1538" t="str">
        <f ca="1">IFERROR(IF(AND(B1538&amp;C1538&amp;D1538="___",INDIRECT("Inventory!A"&amp;MATCH(VLOOKUP(A1538,Inventory!E:E,1,0),Inventory!E:E,0))&lt;&gt;INDIRECT("'Full Inventory'!B"&amp;MATCH(VLOOKUP(A1538,'Full Inventory'!F:F,1,0),'Full Inventory'!F:F,0))),"X","_"),"_")</f>
        <v>_</v>
      </c>
      <c r="K1538" t="str">
        <f t="shared" ca="1" si="70"/>
        <v>__X_</v>
      </c>
      <c r="L1538" t="str">
        <f t="shared" ca="1" si="71"/>
        <v/>
      </c>
      <c r="M1538" t="str">
        <f>IFERROR(INDEX(Inventory!A:A,MATCH(Scan!A1538,Inventory!E:E,0)),"")</f>
        <v/>
      </c>
    </row>
    <row r="1539" spans="2:13" x14ac:dyDescent="0.25">
      <c r="B1539" t="str">
        <f>IF(IFERROR(VLOOKUP(TRIM(A1539),Inventory!E:E,1,0),0)=0,"X","_")</f>
        <v>_</v>
      </c>
      <c r="C1539" t="str">
        <f>IF(IFERROR(VLOOKUP(TRIM(A1539),'Full Inventory'!F:F,1,0),0)=0,"X","_")</f>
        <v>_</v>
      </c>
      <c r="D1539" t="str">
        <f t="shared" si="72"/>
        <v>X</v>
      </c>
      <c r="E1539" t="str">
        <f ca="1">IFERROR(IF(AND(B1539&amp;C1539&amp;D1539="___",INDIRECT("Inventory!A"&amp;MATCH(VLOOKUP(A1539,Inventory!E:E,1,0),Inventory!E:E,0))&lt;&gt;INDIRECT("'Full Inventory'!B"&amp;MATCH(VLOOKUP(A1539,'Full Inventory'!F:F,1,0),'Full Inventory'!F:F,0))),"X","_"),"_")</f>
        <v>_</v>
      </c>
      <c r="K1539" t="str">
        <f t="shared" ref="K1539:K1602" ca="1" si="73">B1539&amp;C1539&amp;D1539&amp;E1539</f>
        <v>__X_</v>
      </c>
      <c r="L1539" t="str">
        <f t="shared" ref="L1539:L1602" ca="1" si="74">IF(K1539="____","OK",IF(K1539="_X__","NOT IN FULL INVENTORY",IF(K1539="XX__","NOT IN FULL INVENTORY AND INVENTORY",IF(K1539="X___","NOT IN INVENTORY",IF(K1539="___X","DIFFERENT NAMES IN FULL INVENTORY AND INVENTORY","")))))</f>
        <v/>
      </c>
      <c r="M1539" t="str">
        <f>IFERROR(INDEX(Inventory!A:A,MATCH(Scan!A1539,Inventory!E:E,0)),"")</f>
        <v/>
      </c>
    </row>
    <row r="1540" spans="2:13" x14ac:dyDescent="0.25">
      <c r="B1540" t="str">
        <f>IF(IFERROR(VLOOKUP(TRIM(A1540),Inventory!E:E,1,0),0)=0,"X","_")</f>
        <v>_</v>
      </c>
      <c r="C1540" t="str">
        <f>IF(IFERROR(VLOOKUP(TRIM(A1540),'Full Inventory'!F:F,1,0),0)=0,"X","_")</f>
        <v>_</v>
      </c>
      <c r="D1540" t="str">
        <f t="shared" si="72"/>
        <v>X</v>
      </c>
      <c r="E1540" t="str">
        <f ca="1">IFERROR(IF(AND(B1540&amp;C1540&amp;D1540="___",INDIRECT("Inventory!A"&amp;MATCH(VLOOKUP(A1540,Inventory!E:E,1,0),Inventory!E:E,0))&lt;&gt;INDIRECT("'Full Inventory'!B"&amp;MATCH(VLOOKUP(A1540,'Full Inventory'!F:F,1,0),'Full Inventory'!F:F,0))),"X","_"),"_")</f>
        <v>_</v>
      </c>
      <c r="K1540" t="str">
        <f t="shared" ca="1" si="73"/>
        <v>__X_</v>
      </c>
      <c r="L1540" t="str">
        <f t="shared" ca="1" si="74"/>
        <v/>
      </c>
      <c r="M1540" t="str">
        <f>IFERROR(INDEX(Inventory!A:A,MATCH(Scan!A1540,Inventory!E:E,0)),"")</f>
        <v/>
      </c>
    </row>
    <row r="1541" spans="2:13" x14ac:dyDescent="0.25">
      <c r="B1541" t="str">
        <f>IF(IFERROR(VLOOKUP(TRIM(A1541),Inventory!E:E,1,0),0)=0,"X","_")</f>
        <v>_</v>
      </c>
      <c r="C1541" t="str">
        <f>IF(IFERROR(VLOOKUP(TRIM(A1541),'Full Inventory'!F:F,1,0),0)=0,"X","_")</f>
        <v>_</v>
      </c>
      <c r="D1541" t="str">
        <f t="shared" si="72"/>
        <v>X</v>
      </c>
      <c r="E1541" t="str">
        <f ca="1">IFERROR(IF(AND(B1541&amp;C1541&amp;D1541="___",INDIRECT("Inventory!A"&amp;MATCH(VLOOKUP(A1541,Inventory!E:E,1,0),Inventory!E:E,0))&lt;&gt;INDIRECT("'Full Inventory'!B"&amp;MATCH(VLOOKUP(A1541,'Full Inventory'!F:F,1,0),'Full Inventory'!F:F,0))),"X","_"),"_")</f>
        <v>_</v>
      </c>
      <c r="K1541" t="str">
        <f t="shared" ca="1" si="73"/>
        <v>__X_</v>
      </c>
      <c r="L1541" t="str">
        <f t="shared" ca="1" si="74"/>
        <v/>
      </c>
      <c r="M1541" t="str">
        <f>IFERROR(INDEX(Inventory!A:A,MATCH(Scan!A1541,Inventory!E:E,0)),"")</f>
        <v/>
      </c>
    </row>
    <row r="1542" spans="2:13" x14ac:dyDescent="0.25">
      <c r="B1542" t="str">
        <f>IF(IFERROR(VLOOKUP(TRIM(A1542),Inventory!E:E,1,0),0)=0,"X","_")</f>
        <v>_</v>
      </c>
      <c r="C1542" t="str">
        <f>IF(IFERROR(VLOOKUP(TRIM(A1542),'Full Inventory'!F:F,1,0),0)=0,"X","_")</f>
        <v>_</v>
      </c>
      <c r="D1542" t="str">
        <f t="shared" si="72"/>
        <v>X</v>
      </c>
      <c r="E1542" t="str">
        <f ca="1">IFERROR(IF(AND(B1542&amp;C1542&amp;D1542="___",INDIRECT("Inventory!A"&amp;MATCH(VLOOKUP(A1542,Inventory!E:E,1,0),Inventory!E:E,0))&lt;&gt;INDIRECT("'Full Inventory'!B"&amp;MATCH(VLOOKUP(A1542,'Full Inventory'!F:F,1,0),'Full Inventory'!F:F,0))),"X","_"),"_")</f>
        <v>_</v>
      </c>
      <c r="K1542" t="str">
        <f t="shared" ca="1" si="73"/>
        <v>__X_</v>
      </c>
      <c r="L1542" t="str">
        <f t="shared" ca="1" si="74"/>
        <v/>
      </c>
      <c r="M1542" t="str">
        <f>IFERROR(INDEX(Inventory!A:A,MATCH(Scan!A1542,Inventory!E:E,0)),"")</f>
        <v/>
      </c>
    </row>
    <row r="1543" spans="2:13" x14ac:dyDescent="0.25">
      <c r="B1543" t="str">
        <f>IF(IFERROR(VLOOKUP(TRIM(A1543),Inventory!E:E,1,0),0)=0,"X","_")</f>
        <v>_</v>
      </c>
      <c r="C1543" t="str">
        <f>IF(IFERROR(VLOOKUP(TRIM(A1543),'Full Inventory'!F:F,1,0),0)=0,"X","_")</f>
        <v>_</v>
      </c>
      <c r="D1543" t="str">
        <f t="shared" si="72"/>
        <v>X</v>
      </c>
      <c r="E1543" t="str">
        <f ca="1">IFERROR(IF(AND(B1543&amp;C1543&amp;D1543="___",INDIRECT("Inventory!A"&amp;MATCH(VLOOKUP(A1543,Inventory!E:E,1,0),Inventory!E:E,0))&lt;&gt;INDIRECT("'Full Inventory'!B"&amp;MATCH(VLOOKUP(A1543,'Full Inventory'!F:F,1,0),'Full Inventory'!F:F,0))),"X","_"),"_")</f>
        <v>_</v>
      </c>
      <c r="K1543" t="str">
        <f t="shared" ca="1" si="73"/>
        <v>__X_</v>
      </c>
      <c r="L1543" t="str">
        <f t="shared" ca="1" si="74"/>
        <v/>
      </c>
      <c r="M1543" t="str">
        <f>IFERROR(INDEX(Inventory!A:A,MATCH(Scan!A1543,Inventory!E:E,0)),"")</f>
        <v/>
      </c>
    </row>
    <row r="1544" spans="2:13" x14ac:dyDescent="0.25">
      <c r="B1544" t="str">
        <f>IF(IFERROR(VLOOKUP(TRIM(A1544),Inventory!E:E,1,0),0)=0,"X","_")</f>
        <v>_</v>
      </c>
      <c r="C1544" t="str">
        <f>IF(IFERROR(VLOOKUP(TRIM(A1544),'Full Inventory'!F:F,1,0),0)=0,"X","_")</f>
        <v>_</v>
      </c>
      <c r="D1544" t="str">
        <f t="shared" si="72"/>
        <v>X</v>
      </c>
      <c r="E1544" t="str">
        <f ca="1">IFERROR(IF(AND(B1544&amp;C1544&amp;D1544="___",INDIRECT("Inventory!A"&amp;MATCH(VLOOKUP(A1544,Inventory!E:E,1,0),Inventory!E:E,0))&lt;&gt;INDIRECT("'Full Inventory'!B"&amp;MATCH(VLOOKUP(A1544,'Full Inventory'!F:F,1,0),'Full Inventory'!F:F,0))),"X","_"),"_")</f>
        <v>_</v>
      </c>
      <c r="K1544" t="str">
        <f t="shared" ca="1" si="73"/>
        <v>__X_</v>
      </c>
      <c r="L1544" t="str">
        <f t="shared" ca="1" si="74"/>
        <v/>
      </c>
      <c r="M1544" t="str">
        <f>IFERROR(INDEX(Inventory!A:A,MATCH(Scan!A1544,Inventory!E:E,0)),"")</f>
        <v/>
      </c>
    </row>
    <row r="1545" spans="2:13" x14ac:dyDescent="0.25">
      <c r="B1545" t="str">
        <f>IF(IFERROR(VLOOKUP(TRIM(A1545),Inventory!E:E,1,0),0)=0,"X","_")</f>
        <v>_</v>
      </c>
      <c r="C1545" t="str">
        <f>IF(IFERROR(VLOOKUP(TRIM(A1545),'Full Inventory'!F:F,1,0),0)=0,"X","_")</f>
        <v>_</v>
      </c>
      <c r="D1545" t="str">
        <f t="shared" si="72"/>
        <v>X</v>
      </c>
      <c r="E1545" t="str">
        <f ca="1">IFERROR(IF(AND(B1545&amp;C1545&amp;D1545="___",INDIRECT("Inventory!A"&amp;MATCH(VLOOKUP(A1545,Inventory!E:E,1,0),Inventory!E:E,0))&lt;&gt;INDIRECT("'Full Inventory'!B"&amp;MATCH(VLOOKUP(A1545,'Full Inventory'!F:F,1,0),'Full Inventory'!F:F,0))),"X","_"),"_")</f>
        <v>_</v>
      </c>
      <c r="K1545" t="str">
        <f t="shared" ca="1" si="73"/>
        <v>__X_</v>
      </c>
      <c r="L1545" t="str">
        <f t="shared" ca="1" si="74"/>
        <v/>
      </c>
      <c r="M1545" t="str">
        <f>IFERROR(INDEX(Inventory!A:A,MATCH(Scan!A1545,Inventory!E:E,0)),"")</f>
        <v/>
      </c>
    </row>
    <row r="1546" spans="2:13" x14ac:dyDescent="0.25">
      <c r="B1546" t="str">
        <f>IF(IFERROR(VLOOKUP(TRIM(A1546),Inventory!E:E,1,0),0)=0,"X","_")</f>
        <v>_</v>
      </c>
      <c r="C1546" t="str">
        <f>IF(IFERROR(VLOOKUP(TRIM(A1546),'Full Inventory'!F:F,1,0),0)=0,"X","_")</f>
        <v>_</v>
      </c>
      <c r="D1546" t="str">
        <f t="shared" si="72"/>
        <v>X</v>
      </c>
      <c r="E1546" t="str">
        <f ca="1">IFERROR(IF(AND(B1546&amp;C1546&amp;D1546="___",INDIRECT("Inventory!A"&amp;MATCH(VLOOKUP(A1546,Inventory!E:E,1,0),Inventory!E:E,0))&lt;&gt;INDIRECT("'Full Inventory'!B"&amp;MATCH(VLOOKUP(A1546,'Full Inventory'!F:F,1,0),'Full Inventory'!F:F,0))),"X","_"),"_")</f>
        <v>_</v>
      </c>
      <c r="K1546" t="str">
        <f t="shared" ca="1" si="73"/>
        <v>__X_</v>
      </c>
      <c r="L1546" t="str">
        <f t="shared" ca="1" si="74"/>
        <v/>
      </c>
      <c r="M1546" t="str">
        <f>IFERROR(INDEX(Inventory!A:A,MATCH(Scan!A1546,Inventory!E:E,0)),"")</f>
        <v/>
      </c>
    </row>
    <row r="1547" spans="2:13" x14ac:dyDescent="0.25">
      <c r="B1547" t="str">
        <f>IF(IFERROR(VLOOKUP(TRIM(A1547),Inventory!E:E,1,0),0)=0,"X","_")</f>
        <v>_</v>
      </c>
      <c r="C1547" t="str">
        <f>IF(IFERROR(VLOOKUP(TRIM(A1547),'Full Inventory'!F:F,1,0),0)=0,"X","_")</f>
        <v>_</v>
      </c>
      <c r="D1547" t="str">
        <f t="shared" si="72"/>
        <v>X</v>
      </c>
      <c r="E1547" t="str">
        <f ca="1">IFERROR(IF(AND(B1547&amp;C1547&amp;D1547="___",INDIRECT("Inventory!A"&amp;MATCH(VLOOKUP(A1547,Inventory!E:E,1,0),Inventory!E:E,0))&lt;&gt;INDIRECT("'Full Inventory'!B"&amp;MATCH(VLOOKUP(A1547,'Full Inventory'!F:F,1,0),'Full Inventory'!F:F,0))),"X","_"),"_")</f>
        <v>_</v>
      </c>
      <c r="K1547" t="str">
        <f t="shared" ca="1" si="73"/>
        <v>__X_</v>
      </c>
      <c r="L1547" t="str">
        <f t="shared" ca="1" si="74"/>
        <v/>
      </c>
      <c r="M1547" t="str">
        <f>IFERROR(INDEX(Inventory!A:A,MATCH(Scan!A1547,Inventory!E:E,0)),"")</f>
        <v/>
      </c>
    </row>
    <row r="1548" spans="2:13" x14ac:dyDescent="0.25">
      <c r="B1548" t="str">
        <f>IF(IFERROR(VLOOKUP(TRIM(A1548),Inventory!E:E,1,0),0)=0,"X","_")</f>
        <v>_</v>
      </c>
      <c r="C1548" t="str">
        <f>IF(IFERROR(VLOOKUP(TRIM(A1548),'Full Inventory'!F:F,1,0),0)=0,"X","_")</f>
        <v>_</v>
      </c>
      <c r="D1548" t="str">
        <f t="shared" si="72"/>
        <v>X</v>
      </c>
      <c r="E1548" t="str">
        <f ca="1">IFERROR(IF(AND(B1548&amp;C1548&amp;D1548="___",INDIRECT("Inventory!A"&amp;MATCH(VLOOKUP(A1548,Inventory!E:E,1,0),Inventory!E:E,0))&lt;&gt;INDIRECT("'Full Inventory'!B"&amp;MATCH(VLOOKUP(A1548,'Full Inventory'!F:F,1,0),'Full Inventory'!F:F,0))),"X","_"),"_")</f>
        <v>_</v>
      </c>
      <c r="K1548" t="str">
        <f t="shared" ca="1" si="73"/>
        <v>__X_</v>
      </c>
      <c r="L1548" t="str">
        <f t="shared" ca="1" si="74"/>
        <v/>
      </c>
      <c r="M1548" t="str">
        <f>IFERROR(INDEX(Inventory!A:A,MATCH(Scan!A1548,Inventory!E:E,0)),"")</f>
        <v/>
      </c>
    </row>
    <row r="1549" spans="2:13" x14ac:dyDescent="0.25">
      <c r="B1549" t="str">
        <f>IF(IFERROR(VLOOKUP(TRIM(A1549),Inventory!E:E,1,0),0)=0,"X","_")</f>
        <v>_</v>
      </c>
      <c r="C1549" t="str">
        <f>IF(IFERROR(VLOOKUP(TRIM(A1549),'Full Inventory'!F:F,1,0),0)=0,"X","_")</f>
        <v>_</v>
      </c>
      <c r="D1549" t="str">
        <f t="shared" si="72"/>
        <v>X</v>
      </c>
      <c r="E1549" t="str">
        <f ca="1">IFERROR(IF(AND(B1549&amp;C1549&amp;D1549="___",INDIRECT("Inventory!A"&amp;MATCH(VLOOKUP(A1549,Inventory!E:E,1,0),Inventory!E:E,0))&lt;&gt;INDIRECT("'Full Inventory'!B"&amp;MATCH(VLOOKUP(A1549,'Full Inventory'!F:F,1,0),'Full Inventory'!F:F,0))),"X","_"),"_")</f>
        <v>_</v>
      </c>
      <c r="K1549" t="str">
        <f t="shared" ca="1" si="73"/>
        <v>__X_</v>
      </c>
      <c r="L1549" t="str">
        <f t="shared" ca="1" si="74"/>
        <v/>
      </c>
      <c r="M1549" t="str">
        <f>IFERROR(INDEX(Inventory!A:A,MATCH(Scan!A1549,Inventory!E:E,0)),"")</f>
        <v/>
      </c>
    </row>
    <row r="1550" spans="2:13" x14ac:dyDescent="0.25">
      <c r="B1550" t="str">
        <f>IF(IFERROR(VLOOKUP(TRIM(A1550),Inventory!E:E,1,0),0)=0,"X","_")</f>
        <v>_</v>
      </c>
      <c r="C1550" t="str">
        <f>IF(IFERROR(VLOOKUP(TRIM(A1550),'Full Inventory'!F:F,1,0),0)=0,"X","_")</f>
        <v>_</v>
      </c>
      <c r="D1550" t="str">
        <f t="shared" si="72"/>
        <v>X</v>
      </c>
      <c r="E1550" t="str">
        <f ca="1">IFERROR(IF(AND(B1550&amp;C1550&amp;D1550="___",INDIRECT("Inventory!A"&amp;MATCH(VLOOKUP(A1550,Inventory!E:E,1,0),Inventory!E:E,0))&lt;&gt;INDIRECT("'Full Inventory'!B"&amp;MATCH(VLOOKUP(A1550,'Full Inventory'!F:F,1,0),'Full Inventory'!F:F,0))),"X","_"),"_")</f>
        <v>_</v>
      </c>
      <c r="K1550" t="str">
        <f t="shared" ca="1" si="73"/>
        <v>__X_</v>
      </c>
      <c r="L1550" t="str">
        <f t="shared" ca="1" si="74"/>
        <v/>
      </c>
      <c r="M1550" t="str">
        <f>IFERROR(INDEX(Inventory!A:A,MATCH(Scan!A1550,Inventory!E:E,0)),"")</f>
        <v/>
      </c>
    </row>
    <row r="1551" spans="2:13" x14ac:dyDescent="0.25">
      <c r="B1551" t="str">
        <f>IF(IFERROR(VLOOKUP(TRIM(A1551),Inventory!E:E,1,0),0)=0,"X","_")</f>
        <v>_</v>
      </c>
      <c r="C1551" t="str">
        <f>IF(IFERROR(VLOOKUP(TRIM(A1551),'Full Inventory'!F:F,1,0),0)=0,"X","_")</f>
        <v>_</v>
      </c>
      <c r="D1551" t="str">
        <f t="shared" si="72"/>
        <v>X</v>
      </c>
      <c r="E1551" t="str">
        <f ca="1">IFERROR(IF(AND(B1551&amp;C1551&amp;D1551="___",INDIRECT("Inventory!A"&amp;MATCH(VLOOKUP(A1551,Inventory!E:E,1,0),Inventory!E:E,0))&lt;&gt;INDIRECT("'Full Inventory'!B"&amp;MATCH(VLOOKUP(A1551,'Full Inventory'!F:F,1,0),'Full Inventory'!F:F,0))),"X","_"),"_")</f>
        <v>_</v>
      </c>
      <c r="K1551" t="str">
        <f t="shared" ca="1" si="73"/>
        <v>__X_</v>
      </c>
      <c r="L1551" t="str">
        <f t="shared" ca="1" si="74"/>
        <v/>
      </c>
      <c r="M1551" t="str">
        <f>IFERROR(INDEX(Inventory!A:A,MATCH(Scan!A1551,Inventory!E:E,0)),"")</f>
        <v/>
      </c>
    </row>
    <row r="1552" spans="2:13" x14ac:dyDescent="0.25">
      <c r="B1552" t="str">
        <f>IF(IFERROR(VLOOKUP(TRIM(A1552),Inventory!E:E,1,0),0)=0,"X","_")</f>
        <v>_</v>
      </c>
      <c r="C1552" t="str">
        <f>IF(IFERROR(VLOOKUP(TRIM(A1552),'Full Inventory'!F:F,1,0),0)=0,"X","_")</f>
        <v>_</v>
      </c>
      <c r="D1552" t="str">
        <f t="shared" si="72"/>
        <v>X</v>
      </c>
      <c r="E1552" t="str">
        <f ca="1">IFERROR(IF(AND(B1552&amp;C1552&amp;D1552="___",INDIRECT("Inventory!A"&amp;MATCH(VLOOKUP(A1552,Inventory!E:E,1,0),Inventory!E:E,0))&lt;&gt;INDIRECT("'Full Inventory'!B"&amp;MATCH(VLOOKUP(A1552,'Full Inventory'!F:F,1,0),'Full Inventory'!F:F,0))),"X","_"),"_")</f>
        <v>_</v>
      </c>
      <c r="K1552" t="str">
        <f t="shared" ca="1" si="73"/>
        <v>__X_</v>
      </c>
      <c r="L1552" t="str">
        <f t="shared" ca="1" si="74"/>
        <v/>
      </c>
      <c r="M1552" t="str">
        <f>IFERROR(INDEX(Inventory!A:A,MATCH(Scan!A1552,Inventory!E:E,0)),"")</f>
        <v/>
      </c>
    </row>
    <row r="1553" spans="2:13" x14ac:dyDescent="0.25">
      <c r="B1553" t="str">
        <f>IF(IFERROR(VLOOKUP(TRIM(A1553),Inventory!E:E,1,0),0)=0,"X","_")</f>
        <v>_</v>
      </c>
      <c r="C1553" t="str">
        <f>IF(IFERROR(VLOOKUP(TRIM(A1553),'Full Inventory'!F:F,1,0),0)=0,"X","_")</f>
        <v>_</v>
      </c>
      <c r="D1553" t="str">
        <f t="shared" si="72"/>
        <v>X</v>
      </c>
      <c r="E1553" t="str">
        <f ca="1">IFERROR(IF(AND(B1553&amp;C1553&amp;D1553="___",INDIRECT("Inventory!A"&amp;MATCH(VLOOKUP(A1553,Inventory!E:E,1,0),Inventory!E:E,0))&lt;&gt;INDIRECT("'Full Inventory'!B"&amp;MATCH(VLOOKUP(A1553,'Full Inventory'!F:F,1,0),'Full Inventory'!F:F,0))),"X","_"),"_")</f>
        <v>_</v>
      </c>
      <c r="K1553" t="str">
        <f t="shared" ca="1" si="73"/>
        <v>__X_</v>
      </c>
      <c r="L1553" t="str">
        <f t="shared" ca="1" si="74"/>
        <v/>
      </c>
      <c r="M1553" t="str">
        <f>IFERROR(INDEX(Inventory!A:A,MATCH(Scan!A1553,Inventory!E:E,0)),"")</f>
        <v/>
      </c>
    </row>
    <row r="1554" spans="2:13" x14ac:dyDescent="0.25">
      <c r="B1554" t="str">
        <f>IF(IFERROR(VLOOKUP(TRIM(A1554),Inventory!E:E,1,0),0)=0,"X","_")</f>
        <v>_</v>
      </c>
      <c r="C1554" t="str">
        <f>IF(IFERROR(VLOOKUP(TRIM(A1554),'Full Inventory'!F:F,1,0),0)=0,"X","_")</f>
        <v>_</v>
      </c>
      <c r="D1554" t="str">
        <f t="shared" si="72"/>
        <v>X</v>
      </c>
      <c r="E1554" t="str">
        <f ca="1">IFERROR(IF(AND(B1554&amp;C1554&amp;D1554="___",INDIRECT("Inventory!A"&amp;MATCH(VLOOKUP(A1554,Inventory!E:E,1,0),Inventory!E:E,0))&lt;&gt;INDIRECT("'Full Inventory'!B"&amp;MATCH(VLOOKUP(A1554,'Full Inventory'!F:F,1,0),'Full Inventory'!F:F,0))),"X","_"),"_")</f>
        <v>_</v>
      </c>
      <c r="K1554" t="str">
        <f t="shared" ca="1" si="73"/>
        <v>__X_</v>
      </c>
      <c r="L1554" t="str">
        <f t="shared" ca="1" si="74"/>
        <v/>
      </c>
      <c r="M1554" t="str">
        <f>IFERROR(INDEX(Inventory!A:A,MATCH(Scan!A1554,Inventory!E:E,0)),"")</f>
        <v/>
      </c>
    </row>
    <row r="1555" spans="2:13" x14ac:dyDescent="0.25">
      <c r="B1555" t="str">
        <f>IF(IFERROR(VLOOKUP(TRIM(A1555),Inventory!E:E,1,0),0)=0,"X","_")</f>
        <v>_</v>
      </c>
      <c r="C1555" t="str">
        <f>IF(IFERROR(VLOOKUP(TRIM(A1555),'Full Inventory'!F:F,1,0),0)=0,"X","_")</f>
        <v>_</v>
      </c>
      <c r="D1555" t="str">
        <f t="shared" si="72"/>
        <v>X</v>
      </c>
      <c r="E1555" t="str">
        <f ca="1">IFERROR(IF(AND(B1555&amp;C1555&amp;D1555="___",INDIRECT("Inventory!A"&amp;MATCH(VLOOKUP(A1555,Inventory!E:E,1,0),Inventory!E:E,0))&lt;&gt;INDIRECT("'Full Inventory'!B"&amp;MATCH(VLOOKUP(A1555,'Full Inventory'!F:F,1,0),'Full Inventory'!F:F,0))),"X","_"),"_")</f>
        <v>_</v>
      </c>
      <c r="K1555" t="str">
        <f t="shared" ca="1" si="73"/>
        <v>__X_</v>
      </c>
      <c r="L1555" t="str">
        <f t="shared" ca="1" si="74"/>
        <v/>
      </c>
      <c r="M1555" t="str">
        <f>IFERROR(INDEX(Inventory!A:A,MATCH(Scan!A1555,Inventory!E:E,0)),"")</f>
        <v/>
      </c>
    </row>
    <row r="1556" spans="2:13" x14ac:dyDescent="0.25">
      <c r="B1556" t="str">
        <f>IF(IFERROR(VLOOKUP(TRIM(A1556),Inventory!E:E,1,0),0)=0,"X","_")</f>
        <v>_</v>
      </c>
      <c r="C1556" t="str">
        <f>IF(IFERROR(VLOOKUP(TRIM(A1556),'Full Inventory'!F:F,1,0),0)=0,"X","_")</f>
        <v>_</v>
      </c>
      <c r="D1556" t="str">
        <f t="shared" si="72"/>
        <v>X</v>
      </c>
      <c r="E1556" t="str">
        <f ca="1">IFERROR(IF(AND(B1556&amp;C1556&amp;D1556="___",INDIRECT("Inventory!A"&amp;MATCH(VLOOKUP(A1556,Inventory!E:E,1,0),Inventory!E:E,0))&lt;&gt;INDIRECT("'Full Inventory'!B"&amp;MATCH(VLOOKUP(A1556,'Full Inventory'!F:F,1,0),'Full Inventory'!F:F,0))),"X","_"),"_")</f>
        <v>_</v>
      </c>
      <c r="K1556" t="str">
        <f t="shared" ca="1" si="73"/>
        <v>__X_</v>
      </c>
      <c r="L1556" t="str">
        <f t="shared" ca="1" si="74"/>
        <v/>
      </c>
      <c r="M1556" t="str">
        <f>IFERROR(INDEX(Inventory!A:A,MATCH(Scan!A1556,Inventory!E:E,0)),"")</f>
        <v/>
      </c>
    </row>
    <row r="1557" spans="2:13" x14ac:dyDescent="0.25">
      <c r="B1557" t="str">
        <f>IF(IFERROR(VLOOKUP(TRIM(A1557),Inventory!E:E,1,0),0)=0,"X","_")</f>
        <v>_</v>
      </c>
      <c r="C1557" t="str">
        <f>IF(IFERROR(VLOOKUP(TRIM(A1557),'Full Inventory'!F:F,1,0),0)=0,"X","_")</f>
        <v>_</v>
      </c>
      <c r="D1557" t="str">
        <f t="shared" si="72"/>
        <v>X</v>
      </c>
      <c r="E1557" t="str">
        <f ca="1">IFERROR(IF(AND(B1557&amp;C1557&amp;D1557="___",INDIRECT("Inventory!A"&amp;MATCH(VLOOKUP(A1557,Inventory!E:E,1,0),Inventory!E:E,0))&lt;&gt;INDIRECT("'Full Inventory'!B"&amp;MATCH(VLOOKUP(A1557,'Full Inventory'!F:F,1,0),'Full Inventory'!F:F,0))),"X","_"),"_")</f>
        <v>_</v>
      </c>
      <c r="K1557" t="str">
        <f t="shared" ca="1" si="73"/>
        <v>__X_</v>
      </c>
      <c r="L1557" t="str">
        <f t="shared" ca="1" si="74"/>
        <v/>
      </c>
      <c r="M1557" t="str">
        <f>IFERROR(INDEX(Inventory!A:A,MATCH(Scan!A1557,Inventory!E:E,0)),"")</f>
        <v/>
      </c>
    </row>
    <row r="1558" spans="2:13" x14ac:dyDescent="0.25">
      <c r="B1558" t="str">
        <f>IF(IFERROR(VLOOKUP(TRIM(A1558),Inventory!E:E,1,0),0)=0,"X","_")</f>
        <v>_</v>
      </c>
      <c r="C1558" t="str">
        <f>IF(IFERROR(VLOOKUP(TRIM(A1558),'Full Inventory'!F:F,1,0),0)=0,"X","_")</f>
        <v>_</v>
      </c>
      <c r="D1558" t="str">
        <f t="shared" si="72"/>
        <v>X</v>
      </c>
      <c r="E1558" t="str">
        <f ca="1">IFERROR(IF(AND(B1558&amp;C1558&amp;D1558="___",INDIRECT("Inventory!A"&amp;MATCH(VLOOKUP(A1558,Inventory!E:E,1,0),Inventory!E:E,0))&lt;&gt;INDIRECT("'Full Inventory'!B"&amp;MATCH(VLOOKUP(A1558,'Full Inventory'!F:F,1,0),'Full Inventory'!F:F,0))),"X","_"),"_")</f>
        <v>_</v>
      </c>
      <c r="K1558" t="str">
        <f t="shared" ca="1" si="73"/>
        <v>__X_</v>
      </c>
      <c r="L1558" t="str">
        <f t="shared" ca="1" si="74"/>
        <v/>
      </c>
      <c r="M1558" t="str">
        <f>IFERROR(INDEX(Inventory!A:A,MATCH(Scan!A1558,Inventory!E:E,0)),"")</f>
        <v/>
      </c>
    </row>
    <row r="1559" spans="2:13" x14ac:dyDescent="0.25">
      <c r="B1559" t="str">
        <f>IF(IFERROR(VLOOKUP(TRIM(A1559),Inventory!E:E,1,0),0)=0,"X","_")</f>
        <v>_</v>
      </c>
      <c r="C1559" t="str">
        <f>IF(IFERROR(VLOOKUP(TRIM(A1559),'Full Inventory'!F:F,1,0),0)=0,"X","_")</f>
        <v>_</v>
      </c>
      <c r="D1559" t="str">
        <f t="shared" si="72"/>
        <v>X</v>
      </c>
      <c r="E1559" t="str">
        <f ca="1">IFERROR(IF(AND(B1559&amp;C1559&amp;D1559="___",INDIRECT("Inventory!A"&amp;MATCH(VLOOKUP(A1559,Inventory!E:E,1,0),Inventory!E:E,0))&lt;&gt;INDIRECT("'Full Inventory'!B"&amp;MATCH(VLOOKUP(A1559,'Full Inventory'!F:F,1,0),'Full Inventory'!F:F,0))),"X","_"),"_")</f>
        <v>_</v>
      </c>
      <c r="K1559" t="str">
        <f t="shared" ca="1" si="73"/>
        <v>__X_</v>
      </c>
      <c r="L1559" t="str">
        <f t="shared" ca="1" si="74"/>
        <v/>
      </c>
      <c r="M1559" t="str">
        <f>IFERROR(INDEX(Inventory!A:A,MATCH(Scan!A1559,Inventory!E:E,0)),"")</f>
        <v/>
      </c>
    </row>
    <row r="1560" spans="2:13" x14ac:dyDescent="0.25">
      <c r="B1560" t="str">
        <f>IF(IFERROR(VLOOKUP(TRIM(A1560),Inventory!E:E,1,0),0)=0,"X","_")</f>
        <v>_</v>
      </c>
      <c r="C1560" t="str">
        <f>IF(IFERROR(VLOOKUP(TRIM(A1560),'Full Inventory'!F:F,1,0),0)=0,"X","_")</f>
        <v>_</v>
      </c>
      <c r="D1560" t="str">
        <f t="shared" si="72"/>
        <v>X</v>
      </c>
      <c r="E1560" t="str">
        <f ca="1">IFERROR(IF(AND(B1560&amp;C1560&amp;D1560="___",INDIRECT("Inventory!A"&amp;MATCH(VLOOKUP(A1560,Inventory!E:E,1,0),Inventory!E:E,0))&lt;&gt;INDIRECT("'Full Inventory'!B"&amp;MATCH(VLOOKUP(A1560,'Full Inventory'!F:F,1,0),'Full Inventory'!F:F,0))),"X","_"),"_")</f>
        <v>_</v>
      </c>
      <c r="K1560" t="str">
        <f t="shared" ca="1" si="73"/>
        <v>__X_</v>
      </c>
      <c r="L1560" t="str">
        <f t="shared" ca="1" si="74"/>
        <v/>
      </c>
      <c r="M1560" t="str">
        <f>IFERROR(INDEX(Inventory!A:A,MATCH(Scan!A1560,Inventory!E:E,0)),"")</f>
        <v/>
      </c>
    </row>
    <row r="1561" spans="2:13" x14ac:dyDescent="0.25">
      <c r="B1561" t="str">
        <f>IF(IFERROR(VLOOKUP(TRIM(A1561),Inventory!E:E,1,0),0)=0,"X","_")</f>
        <v>_</v>
      </c>
      <c r="C1561" t="str">
        <f>IF(IFERROR(VLOOKUP(TRIM(A1561),'Full Inventory'!F:F,1,0),0)=0,"X","_")</f>
        <v>_</v>
      </c>
      <c r="D1561" t="str">
        <f t="shared" si="72"/>
        <v>X</v>
      </c>
      <c r="E1561" t="str">
        <f ca="1">IFERROR(IF(AND(B1561&amp;C1561&amp;D1561="___",INDIRECT("Inventory!A"&amp;MATCH(VLOOKUP(A1561,Inventory!E:E,1,0),Inventory!E:E,0))&lt;&gt;INDIRECT("'Full Inventory'!B"&amp;MATCH(VLOOKUP(A1561,'Full Inventory'!F:F,1,0),'Full Inventory'!F:F,0))),"X","_"),"_")</f>
        <v>_</v>
      </c>
      <c r="K1561" t="str">
        <f t="shared" ca="1" si="73"/>
        <v>__X_</v>
      </c>
      <c r="L1561" t="str">
        <f t="shared" ca="1" si="74"/>
        <v/>
      </c>
      <c r="M1561" t="str">
        <f>IFERROR(INDEX(Inventory!A:A,MATCH(Scan!A1561,Inventory!E:E,0)),"")</f>
        <v/>
      </c>
    </row>
    <row r="1562" spans="2:13" x14ac:dyDescent="0.25">
      <c r="B1562" t="str">
        <f>IF(IFERROR(VLOOKUP(TRIM(A1562),Inventory!E:E,1,0),0)=0,"X","_")</f>
        <v>_</v>
      </c>
      <c r="C1562" t="str">
        <f>IF(IFERROR(VLOOKUP(TRIM(A1562),'Full Inventory'!F:F,1,0),0)=0,"X","_")</f>
        <v>_</v>
      </c>
      <c r="D1562" t="str">
        <f t="shared" si="72"/>
        <v>X</v>
      </c>
      <c r="E1562" t="str">
        <f ca="1">IFERROR(IF(AND(B1562&amp;C1562&amp;D1562="___",INDIRECT("Inventory!A"&amp;MATCH(VLOOKUP(A1562,Inventory!E:E,1,0),Inventory!E:E,0))&lt;&gt;INDIRECT("'Full Inventory'!B"&amp;MATCH(VLOOKUP(A1562,'Full Inventory'!F:F,1,0),'Full Inventory'!F:F,0))),"X","_"),"_")</f>
        <v>_</v>
      </c>
      <c r="K1562" t="str">
        <f t="shared" ca="1" si="73"/>
        <v>__X_</v>
      </c>
      <c r="L1562" t="str">
        <f t="shared" ca="1" si="74"/>
        <v/>
      </c>
      <c r="M1562" t="str">
        <f>IFERROR(INDEX(Inventory!A:A,MATCH(Scan!A1562,Inventory!E:E,0)),"")</f>
        <v/>
      </c>
    </row>
    <row r="1563" spans="2:13" x14ac:dyDescent="0.25">
      <c r="B1563" t="str">
        <f>IF(IFERROR(VLOOKUP(TRIM(A1563),Inventory!E:E,1,0),0)=0,"X","_")</f>
        <v>_</v>
      </c>
      <c r="C1563" t="str">
        <f>IF(IFERROR(VLOOKUP(TRIM(A1563),'Full Inventory'!F:F,1,0),0)=0,"X","_")</f>
        <v>_</v>
      </c>
      <c r="D1563" t="str">
        <f t="shared" si="72"/>
        <v>X</v>
      </c>
      <c r="E1563" t="str">
        <f ca="1">IFERROR(IF(AND(B1563&amp;C1563&amp;D1563="___",INDIRECT("Inventory!A"&amp;MATCH(VLOOKUP(A1563,Inventory!E:E,1,0),Inventory!E:E,0))&lt;&gt;INDIRECT("'Full Inventory'!B"&amp;MATCH(VLOOKUP(A1563,'Full Inventory'!F:F,1,0),'Full Inventory'!F:F,0))),"X","_"),"_")</f>
        <v>_</v>
      </c>
      <c r="K1563" t="str">
        <f t="shared" ca="1" si="73"/>
        <v>__X_</v>
      </c>
      <c r="L1563" t="str">
        <f t="shared" ca="1" si="74"/>
        <v/>
      </c>
      <c r="M1563" t="str">
        <f>IFERROR(INDEX(Inventory!A:A,MATCH(Scan!A1563,Inventory!E:E,0)),"")</f>
        <v/>
      </c>
    </row>
    <row r="1564" spans="2:13" x14ac:dyDescent="0.25">
      <c r="B1564" t="str">
        <f>IF(IFERROR(VLOOKUP(TRIM(A1564),Inventory!E:E,1,0),0)=0,"X","_")</f>
        <v>_</v>
      </c>
      <c r="C1564" t="str">
        <f>IF(IFERROR(VLOOKUP(TRIM(A1564),'Full Inventory'!F:F,1,0),0)=0,"X","_")</f>
        <v>_</v>
      </c>
      <c r="D1564" t="str">
        <f t="shared" si="72"/>
        <v>X</v>
      </c>
      <c r="E1564" t="str">
        <f ca="1">IFERROR(IF(AND(B1564&amp;C1564&amp;D1564="___",INDIRECT("Inventory!A"&amp;MATCH(VLOOKUP(A1564,Inventory!E:E,1,0),Inventory!E:E,0))&lt;&gt;INDIRECT("'Full Inventory'!B"&amp;MATCH(VLOOKUP(A1564,'Full Inventory'!F:F,1,0),'Full Inventory'!F:F,0))),"X","_"),"_")</f>
        <v>_</v>
      </c>
      <c r="K1564" t="str">
        <f t="shared" ca="1" si="73"/>
        <v>__X_</v>
      </c>
      <c r="L1564" t="str">
        <f t="shared" ca="1" si="74"/>
        <v/>
      </c>
      <c r="M1564" t="str">
        <f>IFERROR(INDEX(Inventory!A:A,MATCH(Scan!A1564,Inventory!E:E,0)),"")</f>
        <v/>
      </c>
    </row>
    <row r="1565" spans="2:13" x14ac:dyDescent="0.25">
      <c r="B1565" t="str">
        <f>IF(IFERROR(VLOOKUP(TRIM(A1565),Inventory!E:E,1,0),0)=0,"X","_")</f>
        <v>_</v>
      </c>
      <c r="C1565" t="str">
        <f>IF(IFERROR(VLOOKUP(TRIM(A1565),'Full Inventory'!F:F,1,0),0)=0,"X","_")</f>
        <v>_</v>
      </c>
      <c r="D1565" t="str">
        <f t="shared" si="72"/>
        <v>X</v>
      </c>
      <c r="E1565" t="str">
        <f ca="1">IFERROR(IF(AND(B1565&amp;C1565&amp;D1565="___",INDIRECT("Inventory!A"&amp;MATCH(VLOOKUP(A1565,Inventory!E:E,1,0),Inventory!E:E,0))&lt;&gt;INDIRECT("'Full Inventory'!B"&amp;MATCH(VLOOKUP(A1565,'Full Inventory'!F:F,1,0),'Full Inventory'!F:F,0))),"X","_"),"_")</f>
        <v>_</v>
      </c>
      <c r="K1565" t="str">
        <f t="shared" ca="1" si="73"/>
        <v>__X_</v>
      </c>
      <c r="L1565" t="str">
        <f t="shared" ca="1" si="74"/>
        <v/>
      </c>
      <c r="M1565" t="str">
        <f>IFERROR(INDEX(Inventory!A:A,MATCH(Scan!A1565,Inventory!E:E,0)),"")</f>
        <v/>
      </c>
    </row>
    <row r="1566" spans="2:13" x14ac:dyDescent="0.25">
      <c r="B1566" t="str">
        <f>IF(IFERROR(VLOOKUP(TRIM(A1566),Inventory!E:E,1,0),0)=0,"X","_")</f>
        <v>_</v>
      </c>
      <c r="C1566" t="str">
        <f>IF(IFERROR(VLOOKUP(TRIM(A1566),'Full Inventory'!F:F,1,0),0)=0,"X","_")</f>
        <v>_</v>
      </c>
      <c r="D1566" t="str">
        <f t="shared" si="72"/>
        <v>X</v>
      </c>
      <c r="E1566" t="str">
        <f ca="1">IFERROR(IF(AND(B1566&amp;C1566&amp;D1566="___",INDIRECT("Inventory!A"&amp;MATCH(VLOOKUP(A1566,Inventory!E:E,1,0),Inventory!E:E,0))&lt;&gt;INDIRECT("'Full Inventory'!B"&amp;MATCH(VLOOKUP(A1566,'Full Inventory'!F:F,1,0),'Full Inventory'!F:F,0))),"X","_"),"_")</f>
        <v>_</v>
      </c>
      <c r="K1566" t="str">
        <f t="shared" ca="1" si="73"/>
        <v>__X_</v>
      </c>
      <c r="L1566" t="str">
        <f t="shared" ca="1" si="74"/>
        <v/>
      </c>
      <c r="M1566" t="str">
        <f>IFERROR(INDEX(Inventory!A:A,MATCH(Scan!A1566,Inventory!E:E,0)),"")</f>
        <v/>
      </c>
    </row>
    <row r="1567" spans="2:13" x14ac:dyDescent="0.25">
      <c r="B1567" t="str">
        <f>IF(IFERROR(VLOOKUP(TRIM(A1567),Inventory!E:E,1,0),0)=0,"X","_")</f>
        <v>_</v>
      </c>
      <c r="C1567" t="str">
        <f>IF(IFERROR(VLOOKUP(TRIM(A1567),'Full Inventory'!F:F,1,0),0)=0,"X","_")</f>
        <v>_</v>
      </c>
      <c r="D1567" t="str">
        <f t="shared" si="72"/>
        <v>X</v>
      </c>
      <c r="E1567" t="str">
        <f ca="1">IFERROR(IF(AND(B1567&amp;C1567&amp;D1567="___",INDIRECT("Inventory!A"&amp;MATCH(VLOOKUP(A1567,Inventory!E:E,1,0),Inventory!E:E,0))&lt;&gt;INDIRECT("'Full Inventory'!B"&amp;MATCH(VLOOKUP(A1567,'Full Inventory'!F:F,1,0),'Full Inventory'!F:F,0))),"X","_"),"_")</f>
        <v>_</v>
      </c>
      <c r="K1567" t="str">
        <f t="shared" ca="1" si="73"/>
        <v>__X_</v>
      </c>
      <c r="L1567" t="str">
        <f t="shared" ca="1" si="74"/>
        <v/>
      </c>
      <c r="M1567" t="str">
        <f>IFERROR(INDEX(Inventory!A:A,MATCH(Scan!A1567,Inventory!E:E,0)),"")</f>
        <v/>
      </c>
    </row>
    <row r="1568" spans="2:13" x14ac:dyDescent="0.25">
      <c r="B1568" t="str">
        <f>IF(IFERROR(VLOOKUP(TRIM(A1568),Inventory!E:E,1,0),0)=0,"X","_")</f>
        <v>_</v>
      </c>
      <c r="C1568" t="str">
        <f>IF(IFERROR(VLOOKUP(TRIM(A1568),'Full Inventory'!F:F,1,0),0)=0,"X","_")</f>
        <v>_</v>
      </c>
      <c r="D1568" t="str">
        <f t="shared" si="72"/>
        <v>X</v>
      </c>
      <c r="E1568" t="str">
        <f ca="1">IFERROR(IF(AND(B1568&amp;C1568&amp;D1568="___",INDIRECT("Inventory!A"&amp;MATCH(VLOOKUP(A1568,Inventory!E:E,1,0),Inventory!E:E,0))&lt;&gt;INDIRECT("'Full Inventory'!B"&amp;MATCH(VLOOKUP(A1568,'Full Inventory'!F:F,1,0),'Full Inventory'!F:F,0))),"X","_"),"_")</f>
        <v>_</v>
      </c>
      <c r="K1568" t="str">
        <f t="shared" ca="1" si="73"/>
        <v>__X_</v>
      </c>
      <c r="L1568" t="str">
        <f t="shared" ca="1" si="74"/>
        <v/>
      </c>
      <c r="M1568" t="str">
        <f>IFERROR(INDEX(Inventory!A:A,MATCH(Scan!A1568,Inventory!E:E,0)),"")</f>
        <v/>
      </c>
    </row>
    <row r="1569" spans="2:13" x14ac:dyDescent="0.25">
      <c r="B1569" t="str">
        <f>IF(IFERROR(VLOOKUP(TRIM(A1569),Inventory!E:E,1,0),0)=0,"X","_")</f>
        <v>_</v>
      </c>
      <c r="C1569" t="str">
        <f>IF(IFERROR(VLOOKUP(TRIM(A1569),'Full Inventory'!F:F,1,0),0)=0,"X","_")</f>
        <v>_</v>
      </c>
      <c r="D1569" t="str">
        <f t="shared" si="72"/>
        <v>X</v>
      </c>
      <c r="E1569" t="str">
        <f ca="1">IFERROR(IF(AND(B1569&amp;C1569&amp;D1569="___",INDIRECT("Inventory!A"&amp;MATCH(VLOOKUP(A1569,Inventory!E:E,1,0),Inventory!E:E,0))&lt;&gt;INDIRECT("'Full Inventory'!B"&amp;MATCH(VLOOKUP(A1569,'Full Inventory'!F:F,1,0),'Full Inventory'!F:F,0))),"X","_"),"_")</f>
        <v>_</v>
      </c>
      <c r="K1569" t="str">
        <f t="shared" ca="1" si="73"/>
        <v>__X_</v>
      </c>
      <c r="L1569" t="str">
        <f t="shared" ca="1" si="74"/>
        <v/>
      </c>
      <c r="M1569" t="str">
        <f>IFERROR(INDEX(Inventory!A:A,MATCH(Scan!A1569,Inventory!E:E,0)),"")</f>
        <v/>
      </c>
    </row>
    <row r="1570" spans="2:13" x14ac:dyDescent="0.25">
      <c r="B1570" t="str">
        <f>IF(IFERROR(VLOOKUP(TRIM(A1570),Inventory!E:E,1,0),0)=0,"X","_")</f>
        <v>_</v>
      </c>
      <c r="C1570" t="str">
        <f>IF(IFERROR(VLOOKUP(TRIM(A1570),'Full Inventory'!F:F,1,0),0)=0,"X","_")</f>
        <v>_</v>
      </c>
      <c r="D1570" t="str">
        <f t="shared" si="72"/>
        <v>X</v>
      </c>
      <c r="E1570" t="str">
        <f ca="1">IFERROR(IF(AND(B1570&amp;C1570&amp;D1570="___",INDIRECT("Inventory!A"&amp;MATCH(VLOOKUP(A1570,Inventory!E:E,1,0),Inventory!E:E,0))&lt;&gt;INDIRECT("'Full Inventory'!B"&amp;MATCH(VLOOKUP(A1570,'Full Inventory'!F:F,1,0),'Full Inventory'!F:F,0))),"X","_"),"_")</f>
        <v>_</v>
      </c>
      <c r="K1570" t="str">
        <f t="shared" ca="1" si="73"/>
        <v>__X_</v>
      </c>
      <c r="L1570" t="str">
        <f t="shared" ca="1" si="74"/>
        <v/>
      </c>
      <c r="M1570" t="str">
        <f>IFERROR(INDEX(Inventory!A:A,MATCH(Scan!A1570,Inventory!E:E,0)),"")</f>
        <v/>
      </c>
    </row>
    <row r="1571" spans="2:13" x14ac:dyDescent="0.25">
      <c r="B1571" t="str">
        <f>IF(IFERROR(VLOOKUP(TRIM(A1571),Inventory!E:E,1,0),0)=0,"X","_")</f>
        <v>_</v>
      </c>
      <c r="C1571" t="str">
        <f>IF(IFERROR(VLOOKUP(TRIM(A1571),'Full Inventory'!F:F,1,0),0)=0,"X","_")</f>
        <v>_</v>
      </c>
      <c r="D1571" t="str">
        <f t="shared" si="72"/>
        <v>X</v>
      </c>
      <c r="E1571" t="str">
        <f ca="1">IFERROR(IF(AND(B1571&amp;C1571&amp;D1571="___",INDIRECT("Inventory!A"&amp;MATCH(VLOOKUP(A1571,Inventory!E:E,1,0),Inventory!E:E,0))&lt;&gt;INDIRECT("'Full Inventory'!B"&amp;MATCH(VLOOKUP(A1571,'Full Inventory'!F:F,1,0),'Full Inventory'!F:F,0))),"X","_"),"_")</f>
        <v>_</v>
      </c>
      <c r="K1571" t="str">
        <f t="shared" ca="1" si="73"/>
        <v>__X_</v>
      </c>
      <c r="L1571" t="str">
        <f t="shared" ca="1" si="74"/>
        <v/>
      </c>
      <c r="M1571" t="str">
        <f>IFERROR(INDEX(Inventory!A:A,MATCH(Scan!A1571,Inventory!E:E,0)),"")</f>
        <v/>
      </c>
    </row>
    <row r="1572" spans="2:13" x14ac:dyDescent="0.25">
      <c r="B1572" t="str">
        <f>IF(IFERROR(VLOOKUP(TRIM(A1572),Inventory!E:E,1,0),0)=0,"X","_")</f>
        <v>_</v>
      </c>
      <c r="C1572" t="str">
        <f>IF(IFERROR(VLOOKUP(TRIM(A1572),'Full Inventory'!F:F,1,0),0)=0,"X","_")</f>
        <v>_</v>
      </c>
      <c r="D1572" t="str">
        <f t="shared" si="72"/>
        <v>X</v>
      </c>
      <c r="E1572" t="str">
        <f ca="1">IFERROR(IF(AND(B1572&amp;C1572&amp;D1572="___",INDIRECT("Inventory!A"&amp;MATCH(VLOOKUP(A1572,Inventory!E:E,1,0),Inventory!E:E,0))&lt;&gt;INDIRECT("'Full Inventory'!B"&amp;MATCH(VLOOKUP(A1572,'Full Inventory'!F:F,1,0),'Full Inventory'!F:F,0))),"X","_"),"_")</f>
        <v>_</v>
      </c>
      <c r="K1572" t="str">
        <f t="shared" ca="1" si="73"/>
        <v>__X_</v>
      </c>
      <c r="L1572" t="str">
        <f t="shared" ca="1" si="74"/>
        <v/>
      </c>
      <c r="M1572" t="str">
        <f>IFERROR(INDEX(Inventory!A:A,MATCH(Scan!A1572,Inventory!E:E,0)),"")</f>
        <v/>
      </c>
    </row>
    <row r="1573" spans="2:13" x14ac:dyDescent="0.25">
      <c r="B1573" t="str">
        <f>IF(IFERROR(VLOOKUP(TRIM(A1573),Inventory!E:E,1,0),0)=0,"X","_")</f>
        <v>_</v>
      </c>
      <c r="C1573" t="str">
        <f>IF(IFERROR(VLOOKUP(TRIM(A1573),'Full Inventory'!F:F,1,0),0)=0,"X","_")</f>
        <v>_</v>
      </c>
      <c r="D1573" t="str">
        <f t="shared" si="72"/>
        <v>X</v>
      </c>
      <c r="E1573" t="str">
        <f ca="1">IFERROR(IF(AND(B1573&amp;C1573&amp;D1573="___",INDIRECT("Inventory!A"&amp;MATCH(VLOOKUP(A1573,Inventory!E:E,1,0),Inventory!E:E,0))&lt;&gt;INDIRECT("'Full Inventory'!B"&amp;MATCH(VLOOKUP(A1573,'Full Inventory'!F:F,1,0),'Full Inventory'!F:F,0))),"X","_"),"_")</f>
        <v>_</v>
      </c>
      <c r="K1573" t="str">
        <f t="shared" ca="1" si="73"/>
        <v>__X_</v>
      </c>
      <c r="L1573" t="str">
        <f t="shared" ca="1" si="74"/>
        <v/>
      </c>
      <c r="M1573" t="str">
        <f>IFERROR(INDEX(Inventory!A:A,MATCH(Scan!A1573,Inventory!E:E,0)),"")</f>
        <v/>
      </c>
    </row>
    <row r="1574" spans="2:13" x14ac:dyDescent="0.25">
      <c r="B1574" t="str">
        <f>IF(IFERROR(VLOOKUP(TRIM(A1574),Inventory!E:E,1,0),0)=0,"X","_")</f>
        <v>_</v>
      </c>
      <c r="C1574" t="str">
        <f>IF(IFERROR(VLOOKUP(TRIM(A1574),'Full Inventory'!F:F,1,0),0)=0,"X","_")</f>
        <v>_</v>
      </c>
      <c r="D1574" t="str">
        <f t="shared" si="72"/>
        <v>X</v>
      </c>
      <c r="E1574" t="str">
        <f ca="1">IFERROR(IF(AND(B1574&amp;C1574&amp;D1574="___",INDIRECT("Inventory!A"&amp;MATCH(VLOOKUP(A1574,Inventory!E:E,1,0),Inventory!E:E,0))&lt;&gt;INDIRECT("'Full Inventory'!B"&amp;MATCH(VLOOKUP(A1574,'Full Inventory'!F:F,1,0),'Full Inventory'!F:F,0))),"X","_"),"_")</f>
        <v>_</v>
      </c>
      <c r="K1574" t="str">
        <f t="shared" ca="1" si="73"/>
        <v>__X_</v>
      </c>
      <c r="L1574" t="str">
        <f t="shared" ca="1" si="74"/>
        <v/>
      </c>
      <c r="M1574" t="str">
        <f>IFERROR(INDEX(Inventory!A:A,MATCH(Scan!A1574,Inventory!E:E,0)),"")</f>
        <v/>
      </c>
    </row>
    <row r="1575" spans="2:13" x14ac:dyDescent="0.25">
      <c r="B1575" t="str">
        <f>IF(IFERROR(VLOOKUP(TRIM(A1575),Inventory!E:E,1,0),0)=0,"X","_")</f>
        <v>_</v>
      </c>
      <c r="C1575" t="str">
        <f>IF(IFERROR(VLOOKUP(TRIM(A1575),'Full Inventory'!F:F,1,0),0)=0,"X","_")</f>
        <v>_</v>
      </c>
      <c r="D1575" t="str">
        <f t="shared" si="72"/>
        <v>X</v>
      </c>
      <c r="E1575" t="str">
        <f ca="1">IFERROR(IF(AND(B1575&amp;C1575&amp;D1575="___",INDIRECT("Inventory!A"&amp;MATCH(VLOOKUP(A1575,Inventory!E:E,1,0),Inventory!E:E,0))&lt;&gt;INDIRECT("'Full Inventory'!B"&amp;MATCH(VLOOKUP(A1575,'Full Inventory'!F:F,1,0),'Full Inventory'!F:F,0))),"X","_"),"_")</f>
        <v>_</v>
      </c>
      <c r="K1575" t="str">
        <f t="shared" ca="1" si="73"/>
        <v>__X_</v>
      </c>
      <c r="L1575" t="str">
        <f t="shared" ca="1" si="74"/>
        <v/>
      </c>
      <c r="M1575" t="str">
        <f>IFERROR(INDEX(Inventory!A:A,MATCH(Scan!A1575,Inventory!E:E,0)),"")</f>
        <v/>
      </c>
    </row>
    <row r="1576" spans="2:13" x14ac:dyDescent="0.25">
      <c r="B1576" t="str">
        <f>IF(IFERROR(VLOOKUP(TRIM(A1576),Inventory!E:E,1,0),0)=0,"X","_")</f>
        <v>_</v>
      </c>
      <c r="C1576" t="str">
        <f>IF(IFERROR(VLOOKUP(TRIM(A1576),'Full Inventory'!F:F,1,0),0)=0,"X","_")</f>
        <v>_</v>
      </c>
      <c r="D1576" t="str">
        <f t="shared" si="72"/>
        <v>X</v>
      </c>
      <c r="E1576" t="str">
        <f ca="1">IFERROR(IF(AND(B1576&amp;C1576&amp;D1576="___",INDIRECT("Inventory!A"&amp;MATCH(VLOOKUP(A1576,Inventory!E:E,1,0),Inventory!E:E,0))&lt;&gt;INDIRECT("'Full Inventory'!B"&amp;MATCH(VLOOKUP(A1576,'Full Inventory'!F:F,1,0),'Full Inventory'!F:F,0))),"X","_"),"_")</f>
        <v>_</v>
      </c>
      <c r="K1576" t="str">
        <f t="shared" ca="1" si="73"/>
        <v>__X_</v>
      </c>
      <c r="L1576" t="str">
        <f t="shared" ca="1" si="74"/>
        <v/>
      </c>
      <c r="M1576" t="str">
        <f>IFERROR(INDEX(Inventory!A:A,MATCH(Scan!A1576,Inventory!E:E,0)),"")</f>
        <v/>
      </c>
    </row>
    <row r="1577" spans="2:13" x14ac:dyDescent="0.25">
      <c r="B1577" t="str">
        <f>IF(IFERROR(VLOOKUP(TRIM(A1577),Inventory!E:E,1,0),0)=0,"X","_")</f>
        <v>_</v>
      </c>
      <c r="C1577" t="str">
        <f>IF(IFERROR(VLOOKUP(TRIM(A1577),'Full Inventory'!F:F,1,0),0)=0,"X","_")</f>
        <v>_</v>
      </c>
      <c r="D1577" t="str">
        <f t="shared" si="72"/>
        <v>X</v>
      </c>
      <c r="E1577" t="str">
        <f ca="1">IFERROR(IF(AND(B1577&amp;C1577&amp;D1577="___",INDIRECT("Inventory!A"&amp;MATCH(VLOOKUP(A1577,Inventory!E:E,1,0),Inventory!E:E,0))&lt;&gt;INDIRECT("'Full Inventory'!B"&amp;MATCH(VLOOKUP(A1577,'Full Inventory'!F:F,1,0),'Full Inventory'!F:F,0))),"X","_"),"_")</f>
        <v>_</v>
      </c>
      <c r="K1577" t="str">
        <f t="shared" ca="1" si="73"/>
        <v>__X_</v>
      </c>
      <c r="L1577" t="str">
        <f t="shared" ca="1" si="74"/>
        <v/>
      </c>
      <c r="M1577" t="str">
        <f>IFERROR(INDEX(Inventory!A:A,MATCH(Scan!A1577,Inventory!E:E,0)),"")</f>
        <v/>
      </c>
    </row>
    <row r="1578" spans="2:13" x14ac:dyDescent="0.25">
      <c r="B1578" t="str">
        <f>IF(IFERROR(VLOOKUP(TRIM(A1578),Inventory!E:E,1,0),0)=0,"X","_")</f>
        <v>_</v>
      </c>
      <c r="C1578" t="str">
        <f>IF(IFERROR(VLOOKUP(TRIM(A1578),'Full Inventory'!F:F,1,0),0)=0,"X","_")</f>
        <v>_</v>
      </c>
      <c r="D1578" t="str">
        <f t="shared" si="72"/>
        <v>X</v>
      </c>
      <c r="E1578" t="str">
        <f ca="1">IFERROR(IF(AND(B1578&amp;C1578&amp;D1578="___",INDIRECT("Inventory!A"&amp;MATCH(VLOOKUP(A1578,Inventory!E:E,1,0),Inventory!E:E,0))&lt;&gt;INDIRECT("'Full Inventory'!B"&amp;MATCH(VLOOKUP(A1578,'Full Inventory'!F:F,1,0),'Full Inventory'!F:F,0))),"X","_"),"_")</f>
        <v>_</v>
      </c>
      <c r="K1578" t="str">
        <f t="shared" ca="1" si="73"/>
        <v>__X_</v>
      </c>
      <c r="L1578" t="str">
        <f t="shared" ca="1" si="74"/>
        <v/>
      </c>
      <c r="M1578" t="str">
        <f>IFERROR(INDEX(Inventory!A:A,MATCH(Scan!A1578,Inventory!E:E,0)),"")</f>
        <v/>
      </c>
    </row>
    <row r="1579" spans="2:13" x14ac:dyDescent="0.25">
      <c r="B1579" t="str">
        <f>IF(IFERROR(VLOOKUP(TRIM(A1579),Inventory!E:E,1,0),0)=0,"X","_")</f>
        <v>_</v>
      </c>
      <c r="C1579" t="str">
        <f>IF(IFERROR(VLOOKUP(TRIM(A1579),'Full Inventory'!F:F,1,0),0)=0,"X","_")</f>
        <v>_</v>
      </c>
      <c r="D1579" t="str">
        <f t="shared" si="72"/>
        <v>X</v>
      </c>
      <c r="E1579" t="str">
        <f ca="1">IFERROR(IF(AND(B1579&amp;C1579&amp;D1579="___",INDIRECT("Inventory!A"&amp;MATCH(VLOOKUP(A1579,Inventory!E:E,1,0),Inventory!E:E,0))&lt;&gt;INDIRECT("'Full Inventory'!B"&amp;MATCH(VLOOKUP(A1579,'Full Inventory'!F:F,1,0),'Full Inventory'!F:F,0))),"X","_"),"_")</f>
        <v>_</v>
      </c>
      <c r="K1579" t="str">
        <f t="shared" ca="1" si="73"/>
        <v>__X_</v>
      </c>
      <c r="L1579" t="str">
        <f t="shared" ca="1" si="74"/>
        <v/>
      </c>
      <c r="M1579" t="str">
        <f>IFERROR(INDEX(Inventory!A:A,MATCH(Scan!A1579,Inventory!E:E,0)),"")</f>
        <v/>
      </c>
    </row>
    <row r="1580" spans="2:13" x14ac:dyDescent="0.25">
      <c r="B1580" t="str">
        <f>IF(IFERROR(VLOOKUP(TRIM(A1580),Inventory!E:E,1,0),0)=0,"X","_")</f>
        <v>_</v>
      </c>
      <c r="C1580" t="str">
        <f>IF(IFERROR(VLOOKUP(TRIM(A1580),'Full Inventory'!F:F,1,0),0)=0,"X","_")</f>
        <v>_</v>
      </c>
      <c r="D1580" t="str">
        <f t="shared" si="72"/>
        <v>X</v>
      </c>
      <c r="E1580" t="str">
        <f ca="1">IFERROR(IF(AND(B1580&amp;C1580&amp;D1580="___",INDIRECT("Inventory!A"&amp;MATCH(VLOOKUP(A1580,Inventory!E:E,1,0),Inventory!E:E,0))&lt;&gt;INDIRECT("'Full Inventory'!B"&amp;MATCH(VLOOKUP(A1580,'Full Inventory'!F:F,1,0),'Full Inventory'!F:F,0))),"X","_"),"_")</f>
        <v>_</v>
      </c>
      <c r="K1580" t="str">
        <f t="shared" ca="1" si="73"/>
        <v>__X_</v>
      </c>
      <c r="L1580" t="str">
        <f t="shared" ca="1" si="74"/>
        <v/>
      </c>
      <c r="M1580" t="str">
        <f>IFERROR(INDEX(Inventory!A:A,MATCH(Scan!A1580,Inventory!E:E,0)),"")</f>
        <v/>
      </c>
    </row>
    <row r="1581" spans="2:13" x14ac:dyDescent="0.25">
      <c r="B1581" t="str">
        <f>IF(IFERROR(VLOOKUP(TRIM(A1581),Inventory!E:E,1,0),0)=0,"X","_")</f>
        <v>_</v>
      </c>
      <c r="C1581" t="str">
        <f>IF(IFERROR(VLOOKUP(TRIM(A1581),'Full Inventory'!F:F,1,0),0)=0,"X","_")</f>
        <v>_</v>
      </c>
      <c r="D1581" t="str">
        <f t="shared" si="72"/>
        <v>X</v>
      </c>
      <c r="E1581" t="str">
        <f ca="1">IFERROR(IF(AND(B1581&amp;C1581&amp;D1581="___",INDIRECT("Inventory!A"&amp;MATCH(VLOOKUP(A1581,Inventory!E:E,1,0),Inventory!E:E,0))&lt;&gt;INDIRECT("'Full Inventory'!B"&amp;MATCH(VLOOKUP(A1581,'Full Inventory'!F:F,1,0),'Full Inventory'!F:F,0))),"X","_"),"_")</f>
        <v>_</v>
      </c>
      <c r="K1581" t="str">
        <f t="shared" ca="1" si="73"/>
        <v>__X_</v>
      </c>
      <c r="L1581" t="str">
        <f t="shared" ca="1" si="74"/>
        <v/>
      </c>
      <c r="M1581" t="str">
        <f>IFERROR(INDEX(Inventory!A:A,MATCH(Scan!A1581,Inventory!E:E,0)),"")</f>
        <v/>
      </c>
    </row>
    <row r="1582" spans="2:13" x14ac:dyDescent="0.25">
      <c r="B1582" t="str">
        <f>IF(IFERROR(VLOOKUP(TRIM(A1582),Inventory!E:E,1,0),0)=0,"X","_")</f>
        <v>_</v>
      </c>
      <c r="C1582" t="str">
        <f>IF(IFERROR(VLOOKUP(TRIM(A1582),'Full Inventory'!F:F,1,0),0)=0,"X","_")</f>
        <v>_</v>
      </c>
      <c r="D1582" t="str">
        <f t="shared" si="72"/>
        <v>X</v>
      </c>
      <c r="E1582" t="str">
        <f ca="1">IFERROR(IF(AND(B1582&amp;C1582&amp;D1582="___",INDIRECT("Inventory!A"&amp;MATCH(VLOOKUP(A1582,Inventory!E:E,1,0),Inventory!E:E,0))&lt;&gt;INDIRECT("'Full Inventory'!B"&amp;MATCH(VLOOKUP(A1582,'Full Inventory'!F:F,1,0),'Full Inventory'!F:F,0))),"X","_"),"_")</f>
        <v>_</v>
      </c>
      <c r="K1582" t="str">
        <f t="shared" ca="1" si="73"/>
        <v>__X_</v>
      </c>
      <c r="L1582" t="str">
        <f t="shared" ca="1" si="74"/>
        <v/>
      </c>
      <c r="M1582" t="str">
        <f>IFERROR(INDEX(Inventory!A:A,MATCH(Scan!A1582,Inventory!E:E,0)),"")</f>
        <v/>
      </c>
    </row>
    <row r="1583" spans="2:13" x14ac:dyDescent="0.25">
      <c r="B1583" t="str">
        <f>IF(IFERROR(VLOOKUP(TRIM(A1583),Inventory!E:E,1,0),0)=0,"X","_")</f>
        <v>_</v>
      </c>
      <c r="C1583" t="str">
        <f>IF(IFERROR(VLOOKUP(TRIM(A1583),'Full Inventory'!F:F,1,0),0)=0,"X","_")</f>
        <v>_</v>
      </c>
      <c r="D1583" t="str">
        <f t="shared" si="72"/>
        <v>X</v>
      </c>
      <c r="E1583" t="str">
        <f ca="1">IFERROR(IF(AND(B1583&amp;C1583&amp;D1583="___",INDIRECT("Inventory!A"&amp;MATCH(VLOOKUP(A1583,Inventory!E:E,1,0),Inventory!E:E,0))&lt;&gt;INDIRECT("'Full Inventory'!B"&amp;MATCH(VLOOKUP(A1583,'Full Inventory'!F:F,1,0),'Full Inventory'!F:F,0))),"X","_"),"_")</f>
        <v>_</v>
      </c>
      <c r="K1583" t="str">
        <f t="shared" ca="1" si="73"/>
        <v>__X_</v>
      </c>
      <c r="L1583" t="str">
        <f t="shared" ca="1" si="74"/>
        <v/>
      </c>
      <c r="M1583" t="str">
        <f>IFERROR(INDEX(Inventory!A:A,MATCH(Scan!A1583,Inventory!E:E,0)),"")</f>
        <v/>
      </c>
    </row>
    <row r="1584" spans="2:13" x14ac:dyDescent="0.25">
      <c r="B1584" t="str">
        <f>IF(IFERROR(VLOOKUP(TRIM(A1584),Inventory!E:E,1,0),0)=0,"X","_")</f>
        <v>_</v>
      </c>
      <c r="C1584" t="str">
        <f>IF(IFERROR(VLOOKUP(TRIM(A1584),'Full Inventory'!F:F,1,0),0)=0,"X","_")</f>
        <v>_</v>
      </c>
      <c r="D1584" t="str">
        <f t="shared" si="72"/>
        <v>X</v>
      </c>
      <c r="E1584" t="str">
        <f ca="1">IFERROR(IF(AND(B1584&amp;C1584&amp;D1584="___",INDIRECT("Inventory!A"&amp;MATCH(VLOOKUP(A1584,Inventory!E:E,1,0),Inventory!E:E,0))&lt;&gt;INDIRECT("'Full Inventory'!B"&amp;MATCH(VLOOKUP(A1584,'Full Inventory'!F:F,1,0),'Full Inventory'!F:F,0))),"X","_"),"_")</f>
        <v>_</v>
      </c>
      <c r="K1584" t="str">
        <f t="shared" ca="1" si="73"/>
        <v>__X_</v>
      </c>
      <c r="L1584" t="str">
        <f t="shared" ca="1" si="74"/>
        <v/>
      </c>
      <c r="M1584" t="str">
        <f>IFERROR(INDEX(Inventory!A:A,MATCH(Scan!A1584,Inventory!E:E,0)),"")</f>
        <v/>
      </c>
    </row>
    <row r="1585" spans="2:13" x14ac:dyDescent="0.25">
      <c r="B1585" t="str">
        <f>IF(IFERROR(VLOOKUP(TRIM(A1585),Inventory!E:E,1,0),0)=0,"X","_")</f>
        <v>_</v>
      </c>
      <c r="C1585" t="str">
        <f>IF(IFERROR(VLOOKUP(TRIM(A1585),'Full Inventory'!F:F,1,0),0)=0,"X","_")</f>
        <v>_</v>
      </c>
      <c r="D1585" t="str">
        <f t="shared" si="72"/>
        <v>X</v>
      </c>
      <c r="E1585" t="str">
        <f ca="1">IFERROR(IF(AND(B1585&amp;C1585&amp;D1585="___",INDIRECT("Inventory!A"&amp;MATCH(VLOOKUP(A1585,Inventory!E:E,1,0),Inventory!E:E,0))&lt;&gt;INDIRECT("'Full Inventory'!B"&amp;MATCH(VLOOKUP(A1585,'Full Inventory'!F:F,1,0),'Full Inventory'!F:F,0))),"X","_"),"_")</f>
        <v>_</v>
      </c>
      <c r="K1585" t="str">
        <f t="shared" ca="1" si="73"/>
        <v>__X_</v>
      </c>
      <c r="L1585" t="str">
        <f t="shared" ca="1" si="74"/>
        <v/>
      </c>
      <c r="M1585" t="str">
        <f>IFERROR(INDEX(Inventory!A:A,MATCH(Scan!A1585,Inventory!E:E,0)),"")</f>
        <v/>
      </c>
    </row>
    <row r="1586" spans="2:13" x14ac:dyDescent="0.25">
      <c r="B1586" t="str">
        <f>IF(IFERROR(VLOOKUP(TRIM(A1586),Inventory!E:E,1,0),0)=0,"X","_")</f>
        <v>_</v>
      </c>
      <c r="C1586" t="str">
        <f>IF(IFERROR(VLOOKUP(TRIM(A1586),'Full Inventory'!F:F,1,0),0)=0,"X","_")</f>
        <v>_</v>
      </c>
      <c r="D1586" t="str">
        <f t="shared" si="72"/>
        <v>X</v>
      </c>
      <c r="E1586" t="str">
        <f ca="1">IFERROR(IF(AND(B1586&amp;C1586&amp;D1586="___",INDIRECT("Inventory!A"&amp;MATCH(VLOOKUP(A1586,Inventory!E:E,1,0),Inventory!E:E,0))&lt;&gt;INDIRECT("'Full Inventory'!B"&amp;MATCH(VLOOKUP(A1586,'Full Inventory'!F:F,1,0),'Full Inventory'!F:F,0))),"X","_"),"_")</f>
        <v>_</v>
      </c>
      <c r="K1586" t="str">
        <f t="shared" ca="1" si="73"/>
        <v>__X_</v>
      </c>
      <c r="L1586" t="str">
        <f t="shared" ca="1" si="74"/>
        <v/>
      </c>
      <c r="M1586" t="str">
        <f>IFERROR(INDEX(Inventory!A:A,MATCH(Scan!A1586,Inventory!E:E,0)),"")</f>
        <v/>
      </c>
    </row>
    <row r="1587" spans="2:13" x14ac:dyDescent="0.25">
      <c r="B1587" t="str">
        <f>IF(IFERROR(VLOOKUP(TRIM(A1587),Inventory!E:E,1,0),0)=0,"X","_")</f>
        <v>_</v>
      </c>
      <c r="C1587" t="str">
        <f>IF(IFERROR(VLOOKUP(TRIM(A1587),'Full Inventory'!F:F,1,0),0)=0,"X","_")</f>
        <v>_</v>
      </c>
      <c r="D1587" t="str">
        <f t="shared" si="72"/>
        <v>X</v>
      </c>
      <c r="E1587" t="str">
        <f ca="1">IFERROR(IF(AND(B1587&amp;C1587&amp;D1587="___",INDIRECT("Inventory!A"&amp;MATCH(VLOOKUP(A1587,Inventory!E:E,1,0),Inventory!E:E,0))&lt;&gt;INDIRECT("'Full Inventory'!B"&amp;MATCH(VLOOKUP(A1587,'Full Inventory'!F:F,1,0),'Full Inventory'!F:F,0))),"X","_"),"_")</f>
        <v>_</v>
      </c>
      <c r="K1587" t="str">
        <f t="shared" ca="1" si="73"/>
        <v>__X_</v>
      </c>
      <c r="L1587" t="str">
        <f t="shared" ca="1" si="74"/>
        <v/>
      </c>
      <c r="M1587" t="str">
        <f>IFERROR(INDEX(Inventory!A:A,MATCH(Scan!A1587,Inventory!E:E,0)),"")</f>
        <v/>
      </c>
    </row>
    <row r="1588" spans="2:13" x14ac:dyDescent="0.25">
      <c r="B1588" t="str">
        <f>IF(IFERROR(VLOOKUP(TRIM(A1588),Inventory!E:E,1,0),0)=0,"X","_")</f>
        <v>_</v>
      </c>
      <c r="C1588" t="str">
        <f>IF(IFERROR(VLOOKUP(TRIM(A1588),'Full Inventory'!F:F,1,0),0)=0,"X","_")</f>
        <v>_</v>
      </c>
      <c r="D1588" t="str">
        <f t="shared" si="72"/>
        <v>X</v>
      </c>
      <c r="E1588" t="str">
        <f ca="1">IFERROR(IF(AND(B1588&amp;C1588&amp;D1588="___",INDIRECT("Inventory!A"&amp;MATCH(VLOOKUP(A1588,Inventory!E:E,1,0),Inventory!E:E,0))&lt;&gt;INDIRECT("'Full Inventory'!B"&amp;MATCH(VLOOKUP(A1588,'Full Inventory'!F:F,1,0),'Full Inventory'!F:F,0))),"X","_"),"_")</f>
        <v>_</v>
      </c>
      <c r="K1588" t="str">
        <f t="shared" ca="1" si="73"/>
        <v>__X_</v>
      </c>
      <c r="L1588" t="str">
        <f t="shared" ca="1" si="74"/>
        <v/>
      </c>
      <c r="M1588" t="str">
        <f>IFERROR(INDEX(Inventory!A:A,MATCH(Scan!A1588,Inventory!E:E,0)),"")</f>
        <v/>
      </c>
    </row>
    <row r="1589" spans="2:13" x14ac:dyDescent="0.25">
      <c r="B1589" t="str">
        <f>IF(IFERROR(VLOOKUP(TRIM(A1589),Inventory!E:E,1,0),0)=0,"X","_")</f>
        <v>_</v>
      </c>
      <c r="C1589" t="str">
        <f>IF(IFERROR(VLOOKUP(TRIM(A1589),'Full Inventory'!F:F,1,0),0)=0,"X","_")</f>
        <v>_</v>
      </c>
      <c r="D1589" t="str">
        <f t="shared" si="72"/>
        <v>X</v>
      </c>
      <c r="E1589" t="str">
        <f ca="1">IFERROR(IF(AND(B1589&amp;C1589&amp;D1589="___",INDIRECT("Inventory!A"&amp;MATCH(VLOOKUP(A1589,Inventory!E:E,1,0),Inventory!E:E,0))&lt;&gt;INDIRECT("'Full Inventory'!B"&amp;MATCH(VLOOKUP(A1589,'Full Inventory'!F:F,1,0),'Full Inventory'!F:F,0))),"X","_"),"_")</f>
        <v>_</v>
      </c>
      <c r="K1589" t="str">
        <f t="shared" ca="1" si="73"/>
        <v>__X_</v>
      </c>
      <c r="L1589" t="str">
        <f t="shared" ca="1" si="74"/>
        <v/>
      </c>
      <c r="M1589" t="str">
        <f>IFERROR(INDEX(Inventory!A:A,MATCH(Scan!A1589,Inventory!E:E,0)),"")</f>
        <v/>
      </c>
    </row>
    <row r="1590" spans="2:13" x14ac:dyDescent="0.25">
      <c r="B1590" t="str">
        <f>IF(IFERROR(VLOOKUP(TRIM(A1590),Inventory!E:E,1,0),0)=0,"X","_")</f>
        <v>_</v>
      </c>
      <c r="C1590" t="str">
        <f>IF(IFERROR(VLOOKUP(TRIM(A1590),'Full Inventory'!F:F,1,0),0)=0,"X","_")</f>
        <v>_</v>
      </c>
      <c r="D1590" t="str">
        <f t="shared" si="72"/>
        <v>X</v>
      </c>
      <c r="E1590" t="str">
        <f ca="1">IFERROR(IF(AND(B1590&amp;C1590&amp;D1590="___",INDIRECT("Inventory!A"&amp;MATCH(VLOOKUP(A1590,Inventory!E:E,1,0),Inventory!E:E,0))&lt;&gt;INDIRECT("'Full Inventory'!B"&amp;MATCH(VLOOKUP(A1590,'Full Inventory'!F:F,1,0),'Full Inventory'!F:F,0))),"X","_"),"_")</f>
        <v>_</v>
      </c>
      <c r="K1590" t="str">
        <f t="shared" ca="1" si="73"/>
        <v>__X_</v>
      </c>
      <c r="L1590" t="str">
        <f t="shared" ca="1" si="74"/>
        <v/>
      </c>
      <c r="M1590" t="str">
        <f>IFERROR(INDEX(Inventory!A:A,MATCH(Scan!A1590,Inventory!E:E,0)),"")</f>
        <v/>
      </c>
    </row>
    <row r="1591" spans="2:13" x14ac:dyDescent="0.25">
      <c r="B1591" t="str">
        <f>IF(IFERROR(VLOOKUP(TRIM(A1591),Inventory!E:E,1,0),0)=0,"X","_")</f>
        <v>_</v>
      </c>
      <c r="C1591" t="str">
        <f>IF(IFERROR(VLOOKUP(TRIM(A1591),'Full Inventory'!F:F,1,0),0)=0,"X","_")</f>
        <v>_</v>
      </c>
      <c r="D1591" t="str">
        <f t="shared" si="72"/>
        <v>X</v>
      </c>
      <c r="E1591" t="str">
        <f ca="1">IFERROR(IF(AND(B1591&amp;C1591&amp;D1591="___",INDIRECT("Inventory!A"&amp;MATCH(VLOOKUP(A1591,Inventory!E:E,1,0),Inventory!E:E,0))&lt;&gt;INDIRECT("'Full Inventory'!B"&amp;MATCH(VLOOKUP(A1591,'Full Inventory'!F:F,1,0),'Full Inventory'!F:F,0))),"X","_"),"_")</f>
        <v>_</v>
      </c>
      <c r="K1591" t="str">
        <f t="shared" ca="1" si="73"/>
        <v>__X_</v>
      </c>
      <c r="L1591" t="str">
        <f t="shared" ca="1" si="74"/>
        <v/>
      </c>
      <c r="M1591" t="str">
        <f>IFERROR(INDEX(Inventory!A:A,MATCH(Scan!A1591,Inventory!E:E,0)),"")</f>
        <v/>
      </c>
    </row>
    <row r="1592" spans="2:13" x14ac:dyDescent="0.25">
      <c r="B1592" t="str">
        <f>IF(IFERROR(VLOOKUP(TRIM(A1592),Inventory!E:E,1,0),0)=0,"X","_")</f>
        <v>_</v>
      </c>
      <c r="C1592" t="str">
        <f>IF(IFERROR(VLOOKUP(TRIM(A1592),'Full Inventory'!F:F,1,0),0)=0,"X","_")</f>
        <v>_</v>
      </c>
      <c r="D1592" t="str">
        <f t="shared" si="72"/>
        <v>X</v>
      </c>
      <c r="E1592" t="str">
        <f ca="1">IFERROR(IF(AND(B1592&amp;C1592&amp;D1592="___",INDIRECT("Inventory!A"&amp;MATCH(VLOOKUP(A1592,Inventory!E:E,1,0),Inventory!E:E,0))&lt;&gt;INDIRECT("'Full Inventory'!B"&amp;MATCH(VLOOKUP(A1592,'Full Inventory'!F:F,1,0),'Full Inventory'!F:F,0))),"X","_"),"_")</f>
        <v>_</v>
      </c>
      <c r="K1592" t="str">
        <f t="shared" ca="1" si="73"/>
        <v>__X_</v>
      </c>
      <c r="L1592" t="str">
        <f t="shared" ca="1" si="74"/>
        <v/>
      </c>
      <c r="M1592" t="str">
        <f>IFERROR(INDEX(Inventory!A:A,MATCH(Scan!A1592,Inventory!E:E,0)),"")</f>
        <v/>
      </c>
    </row>
    <row r="1593" spans="2:13" x14ac:dyDescent="0.25">
      <c r="B1593" t="str">
        <f>IF(IFERROR(VLOOKUP(TRIM(A1593),Inventory!E:E,1,0),0)=0,"X","_")</f>
        <v>_</v>
      </c>
      <c r="C1593" t="str">
        <f>IF(IFERROR(VLOOKUP(TRIM(A1593),'Full Inventory'!F:F,1,0),0)=0,"X","_")</f>
        <v>_</v>
      </c>
      <c r="D1593" t="str">
        <f t="shared" si="72"/>
        <v>X</v>
      </c>
      <c r="E1593" t="str">
        <f ca="1">IFERROR(IF(AND(B1593&amp;C1593&amp;D1593="___",INDIRECT("Inventory!A"&amp;MATCH(VLOOKUP(A1593,Inventory!E:E,1,0),Inventory!E:E,0))&lt;&gt;INDIRECT("'Full Inventory'!B"&amp;MATCH(VLOOKUP(A1593,'Full Inventory'!F:F,1,0),'Full Inventory'!F:F,0))),"X","_"),"_")</f>
        <v>_</v>
      </c>
      <c r="K1593" t="str">
        <f t="shared" ca="1" si="73"/>
        <v>__X_</v>
      </c>
      <c r="L1593" t="str">
        <f t="shared" ca="1" si="74"/>
        <v/>
      </c>
      <c r="M1593" t="str">
        <f>IFERROR(INDEX(Inventory!A:A,MATCH(Scan!A1593,Inventory!E:E,0)),"")</f>
        <v/>
      </c>
    </row>
    <row r="1594" spans="2:13" x14ac:dyDescent="0.25">
      <c r="B1594" t="str">
        <f>IF(IFERROR(VLOOKUP(TRIM(A1594),Inventory!E:E,1,0),0)=0,"X","_")</f>
        <v>_</v>
      </c>
      <c r="C1594" t="str">
        <f>IF(IFERROR(VLOOKUP(TRIM(A1594),'Full Inventory'!F:F,1,0),0)=0,"X","_")</f>
        <v>_</v>
      </c>
      <c r="D1594" t="str">
        <f t="shared" si="72"/>
        <v>X</v>
      </c>
      <c r="E1594" t="str">
        <f ca="1">IFERROR(IF(AND(B1594&amp;C1594&amp;D1594="___",INDIRECT("Inventory!A"&amp;MATCH(VLOOKUP(A1594,Inventory!E:E,1,0),Inventory!E:E,0))&lt;&gt;INDIRECT("'Full Inventory'!B"&amp;MATCH(VLOOKUP(A1594,'Full Inventory'!F:F,1,0),'Full Inventory'!F:F,0))),"X","_"),"_")</f>
        <v>_</v>
      </c>
      <c r="K1594" t="str">
        <f t="shared" ca="1" si="73"/>
        <v>__X_</v>
      </c>
      <c r="L1594" t="str">
        <f t="shared" ca="1" si="74"/>
        <v/>
      </c>
      <c r="M1594" t="str">
        <f>IFERROR(INDEX(Inventory!A:A,MATCH(Scan!A1594,Inventory!E:E,0)),"")</f>
        <v/>
      </c>
    </row>
    <row r="1595" spans="2:13" x14ac:dyDescent="0.25">
      <c r="B1595" t="str">
        <f>IF(IFERROR(VLOOKUP(TRIM(A1595),Inventory!E:E,1,0),0)=0,"X","_")</f>
        <v>_</v>
      </c>
      <c r="C1595" t="str">
        <f>IF(IFERROR(VLOOKUP(TRIM(A1595),'Full Inventory'!F:F,1,0),0)=0,"X","_")</f>
        <v>_</v>
      </c>
      <c r="D1595" t="str">
        <f t="shared" si="72"/>
        <v>X</v>
      </c>
      <c r="E1595" t="str">
        <f ca="1">IFERROR(IF(AND(B1595&amp;C1595&amp;D1595="___",INDIRECT("Inventory!A"&amp;MATCH(VLOOKUP(A1595,Inventory!E:E,1,0),Inventory!E:E,0))&lt;&gt;INDIRECT("'Full Inventory'!B"&amp;MATCH(VLOOKUP(A1595,'Full Inventory'!F:F,1,0),'Full Inventory'!F:F,0))),"X","_"),"_")</f>
        <v>_</v>
      </c>
      <c r="K1595" t="str">
        <f t="shared" ca="1" si="73"/>
        <v>__X_</v>
      </c>
      <c r="L1595" t="str">
        <f t="shared" ca="1" si="74"/>
        <v/>
      </c>
      <c r="M1595" t="str">
        <f>IFERROR(INDEX(Inventory!A:A,MATCH(Scan!A1595,Inventory!E:E,0)),"")</f>
        <v/>
      </c>
    </row>
    <row r="1596" spans="2:13" x14ac:dyDescent="0.25">
      <c r="B1596" t="str">
        <f>IF(IFERROR(VLOOKUP(TRIM(A1596),Inventory!E:E,1,0),0)=0,"X","_")</f>
        <v>_</v>
      </c>
      <c r="C1596" t="str">
        <f>IF(IFERROR(VLOOKUP(TRIM(A1596),'Full Inventory'!F:F,1,0),0)=0,"X","_")</f>
        <v>_</v>
      </c>
      <c r="D1596" t="str">
        <f t="shared" si="72"/>
        <v>X</v>
      </c>
      <c r="E1596" t="str">
        <f ca="1">IFERROR(IF(AND(B1596&amp;C1596&amp;D1596="___",INDIRECT("Inventory!A"&amp;MATCH(VLOOKUP(A1596,Inventory!E:E,1,0),Inventory!E:E,0))&lt;&gt;INDIRECT("'Full Inventory'!B"&amp;MATCH(VLOOKUP(A1596,'Full Inventory'!F:F,1,0),'Full Inventory'!F:F,0))),"X","_"),"_")</f>
        <v>_</v>
      </c>
      <c r="K1596" t="str">
        <f t="shared" ca="1" si="73"/>
        <v>__X_</v>
      </c>
      <c r="L1596" t="str">
        <f t="shared" ca="1" si="74"/>
        <v/>
      </c>
      <c r="M1596" t="str">
        <f>IFERROR(INDEX(Inventory!A:A,MATCH(Scan!A1596,Inventory!E:E,0)),"")</f>
        <v/>
      </c>
    </row>
    <row r="1597" spans="2:13" x14ac:dyDescent="0.25">
      <c r="B1597" t="str">
        <f>IF(IFERROR(VLOOKUP(TRIM(A1597),Inventory!E:E,1,0),0)=0,"X","_")</f>
        <v>_</v>
      </c>
      <c r="C1597" t="str">
        <f>IF(IFERROR(VLOOKUP(TRIM(A1597),'Full Inventory'!F:F,1,0),0)=0,"X","_")</f>
        <v>_</v>
      </c>
      <c r="D1597" t="str">
        <f t="shared" si="72"/>
        <v>X</v>
      </c>
      <c r="E1597" t="str">
        <f ca="1">IFERROR(IF(AND(B1597&amp;C1597&amp;D1597="___",INDIRECT("Inventory!A"&amp;MATCH(VLOOKUP(A1597,Inventory!E:E,1,0),Inventory!E:E,0))&lt;&gt;INDIRECT("'Full Inventory'!B"&amp;MATCH(VLOOKUP(A1597,'Full Inventory'!F:F,1,0),'Full Inventory'!F:F,0))),"X","_"),"_")</f>
        <v>_</v>
      </c>
      <c r="K1597" t="str">
        <f t="shared" ca="1" si="73"/>
        <v>__X_</v>
      </c>
      <c r="L1597" t="str">
        <f t="shared" ca="1" si="74"/>
        <v/>
      </c>
      <c r="M1597" t="str">
        <f>IFERROR(INDEX(Inventory!A:A,MATCH(Scan!A1597,Inventory!E:E,0)),"")</f>
        <v/>
      </c>
    </row>
    <row r="1598" spans="2:13" x14ac:dyDescent="0.25">
      <c r="B1598" t="str">
        <f>IF(IFERROR(VLOOKUP(TRIM(A1598),Inventory!E:E,1,0),0)=0,"X","_")</f>
        <v>_</v>
      </c>
      <c r="C1598" t="str">
        <f>IF(IFERROR(VLOOKUP(TRIM(A1598),'Full Inventory'!F:F,1,0),0)=0,"X","_")</f>
        <v>_</v>
      </c>
      <c r="D1598" t="str">
        <f t="shared" si="72"/>
        <v>X</v>
      </c>
      <c r="E1598" t="str">
        <f ca="1">IFERROR(IF(AND(B1598&amp;C1598&amp;D1598="___",INDIRECT("Inventory!A"&amp;MATCH(VLOOKUP(A1598,Inventory!E:E,1,0),Inventory!E:E,0))&lt;&gt;INDIRECT("'Full Inventory'!B"&amp;MATCH(VLOOKUP(A1598,'Full Inventory'!F:F,1,0),'Full Inventory'!F:F,0))),"X","_"),"_")</f>
        <v>_</v>
      </c>
      <c r="K1598" t="str">
        <f t="shared" ca="1" si="73"/>
        <v>__X_</v>
      </c>
      <c r="L1598" t="str">
        <f t="shared" ca="1" si="74"/>
        <v/>
      </c>
      <c r="M1598" t="str">
        <f>IFERROR(INDEX(Inventory!A:A,MATCH(Scan!A1598,Inventory!E:E,0)),"")</f>
        <v/>
      </c>
    </row>
    <row r="1599" spans="2:13" x14ac:dyDescent="0.25">
      <c r="B1599" t="str">
        <f>IF(IFERROR(VLOOKUP(TRIM(A1599),Inventory!E:E,1,0),0)=0,"X","_")</f>
        <v>_</v>
      </c>
      <c r="C1599" t="str">
        <f>IF(IFERROR(VLOOKUP(TRIM(A1599),'Full Inventory'!F:F,1,0),0)=0,"X","_")</f>
        <v>_</v>
      </c>
      <c r="D1599" t="str">
        <f t="shared" si="72"/>
        <v>X</v>
      </c>
      <c r="E1599" t="str">
        <f ca="1">IFERROR(IF(AND(B1599&amp;C1599&amp;D1599="___",INDIRECT("Inventory!A"&amp;MATCH(VLOOKUP(A1599,Inventory!E:E,1,0),Inventory!E:E,0))&lt;&gt;INDIRECT("'Full Inventory'!B"&amp;MATCH(VLOOKUP(A1599,'Full Inventory'!F:F,1,0),'Full Inventory'!F:F,0))),"X","_"),"_")</f>
        <v>_</v>
      </c>
      <c r="K1599" t="str">
        <f t="shared" ca="1" si="73"/>
        <v>__X_</v>
      </c>
      <c r="L1599" t="str">
        <f t="shared" ca="1" si="74"/>
        <v/>
      </c>
      <c r="M1599" t="str">
        <f>IFERROR(INDEX(Inventory!A:A,MATCH(Scan!A1599,Inventory!E:E,0)),"")</f>
        <v/>
      </c>
    </row>
    <row r="1600" spans="2:13" x14ac:dyDescent="0.25">
      <c r="B1600" t="str">
        <f>IF(IFERROR(VLOOKUP(TRIM(A1600),Inventory!E:E,1,0),0)=0,"X","_")</f>
        <v>_</v>
      </c>
      <c r="C1600" t="str">
        <f>IF(IFERROR(VLOOKUP(TRIM(A1600),'Full Inventory'!F:F,1,0),0)=0,"X","_")</f>
        <v>_</v>
      </c>
      <c r="D1600" t="str">
        <f t="shared" si="72"/>
        <v>X</v>
      </c>
      <c r="E1600" t="str">
        <f ca="1">IFERROR(IF(AND(B1600&amp;C1600&amp;D1600="___",INDIRECT("Inventory!A"&amp;MATCH(VLOOKUP(A1600,Inventory!E:E,1,0),Inventory!E:E,0))&lt;&gt;INDIRECT("'Full Inventory'!B"&amp;MATCH(VLOOKUP(A1600,'Full Inventory'!F:F,1,0),'Full Inventory'!F:F,0))),"X","_"),"_")</f>
        <v>_</v>
      </c>
      <c r="K1600" t="str">
        <f t="shared" ca="1" si="73"/>
        <v>__X_</v>
      </c>
      <c r="L1600" t="str">
        <f t="shared" ca="1" si="74"/>
        <v/>
      </c>
      <c r="M1600" t="str">
        <f>IFERROR(INDEX(Inventory!A:A,MATCH(Scan!A1600,Inventory!E:E,0)),"")</f>
        <v/>
      </c>
    </row>
    <row r="1601" spans="2:13" x14ac:dyDescent="0.25">
      <c r="B1601" t="str">
        <f>IF(IFERROR(VLOOKUP(TRIM(A1601),Inventory!E:E,1,0),0)=0,"X","_")</f>
        <v>_</v>
      </c>
      <c r="C1601" t="str">
        <f>IF(IFERROR(VLOOKUP(TRIM(A1601),'Full Inventory'!F:F,1,0),0)=0,"X","_")</f>
        <v>_</v>
      </c>
      <c r="D1601" t="str">
        <f t="shared" si="72"/>
        <v>X</v>
      </c>
      <c r="E1601" t="str">
        <f ca="1">IFERROR(IF(AND(B1601&amp;C1601&amp;D1601="___",INDIRECT("Inventory!A"&amp;MATCH(VLOOKUP(A1601,Inventory!E:E,1,0),Inventory!E:E,0))&lt;&gt;INDIRECT("'Full Inventory'!B"&amp;MATCH(VLOOKUP(A1601,'Full Inventory'!F:F,1,0),'Full Inventory'!F:F,0))),"X","_"),"_")</f>
        <v>_</v>
      </c>
      <c r="K1601" t="str">
        <f t="shared" ca="1" si="73"/>
        <v>__X_</v>
      </c>
      <c r="L1601" t="str">
        <f t="shared" ca="1" si="74"/>
        <v/>
      </c>
      <c r="M1601" t="str">
        <f>IFERROR(INDEX(Inventory!A:A,MATCH(Scan!A1601,Inventory!E:E,0)),"")</f>
        <v/>
      </c>
    </row>
    <row r="1602" spans="2:13" x14ac:dyDescent="0.25">
      <c r="B1602" t="str">
        <f>IF(IFERROR(VLOOKUP(TRIM(A1602),Inventory!E:E,1,0),0)=0,"X","_")</f>
        <v>_</v>
      </c>
      <c r="C1602" t="str">
        <f>IF(IFERROR(VLOOKUP(TRIM(A1602),'Full Inventory'!F:F,1,0),0)=0,"X","_")</f>
        <v>_</v>
      </c>
      <c r="D1602" t="str">
        <f t="shared" ref="D1602:D1665" si="75">IF(TRIM(A1602)&lt;&gt;"","_","X")</f>
        <v>X</v>
      </c>
      <c r="E1602" t="str">
        <f ca="1">IFERROR(IF(AND(B1602&amp;C1602&amp;D1602="___",INDIRECT("Inventory!A"&amp;MATCH(VLOOKUP(A1602,Inventory!E:E,1,0),Inventory!E:E,0))&lt;&gt;INDIRECT("'Full Inventory'!B"&amp;MATCH(VLOOKUP(A1602,'Full Inventory'!F:F,1,0),'Full Inventory'!F:F,0))),"X","_"),"_")</f>
        <v>_</v>
      </c>
      <c r="K1602" t="str">
        <f t="shared" ca="1" si="73"/>
        <v>__X_</v>
      </c>
      <c r="L1602" t="str">
        <f t="shared" ca="1" si="74"/>
        <v/>
      </c>
      <c r="M1602" t="str">
        <f>IFERROR(INDEX(Inventory!A:A,MATCH(Scan!A1602,Inventory!E:E,0)),"")</f>
        <v/>
      </c>
    </row>
    <row r="1603" spans="2:13" x14ac:dyDescent="0.25">
      <c r="B1603" t="str">
        <f>IF(IFERROR(VLOOKUP(TRIM(A1603),Inventory!E:E,1,0),0)=0,"X","_")</f>
        <v>_</v>
      </c>
      <c r="C1603" t="str">
        <f>IF(IFERROR(VLOOKUP(TRIM(A1603),'Full Inventory'!F:F,1,0),0)=0,"X","_")</f>
        <v>_</v>
      </c>
      <c r="D1603" t="str">
        <f t="shared" si="75"/>
        <v>X</v>
      </c>
      <c r="E1603" t="str">
        <f ca="1">IFERROR(IF(AND(B1603&amp;C1603&amp;D1603="___",INDIRECT("Inventory!A"&amp;MATCH(VLOOKUP(A1603,Inventory!E:E,1,0),Inventory!E:E,0))&lt;&gt;INDIRECT("'Full Inventory'!B"&amp;MATCH(VLOOKUP(A1603,'Full Inventory'!F:F,1,0),'Full Inventory'!F:F,0))),"X","_"),"_")</f>
        <v>_</v>
      </c>
      <c r="K1603" t="str">
        <f t="shared" ref="K1603:K1666" ca="1" si="76">B1603&amp;C1603&amp;D1603&amp;E1603</f>
        <v>__X_</v>
      </c>
      <c r="L1603" t="str">
        <f t="shared" ref="L1603:L1666" ca="1" si="77">IF(K1603="____","OK",IF(K1603="_X__","NOT IN FULL INVENTORY",IF(K1603="XX__","NOT IN FULL INVENTORY AND INVENTORY",IF(K1603="X___","NOT IN INVENTORY",IF(K1603="___X","DIFFERENT NAMES IN FULL INVENTORY AND INVENTORY","")))))</f>
        <v/>
      </c>
      <c r="M1603" t="str">
        <f>IFERROR(INDEX(Inventory!A:A,MATCH(Scan!A1603,Inventory!E:E,0)),"")</f>
        <v/>
      </c>
    </row>
    <row r="1604" spans="2:13" x14ac:dyDescent="0.25">
      <c r="B1604" t="str">
        <f>IF(IFERROR(VLOOKUP(TRIM(A1604),Inventory!E:E,1,0),0)=0,"X","_")</f>
        <v>_</v>
      </c>
      <c r="C1604" t="str">
        <f>IF(IFERROR(VLOOKUP(TRIM(A1604),'Full Inventory'!F:F,1,0),0)=0,"X","_")</f>
        <v>_</v>
      </c>
      <c r="D1604" t="str">
        <f t="shared" si="75"/>
        <v>X</v>
      </c>
      <c r="E1604" t="str">
        <f ca="1">IFERROR(IF(AND(B1604&amp;C1604&amp;D1604="___",INDIRECT("Inventory!A"&amp;MATCH(VLOOKUP(A1604,Inventory!E:E,1,0),Inventory!E:E,0))&lt;&gt;INDIRECT("'Full Inventory'!B"&amp;MATCH(VLOOKUP(A1604,'Full Inventory'!F:F,1,0),'Full Inventory'!F:F,0))),"X","_"),"_")</f>
        <v>_</v>
      </c>
      <c r="K1604" t="str">
        <f t="shared" ca="1" si="76"/>
        <v>__X_</v>
      </c>
      <c r="L1604" t="str">
        <f t="shared" ca="1" si="77"/>
        <v/>
      </c>
      <c r="M1604" t="str">
        <f>IFERROR(INDEX(Inventory!A:A,MATCH(Scan!A1604,Inventory!E:E,0)),"")</f>
        <v/>
      </c>
    </row>
    <row r="1605" spans="2:13" x14ac:dyDescent="0.25">
      <c r="B1605" t="str">
        <f>IF(IFERROR(VLOOKUP(TRIM(A1605),Inventory!E:E,1,0),0)=0,"X","_")</f>
        <v>_</v>
      </c>
      <c r="C1605" t="str">
        <f>IF(IFERROR(VLOOKUP(TRIM(A1605),'Full Inventory'!F:F,1,0),0)=0,"X","_")</f>
        <v>_</v>
      </c>
      <c r="D1605" t="str">
        <f t="shared" si="75"/>
        <v>X</v>
      </c>
      <c r="E1605" t="str">
        <f ca="1">IFERROR(IF(AND(B1605&amp;C1605&amp;D1605="___",INDIRECT("Inventory!A"&amp;MATCH(VLOOKUP(A1605,Inventory!E:E,1,0),Inventory!E:E,0))&lt;&gt;INDIRECT("'Full Inventory'!B"&amp;MATCH(VLOOKUP(A1605,'Full Inventory'!F:F,1,0),'Full Inventory'!F:F,0))),"X","_"),"_")</f>
        <v>_</v>
      </c>
      <c r="K1605" t="str">
        <f t="shared" ca="1" si="76"/>
        <v>__X_</v>
      </c>
      <c r="L1605" t="str">
        <f t="shared" ca="1" si="77"/>
        <v/>
      </c>
      <c r="M1605" t="str">
        <f>IFERROR(INDEX(Inventory!A:A,MATCH(Scan!A1605,Inventory!E:E,0)),"")</f>
        <v/>
      </c>
    </row>
    <row r="1606" spans="2:13" x14ac:dyDescent="0.25">
      <c r="B1606" t="str">
        <f>IF(IFERROR(VLOOKUP(TRIM(A1606),Inventory!E:E,1,0),0)=0,"X","_")</f>
        <v>_</v>
      </c>
      <c r="C1606" t="str">
        <f>IF(IFERROR(VLOOKUP(TRIM(A1606),'Full Inventory'!F:F,1,0),0)=0,"X","_")</f>
        <v>_</v>
      </c>
      <c r="D1606" t="str">
        <f t="shared" si="75"/>
        <v>X</v>
      </c>
      <c r="E1606" t="str">
        <f ca="1">IFERROR(IF(AND(B1606&amp;C1606&amp;D1606="___",INDIRECT("Inventory!A"&amp;MATCH(VLOOKUP(A1606,Inventory!E:E,1,0),Inventory!E:E,0))&lt;&gt;INDIRECT("'Full Inventory'!B"&amp;MATCH(VLOOKUP(A1606,'Full Inventory'!F:F,1,0),'Full Inventory'!F:F,0))),"X","_"),"_")</f>
        <v>_</v>
      </c>
      <c r="K1606" t="str">
        <f t="shared" ca="1" si="76"/>
        <v>__X_</v>
      </c>
      <c r="L1606" t="str">
        <f t="shared" ca="1" si="77"/>
        <v/>
      </c>
      <c r="M1606" t="str">
        <f>IFERROR(INDEX(Inventory!A:A,MATCH(Scan!A1606,Inventory!E:E,0)),"")</f>
        <v/>
      </c>
    </row>
    <row r="1607" spans="2:13" x14ac:dyDescent="0.25">
      <c r="B1607" t="str">
        <f>IF(IFERROR(VLOOKUP(TRIM(A1607),Inventory!E:E,1,0),0)=0,"X","_")</f>
        <v>_</v>
      </c>
      <c r="C1607" t="str">
        <f>IF(IFERROR(VLOOKUP(TRIM(A1607),'Full Inventory'!F:F,1,0),0)=0,"X","_")</f>
        <v>_</v>
      </c>
      <c r="D1607" t="str">
        <f t="shared" si="75"/>
        <v>X</v>
      </c>
      <c r="E1607" t="str">
        <f ca="1">IFERROR(IF(AND(B1607&amp;C1607&amp;D1607="___",INDIRECT("Inventory!A"&amp;MATCH(VLOOKUP(A1607,Inventory!E:E,1,0),Inventory!E:E,0))&lt;&gt;INDIRECT("'Full Inventory'!B"&amp;MATCH(VLOOKUP(A1607,'Full Inventory'!F:F,1,0),'Full Inventory'!F:F,0))),"X","_"),"_")</f>
        <v>_</v>
      </c>
      <c r="K1607" t="str">
        <f t="shared" ca="1" si="76"/>
        <v>__X_</v>
      </c>
      <c r="L1607" t="str">
        <f t="shared" ca="1" si="77"/>
        <v/>
      </c>
      <c r="M1607" t="str">
        <f>IFERROR(INDEX(Inventory!A:A,MATCH(Scan!A1607,Inventory!E:E,0)),"")</f>
        <v/>
      </c>
    </row>
    <row r="1608" spans="2:13" x14ac:dyDescent="0.25">
      <c r="B1608" t="str">
        <f>IF(IFERROR(VLOOKUP(TRIM(A1608),Inventory!E:E,1,0),0)=0,"X","_")</f>
        <v>_</v>
      </c>
      <c r="C1608" t="str">
        <f>IF(IFERROR(VLOOKUP(TRIM(A1608),'Full Inventory'!F:F,1,0),0)=0,"X","_")</f>
        <v>_</v>
      </c>
      <c r="D1608" t="str">
        <f t="shared" si="75"/>
        <v>X</v>
      </c>
      <c r="E1608" t="str">
        <f ca="1">IFERROR(IF(AND(B1608&amp;C1608&amp;D1608="___",INDIRECT("Inventory!A"&amp;MATCH(VLOOKUP(A1608,Inventory!E:E,1,0),Inventory!E:E,0))&lt;&gt;INDIRECT("'Full Inventory'!B"&amp;MATCH(VLOOKUP(A1608,'Full Inventory'!F:F,1,0),'Full Inventory'!F:F,0))),"X","_"),"_")</f>
        <v>_</v>
      </c>
      <c r="K1608" t="str">
        <f t="shared" ca="1" si="76"/>
        <v>__X_</v>
      </c>
      <c r="L1608" t="str">
        <f t="shared" ca="1" si="77"/>
        <v/>
      </c>
      <c r="M1608" t="str">
        <f>IFERROR(INDEX(Inventory!A:A,MATCH(Scan!A1608,Inventory!E:E,0)),"")</f>
        <v/>
      </c>
    </row>
    <row r="1609" spans="2:13" x14ac:dyDescent="0.25">
      <c r="B1609" t="str">
        <f>IF(IFERROR(VLOOKUP(TRIM(A1609),Inventory!E:E,1,0),0)=0,"X","_")</f>
        <v>_</v>
      </c>
      <c r="C1609" t="str">
        <f>IF(IFERROR(VLOOKUP(TRIM(A1609),'Full Inventory'!F:F,1,0),0)=0,"X","_")</f>
        <v>_</v>
      </c>
      <c r="D1609" t="str">
        <f t="shared" si="75"/>
        <v>X</v>
      </c>
      <c r="E1609" t="str">
        <f ca="1">IFERROR(IF(AND(B1609&amp;C1609&amp;D1609="___",INDIRECT("Inventory!A"&amp;MATCH(VLOOKUP(A1609,Inventory!E:E,1,0),Inventory!E:E,0))&lt;&gt;INDIRECT("'Full Inventory'!B"&amp;MATCH(VLOOKUP(A1609,'Full Inventory'!F:F,1,0),'Full Inventory'!F:F,0))),"X","_"),"_")</f>
        <v>_</v>
      </c>
      <c r="K1609" t="str">
        <f t="shared" ca="1" si="76"/>
        <v>__X_</v>
      </c>
      <c r="L1609" t="str">
        <f t="shared" ca="1" si="77"/>
        <v/>
      </c>
      <c r="M1609" t="str">
        <f>IFERROR(INDEX(Inventory!A:A,MATCH(Scan!A1609,Inventory!E:E,0)),"")</f>
        <v/>
      </c>
    </row>
    <row r="1610" spans="2:13" x14ac:dyDescent="0.25">
      <c r="B1610" t="str">
        <f>IF(IFERROR(VLOOKUP(TRIM(A1610),Inventory!E:E,1,0),0)=0,"X","_")</f>
        <v>_</v>
      </c>
      <c r="C1610" t="str">
        <f>IF(IFERROR(VLOOKUP(TRIM(A1610),'Full Inventory'!F:F,1,0),0)=0,"X","_")</f>
        <v>_</v>
      </c>
      <c r="D1610" t="str">
        <f t="shared" si="75"/>
        <v>X</v>
      </c>
      <c r="E1610" t="str">
        <f ca="1">IFERROR(IF(AND(B1610&amp;C1610&amp;D1610="___",INDIRECT("Inventory!A"&amp;MATCH(VLOOKUP(A1610,Inventory!E:E,1,0),Inventory!E:E,0))&lt;&gt;INDIRECT("'Full Inventory'!B"&amp;MATCH(VLOOKUP(A1610,'Full Inventory'!F:F,1,0),'Full Inventory'!F:F,0))),"X","_"),"_")</f>
        <v>_</v>
      </c>
      <c r="K1610" t="str">
        <f t="shared" ca="1" si="76"/>
        <v>__X_</v>
      </c>
      <c r="L1610" t="str">
        <f t="shared" ca="1" si="77"/>
        <v/>
      </c>
      <c r="M1610" t="str">
        <f>IFERROR(INDEX(Inventory!A:A,MATCH(Scan!A1610,Inventory!E:E,0)),"")</f>
        <v/>
      </c>
    </row>
    <row r="1611" spans="2:13" x14ac:dyDescent="0.25">
      <c r="B1611" t="str">
        <f>IF(IFERROR(VLOOKUP(TRIM(A1611),Inventory!E:E,1,0),0)=0,"X","_")</f>
        <v>_</v>
      </c>
      <c r="C1611" t="str">
        <f>IF(IFERROR(VLOOKUP(TRIM(A1611),'Full Inventory'!F:F,1,0),0)=0,"X","_")</f>
        <v>_</v>
      </c>
      <c r="D1611" t="str">
        <f t="shared" si="75"/>
        <v>X</v>
      </c>
      <c r="E1611" t="str">
        <f ca="1">IFERROR(IF(AND(B1611&amp;C1611&amp;D1611="___",INDIRECT("Inventory!A"&amp;MATCH(VLOOKUP(A1611,Inventory!E:E,1,0),Inventory!E:E,0))&lt;&gt;INDIRECT("'Full Inventory'!B"&amp;MATCH(VLOOKUP(A1611,'Full Inventory'!F:F,1,0),'Full Inventory'!F:F,0))),"X","_"),"_")</f>
        <v>_</v>
      </c>
      <c r="K1611" t="str">
        <f t="shared" ca="1" si="76"/>
        <v>__X_</v>
      </c>
      <c r="L1611" t="str">
        <f t="shared" ca="1" si="77"/>
        <v/>
      </c>
      <c r="M1611" t="str">
        <f>IFERROR(INDEX(Inventory!A:A,MATCH(Scan!A1611,Inventory!E:E,0)),"")</f>
        <v/>
      </c>
    </row>
    <row r="1612" spans="2:13" x14ac:dyDescent="0.25">
      <c r="B1612" t="str">
        <f>IF(IFERROR(VLOOKUP(TRIM(A1612),Inventory!E:E,1,0),0)=0,"X","_")</f>
        <v>_</v>
      </c>
      <c r="C1612" t="str">
        <f>IF(IFERROR(VLOOKUP(TRIM(A1612),'Full Inventory'!F:F,1,0),0)=0,"X","_")</f>
        <v>_</v>
      </c>
      <c r="D1612" t="str">
        <f t="shared" si="75"/>
        <v>X</v>
      </c>
      <c r="E1612" t="str">
        <f ca="1">IFERROR(IF(AND(B1612&amp;C1612&amp;D1612="___",INDIRECT("Inventory!A"&amp;MATCH(VLOOKUP(A1612,Inventory!E:E,1,0),Inventory!E:E,0))&lt;&gt;INDIRECT("'Full Inventory'!B"&amp;MATCH(VLOOKUP(A1612,'Full Inventory'!F:F,1,0),'Full Inventory'!F:F,0))),"X","_"),"_")</f>
        <v>_</v>
      </c>
      <c r="K1612" t="str">
        <f t="shared" ca="1" si="76"/>
        <v>__X_</v>
      </c>
      <c r="L1612" t="str">
        <f t="shared" ca="1" si="77"/>
        <v/>
      </c>
      <c r="M1612" t="str">
        <f>IFERROR(INDEX(Inventory!A:A,MATCH(Scan!A1612,Inventory!E:E,0)),"")</f>
        <v/>
      </c>
    </row>
    <row r="1613" spans="2:13" x14ac:dyDescent="0.25">
      <c r="B1613" t="str">
        <f>IF(IFERROR(VLOOKUP(TRIM(A1613),Inventory!E:E,1,0),0)=0,"X","_")</f>
        <v>_</v>
      </c>
      <c r="C1613" t="str">
        <f>IF(IFERROR(VLOOKUP(TRIM(A1613),'Full Inventory'!F:F,1,0),0)=0,"X","_")</f>
        <v>_</v>
      </c>
      <c r="D1613" t="str">
        <f t="shared" si="75"/>
        <v>X</v>
      </c>
      <c r="E1613" t="str">
        <f ca="1">IFERROR(IF(AND(B1613&amp;C1613&amp;D1613="___",INDIRECT("Inventory!A"&amp;MATCH(VLOOKUP(A1613,Inventory!E:E,1,0),Inventory!E:E,0))&lt;&gt;INDIRECT("'Full Inventory'!B"&amp;MATCH(VLOOKUP(A1613,'Full Inventory'!F:F,1,0),'Full Inventory'!F:F,0))),"X","_"),"_")</f>
        <v>_</v>
      </c>
      <c r="K1613" t="str">
        <f t="shared" ca="1" si="76"/>
        <v>__X_</v>
      </c>
      <c r="L1613" t="str">
        <f t="shared" ca="1" si="77"/>
        <v/>
      </c>
      <c r="M1613" t="str">
        <f>IFERROR(INDEX(Inventory!A:A,MATCH(Scan!A1613,Inventory!E:E,0)),"")</f>
        <v/>
      </c>
    </row>
    <row r="1614" spans="2:13" x14ac:dyDescent="0.25">
      <c r="B1614" t="str">
        <f>IF(IFERROR(VLOOKUP(TRIM(A1614),Inventory!E:E,1,0),0)=0,"X","_")</f>
        <v>_</v>
      </c>
      <c r="C1614" t="str">
        <f>IF(IFERROR(VLOOKUP(TRIM(A1614),'Full Inventory'!F:F,1,0),0)=0,"X","_")</f>
        <v>_</v>
      </c>
      <c r="D1614" t="str">
        <f t="shared" si="75"/>
        <v>X</v>
      </c>
      <c r="E1614" t="str">
        <f ca="1">IFERROR(IF(AND(B1614&amp;C1614&amp;D1614="___",INDIRECT("Inventory!A"&amp;MATCH(VLOOKUP(A1614,Inventory!E:E,1,0),Inventory!E:E,0))&lt;&gt;INDIRECT("'Full Inventory'!B"&amp;MATCH(VLOOKUP(A1614,'Full Inventory'!F:F,1,0),'Full Inventory'!F:F,0))),"X","_"),"_")</f>
        <v>_</v>
      </c>
      <c r="K1614" t="str">
        <f t="shared" ca="1" si="76"/>
        <v>__X_</v>
      </c>
      <c r="L1614" t="str">
        <f t="shared" ca="1" si="77"/>
        <v/>
      </c>
      <c r="M1614" t="str">
        <f>IFERROR(INDEX(Inventory!A:A,MATCH(Scan!A1614,Inventory!E:E,0)),"")</f>
        <v/>
      </c>
    </row>
    <row r="1615" spans="2:13" x14ac:dyDescent="0.25">
      <c r="B1615" t="str">
        <f>IF(IFERROR(VLOOKUP(TRIM(A1615),Inventory!E:E,1,0),0)=0,"X","_")</f>
        <v>_</v>
      </c>
      <c r="C1615" t="str">
        <f>IF(IFERROR(VLOOKUP(TRIM(A1615),'Full Inventory'!F:F,1,0),0)=0,"X","_")</f>
        <v>_</v>
      </c>
      <c r="D1615" t="str">
        <f t="shared" si="75"/>
        <v>X</v>
      </c>
      <c r="E1615" t="str">
        <f ca="1">IFERROR(IF(AND(B1615&amp;C1615&amp;D1615="___",INDIRECT("Inventory!A"&amp;MATCH(VLOOKUP(A1615,Inventory!E:E,1,0),Inventory!E:E,0))&lt;&gt;INDIRECT("'Full Inventory'!B"&amp;MATCH(VLOOKUP(A1615,'Full Inventory'!F:F,1,0),'Full Inventory'!F:F,0))),"X","_"),"_")</f>
        <v>_</v>
      </c>
      <c r="K1615" t="str">
        <f t="shared" ca="1" si="76"/>
        <v>__X_</v>
      </c>
      <c r="L1615" t="str">
        <f t="shared" ca="1" si="77"/>
        <v/>
      </c>
      <c r="M1615" t="str">
        <f>IFERROR(INDEX(Inventory!A:A,MATCH(Scan!A1615,Inventory!E:E,0)),"")</f>
        <v/>
      </c>
    </row>
    <row r="1616" spans="2:13" x14ac:dyDescent="0.25">
      <c r="B1616" t="str">
        <f>IF(IFERROR(VLOOKUP(TRIM(A1616),Inventory!E:E,1,0),0)=0,"X","_")</f>
        <v>_</v>
      </c>
      <c r="C1616" t="str">
        <f>IF(IFERROR(VLOOKUP(TRIM(A1616),'Full Inventory'!F:F,1,0),0)=0,"X","_")</f>
        <v>_</v>
      </c>
      <c r="D1616" t="str">
        <f t="shared" si="75"/>
        <v>X</v>
      </c>
      <c r="E1616" t="str">
        <f ca="1">IFERROR(IF(AND(B1616&amp;C1616&amp;D1616="___",INDIRECT("Inventory!A"&amp;MATCH(VLOOKUP(A1616,Inventory!E:E,1,0),Inventory!E:E,0))&lt;&gt;INDIRECT("'Full Inventory'!B"&amp;MATCH(VLOOKUP(A1616,'Full Inventory'!F:F,1,0),'Full Inventory'!F:F,0))),"X","_"),"_")</f>
        <v>_</v>
      </c>
      <c r="K1616" t="str">
        <f t="shared" ca="1" si="76"/>
        <v>__X_</v>
      </c>
      <c r="L1616" t="str">
        <f t="shared" ca="1" si="77"/>
        <v/>
      </c>
      <c r="M1616" t="str">
        <f>IFERROR(INDEX(Inventory!A:A,MATCH(Scan!A1616,Inventory!E:E,0)),"")</f>
        <v/>
      </c>
    </row>
    <row r="1617" spans="2:13" x14ac:dyDescent="0.25">
      <c r="B1617" t="str">
        <f>IF(IFERROR(VLOOKUP(TRIM(A1617),Inventory!E:E,1,0),0)=0,"X","_")</f>
        <v>_</v>
      </c>
      <c r="C1617" t="str">
        <f>IF(IFERROR(VLOOKUP(TRIM(A1617),'Full Inventory'!F:F,1,0),0)=0,"X","_")</f>
        <v>_</v>
      </c>
      <c r="D1617" t="str">
        <f t="shared" si="75"/>
        <v>X</v>
      </c>
      <c r="E1617" t="str">
        <f ca="1">IFERROR(IF(AND(B1617&amp;C1617&amp;D1617="___",INDIRECT("Inventory!A"&amp;MATCH(VLOOKUP(A1617,Inventory!E:E,1,0),Inventory!E:E,0))&lt;&gt;INDIRECT("'Full Inventory'!B"&amp;MATCH(VLOOKUP(A1617,'Full Inventory'!F:F,1,0),'Full Inventory'!F:F,0))),"X","_"),"_")</f>
        <v>_</v>
      </c>
      <c r="K1617" t="str">
        <f t="shared" ca="1" si="76"/>
        <v>__X_</v>
      </c>
      <c r="L1617" t="str">
        <f t="shared" ca="1" si="77"/>
        <v/>
      </c>
      <c r="M1617" t="str">
        <f>IFERROR(INDEX(Inventory!A:A,MATCH(Scan!A1617,Inventory!E:E,0)),"")</f>
        <v/>
      </c>
    </row>
    <row r="1618" spans="2:13" x14ac:dyDescent="0.25">
      <c r="B1618" t="str">
        <f>IF(IFERROR(VLOOKUP(TRIM(A1618),Inventory!E:E,1,0),0)=0,"X","_")</f>
        <v>_</v>
      </c>
      <c r="C1618" t="str">
        <f>IF(IFERROR(VLOOKUP(TRIM(A1618),'Full Inventory'!F:F,1,0),0)=0,"X","_")</f>
        <v>_</v>
      </c>
      <c r="D1618" t="str">
        <f t="shared" si="75"/>
        <v>X</v>
      </c>
      <c r="E1618" t="str">
        <f ca="1">IFERROR(IF(AND(B1618&amp;C1618&amp;D1618="___",INDIRECT("Inventory!A"&amp;MATCH(VLOOKUP(A1618,Inventory!E:E,1,0),Inventory!E:E,0))&lt;&gt;INDIRECT("'Full Inventory'!B"&amp;MATCH(VLOOKUP(A1618,'Full Inventory'!F:F,1,0),'Full Inventory'!F:F,0))),"X","_"),"_")</f>
        <v>_</v>
      </c>
      <c r="K1618" t="str">
        <f t="shared" ca="1" si="76"/>
        <v>__X_</v>
      </c>
      <c r="L1618" t="str">
        <f t="shared" ca="1" si="77"/>
        <v/>
      </c>
      <c r="M1618" t="str">
        <f>IFERROR(INDEX(Inventory!A:A,MATCH(Scan!A1618,Inventory!E:E,0)),"")</f>
        <v/>
      </c>
    </row>
    <row r="1619" spans="2:13" x14ac:dyDescent="0.25">
      <c r="B1619" t="str">
        <f>IF(IFERROR(VLOOKUP(TRIM(A1619),Inventory!E:E,1,0),0)=0,"X","_")</f>
        <v>_</v>
      </c>
      <c r="C1619" t="str">
        <f>IF(IFERROR(VLOOKUP(TRIM(A1619),'Full Inventory'!F:F,1,0),0)=0,"X","_")</f>
        <v>_</v>
      </c>
      <c r="D1619" t="str">
        <f t="shared" si="75"/>
        <v>X</v>
      </c>
      <c r="E1619" t="str">
        <f ca="1">IFERROR(IF(AND(B1619&amp;C1619&amp;D1619="___",INDIRECT("Inventory!A"&amp;MATCH(VLOOKUP(A1619,Inventory!E:E,1,0),Inventory!E:E,0))&lt;&gt;INDIRECT("'Full Inventory'!B"&amp;MATCH(VLOOKUP(A1619,'Full Inventory'!F:F,1,0),'Full Inventory'!F:F,0))),"X","_"),"_")</f>
        <v>_</v>
      </c>
      <c r="K1619" t="str">
        <f t="shared" ca="1" si="76"/>
        <v>__X_</v>
      </c>
      <c r="L1619" t="str">
        <f t="shared" ca="1" si="77"/>
        <v/>
      </c>
      <c r="M1619" t="str">
        <f>IFERROR(INDEX(Inventory!A:A,MATCH(Scan!A1619,Inventory!E:E,0)),"")</f>
        <v/>
      </c>
    </row>
    <row r="1620" spans="2:13" x14ac:dyDescent="0.25">
      <c r="B1620" t="str">
        <f>IF(IFERROR(VLOOKUP(TRIM(A1620),Inventory!E:E,1,0),0)=0,"X","_")</f>
        <v>_</v>
      </c>
      <c r="C1620" t="str">
        <f>IF(IFERROR(VLOOKUP(TRIM(A1620),'Full Inventory'!F:F,1,0),0)=0,"X","_")</f>
        <v>_</v>
      </c>
      <c r="D1620" t="str">
        <f t="shared" si="75"/>
        <v>X</v>
      </c>
      <c r="E1620" t="str">
        <f ca="1">IFERROR(IF(AND(B1620&amp;C1620&amp;D1620="___",INDIRECT("Inventory!A"&amp;MATCH(VLOOKUP(A1620,Inventory!E:E,1,0),Inventory!E:E,0))&lt;&gt;INDIRECT("'Full Inventory'!B"&amp;MATCH(VLOOKUP(A1620,'Full Inventory'!F:F,1,0),'Full Inventory'!F:F,0))),"X","_"),"_")</f>
        <v>_</v>
      </c>
      <c r="K1620" t="str">
        <f t="shared" ca="1" si="76"/>
        <v>__X_</v>
      </c>
      <c r="L1620" t="str">
        <f t="shared" ca="1" si="77"/>
        <v/>
      </c>
      <c r="M1620" t="str">
        <f>IFERROR(INDEX(Inventory!A:A,MATCH(Scan!A1620,Inventory!E:E,0)),"")</f>
        <v/>
      </c>
    </row>
    <row r="1621" spans="2:13" x14ac:dyDescent="0.25">
      <c r="B1621" t="str">
        <f>IF(IFERROR(VLOOKUP(TRIM(A1621),Inventory!E:E,1,0),0)=0,"X","_")</f>
        <v>_</v>
      </c>
      <c r="C1621" t="str">
        <f>IF(IFERROR(VLOOKUP(TRIM(A1621),'Full Inventory'!F:F,1,0),0)=0,"X","_")</f>
        <v>_</v>
      </c>
      <c r="D1621" t="str">
        <f t="shared" si="75"/>
        <v>X</v>
      </c>
      <c r="E1621" t="str">
        <f ca="1">IFERROR(IF(AND(B1621&amp;C1621&amp;D1621="___",INDIRECT("Inventory!A"&amp;MATCH(VLOOKUP(A1621,Inventory!E:E,1,0),Inventory!E:E,0))&lt;&gt;INDIRECT("'Full Inventory'!B"&amp;MATCH(VLOOKUP(A1621,'Full Inventory'!F:F,1,0),'Full Inventory'!F:F,0))),"X","_"),"_")</f>
        <v>_</v>
      </c>
      <c r="K1621" t="str">
        <f t="shared" ca="1" si="76"/>
        <v>__X_</v>
      </c>
      <c r="L1621" t="str">
        <f t="shared" ca="1" si="77"/>
        <v/>
      </c>
      <c r="M1621" t="str">
        <f>IFERROR(INDEX(Inventory!A:A,MATCH(Scan!A1621,Inventory!E:E,0)),"")</f>
        <v/>
      </c>
    </row>
    <row r="1622" spans="2:13" x14ac:dyDescent="0.25">
      <c r="B1622" t="str">
        <f>IF(IFERROR(VLOOKUP(TRIM(A1622),Inventory!E:E,1,0),0)=0,"X","_")</f>
        <v>_</v>
      </c>
      <c r="C1622" t="str">
        <f>IF(IFERROR(VLOOKUP(TRIM(A1622),'Full Inventory'!F:F,1,0),0)=0,"X","_")</f>
        <v>_</v>
      </c>
      <c r="D1622" t="str">
        <f t="shared" si="75"/>
        <v>X</v>
      </c>
      <c r="E1622" t="str">
        <f ca="1">IFERROR(IF(AND(B1622&amp;C1622&amp;D1622="___",INDIRECT("Inventory!A"&amp;MATCH(VLOOKUP(A1622,Inventory!E:E,1,0),Inventory!E:E,0))&lt;&gt;INDIRECT("'Full Inventory'!B"&amp;MATCH(VLOOKUP(A1622,'Full Inventory'!F:F,1,0),'Full Inventory'!F:F,0))),"X","_"),"_")</f>
        <v>_</v>
      </c>
      <c r="K1622" t="str">
        <f t="shared" ca="1" si="76"/>
        <v>__X_</v>
      </c>
      <c r="L1622" t="str">
        <f t="shared" ca="1" si="77"/>
        <v/>
      </c>
      <c r="M1622" t="str">
        <f>IFERROR(INDEX(Inventory!A:A,MATCH(Scan!A1622,Inventory!E:E,0)),"")</f>
        <v/>
      </c>
    </row>
    <row r="1623" spans="2:13" x14ac:dyDescent="0.25">
      <c r="B1623" t="str">
        <f>IF(IFERROR(VLOOKUP(TRIM(A1623),Inventory!E:E,1,0),0)=0,"X","_")</f>
        <v>_</v>
      </c>
      <c r="C1623" t="str">
        <f>IF(IFERROR(VLOOKUP(TRIM(A1623),'Full Inventory'!F:F,1,0),0)=0,"X","_")</f>
        <v>_</v>
      </c>
      <c r="D1623" t="str">
        <f t="shared" si="75"/>
        <v>X</v>
      </c>
      <c r="E1623" t="str">
        <f ca="1">IFERROR(IF(AND(B1623&amp;C1623&amp;D1623="___",INDIRECT("Inventory!A"&amp;MATCH(VLOOKUP(A1623,Inventory!E:E,1,0),Inventory!E:E,0))&lt;&gt;INDIRECT("'Full Inventory'!B"&amp;MATCH(VLOOKUP(A1623,'Full Inventory'!F:F,1,0),'Full Inventory'!F:F,0))),"X","_"),"_")</f>
        <v>_</v>
      </c>
      <c r="K1623" t="str">
        <f t="shared" ca="1" si="76"/>
        <v>__X_</v>
      </c>
      <c r="L1623" t="str">
        <f t="shared" ca="1" si="77"/>
        <v/>
      </c>
      <c r="M1623" t="str">
        <f>IFERROR(INDEX(Inventory!A:A,MATCH(Scan!A1623,Inventory!E:E,0)),"")</f>
        <v/>
      </c>
    </row>
    <row r="1624" spans="2:13" x14ac:dyDescent="0.25">
      <c r="B1624" t="str">
        <f>IF(IFERROR(VLOOKUP(TRIM(A1624),Inventory!E:E,1,0),0)=0,"X","_")</f>
        <v>_</v>
      </c>
      <c r="C1624" t="str">
        <f>IF(IFERROR(VLOOKUP(TRIM(A1624),'Full Inventory'!F:F,1,0),0)=0,"X","_")</f>
        <v>_</v>
      </c>
      <c r="D1624" t="str">
        <f t="shared" si="75"/>
        <v>X</v>
      </c>
      <c r="E1624" t="str">
        <f ca="1">IFERROR(IF(AND(B1624&amp;C1624&amp;D1624="___",INDIRECT("Inventory!A"&amp;MATCH(VLOOKUP(A1624,Inventory!E:E,1,0),Inventory!E:E,0))&lt;&gt;INDIRECT("'Full Inventory'!B"&amp;MATCH(VLOOKUP(A1624,'Full Inventory'!F:F,1,0),'Full Inventory'!F:F,0))),"X","_"),"_")</f>
        <v>_</v>
      </c>
      <c r="K1624" t="str">
        <f t="shared" ca="1" si="76"/>
        <v>__X_</v>
      </c>
      <c r="L1624" t="str">
        <f t="shared" ca="1" si="77"/>
        <v/>
      </c>
      <c r="M1624" t="str">
        <f>IFERROR(INDEX(Inventory!A:A,MATCH(Scan!A1624,Inventory!E:E,0)),"")</f>
        <v/>
      </c>
    </row>
    <row r="1625" spans="2:13" x14ac:dyDescent="0.25">
      <c r="B1625" t="str">
        <f>IF(IFERROR(VLOOKUP(TRIM(A1625),Inventory!E:E,1,0),0)=0,"X","_")</f>
        <v>_</v>
      </c>
      <c r="C1625" t="str">
        <f>IF(IFERROR(VLOOKUP(TRIM(A1625),'Full Inventory'!F:F,1,0),0)=0,"X","_")</f>
        <v>_</v>
      </c>
      <c r="D1625" t="str">
        <f t="shared" si="75"/>
        <v>X</v>
      </c>
      <c r="E1625" t="str">
        <f ca="1">IFERROR(IF(AND(B1625&amp;C1625&amp;D1625="___",INDIRECT("Inventory!A"&amp;MATCH(VLOOKUP(A1625,Inventory!E:E,1,0),Inventory!E:E,0))&lt;&gt;INDIRECT("'Full Inventory'!B"&amp;MATCH(VLOOKUP(A1625,'Full Inventory'!F:F,1,0),'Full Inventory'!F:F,0))),"X","_"),"_")</f>
        <v>_</v>
      </c>
      <c r="K1625" t="str">
        <f t="shared" ca="1" si="76"/>
        <v>__X_</v>
      </c>
      <c r="L1625" t="str">
        <f t="shared" ca="1" si="77"/>
        <v/>
      </c>
      <c r="M1625" t="str">
        <f>IFERROR(INDEX(Inventory!A:A,MATCH(Scan!A1625,Inventory!E:E,0)),"")</f>
        <v/>
      </c>
    </row>
    <row r="1626" spans="2:13" x14ac:dyDescent="0.25">
      <c r="B1626" t="str">
        <f>IF(IFERROR(VLOOKUP(TRIM(A1626),Inventory!E:E,1,0),0)=0,"X","_")</f>
        <v>_</v>
      </c>
      <c r="C1626" t="str">
        <f>IF(IFERROR(VLOOKUP(TRIM(A1626),'Full Inventory'!F:F,1,0),0)=0,"X","_")</f>
        <v>_</v>
      </c>
      <c r="D1626" t="str">
        <f t="shared" si="75"/>
        <v>X</v>
      </c>
      <c r="E1626" t="str">
        <f ca="1">IFERROR(IF(AND(B1626&amp;C1626&amp;D1626="___",INDIRECT("Inventory!A"&amp;MATCH(VLOOKUP(A1626,Inventory!E:E,1,0),Inventory!E:E,0))&lt;&gt;INDIRECT("'Full Inventory'!B"&amp;MATCH(VLOOKUP(A1626,'Full Inventory'!F:F,1,0),'Full Inventory'!F:F,0))),"X","_"),"_")</f>
        <v>_</v>
      </c>
      <c r="K1626" t="str">
        <f t="shared" ca="1" si="76"/>
        <v>__X_</v>
      </c>
      <c r="L1626" t="str">
        <f t="shared" ca="1" si="77"/>
        <v/>
      </c>
      <c r="M1626" t="str">
        <f>IFERROR(INDEX(Inventory!A:A,MATCH(Scan!A1626,Inventory!E:E,0)),"")</f>
        <v/>
      </c>
    </row>
    <row r="1627" spans="2:13" x14ac:dyDescent="0.25">
      <c r="B1627" t="str">
        <f>IF(IFERROR(VLOOKUP(TRIM(A1627),Inventory!E:E,1,0),0)=0,"X","_")</f>
        <v>_</v>
      </c>
      <c r="C1627" t="str">
        <f>IF(IFERROR(VLOOKUP(TRIM(A1627),'Full Inventory'!F:F,1,0),0)=0,"X","_")</f>
        <v>_</v>
      </c>
      <c r="D1627" t="str">
        <f t="shared" si="75"/>
        <v>X</v>
      </c>
      <c r="E1627" t="str">
        <f ca="1">IFERROR(IF(AND(B1627&amp;C1627&amp;D1627="___",INDIRECT("Inventory!A"&amp;MATCH(VLOOKUP(A1627,Inventory!E:E,1,0),Inventory!E:E,0))&lt;&gt;INDIRECT("'Full Inventory'!B"&amp;MATCH(VLOOKUP(A1627,'Full Inventory'!F:F,1,0),'Full Inventory'!F:F,0))),"X","_"),"_")</f>
        <v>_</v>
      </c>
      <c r="K1627" t="str">
        <f t="shared" ca="1" si="76"/>
        <v>__X_</v>
      </c>
      <c r="L1627" t="str">
        <f t="shared" ca="1" si="77"/>
        <v/>
      </c>
      <c r="M1627" t="str">
        <f>IFERROR(INDEX(Inventory!A:A,MATCH(Scan!A1627,Inventory!E:E,0)),"")</f>
        <v/>
      </c>
    </row>
    <row r="1628" spans="2:13" x14ac:dyDescent="0.25">
      <c r="B1628" t="str">
        <f>IF(IFERROR(VLOOKUP(TRIM(A1628),Inventory!E:E,1,0),0)=0,"X","_")</f>
        <v>_</v>
      </c>
      <c r="C1628" t="str">
        <f>IF(IFERROR(VLOOKUP(TRIM(A1628),'Full Inventory'!F:F,1,0),0)=0,"X","_")</f>
        <v>_</v>
      </c>
      <c r="D1628" t="str">
        <f t="shared" si="75"/>
        <v>X</v>
      </c>
      <c r="E1628" t="str">
        <f ca="1">IFERROR(IF(AND(B1628&amp;C1628&amp;D1628="___",INDIRECT("Inventory!A"&amp;MATCH(VLOOKUP(A1628,Inventory!E:E,1,0),Inventory!E:E,0))&lt;&gt;INDIRECT("'Full Inventory'!B"&amp;MATCH(VLOOKUP(A1628,'Full Inventory'!F:F,1,0),'Full Inventory'!F:F,0))),"X","_"),"_")</f>
        <v>_</v>
      </c>
      <c r="K1628" t="str">
        <f t="shared" ca="1" si="76"/>
        <v>__X_</v>
      </c>
      <c r="L1628" t="str">
        <f t="shared" ca="1" si="77"/>
        <v/>
      </c>
      <c r="M1628" t="str">
        <f>IFERROR(INDEX(Inventory!A:A,MATCH(Scan!A1628,Inventory!E:E,0)),"")</f>
        <v/>
      </c>
    </row>
    <row r="1629" spans="2:13" x14ac:dyDescent="0.25">
      <c r="B1629" t="str">
        <f>IF(IFERROR(VLOOKUP(TRIM(A1629),Inventory!E:E,1,0),0)=0,"X","_")</f>
        <v>_</v>
      </c>
      <c r="C1629" t="str">
        <f>IF(IFERROR(VLOOKUP(TRIM(A1629),'Full Inventory'!F:F,1,0),0)=0,"X","_")</f>
        <v>_</v>
      </c>
      <c r="D1629" t="str">
        <f t="shared" si="75"/>
        <v>X</v>
      </c>
      <c r="E1629" t="str">
        <f ca="1">IFERROR(IF(AND(B1629&amp;C1629&amp;D1629="___",INDIRECT("Inventory!A"&amp;MATCH(VLOOKUP(A1629,Inventory!E:E,1,0),Inventory!E:E,0))&lt;&gt;INDIRECT("'Full Inventory'!B"&amp;MATCH(VLOOKUP(A1629,'Full Inventory'!F:F,1,0),'Full Inventory'!F:F,0))),"X","_"),"_")</f>
        <v>_</v>
      </c>
      <c r="K1629" t="str">
        <f t="shared" ca="1" si="76"/>
        <v>__X_</v>
      </c>
      <c r="L1629" t="str">
        <f t="shared" ca="1" si="77"/>
        <v/>
      </c>
      <c r="M1629" t="str">
        <f>IFERROR(INDEX(Inventory!A:A,MATCH(Scan!A1629,Inventory!E:E,0)),"")</f>
        <v/>
      </c>
    </row>
    <row r="1630" spans="2:13" x14ac:dyDescent="0.25">
      <c r="B1630" t="str">
        <f>IF(IFERROR(VLOOKUP(TRIM(A1630),Inventory!E:E,1,0),0)=0,"X","_")</f>
        <v>_</v>
      </c>
      <c r="C1630" t="str">
        <f>IF(IFERROR(VLOOKUP(TRIM(A1630),'Full Inventory'!F:F,1,0),0)=0,"X","_")</f>
        <v>_</v>
      </c>
      <c r="D1630" t="str">
        <f t="shared" si="75"/>
        <v>X</v>
      </c>
      <c r="E1630" t="str">
        <f ca="1">IFERROR(IF(AND(B1630&amp;C1630&amp;D1630="___",INDIRECT("Inventory!A"&amp;MATCH(VLOOKUP(A1630,Inventory!E:E,1,0),Inventory!E:E,0))&lt;&gt;INDIRECT("'Full Inventory'!B"&amp;MATCH(VLOOKUP(A1630,'Full Inventory'!F:F,1,0),'Full Inventory'!F:F,0))),"X","_"),"_")</f>
        <v>_</v>
      </c>
      <c r="K1630" t="str">
        <f t="shared" ca="1" si="76"/>
        <v>__X_</v>
      </c>
      <c r="L1630" t="str">
        <f t="shared" ca="1" si="77"/>
        <v/>
      </c>
      <c r="M1630" t="str">
        <f>IFERROR(INDEX(Inventory!A:A,MATCH(Scan!A1630,Inventory!E:E,0)),"")</f>
        <v/>
      </c>
    </row>
    <row r="1631" spans="2:13" x14ac:dyDescent="0.25">
      <c r="B1631" t="str">
        <f>IF(IFERROR(VLOOKUP(TRIM(A1631),Inventory!E:E,1,0),0)=0,"X","_")</f>
        <v>_</v>
      </c>
      <c r="C1631" t="str">
        <f>IF(IFERROR(VLOOKUP(TRIM(A1631),'Full Inventory'!F:F,1,0),0)=0,"X","_")</f>
        <v>_</v>
      </c>
      <c r="D1631" t="str">
        <f t="shared" si="75"/>
        <v>X</v>
      </c>
      <c r="E1631" t="str">
        <f ca="1">IFERROR(IF(AND(B1631&amp;C1631&amp;D1631="___",INDIRECT("Inventory!A"&amp;MATCH(VLOOKUP(A1631,Inventory!E:E,1,0),Inventory!E:E,0))&lt;&gt;INDIRECT("'Full Inventory'!B"&amp;MATCH(VLOOKUP(A1631,'Full Inventory'!F:F,1,0),'Full Inventory'!F:F,0))),"X","_"),"_")</f>
        <v>_</v>
      </c>
      <c r="K1631" t="str">
        <f t="shared" ca="1" si="76"/>
        <v>__X_</v>
      </c>
      <c r="L1631" t="str">
        <f t="shared" ca="1" si="77"/>
        <v/>
      </c>
      <c r="M1631" t="str">
        <f>IFERROR(INDEX(Inventory!A:A,MATCH(Scan!A1631,Inventory!E:E,0)),"")</f>
        <v/>
      </c>
    </row>
    <row r="1632" spans="2:13" x14ac:dyDescent="0.25">
      <c r="B1632" t="str">
        <f>IF(IFERROR(VLOOKUP(TRIM(A1632),Inventory!E:E,1,0),0)=0,"X","_")</f>
        <v>_</v>
      </c>
      <c r="C1632" t="str">
        <f>IF(IFERROR(VLOOKUP(TRIM(A1632),'Full Inventory'!F:F,1,0),0)=0,"X","_")</f>
        <v>_</v>
      </c>
      <c r="D1632" t="str">
        <f t="shared" si="75"/>
        <v>X</v>
      </c>
      <c r="E1632" t="str">
        <f ca="1">IFERROR(IF(AND(B1632&amp;C1632&amp;D1632="___",INDIRECT("Inventory!A"&amp;MATCH(VLOOKUP(A1632,Inventory!E:E,1,0),Inventory!E:E,0))&lt;&gt;INDIRECT("'Full Inventory'!B"&amp;MATCH(VLOOKUP(A1632,'Full Inventory'!F:F,1,0),'Full Inventory'!F:F,0))),"X","_"),"_")</f>
        <v>_</v>
      </c>
      <c r="K1632" t="str">
        <f t="shared" ca="1" si="76"/>
        <v>__X_</v>
      </c>
      <c r="L1632" t="str">
        <f t="shared" ca="1" si="77"/>
        <v/>
      </c>
      <c r="M1632" t="str">
        <f>IFERROR(INDEX(Inventory!A:A,MATCH(Scan!A1632,Inventory!E:E,0)),"")</f>
        <v/>
      </c>
    </row>
    <row r="1633" spans="2:13" x14ac:dyDescent="0.25">
      <c r="B1633" t="str">
        <f>IF(IFERROR(VLOOKUP(TRIM(A1633),Inventory!E:E,1,0),0)=0,"X","_")</f>
        <v>_</v>
      </c>
      <c r="C1633" t="str">
        <f>IF(IFERROR(VLOOKUP(TRIM(A1633),'Full Inventory'!F:F,1,0),0)=0,"X","_")</f>
        <v>_</v>
      </c>
      <c r="D1633" t="str">
        <f t="shared" si="75"/>
        <v>X</v>
      </c>
      <c r="E1633" t="str">
        <f ca="1">IFERROR(IF(AND(B1633&amp;C1633&amp;D1633="___",INDIRECT("Inventory!A"&amp;MATCH(VLOOKUP(A1633,Inventory!E:E,1,0),Inventory!E:E,0))&lt;&gt;INDIRECT("'Full Inventory'!B"&amp;MATCH(VLOOKUP(A1633,'Full Inventory'!F:F,1,0),'Full Inventory'!F:F,0))),"X","_"),"_")</f>
        <v>_</v>
      </c>
      <c r="K1633" t="str">
        <f t="shared" ca="1" si="76"/>
        <v>__X_</v>
      </c>
      <c r="L1633" t="str">
        <f t="shared" ca="1" si="77"/>
        <v/>
      </c>
      <c r="M1633" t="str">
        <f>IFERROR(INDEX(Inventory!A:A,MATCH(Scan!A1633,Inventory!E:E,0)),"")</f>
        <v/>
      </c>
    </row>
    <row r="1634" spans="2:13" x14ac:dyDescent="0.25">
      <c r="B1634" t="str">
        <f>IF(IFERROR(VLOOKUP(TRIM(A1634),Inventory!E:E,1,0),0)=0,"X","_")</f>
        <v>_</v>
      </c>
      <c r="C1634" t="str">
        <f>IF(IFERROR(VLOOKUP(TRIM(A1634),'Full Inventory'!F:F,1,0),0)=0,"X","_")</f>
        <v>_</v>
      </c>
      <c r="D1634" t="str">
        <f t="shared" si="75"/>
        <v>X</v>
      </c>
      <c r="E1634" t="str">
        <f ca="1">IFERROR(IF(AND(B1634&amp;C1634&amp;D1634="___",INDIRECT("Inventory!A"&amp;MATCH(VLOOKUP(A1634,Inventory!E:E,1,0),Inventory!E:E,0))&lt;&gt;INDIRECT("'Full Inventory'!B"&amp;MATCH(VLOOKUP(A1634,'Full Inventory'!F:F,1,0),'Full Inventory'!F:F,0))),"X","_"),"_")</f>
        <v>_</v>
      </c>
      <c r="K1634" t="str">
        <f t="shared" ca="1" si="76"/>
        <v>__X_</v>
      </c>
      <c r="L1634" t="str">
        <f t="shared" ca="1" si="77"/>
        <v/>
      </c>
      <c r="M1634" t="str">
        <f>IFERROR(INDEX(Inventory!A:A,MATCH(Scan!A1634,Inventory!E:E,0)),"")</f>
        <v/>
      </c>
    </row>
    <row r="1635" spans="2:13" x14ac:dyDescent="0.25">
      <c r="B1635" t="str">
        <f>IF(IFERROR(VLOOKUP(TRIM(A1635),Inventory!E:E,1,0),0)=0,"X","_")</f>
        <v>_</v>
      </c>
      <c r="C1635" t="str">
        <f>IF(IFERROR(VLOOKUP(TRIM(A1635),'Full Inventory'!F:F,1,0),0)=0,"X","_")</f>
        <v>_</v>
      </c>
      <c r="D1635" t="str">
        <f t="shared" si="75"/>
        <v>X</v>
      </c>
      <c r="E1635" t="str">
        <f ca="1">IFERROR(IF(AND(B1635&amp;C1635&amp;D1635="___",INDIRECT("Inventory!A"&amp;MATCH(VLOOKUP(A1635,Inventory!E:E,1,0),Inventory!E:E,0))&lt;&gt;INDIRECT("'Full Inventory'!B"&amp;MATCH(VLOOKUP(A1635,'Full Inventory'!F:F,1,0),'Full Inventory'!F:F,0))),"X","_"),"_")</f>
        <v>_</v>
      </c>
      <c r="K1635" t="str">
        <f t="shared" ca="1" si="76"/>
        <v>__X_</v>
      </c>
      <c r="L1635" t="str">
        <f t="shared" ca="1" si="77"/>
        <v/>
      </c>
      <c r="M1635" t="str">
        <f>IFERROR(INDEX(Inventory!A:A,MATCH(Scan!A1635,Inventory!E:E,0)),"")</f>
        <v/>
      </c>
    </row>
    <row r="1636" spans="2:13" x14ac:dyDescent="0.25">
      <c r="B1636" t="str">
        <f>IF(IFERROR(VLOOKUP(TRIM(A1636),Inventory!E:E,1,0),0)=0,"X","_")</f>
        <v>_</v>
      </c>
      <c r="C1636" t="str">
        <f>IF(IFERROR(VLOOKUP(TRIM(A1636),'Full Inventory'!F:F,1,0),0)=0,"X","_")</f>
        <v>_</v>
      </c>
      <c r="D1636" t="str">
        <f t="shared" si="75"/>
        <v>X</v>
      </c>
      <c r="E1636" t="str">
        <f ca="1">IFERROR(IF(AND(B1636&amp;C1636&amp;D1636="___",INDIRECT("Inventory!A"&amp;MATCH(VLOOKUP(A1636,Inventory!E:E,1,0),Inventory!E:E,0))&lt;&gt;INDIRECT("'Full Inventory'!B"&amp;MATCH(VLOOKUP(A1636,'Full Inventory'!F:F,1,0),'Full Inventory'!F:F,0))),"X","_"),"_")</f>
        <v>_</v>
      </c>
      <c r="K1636" t="str">
        <f t="shared" ca="1" si="76"/>
        <v>__X_</v>
      </c>
      <c r="L1636" t="str">
        <f t="shared" ca="1" si="77"/>
        <v/>
      </c>
      <c r="M1636" t="str">
        <f>IFERROR(INDEX(Inventory!A:A,MATCH(Scan!A1636,Inventory!E:E,0)),"")</f>
        <v/>
      </c>
    </row>
    <row r="1637" spans="2:13" x14ac:dyDescent="0.25">
      <c r="B1637" t="str">
        <f>IF(IFERROR(VLOOKUP(TRIM(A1637),Inventory!E:E,1,0),0)=0,"X","_")</f>
        <v>_</v>
      </c>
      <c r="C1637" t="str">
        <f>IF(IFERROR(VLOOKUP(TRIM(A1637),'Full Inventory'!F:F,1,0),0)=0,"X","_")</f>
        <v>_</v>
      </c>
      <c r="D1637" t="str">
        <f t="shared" si="75"/>
        <v>X</v>
      </c>
      <c r="E1637" t="str">
        <f ca="1">IFERROR(IF(AND(B1637&amp;C1637&amp;D1637="___",INDIRECT("Inventory!A"&amp;MATCH(VLOOKUP(A1637,Inventory!E:E,1,0),Inventory!E:E,0))&lt;&gt;INDIRECT("'Full Inventory'!B"&amp;MATCH(VLOOKUP(A1637,'Full Inventory'!F:F,1,0),'Full Inventory'!F:F,0))),"X","_"),"_")</f>
        <v>_</v>
      </c>
      <c r="K1637" t="str">
        <f t="shared" ca="1" si="76"/>
        <v>__X_</v>
      </c>
      <c r="L1637" t="str">
        <f t="shared" ca="1" si="77"/>
        <v/>
      </c>
      <c r="M1637" t="str">
        <f>IFERROR(INDEX(Inventory!A:A,MATCH(Scan!A1637,Inventory!E:E,0)),"")</f>
        <v/>
      </c>
    </row>
    <row r="1638" spans="2:13" x14ac:dyDescent="0.25">
      <c r="B1638" t="str">
        <f>IF(IFERROR(VLOOKUP(TRIM(A1638),Inventory!E:E,1,0),0)=0,"X","_")</f>
        <v>_</v>
      </c>
      <c r="C1638" t="str">
        <f>IF(IFERROR(VLOOKUP(TRIM(A1638),'Full Inventory'!F:F,1,0),0)=0,"X","_")</f>
        <v>_</v>
      </c>
      <c r="D1638" t="str">
        <f t="shared" si="75"/>
        <v>X</v>
      </c>
      <c r="E1638" t="str">
        <f ca="1">IFERROR(IF(AND(B1638&amp;C1638&amp;D1638="___",INDIRECT("Inventory!A"&amp;MATCH(VLOOKUP(A1638,Inventory!E:E,1,0),Inventory!E:E,0))&lt;&gt;INDIRECT("'Full Inventory'!B"&amp;MATCH(VLOOKUP(A1638,'Full Inventory'!F:F,1,0),'Full Inventory'!F:F,0))),"X","_"),"_")</f>
        <v>_</v>
      </c>
      <c r="K1638" t="str">
        <f t="shared" ca="1" si="76"/>
        <v>__X_</v>
      </c>
      <c r="L1638" t="str">
        <f t="shared" ca="1" si="77"/>
        <v/>
      </c>
      <c r="M1638" t="str">
        <f>IFERROR(INDEX(Inventory!A:A,MATCH(Scan!A1638,Inventory!E:E,0)),"")</f>
        <v/>
      </c>
    </row>
    <row r="1639" spans="2:13" x14ac:dyDescent="0.25">
      <c r="B1639" t="str">
        <f>IF(IFERROR(VLOOKUP(TRIM(A1639),Inventory!E:E,1,0),0)=0,"X","_")</f>
        <v>_</v>
      </c>
      <c r="C1639" t="str">
        <f>IF(IFERROR(VLOOKUP(TRIM(A1639),'Full Inventory'!F:F,1,0),0)=0,"X","_")</f>
        <v>_</v>
      </c>
      <c r="D1639" t="str">
        <f t="shared" si="75"/>
        <v>X</v>
      </c>
      <c r="E1639" t="str">
        <f ca="1">IFERROR(IF(AND(B1639&amp;C1639&amp;D1639="___",INDIRECT("Inventory!A"&amp;MATCH(VLOOKUP(A1639,Inventory!E:E,1,0),Inventory!E:E,0))&lt;&gt;INDIRECT("'Full Inventory'!B"&amp;MATCH(VLOOKUP(A1639,'Full Inventory'!F:F,1,0),'Full Inventory'!F:F,0))),"X","_"),"_")</f>
        <v>_</v>
      </c>
      <c r="K1639" t="str">
        <f t="shared" ca="1" si="76"/>
        <v>__X_</v>
      </c>
      <c r="L1639" t="str">
        <f t="shared" ca="1" si="77"/>
        <v/>
      </c>
      <c r="M1639" t="str">
        <f>IFERROR(INDEX(Inventory!A:A,MATCH(Scan!A1639,Inventory!E:E,0)),"")</f>
        <v/>
      </c>
    </row>
    <row r="1640" spans="2:13" x14ac:dyDescent="0.25">
      <c r="B1640" t="str">
        <f>IF(IFERROR(VLOOKUP(TRIM(A1640),Inventory!E:E,1,0),0)=0,"X","_")</f>
        <v>_</v>
      </c>
      <c r="C1640" t="str">
        <f>IF(IFERROR(VLOOKUP(TRIM(A1640),'Full Inventory'!F:F,1,0),0)=0,"X","_")</f>
        <v>_</v>
      </c>
      <c r="D1640" t="str">
        <f t="shared" si="75"/>
        <v>X</v>
      </c>
      <c r="E1640" t="str">
        <f ca="1">IFERROR(IF(AND(B1640&amp;C1640&amp;D1640="___",INDIRECT("Inventory!A"&amp;MATCH(VLOOKUP(A1640,Inventory!E:E,1,0),Inventory!E:E,0))&lt;&gt;INDIRECT("'Full Inventory'!B"&amp;MATCH(VLOOKUP(A1640,'Full Inventory'!F:F,1,0),'Full Inventory'!F:F,0))),"X","_"),"_")</f>
        <v>_</v>
      </c>
      <c r="K1640" t="str">
        <f t="shared" ca="1" si="76"/>
        <v>__X_</v>
      </c>
      <c r="L1640" t="str">
        <f t="shared" ca="1" si="77"/>
        <v/>
      </c>
      <c r="M1640" t="str">
        <f>IFERROR(INDEX(Inventory!A:A,MATCH(Scan!A1640,Inventory!E:E,0)),"")</f>
        <v/>
      </c>
    </row>
    <row r="1641" spans="2:13" x14ac:dyDescent="0.25">
      <c r="B1641" t="str">
        <f>IF(IFERROR(VLOOKUP(TRIM(A1641),Inventory!E:E,1,0),0)=0,"X","_")</f>
        <v>_</v>
      </c>
      <c r="C1641" t="str">
        <f>IF(IFERROR(VLOOKUP(TRIM(A1641),'Full Inventory'!F:F,1,0),0)=0,"X","_")</f>
        <v>_</v>
      </c>
      <c r="D1641" t="str">
        <f t="shared" si="75"/>
        <v>X</v>
      </c>
      <c r="E1641" t="str">
        <f ca="1">IFERROR(IF(AND(B1641&amp;C1641&amp;D1641="___",INDIRECT("Inventory!A"&amp;MATCH(VLOOKUP(A1641,Inventory!E:E,1,0),Inventory!E:E,0))&lt;&gt;INDIRECT("'Full Inventory'!B"&amp;MATCH(VLOOKUP(A1641,'Full Inventory'!F:F,1,0),'Full Inventory'!F:F,0))),"X","_"),"_")</f>
        <v>_</v>
      </c>
      <c r="K1641" t="str">
        <f t="shared" ca="1" si="76"/>
        <v>__X_</v>
      </c>
      <c r="L1641" t="str">
        <f t="shared" ca="1" si="77"/>
        <v/>
      </c>
      <c r="M1641" t="str">
        <f>IFERROR(INDEX(Inventory!A:A,MATCH(Scan!A1641,Inventory!E:E,0)),"")</f>
        <v/>
      </c>
    </row>
    <row r="1642" spans="2:13" x14ac:dyDescent="0.25">
      <c r="B1642" t="str">
        <f>IF(IFERROR(VLOOKUP(TRIM(A1642),Inventory!E:E,1,0),0)=0,"X","_")</f>
        <v>_</v>
      </c>
      <c r="C1642" t="str">
        <f>IF(IFERROR(VLOOKUP(TRIM(A1642),'Full Inventory'!F:F,1,0),0)=0,"X","_")</f>
        <v>_</v>
      </c>
      <c r="D1642" t="str">
        <f t="shared" si="75"/>
        <v>X</v>
      </c>
      <c r="E1642" t="str">
        <f ca="1">IFERROR(IF(AND(B1642&amp;C1642&amp;D1642="___",INDIRECT("Inventory!A"&amp;MATCH(VLOOKUP(A1642,Inventory!E:E,1,0),Inventory!E:E,0))&lt;&gt;INDIRECT("'Full Inventory'!B"&amp;MATCH(VLOOKUP(A1642,'Full Inventory'!F:F,1,0),'Full Inventory'!F:F,0))),"X","_"),"_")</f>
        <v>_</v>
      </c>
      <c r="K1642" t="str">
        <f t="shared" ca="1" si="76"/>
        <v>__X_</v>
      </c>
      <c r="L1642" t="str">
        <f t="shared" ca="1" si="77"/>
        <v/>
      </c>
      <c r="M1642" t="str">
        <f>IFERROR(INDEX(Inventory!A:A,MATCH(Scan!A1642,Inventory!E:E,0)),"")</f>
        <v/>
      </c>
    </row>
    <row r="1643" spans="2:13" x14ac:dyDescent="0.25">
      <c r="B1643" t="str">
        <f>IF(IFERROR(VLOOKUP(TRIM(A1643),Inventory!E:E,1,0),0)=0,"X","_")</f>
        <v>_</v>
      </c>
      <c r="C1643" t="str">
        <f>IF(IFERROR(VLOOKUP(TRIM(A1643),'Full Inventory'!F:F,1,0),0)=0,"X","_")</f>
        <v>_</v>
      </c>
      <c r="D1643" t="str">
        <f t="shared" si="75"/>
        <v>X</v>
      </c>
      <c r="E1643" t="str">
        <f ca="1">IFERROR(IF(AND(B1643&amp;C1643&amp;D1643="___",INDIRECT("Inventory!A"&amp;MATCH(VLOOKUP(A1643,Inventory!E:E,1,0),Inventory!E:E,0))&lt;&gt;INDIRECT("'Full Inventory'!B"&amp;MATCH(VLOOKUP(A1643,'Full Inventory'!F:F,1,0),'Full Inventory'!F:F,0))),"X","_"),"_")</f>
        <v>_</v>
      </c>
      <c r="K1643" t="str">
        <f t="shared" ca="1" si="76"/>
        <v>__X_</v>
      </c>
      <c r="L1643" t="str">
        <f t="shared" ca="1" si="77"/>
        <v/>
      </c>
      <c r="M1643" t="str">
        <f>IFERROR(INDEX(Inventory!A:A,MATCH(Scan!A1643,Inventory!E:E,0)),"")</f>
        <v/>
      </c>
    </row>
    <row r="1644" spans="2:13" x14ac:dyDescent="0.25">
      <c r="B1644" t="str">
        <f>IF(IFERROR(VLOOKUP(TRIM(A1644),Inventory!E:E,1,0),0)=0,"X","_")</f>
        <v>_</v>
      </c>
      <c r="C1644" t="str">
        <f>IF(IFERROR(VLOOKUP(TRIM(A1644),'Full Inventory'!F:F,1,0),0)=0,"X","_")</f>
        <v>_</v>
      </c>
      <c r="D1644" t="str">
        <f t="shared" si="75"/>
        <v>X</v>
      </c>
      <c r="E1644" t="str">
        <f ca="1">IFERROR(IF(AND(B1644&amp;C1644&amp;D1644="___",INDIRECT("Inventory!A"&amp;MATCH(VLOOKUP(A1644,Inventory!E:E,1,0),Inventory!E:E,0))&lt;&gt;INDIRECT("'Full Inventory'!B"&amp;MATCH(VLOOKUP(A1644,'Full Inventory'!F:F,1,0),'Full Inventory'!F:F,0))),"X","_"),"_")</f>
        <v>_</v>
      </c>
      <c r="K1644" t="str">
        <f t="shared" ca="1" si="76"/>
        <v>__X_</v>
      </c>
      <c r="L1644" t="str">
        <f t="shared" ca="1" si="77"/>
        <v/>
      </c>
      <c r="M1644" t="str">
        <f>IFERROR(INDEX(Inventory!A:A,MATCH(Scan!A1644,Inventory!E:E,0)),"")</f>
        <v/>
      </c>
    </row>
    <row r="1645" spans="2:13" x14ac:dyDescent="0.25">
      <c r="B1645" t="str">
        <f>IF(IFERROR(VLOOKUP(TRIM(A1645),Inventory!E:E,1,0),0)=0,"X","_")</f>
        <v>_</v>
      </c>
      <c r="C1645" t="str">
        <f>IF(IFERROR(VLOOKUP(TRIM(A1645),'Full Inventory'!F:F,1,0),0)=0,"X","_")</f>
        <v>_</v>
      </c>
      <c r="D1645" t="str">
        <f t="shared" si="75"/>
        <v>X</v>
      </c>
      <c r="E1645" t="str">
        <f ca="1">IFERROR(IF(AND(B1645&amp;C1645&amp;D1645="___",INDIRECT("Inventory!A"&amp;MATCH(VLOOKUP(A1645,Inventory!E:E,1,0),Inventory!E:E,0))&lt;&gt;INDIRECT("'Full Inventory'!B"&amp;MATCH(VLOOKUP(A1645,'Full Inventory'!F:F,1,0),'Full Inventory'!F:F,0))),"X","_"),"_")</f>
        <v>_</v>
      </c>
      <c r="K1645" t="str">
        <f t="shared" ca="1" si="76"/>
        <v>__X_</v>
      </c>
      <c r="L1645" t="str">
        <f t="shared" ca="1" si="77"/>
        <v/>
      </c>
      <c r="M1645" t="str">
        <f>IFERROR(INDEX(Inventory!A:A,MATCH(Scan!A1645,Inventory!E:E,0)),"")</f>
        <v/>
      </c>
    </row>
    <row r="1646" spans="2:13" x14ac:dyDescent="0.25">
      <c r="B1646" t="str">
        <f>IF(IFERROR(VLOOKUP(TRIM(A1646),Inventory!E:E,1,0),0)=0,"X","_")</f>
        <v>_</v>
      </c>
      <c r="C1646" t="str">
        <f>IF(IFERROR(VLOOKUP(TRIM(A1646),'Full Inventory'!F:F,1,0),0)=0,"X","_")</f>
        <v>_</v>
      </c>
      <c r="D1646" t="str">
        <f t="shared" si="75"/>
        <v>X</v>
      </c>
      <c r="E1646" t="str">
        <f ca="1">IFERROR(IF(AND(B1646&amp;C1646&amp;D1646="___",INDIRECT("Inventory!A"&amp;MATCH(VLOOKUP(A1646,Inventory!E:E,1,0),Inventory!E:E,0))&lt;&gt;INDIRECT("'Full Inventory'!B"&amp;MATCH(VLOOKUP(A1646,'Full Inventory'!F:F,1,0),'Full Inventory'!F:F,0))),"X","_"),"_")</f>
        <v>_</v>
      </c>
      <c r="K1646" t="str">
        <f t="shared" ca="1" si="76"/>
        <v>__X_</v>
      </c>
      <c r="L1646" t="str">
        <f t="shared" ca="1" si="77"/>
        <v/>
      </c>
      <c r="M1646" t="str">
        <f>IFERROR(INDEX(Inventory!A:A,MATCH(Scan!A1646,Inventory!E:E,0)),"")</f>
        <v/>
      </c>
    </row>
    <row r="1647" spans="2:13" x14ac:dyDescent="0.25">
      <c r="B1647" t="str">
        <f>IF(IFERROR(VLOOKUP(TRIM(A1647),Inventory!E:E,1,0),0)=0,"X","_")</f>
        <v>_</v>
      </c>
      <c r="C1647" t="str">
        <f>IF(IFERROR(VLOOKUP(TRIM(A1647),'Full Inventory'!F:F,1,0),0)=0,"X","_")</f>
        <v>_</v>
      </c>
      <c r="D1647" t="str">
        <f t="shared" si="75"/>
        <v>X</v>
      </c>
      <c r="E1647" t="str">
        <f ca="1">IFERROR(IF(AND(B1647&amp;C1647&amp;D1647="___",INDIRECT("Inventory!A"&amp;MATCH(VLOOKUP(A1647,Inventory!E:E,1,0),Inventory!E:E,0))&lt;&gt;INDIRECT("'Full Inventory'!B"&amp;MATCH(VLOOKUP(A1647,'Full Inventory'!F:F,1,0),'Full Inventory'!F:F,0))),"X","_"),"_")</f>
        <v>_</v>
      </c>
      <c r="K1647" t="str">
        <f t="shared" ca="1" si="76"/>
        <v>__X_</v>
      </c>
      <c r="L1647" t="str">
        <f t="shared" ca="1" si="77"/>
        <v/>
      </c>
      <c r="M1647" t="str">
        <f>IFERROR(INDEX(Inventory!A:A,MATCH(Scan!A1647,Inventory!E:E,0)),"")</f>
        <v/>
      </c>
    </row>
    <row r="1648" spans="2:13" x14ac:dyDescent="0.25">
      <c r="B1648" t="str">
        <f>IF(IFERROR(VLOOKUP(TRIM(A1648),Inventory!E:E,1,0),0)=0,"X","_")</f>
        <v>_</v>
      </c>
      <c r="C1648" t="str">
        <f>IF(IFERROR(VLOOKUP(TRIM(A1648),'Full Inventory'!F:F,1,0),0)=0,"X","_")</f>
        <v>_</v>
      </c>
      <c r="D1648" t="str">
        <f t="shared" si="75"/>
        <v>X</v>
      </c>
      <c r="E1648" t="str">
        <f ca="1">IFERROR(IF(AND(B1648&amp;C1648&amp;D1648="___",INDIRECT("Inventory!A"&amp;MATCH(VLOOKUP(A1648,Inventory!E:E,1,0),Inventory!E:E,0))&lt;&gt;INDIRECT("'Full Inventory'!B"&amp;MATCH(VLOOKUP(A1648,'Full Inventory'!F:F,1,0),'Full Inventory'!F:F,0))),"X","_"),"_")</f>
        <v>_</v>
      </c>
      <c r="K1648" t="str">
        <f t="shared" ca="1" si="76"/>
        <v>__X_</v>
      </c>
      <c r="L1648" t="str">
        <f t="shared" ca="1" si="77"/>
        <v/>
      </c>
      <c r="M1648" t="str">
        <f>IFERROR(INDEX(Inventory!A:A,MATCH(Scan!A1648,Inventory!E:E,0)),"")</f>
        <v/>
      </c>
    </row>
    <row r="1649" spans="2:13" x14ac:dyDescent="0.25">
      <c r="B1649" t="str">
        <f>IF(IFERROR(VLOOKUP(TRIM(A1649),Inventory!E:E,1,0),0)=0,"X","_")</f>
        <v>_</v>
      </c>
      <c r="C1649" t="str">
        <f>IF(IFERROR(VLOOKUP(TRIM(A1649),'Full Inventory'!F:F,1,0),0)=0,"X","_")</f>
        <v>_</v>
      </c>
      <c r="D1649" t="str">
        <f t="shared" si="75"/>
        <v>X</v>
      </c>
      <c r="E1649" t="str">
        <f ca="1">IFERROR(IF(AND(B1649&amp;C1649&amp;D1649="___",INDIRECT("Inventory!A"&amp;MATCH(VLOOKUP(A1649,Inventory!E:E,1,0),Inventory!E:E,0))&lt;&gt;INDIRECT("'Full Inventory'!B"&amp;MATCH(VLOOKUP(A1649,'Full Inventory'!F:F,1,0),'Full Inventory'!F:F,0))),"X","_"),"_")</f>
        <v>_</v>
      </c>
      <c r="K1649" t="str">
        <f t="shared" ca="1" si="76"/>
        <v>__X_</v>
      </c>
      <c r="L1649" t="str">
        <f t="shared" ca="1" si="77"/>
        <v/>
      </c>
      <c r="M1649" t="str">
        <f>IFERROR(INDEX(Inventory!A:A,MATCH(Scan!A1649,Inventory!E:E,0)),"")</f>
        <v/>
      </c>
    </row>
    <row r="1650" spans="2:13" x14ac:dyDescent="0.25">
      <c r="B1650" t="str">
        <f>IF(IFERROR(VLOOKUP(TRIM(A1650),Inventory!E:E,1,0),0)=0,"X","_")</f>
        <v>_</v>
      </c>
      <c r="C1650" t="str">
        <f>IF(IFERROR(VLOOKUP(TRIM(A1650),'Full Inventory'!F:F,1,0),0)=0,"X","_")</f>
        <v>_</v>
      </c>
      <c r="D1650" t="str">
        <f t="shared" si="75"/>
        <v>X</v>
      </c>
      <c r="E1650" t="str">
        <f ca="1">IFERROR(IF(AND(B1650&amp;C1650&amp;D1650="___",INDIRECT("Inventory!A"&amp;MATCH(VLOOKUP(A1650,Inventory!E:E,1,0),Inventory!E:E,0))&lt;&gt;INDIRECT("'Full Inventory'!B"&amp;MATCH(VLOOKUP(A1650,'Full Inventory'!F:F,1,0),'Full Inventory'!F:F,0))),"X","_"),"_")</f>
        <v>_</v>
      </c>
      <c r="K1650" t="str">
        <f t="shared" ca="1" si="76"/>
        <v>__X_</v>
      </c>
      <c r="L1650" t="str">
        <f t="shared" ca="1" si="77"/>
        <v/>
      </c>
      <c r="M1650" t="str">
        <f>IFERROR(INDEX(Inventory!A:A,MATCH(Scan!A1650,Inventory!E:E,0)),"")</f>
        <v/>
      </c>
    </row>
    <row r="1651" spans="2:13" x14ac:dyDescent="0.25">
      <c r="B1651" t="str">
        <f>IF(IFERROR(VLOOKUP(TRIM(A1651),Inventory!E:E,1,0),0)=0,"X","_")</f>
        <v>_</v>
      </c>
      <c r="C1651" t="str">
        <f>IF(IFERROR(VLOOKUP(TRIM(A1651),'Full Inventory'!F:F,1,0),0)=0,"X","_")</f>
        <v>_</v>
      </c>
      <c r="D1651" t="str">
        <f t="shared" si="75"/>
        <v>X</v>
      </c>
      <c r="E1651" t="str">
        <f ca="1">IFERROR(IF(AND(B1651&amp;C1651&amp;D1651="___",INDIRECT("Inventory!A"&amp;MATCH(VLOOKUP(A1651,Inventory!E:E,1,0),Inventory!E:E,0))&lt;&gt;INDIRECT("'Full Inventory'!B"&amp;MATCH(VLOOKUP(A1651,'Full Inventory'!F:F,1,0),'Full Inventory'!F:F,0))),"X","_"),"_")</f>
        <v>_</v>
      </c>
      <c r="K1651" t="str">
        <f t="shared" ca="1" si="76"/>
        <v>__X_</v>
      </c>
      <c r="L1651" t="str">
        <f t="shared" ca="1" si="77"/>
        <v/>
      </c>
      <c r="M1651" t="str">
        <f>IFERROR(INDEX(Inventory!A:A,MATCH(Scan!A1651,Inventory!E:E,0)),"")</f>
        <v/>
      </c>
    </row>
    <row r="1652" spans="2:13" x14ac:dyDescent="0.25">
      <c r="B1652" t="str">
        <f>IF(IFERROR(VLOOKUP(TRIM(A1652),Inventory!E:E,1,0),0)=0,"X","_")</f>
        <v>_</v>
      </c>
      <c r="C1652" t="str">
        <f>IF(IFERROR(VLOOKUP(TRIM(A1652),'Full Inventory'!F:F,1,0),0)=0,"X","_")</f>
        <v>_</v>
      </c>
      <c r="D1652" t="str">
        <f t="shared" si="75"/>
        <v>X</v>
      </c>
      <c r="E1652" t="str">
        <f ca="1">IFERROR(IF(AND(B1652&amp;C1652&amp;D1652="___",INDIRECT("Inventory!A"&amp;MATCH(VLOOKUP(A1652,Inventory!E:E,1,0),Inventory!E:E,0))&lt;&gt;INDIRECT("'Full Inventory'!B"&amp;MATCH(VLOOKUP(A1652,'Full Inventory'!F:F,1,0),'Full Inventory'!F:F,0))),"X","_"),"_")</f>
        <v>_</v>
      </c>
      <c r="K1652" t="str">
        <f t="shared" ca="1" si="76"/>
        <v>__X_</v>
      </c>
      <c r="L1652" t="str">
        <f t="shared" ca="1" si="77"/>
        <v/>
      </c>
      <c r="M1652" t="str">
        <f>IFERROR(INDEX(Inventory!A:A,MATCH(Scan!A1652,Inventory!E:E,0)),"")</f>
        <v/>
      </c>
    </row>
    <row r="1653" spans="2:13" x14ac:dyDescent="0.25">
      <c r="B1653" t="str">
        <f>IF(IFERROR(VLOOKUP(TRIM(A1653),Inventory!E:E,1,0),0)=0,"X","_")</f>
        <v>_</v>
      </c>
      <c r="C1653" t="str">
        <f>IF(IFERROR(VLOOKUP(TRIM(A1653),'Full Inventory'!F:F,1,0),0)=0,"X","_")</f>
        <v>_</v>
      </c>
      <c r="D1653" t="str">
        <f t="shared" si="75"/>
        <v>X</v>
      </c>
      <c r="E1653" t="str">
        <f ca="1">IFERROR(IF(AND(B1653&amp;C1653&amp;D1653="___",INDIRECT("Inventory!A"&amp;MATCH(VLOOKUP(A1653,Inventory!E:E,1,0),Inventory!E:E,0))&lt;&gt;INDIRECT("'Full Inventory'!B"&amp;MATCH(VLOOKUP(A1653,'Full Inventory'!F:F,1,0),'Full Inventory'!F:F,0))),"X","_"),"_")</f>
        <v>_</v>
      </c>
      <c r="K1653" t="str">
        <f t="shared" ca="1" si="76"/>
        <v>__X_</v>
      </c>
      <c r="L1653" t="str">
        <f t="shared" ca="1" si="77"/>
        <v/>
      </c>
      <c r="M1653" t="str">
        <f>IFERROR(INDEX(Inventory!A:A,MATCH(Scan!A1653,Inventory!E:E,0)),"")</f>
        <v/>
      </c>
    </row>
    <row r="1654" spans="2:13" x14ac:dyDescent="0.25">
      <c r="B1654" t="str">
        <f>IF(IFERROR(VLOOKUP(TRIM(A1654),Inventory!E:E,1,0),0)=0,"X","_")</f>
        <v>_</v>
      </c>
      <c r="C1654" t="str">
        <f>IF(IFERROR(VLOOKUP(TRIM(A1654),'Full Inventory'!F:F,1,0),0)=0,"X","_")</f>
        <v>_</v>
      </c>
      <c r="D1654" t="str">
        <f t="shared" si="75"/>
        <v>X</v>
      </c>
      <c r="E1654" t="str">
        <f ca="1">IFERROR(IF(AND(B1654&amp;C1654&amp;D1654="___",INDIRECT("Inventory!A"&amp;MATCH(VLOOKUP(A1654,Inventory!E:E,1,0),Inventory!E:E,0))&lt;&gt;INDIRECT("'Full Inventory'!B"&amp;MATCH(VLOOKUP(A1654,'Full Inventory'!F:F,1,0),'Full Inventory'!F:F,0))),"X","_"),"_")</f>
        <v>_</v>
      </c>
      <c r="K1654" t="str">
        <f t="shared" ca="1" si="76"/>
        <v>__X_</v>
      </c>
      <c r="L1654" t="str">
        <f t="shared" ca="1" si="77"/>
        <v/>
      </c>
      <c r="M1654" t="str">
        <f>IFERROR(INDEX(Inventory!A:A,MATCH(Scan!A1654,Inventory!E:E,0)),"")</f>
        <v/>
      </c>
    </row>
    <row r="1655" spans="2:13" x14ac:dyDescent="0.25">
      <c r="B1655" t="str">
        <f>IF(IFERROR(VLOOKUP(TRIM(A1655),Inventory!E:E,1,0),0)=0,"X","_")</f>
        <v>_</v>
      </c>
      <c r="C1655" t="str">
        <f>IF(IFERROR(VLOOKUP(TRIM(A1655),'Full Inventory'!F:F,1,0),0)=0,"X","_")</f>
        <v>_</v>
      </c>
      <c r="D1655" t="str">
        <f t="shared" si="75"/>
        <v>X</v>
      </c>
      <c r="E1655" t="str">
        <f ca="1">IFERROR(IF(AND(B1655&amp;C1655&amp;D1655="___",INDIRECT("Inventory!A"&amp;MATCH(VLOOKUP(A1655,Inventory!E:E,1,0),Inventory!E:E,0))&lt;&gt;INDIRECT("'Full Inventory'!B"&amp;MATCH(VLOOKUP(A1655,'Full Inventory'!F:F,1,0),'Full Inventory'!F:F,0))),"X","_"),"_")</f>
        <v>_</v>
      </c>
      <c r="K1655" t="str">
        <f t="shared" ca="1" si="76"/>
        <v>__X_</v>
      </c>
      <c r="L1655" t="str">
        <f t="shared" ca="1" si="77"/>
        <v/>
      </c>
      <c r="M1655" t="str">
        <f>IFERROR(INDEX(Inventory!A:A,MATCH(Scan!A1655,Inventory!E:E,0)),"")</f>
        <v/>
      </c>
    </row>
    <row r="1656" spans="2:13" x14ac:dyDescent="0.25">
      <c r="B1656" t="str">
        <f>IF(IFERROR(VLOOKUP(TRIM(A1656),Inventory!E:E,1,0),0)=0,"X","_")</f>
        <v>_</v>
      </c>
      <c r="C1656" t="str">
        <f>IF(IFERROR(VLOOKUP(TRIM(A1656),'Full Inventory'!F:F,1,0),0)=0,"X","_")</f>
        <v>_</v>
      </c>
      <c r="D1656" t="str">
        <f t="shared" si="75"/>
        <v>X</v>
      </c>
      <c r="E1656" t="str">
        <f ca="1">IFERROR(IF(AND(B1656&amp;C1656&amp;D1656="___",INDIRECT("Inventory!A"&amp;MATCH(VLOOKUP(A1656,Inventory!E:E,1,0),Inventory!E:E,0))&lt;&gt;INDIRECT("'Full Inventory'!B"&amp;MATCH(VLOOKUP(A1656,'Full Inventory'!F:F,1,0),'Full Inventory'!F:F,0))),"X","_"),"_")</f>
        <v>_</v>
      </c>
      <c r="K1656" t="str">
        <f t="shared" ca="1" si="76"/>
        <v>__X_</v>
      </c>
      <c r="L1656" t="str">
        <f t="shared" ca="1" si="77"/>
        <v/>
      </c>
      <c r="M1656" t="str">
        <f>IFERROR(INDEX(Inventory!A:A,MATCH(Scan!A1656,Inventory!E:E,0)),"")</f>
        <v/>
      </c>
    </row>
    <row r="1657" spans="2:13" x14ac:dyDescent="0.25">
      <c r="B1657" t="str">
        <f>IF(IFERROR(VLOOKUP(TRIM(A1657),Inventory!E:E,1,0),0)=0,"X","_")</f>
        <v>_</v>
      </c>
      <c r="C1657" t="str">
        <f>IF(IFERROR(VLOOKUP(TRIM(A1657),'Full Inventory'!F:F,1,0),0)=0,"X","_")</f>
        <v>_</v>
      </c>
      <c r="D1657" t="str">
        <f t="shared" si="75"/>
        <v>X</v>
      </c>
      <c r="E1657" t="str">
        <f ca="1">IFERROR(IF(AND(B1657&amp;C1657&amp;D1657="___",INDIRECT("Inventory!A"&amp;MATCH(VLOOKUP(A1657,Inventory!E:E,1,0),Inventory!E:E,0))&lt;&gt;INDIRECT("'Full Inventory'!B"&amp;MATCH(VLOOKUP(A1657,'Full Inventory'!F:F,1,0),'Full Inventory'!F:F,0))),"X","_"),"_")</f>
        <v>_</v>
      </c>
      <c r="K1657" t="str">
        <f t="shared" ca="1" si="76"/>
        <v>__X_</v>
      </c>
      <c r="L1657" t="str">
        <f t="shared" ca="1" si="77"/>
        <v/>
      </c>
      <c r="M1657" t="str">
        <f>IFERROR(INDEX(Inventory!A:A,MATCH(Scan!A1657,Inventory!E:E,0)),"")</f>
        <v/>
      </c>
    </row>
    <row r="1658" spans="2:13" x14ac:dyDescent="0.25">
      <c r="B1658" t="str">
        <f>IF(IFERROR(VLOOKUP(TRIM(A1658),Inventory!E:E,1,0),0)=0,"X","_")</f>
        <v>_</v>
      </c>
      <c r="C1658" t="str">
        <f>IF(IFERROR(VLOOKUP(TRIM(A1658),'Full Inventory'!F:F,1,0),0)=0,"X","_")</f>
        <v>_</v>
      </c>
      <c r="D1658" t="str">
        <f t="shared" si="75"/>
        <v>X</v>
      </c>
      <c r="E1658" t="str">
        <f ca="1">IFERROR(IF(AND(B1658&amp;C1658&amp;D1658="___",INDIRECT("Inventory!A"&amp;MATCH(VLOOKUP(A1658,Inventory!E:E,1,0),Inventory!E:E,0))&lt;&gt;INDIRECT("'Full Inventory'!B"&amp;MATCH(VLOOKUP(A1658,'Full Inventory'!F:F,1,0),'Full Inventory'!F:F,0))),"X","_"),"_")</f>
        <v>_</v>
      </c>
      <c r="K1658" t="str">
        <f t="shared" ca="1" si="76"/>
        <v>__X_</v>
      </c>
      <c r="L1658" t="str">
        <f t="shared" ca="1" si="77"/>
        <v/>
      </c>
      <c r="M1658" t="str">
        <f>IFERROR(INDEX(Inventory!A:A,MATCH(Scan!A1658,Inventory!E:E,0)),"")</f>
        <v/>
      </c>
    </row>
    <row r="1659" spans="2:13" x14ac:dyDescent="0.25">
      <c r="B1659" t="str">
        <f>IF(IFERROR(VLOOKUP(TRIM(A1659),Inventory!E:E,1,0),0)=0,"X","_")</f>
        <v>_</v>
      </c>
      <c r="C1659" t="str">
        <f>IF(IFERROR(VLOOKUP(TRIM(A1659),'Full Inventory'!F:F,1,0),0)=0,"X","_")</f>
        <v>_</v>
      </c>
      <c r="D1659" t="str">
        <f t="shared" si="75"/>
        <v>X</v>
      </c>
      <c r="E1659" t="str">
        <f ca="1">IFERROR(IF(AND(B1659&amp;C1659&amp;D1659="___",INDIRECT("Inventory!A"&amp;MATCH(VLOOKUP(A1659,Inventory!E:E,1,0),Inventory!E:E,0))&lt;&gt;INDIRECT("'Full Inventory'!B"&amp;MATCH(VLOOKUP(A1659,'Full Inventory'!F:F,1,0),'Full Inventory'!F:F,0))),"X","_"),"_")</f>
        <v>_</v>
      </c>
      <c r="K1659" t="str">
        <f t="shared" ca="1" si="76"/>
        <v>__X_</v>
      </c>
      <c r="L1659" t="str">
        <f t="shared" ca="1" si="77"/>
        <v/>
      </c>
      <c r="M1659" t="str">
        <f>IFERROR(INDEX(Inventory!A:A,MATCH(Scan!A1659,Inventory!E:E,0)),"")</f>
        <v/>
      </c>
    </row>
    <row r="1660" spans="2:13" x14ac:dyDescent="0.25">
      <c r="B1660" t="str">
        <f>IF(IFERROR(VLOOKUP(TRIM(A1660),Inventory!E:E,1,0),0)=0,"X","_")</f>
        <v>_</v>
      </c>
      <c r="C1660" t="str">
        <f>IF(IFERROR(VLOOKUP(TRIM(A1660),'Full Inventory'!F:F,1,0),0)=0,"X","_")</f>
        <v>_</v>
      </c>
      <c r="D1660" t="str">
        <f t="shared" si="75"/>
        <v>X</v>
      </c>
      <c r="E1660" t="str">
        <f ca="1">IFERROR(IF(AND(B1660&amp;C1660&amp;D1660="___",INDIRECT("Inventory!A"&amp;MATCH(VLOOKUP(A1660,Inventory!E:E,1,0),Inventory!E:E,0))&lt;&gt;INDIRECT("'Full Inventory'!B"&amp;MATCH(VLOOKUP(A1660,'Full Inventory'!F:F,1,0),'Full Inventory'!F:F,0))),"X","_"),"_")</f>
        <v>_</v>
      </c>
      <c r="K1660" t="str">
        <f t="shared" ca="1" si="76"/>
        <v>__X_</v>
      </c>
      <c r="L1660" t="str">
        <f t="shared" ca="1" si="77"/>
        <v/>
      </c>
      <c r="M1660" t="str">
        <f>IFERROR(INDEX(Inventory!A:A,MATCH(Scan!A1660,Inventory!E:E,0)),"")</f>
        <v/>
      </c>
    </row>
    <row r="1661" spans="2:13" x14ac:dyDescent="0.25">
      <c r="B1661" t="str">
        <f>IF(IFERROR(VLOOKUP(TRIM(A1661),Inventory!E:E,1,0),0)=0,"X","_")</f>
        <v>_</v>
      </c>
      <c r="C1661" t="str">
        <f>IF(IFERROR(VLOOKUP(TRIM(A1661),'Full Inventory'!F:F,1,0),0)=0,"X","_")</f>
        <v>_</v>
      </c>
      <c r="D1661" t="str">
        <f t="shared" si="75"/>
        <v>X</v>
      </c>
      <c r="E1661" t="str">
        <f ca="1">IFERROR(IF(AND(B1661&amp;C1661&amp;D1661="___",INDIRECT("Inventory!A"&amp;MATCH(VLOOKUP(A1661,Inventory!E:E,1,0),Inventory!E:E,0))&lt;&gt;INDIRECT("'Full Inventory'!B"&amp;MATCH(VLOOKUP(A1661,'Full Inventory'!F:F,1,0),'Full Inventory'!F:F,0))),"X","_"),"_")</f>
        <v>_</v>
      </c>
      <c r="K1661" t="str">
        <f t="shared" ca="1" si="76"/>
        <v>__X_</v>
      </c>
      <c r="L1661" t="str">
        <f t="shared" ca="1" si="77"/>
        <v/>
      </c>
      <c r="M1661" t="str">
        <f>IFERROR(INDEX(Inventory!A:A,MATCH(Scan!A1661,Inventory!E:E,0)),"")</f>
        <v/>
      </c>
    </row>
    <row r="1662" spans="2:13" x14ac:dyDescent="0.25">
      <c r="B1662" t="str">
        <f>IF(IFERROR(VLOOKUP(TRIM(A1662),Inventory!E:E,1,0),0)=0,"X","_")</f>
        <v>_</v>
      </c>
      <c r="C1662" t="str">
        <f>IF(IFERROR(VLOOKUP(TRIM(A1662),'Full Inventory'!F:F,1,0),0)=0,"X","_")</f>
        <v>_</v>
      </c>
      <c r="D1662" t="str">
        <f t="shared" si="75"/>
        <v>X</v>
      </c>
      <c r="E1662" t="str">
        <f ca="1">IFERROR(IF(AND(B1662&amp;C1662&amp;D1662="___",INDIRECT("Inventory!A"&amp;MATCH(VLOOKUP(A1662,Inventory!E:E,1,0),Inventory!E:E,0))&lt;&gt;INDIRECT("'Full Inventory'!B"&amp;MATCH(VLOOKUP(A1662,'Full Inventory'!F:F,1,0),'Full Inventory'!F:F,0))),"X","_"),"_")</f>
        <v>_</v>
      </c>
      <c r="K1662" t="str">
        <f t="shared" ca="1" si="76"/>
        <v>__X_</v>
      </c>
      <c r="L1662" t="str">
        <f t="shared" ca="1" si="77"/>
        <v/>
      </c>
      <c r="M1662" t="str">
        <f>IFERROR(INDEX(Inventory!A:A,MATCH(Scan!A1662,Inventory!E:E,0)),"")</f>
        <v/>
      </c>
    </row>
    <row r="1663" spans="2:13" x14ac:dyDescent="0.25">
      <c r="B1663" t="str">
        <f>IF(IFERROR(VLOOKUP(TRIM(A1663),Inventory!E:E,1,0),0)=0,"X","_")</f>
        <v>_</v>
      </c>
      <c r="C1663" t="str">
        <f>IF(IFERROR(VLOOKUP(TRIM(A1663),'Full Inventory'!F:F,1,0),0)=0,"X","_")</f>
        <v>_</v>
      </c>
      <c r="D1663" t="str">
        <f t="shared" si="75"/>
        <v>X</v>
      </c>
      <c r="E1663" t="str">
        <f ca="1">IFERROR(IF(AND(B1663&amp;C1663&amp;D1663="___",INDIRECT("Inventory!A"&amp;MATCH(VLOOKUP(A1663,Inventory!E:E,1,0),Inventory!E:E,0))&lt;&gt;INDIRECT("'Full Inventory'!B"&amp;MATCH(VLOOKUP(A1663,'Full Inventory'!F:F,1,0),'Full Inventory'!F:F,0))),"X","_"),"_")</f>
        <v>_</v>
      </c>
      <c r="K1663" t="str">
        <f t="shared" ca="1" si="76"/>
        <v>__X_</v>
      </c>
      <c r="L1663" t="str">
        <f t="shared" ca="1" si="77"/>
        <v/>
      </c>
      <c r="M1663" t="str">
        <f>IFERROR(INDEX(Inventory!A:A,MATCH(Scan!A1663,Inventory!E:E,0)),"")</f>
        <v/>
      </c>
    </row>
    <row r="1664" spans="2:13" x14ac:dyDescent="0.25">
      <c r="B1664" t="str">
        <f>IF(IFERROR(VLOOKUP(TRIM(A1664),Inventory!E:E,1,0),0)=0,"X","_")</f>
        <v>_</v>
      </c>
      <c r="C1664" t="str">
        <f>IF(IFERROR(VLOOKUP(TRIM(A1664),'Full Inventory'!F:F,1,0),0)=0,"X","_")</f>
        <v>_</v>
      </c>
      <c r="D1664" t="str">
        <f t="shared" si="75"/>
        <v>X</v>
      </c>
      <c r="E1664" t="str">
        <f ca="1">IFERROR(IF(AND(B1664&amp;C1664&amp;D1664="___",INDIRECT("Inventory!A"&amp;MATCH(VLOOKUP(A1664,Inventory!E:E,1,0),Inventory!E:E,0))&lt;&gt;INDIRECT("'Full Inventory'!B"&amp;MATCH(VLOOKUP(A1664,'Full Inventory'!F:F,1,0),'Full Inventory'!F:F,0))),"X","_"),"_")</f>
        <v>_</v>
      </c>
      <c r="K1664" t="str">
        <f t="shared" ca="1" si="76"/>
        <v>__X_</v>
      </c>
      <c r="L1664" t="str">
        <f t="shared" ca="1" si="77"/>
        <v/>
      </c>
      <c r="M1664" t="str">
        <f>IFERROR(INDEX(Inventory!A:A,MATCH(Scan!A1664,Inventory!E:E,0)),"")</f>
        <v/>
      </c>
    </row>
    <row r="1665" spans="2:13" x14ac:dyDescent="0.25">
      <c r="B1665" t="str">
        <f>IF(IFERROR(VLOOKUP(TRIM(A1665),Inventory!E:E,1,0),0)=0,"X","_")</f>
        <v>_</v>
      </c>
      <c r="C1665" t="str">
        <f>IF(IFERROR(VLOOKUP(TRIM(A1665),'Full Inventory'!F:F,1,0),0)=0,"X","_")</f>
        <v>_</v>
      </c>
      <c r="D1665" t="str">
        <f t="shared" si="75"/>
        <v>X</v>
      </c>
      <c r="E1665" t="str">
        <f ca="1">IFERROR(IF(AND(B1665&amp;C1665&amp;D1665="___",INDIRECT("Inventory!A"&amp;MATCH(VLOOKUP(A1665,Inventory!E:E,1,0),Inventory!E:E,0))&lt;&gt;INDIRECT("'Full Inventory'!B"&amp;MATCH(VLOOKUP(A1665,'Full Inventory'!F:F,1,0),'Full Inventory'!F:F,0))),"X","_"),"_")</f>
        <v>_</v>
      </c>
      <c r="K1665" t="str">
        <f t="shared" ca="1" si="76"/>
        <v>__X_</v>
      </c>
      <c r="L1665" t="str">
        <f t="shared" ca="1" si="77"/>
        <v/>
      </c>
      <c r="M1665" t="str">
        <f>IFERROR(INDEX(Inventory!A:A,MATCH(Scan!A1665,Inventory!E:E,0)),"")</f>
        <v/>
      </c>
    </row>
    <row r="1666" spans="2:13" x14ac:dyDescent="0.25">
      <c r="B1666" t="str">
        <f>IF(IFERROR(VLOOKUP(TRIM(A1666),Inventory!E:E,1,0),0)=0,"X","_")</f>
        <v>_</v>
      </c>
      <c r="C1666" t="str">
        <f>IF(IFERROR(VLOOKUP(TRIM(A1666),'Full Inventory'!F:F,1,0),0)=0,"X","_")</f>
        <v>_</v>
      </c>
      <c r="D1666" t="str">
        <f t="shared" ref="D1666:D1729" si="78">IF(TRIM(A1666)&lt;&gt;"","_","X")</f>
        <v>X</v>
      </c>
      <c r="E1666" t="str">
        <f ca="1">IFERROR(IF(AND(B1666&amp;C1666&amp;D1666="___",INDIRECT("Inventory!A"&amp;MATCH(VLOOKUP(A1666,Inventory!E:E,1,0),Inventory!E:E,0))&lt;&gt;INDIRECT("'Full Inventory'!B"&amp;MATCH(VLOOKUP(A1666,'Full Inventory'!F:F,1,0),'Full Inventory'!F:F,0))),"X","_"),"_")</f>
        <v>_</v>
      </c>
      <c r="K1666" t="str">
        <f t="shared" ca="1" si="76"/>
        <v>__X_</v>
      </c>
      <c r="L1666" t="str">
        <f t="shared" ca="1" si="77"/>
        <v/>
      </c>
      <c r="M1666" t="str">
        <f>IFERROR(INDEX(Inventory!A:A,MATCH(Scan!A1666,Inventory!E:E,0)),"")</f>
        <v/>
      </c>
    </row>
    <row r="1667" spans="2:13" x14ac:dyDescent="0.25">
      <c r="B1667" t="str">
        <f>IF(IFERROR(VLOOKUP(TRIM(A1667),Inventory!E:E,1,0),0)=0,"X","_")</f>
        <v>_</v>
      </c>
      <c r="C1667" t="str">
        <f>IF(IFERROR(VLOOKUP(TRIM(A1667),'Full Inventory'!F:F,1,0),0)=0,"X","_")</f>
        <v>_</v>
      </c>
      <c r="D1667" t="str">
        <f t="shared" si="78"/>
        <v>X</v>
      </c>
      <c r="E1667" t="str">
        <f ca="1">IFERROR(IF(AND(B1667&amp;C1667&amp;D1667="___",INDIRECT("Inventory!A"&amp;MATCH(VLOOKUP(A1667,Inventory!E:E,1,0),Inventory!E:E,0))&lt;&gt;INDIRECT("'Full Inventory'!B"&amp;MATCH(VLOOKUP(A1667,'Full Inventory'!F:F,1,0),'Full Inventory'!F:F,0))),"X","_"),"_")</f>
        <v>_</v>
      </c>
      <c r="K1667" t="str">
        <f t="shared" ref="K1667:K1730" ca="1" si="79">B1667&amp;C1667&amp;D1667&amp;E1667</f>
        <v>__X_</v>
      </c>
      <c r="L1667" t="str">
        <f t="shared" ref="L1667:L1730" ca="1" si="80">IF(K1667="____","OK",IF(K1667="_X__","NOT IN FULL INVENTORY",IF(K1667="XX__","NOT IN FULL INVENTORY AND INVENTORY",IF(K1667="X___","NOT IN INVENTORY",IF(K1667="___X","DIFFERENT NAMES IN FULL INVENTORY AND INVENTORY","")))))</f>
        <v/>
      </c>
      <c r="M1667" t="str">
        <f>IFERROR(INDEX(Inventory!A:A,MATCH(Scan!A1667,Inventory!E:E,0)),"")</f>
        <v/>
      </c>
    </row>
    <row r="1668" spans="2:13" x14ac:dyDescent="0.25">
      <c r="B1668" t="str">
        <f>IF(IFERROR(VLOOKUP(TRIM(A1668),Inventory!E:E,1,0),0)=0,"X","_")</f>
        <v>_</v>
      </c>
      <c r="C1668" t="str">
        <f>IF(IFERROR(VLOOKUP(TRIM(A1668),'Full Inventory'!F:F,1,0),0)=0,"X","_")</f>
        <v>_</v>
      </c>
      <c r="D1668" t="str">
        <f t="shared" si="78"/>
        <v>X</v>
      </c>
      <c r="E1668" t="str">
        <f ca="1">IFERROR(IF(AND(B1668&amp;C1668&amp;D1668="___",INDIRECT("Inventory!A"&amp;MATCH(VLOOKUP(A1668,Inventory!E:E,1,0),Inventory!E:E,0))&lt;&gt;INDIRECT("'Full Inventory'!B"&amp;MATCH(VLOOKUP(A1668,'Full Inventory'!F:F,1,0),'Full Inventory'!F:F,0))),"X","_"),"_")</f>
        <v>_</v>
      </c>
      <c r="K1668" t="str">
        <f t="shared" ca="1" si="79"/>
        <v>__X_</v>
      </c>
      <c r="L1668" t="str">
        <f t="shared" ca="1" si="80"/>
        <v/>
      </c>
      <c r="M1668" t="str">
        <f>IFERROR(INDEX(Inventory!A:A,MATCH(Scan!A1668,Inventory!E:E,0)),"")</f>
        <v/>
      </c>
    </row>
    <row r="1669" spans="2:13" x14ac:dyDescent="0.25">
      <c r="B1669" t="str">
        <f>IF(IFERROR(VLOOKUP(TRIM(A1669),Inventory!E:E,1,0),0)=0,"X","_")</f>
        <v>_</v>
      </c>
      <c r="C1669" t="str">
        <f>IF(IFERROR(VLOOKUP(TRIM(A1669),'Full Inventory'!F:F,1,0),0)=0,"X","_")</f>
        <v>_</v>
      </c>
      <c r="D1669" t="str">
        <f t="shared" si="78"/>
        <v>X</v>
      </c>
      <c r="E1669" t="str">
        <f ca="1">IFERROR(IF(AND(B1669&amp;C1669&amp;D1669="___",INDIRECT("Inventory!A"&amp;MATCH(VLOOKUP(A1669,Inventory!E:E,1,0),Inventory!E:E,0))&lt;&gt;INDIRECT("'Full Inventory'!B"&amp;MATCH(VLOOKUP(A1669,'Full Inventory'!F:F,1,0),'Full Inventory'!F:F,0))),"X","_"),"_")</f>
        <v>_</v>
      </c>
      <c r="K1669" t="str">
        <f t="shared" ca="1" si="79"/>
        <v>__X_</v>
      </c>
      <c r="L1669" t="str">
        <f t="shared" ca="1" si="80"/>
        <v/>
      </c>
      <c r="M1669" t="str">
        <f>IFERROR(INDEX(Inventory!A:A,MATCH(Scan!A1669,Inventory!E:E,0)),"")</f>
        <v/>
      </c>
    </row>
    <row r="1670" spans="2:13" x14ac:dyDescent="0.25">
      <c r="B1670" t="str">
        <f>IF(IFERROR(VLOOKUP(TRIM(A1670),Inventory!E:E,1,0),0)=0,"X","_")</f>
        <v>_</v>
      </c>
      <c r="C1670" t="str">
        <f>IF(IFERROR(VLOOKUP(TRIM(A1670),'Full Inventory'!F:F,1,0),0)=0,"X","_")</f>
        <v>_</v>
      </c>
      <c r="D1670" t="str">
        <f t="shared" si="78"/>
        <v>X</v>
      </c>
      <c r="E1670" t="str">
        <f ca="1">IFERROR(IF(AND(B1670&amp;C1670&amp;D1670="___",INDIRECT("Inventory!A"&amp;MATCH(VLOOKUP(A1670,Inventory!E:E,1,0),Inventory!E:E,0))&lt;&gt;INDIRECT("'Full Inventory'!B"&amp;MATCH(VLOOKUP(A1670,'Full Inventory'!F:F,1,0),'Full Inventory'!F:F,0))),"X","_"),"_")</f>
        <v>_</v>
      </c>
      <c r="K1670" t="str">
        <f t="shared" ca="1" si="79"/>
        <v>__X_</v>
      </c>
      <c r="L1670" t="str">
        <f t="shared" ca="1" si="80"/>
        <v/>
      </c>
      <c r="M1670" t="str">
        <f>IFERROR(INDEX(Inventory!A:A,MATCH(Scan!A1670,Inventory!E:E,0)),"")</f>
        <v/>
      </c>
    </row>
    <row r="1671" spans="2:13" x14ac:dyDescent="0.25">
      <c r="B1671" t="str">
        <f>IF(IFERROR(VLOOKUP(TRIM(A1671),Inventory!E:E,1,0),0)=0,"X","_")</f>
        <v>_</v>
      </c>
      <c r="C1671" t="str">
        <f>IF(IFERROR(VLOOKUP(TRIM(A1671),'Full Inventory'!F:F,1,0),0)=0,"X","_")</f>
        <v>_</v>
      </c>
      <c r="D1671" t="str">
        <f t="shared" si="78"/>
        <v>X</v>
      </c>
      <c r="E1671" t="str">
        <f ca="1">IFERROR(IF(AND(B1671&amp;C1671&amp;D1671="___",INDIRECT("Inventory!A"&amp;MATCH(VLOOKUP(A1671,Inventory!E:E,1,0),Inventory!E:E,0))&lt;&gt;INDIRECT("'Full Inventory'!B"&amp;MATCH(VLOOKUP(A1671,'Full Inventory'!F:F,1,0),'Full Inventory'!F:F,0))),"X","_"),"_")</f>
        <v>_</v>
      </c>
      <c r="K1671" t="str">
        <f t="shared" ca="1" si="79"/>
        <v>__X_</v>
      </c>
      <c r="L1671" t="str">
        <f t="shared" ca="1" si="80"/>
        <v/>
      </c>
      <c r="M1671" t="str">
        <f>IFERROR(INDEX(Inventory!A:A,MATCH(Scan!A1671,Inventory!E:E,0)),"")</f>
        <v/>
      </c>
    </row>
    <row r="1672" spans="2:13" x14ac:dyDescent="0.25">
      <c r="B1672" t="str">
        <f>IF(IFERROR(VLOOKUP(TRIM(A1672),Inventory!E:E,1,0),0)=0,"X","_")</f>
        <v>_</v>
      </c>
      <c r="C1672" t="str">
        <f>IF(IFERROR(VLOOKUP(TRIM(A1672),'Full Inventory'!F:F,1,0),0)=0,"X","_")</f>
        <v>_</v>
      </c>
      <c r="D1672" t="str">
        <f t="shared" si="78"/>
        <v>X</v>
      </c>
      <c r="E1672" t="str">
        <f ca="1">IFERROR(IF(AND(B1672&amp;C1672&amp;D1672="___",INDIRECT("Inventory!A"&amp;MATCH(VLOOKUP(A1672,Inventory!E:E,1,0),Inventory!E:E,0))&lt;&gt;INDIRECT("'Full Inventory'!B"&amp;MATCH(VLOOKUP(A1672,'Full Inventory'!F:F,1,0),'Full Inventory'!F:F,0))),"X","_"),"_")</f>
        <v>_</v>
      </c>
      <c r="K1672" t="str">
        <f t="shared" ca="1" si="79"/>
        <v>__X_</v>
      </c>
      <c r="L1672" t="str">
        <f t="shared" ca="1" si="80"/>
        <v/>
      </c>
      <c r="M1672" t="str">
        <f>IFERROR(INDEX(Inventory!A:A,MATCH(Scan!A1672,Inventory!E:E,0)),"")</f>
        <v/>
      </c>
    </row>
    <row r="1673" spans="2:13" x14ac:dyDescent="0.25">
      <c r="B1673" t="str">
        <f>IF(IFERROR(VLOOKUP(TRIM(A1673),Inventory!E:E,1,0),0)=0,"X","_")</f>
        <v>_</v>
      </c>
      <c r="C1673" t="str">
        <f>IF(IFERROR(VLOOKUP(TRIM(A1673),'Full Inventory'!F:F,1,0),0)=0,"X","_")</f>
        <v>_</v>
      </c>
      <c r="D1673" t="str">
        <f t="shared" si="78"/>
        <v>X</v>
      </c>
      <c r="E1673" t="str">
        <f ca="1">IFERROR(IF(AND(B1673&amp;C1673&amp;D1673="___",INDIRECT("Inventory!A"&amp;MATCH(VLOOKUP(A1673,Inventory!E:E,1,0),Inventory!E:E,0))&lt;&gt;INDIRECT("'Full Inventory'!B"&amp;MATCH(VLOOKUP(A1673,'Full Inventory'!F:F,1,0),'Full Inventory'!F:F,0))),"X","_"),"_")</f>
        <v>_</v>
      </c>
      <c r="K1673" t="str">
        <f t="shared" ca="1" si="79"/>
        <v>__X_</v>
      </c>
      <c r="L1673" t="str">
        <f t="shared" ca="1" si="80"/>
        <v/>
      </c>
      <c r="M1673" t="str">
        <f>IFERROR(INDEX(Inventory!A:A,MATCH(Scan!A1673,Inventory!E:E,0)),"")</f>
        <v/>
      </c>
    </row>
    <row r="1674" spans="2:13" x14ac:dyDescent="0.25">
      <c r="B1674" t="str">
        <f>IF(IFERROR(VLOOKUP(TRIM(A1674),Inventory!E:E,1,0),0)=0,"X","_")</f>
        <v>_</v>
      </c>
      <c r="C1674" t="str">
        <f>IF(IFERROR(VLOOKUP(TRIM(A1674),'Full Inventory'!F:F,1,0),0)=0,"X","_")</f>
        <v>_</v>
      </c>
      <c r="D1674" t="str">
        <f t="shared" si="78"/>
        <v>X</v>
      </c>
      <c r="E1674" t="str">
        <f ca="1">IFERROR(IF(AND(B1674&amp;C1674&amp;D1674="___",INDIRECT("Inventory!A"&amp;MATCH(VLOOKUP(A1674,Inventory!E:E,1,0),Inventory!E:E,0))&lt;&gt;INDIRECT("'Full Inventory'!B"&amp;MATCH(VLOOKUP(A1674,'Full Inventory'!F:F,1,0),'Full Inventory'!F:F,0))),"X","_"),"_")</f>
        <v>_</v>
      </c>
      <c r="K1674" t="str">
        <f t="shared" ca="1" si="79"/>
        <v>__X_</v>
      </c>
      <c r="L1674" t="str">
        <f t="shared" ca="1" si="80"/>
        <v/>
      </c>
      <c r="M1674" t="str">
        <f>IFERROR(INDEX(Inventory!A:A,MATCH(Scan!A1674,Inventory!E:E,0)),"")</f>
        <v/>
      </c>
    </row>
    <row r="1675" spans="2:13" x14ac:dyDescent="0.25">
      <c r="B1675" t="str">
        <f>IF(IFERROR(VLOOKUP(TRIM(A1675),Inventory!E:E,1,0),0)=0,"X","_")</f>
        <v>_</v>
      </c>
      <c r="C1675" t="str">
        <f>IF(IFERROR(VLOOKUP(TRIM(A1675),'Full Inventory'!F:F,1,0),0)=0,"X","_")</f>
        <v>_</v>
      </c>
      <c r="D1675" t="str">
        <f t="shared" si="78"/>
        <v>X</v>
      </c>
      <c r="E1675" t="str">
        <f ca="1">IFERROR(IF(AND(B1675&amp;C1675&amp;D1675="___",INDIRECT("Inventory!A"&amp;MATCH(VLOOKUP(A1675,Inventory!E:E,1,0),Inventory!E:E,0))&lt;&gt;INDIRECT("'Full Inventory'!B"&amp;MATCH(VLOOKUP(A1675,'Full Inventory'!F:F,1,0),'Full Inventory'!F:F,0))),"X","_"),"_")</f>
        <v>_</v>
      </c>
      <c r="K1675" t="str">
        <f t="shared" ca="1" si="79"/>
        <v>__X_</v>
      </c>
      <c r="L1675" t="str">
        <f t="shared" ca="1" si="80"/>
        <v/>
      </c>
      <c r="M1675" t="str">
        <f>IFERROR(INDEX(Inventory!A:A,MATCH(Scan!A1675,Inventory!E:E,0)),"")</f>
        <v/>
      </c>
    </row>
    <row r="1676" spans="2:13" x14ac:dyDescent="0.25">
      <c r="B1676" t="str">
        <f>IF(IFERROR(VLOOKUP(TRIM(A1676),Inventory!E:E,1,0),0)=0,"X","_")</f>
        <v>_</v>
      </c>
      <c r="C1676" t="str">
        <f>IF(IFERROR(VLOOKUP(TRIM(A1676),'Full Inventory'!F:F,1,0),0)=0,"X","_")</f>
        <v>_</v>
      </c>
      <c r="D1676" t="str">
        <f t="shared" si="78"/>
        <v>X</v>
      </c>
      <c r="E1676" t="str">
        <f ca="1">IFERROR(IF(AND(B1676&amp;C1676&amp;D1676="___",INDIRECT("Inventory!A"&amp;MATCH(VLOOKUP(A1676,Inventory!E:E,1,0),Inventory!E:E,0))&lt;&gt;INDIRECT("'Full Inventory'!B"&amp;MATCH(VLOOKUP(A1676,'Full Inventory'!F:F,1,0),'Full Inventory'!F:F,0))),"X","_"),"_")</f>
        <v>_</v>
      </c>
      <c r="K1676" t="str">
        <f t="shared" ca="1" si="79"/>
        <v>__X_</v>
      </c>
      <c r="L1676" t="str">
        <f t="shared" ca="1" si="80"/>
        <v/>
      </c>
      <c r="M1676" t="str">
        <f>IFERROR(INDEX(Inventory!A:A,MATCH(Scan!A1676,Inventory!E:E,0)),"")</f>
        <v/>
      </c>
    </row>
    <row r="1677" spans="2:13" x14ac:dyDescent="0.25">
      <c r="B1677" t="str">
        <f>IF(IFERROR(VLOOKUP(TRIM(A1677),Inventory!E:E,1,0),0)=0,"X","_")</f>
        <v>_</v>
      </c>
      <c r="C1677" t="str">
        <f>IF(IFERROR(VLOOKUP(TRIM(A1677),'Full Inventory'!F:F,1,0),0)=0,"X","_")</f>
        <v>_</v>
      </c>
      <c r="D1677" t="str">
        <f t="shared" si="78"/>
        <v>X</v>
      </c>
      <c r="E1677" t="str">
        <f ca="1">IFERROR(IF(AND(B1677&amp;C1677&amp;D1677="___",INDIRECT("Inventory!A"&amp;MATCH(VLOOKUP(A1677,Inventory!E:E,1,0),Inventory!E:E,0))&lt;&gt;INDIRECT("'Full Inventory'!B"&amp;MATCH(VLOOKUP(A1677,'Full Inventory'!F:F,1,0),'Full Inventory'!F:F,0))),"X","_"),"_")</f>
        <v>_</v>
      </c>
      <c r="K1677" t="str">
        <f t="shared" ca="1" si="79"/>
        <v>__X_</v>
      </c>
      <c r="L1677" t="str">
        <f t="shared" ca="1" si="80"/>
        <v/>
      </c>
      <c r="M1677" t="str">
        <f>IFERROR(INDEX(Inventory!A:A,MATCH(Scan!A1677,Inventory!E:E,0)),"")</f>
        <v/>
      </c>
    </row>
    <row r="1678" spans="2:13" x14ac:dyDescent="0.25">
      <c r="B1678" t="str">
        <f>IF(IFERROR(VLOOKUP(TRIM(A1678),Inventory!E:E,1,0),0)=0,"X","_")</f>
        <v>_</v>
      </c>
      <c r="C1678" t="str">
        <f>IF(IFERROR(VLOOKUP(TRIM(A1678),'Full Inventory'!F:F,1,0),0)=0,"X","_")</f>
        <v>_</v>
      </c>
      <c r="D1678" t="str">
        <f t="shared" si="78"/>
        <v>X</v>
      </c>
      <c r="E1678" t="str">
        <f ca="1">IFERROR(IF(AND(B1678&amp;C1678&amp;D1678="___",INDIRECT("Inventory!A"&amp;MATCH(VLOOKUP(A1678,Inventory!E:E,1,0),Inventory!E:E,0))&lt;&gt;INDIRECT("'Full Inventory'!B"&amp;MATCH(VLOOKUP(A1678,'Full Inventory'!F:F,1,0),'Full Inventory'!F:F,0))),"X","_"),"_")</f>
        <v>_</v>
      </c>
      <c r="K1678" t="str">
        <f t="shared" ca="1" si="79"/>
        <v>__X_</v>
      </c>
      <c r="L1678" t="str">
        <f t="shared" ca="1" si="80"/>
        <v/>
      </c>
      <c r="M1678" t="str">
        <f>IFERROR(INDEX(Inventory!A:A,MATCH(Scan!A1678,Inventory!E:E,0)),"")</f>
        <v/>
      </c>
    </row>
    <row r="1679" spans="2:13" x14ac:dyDescent="0.25">
      <c r="B1679" t="str">
        <f>IF(IFERROR(VLOOKUP(TRIM(A1679),Inventory!E:E,1,0),0)=0,"X","_")</f>
        <v>_</v>
      </c>
      <c r="C1679" t="str">
        <f>IF(IFERROR(VLOOKUP(TRIM(A1679),'Full Inventory'!F:F,1,0),0)=0,"X","_")</f>
        <v>_</v>
      </c>
      <c r="D1679" t="str">
        <f t="shared" si="78"/>
        <v>X</v>
      </c>
      <c r="E1679" t="str">
        <f ca="1">IFERROR(IF(AND(B1679&amp;C1679&amp;D1679="___",INDIRECT("Inventory!A"&amp;MATCH(VLOOKUP(A1679,Inventory!E:E,1,0),Inventory!E:E,0))&lt;&gt;INDIRECT("'Full Inventory'!B"&amp;MATCH(VLOOKUP(A1679,'Full Inventory'!F:F,1,0),'Full Inventory'!F:F,0))),"X","_"),"_")</f>
        <v>_</v>
      </c>
      <c r="K1679" t="str">
        <f t="shared" ca="1" si="79"/>
        <v>__X_</v>
      </c>
      <c r="L1679" t="str">
        <f t="shared" ca="1" si="80"/>
        <v/>
      </c>
      <c r="M1679" t="str">
        <f>IFERROR(INDEX(Inventory!A:A,MATCH(Scan!A1679,Inventory!E:E,0)),"")</f>
        <v/>
      </c>
    </row>
    <row r="1680" spans="2:13" x14ac:dyDescent="0.25">
      <c r="B1680" t="str">
        <f>IF(IFERROR(VLOOKUP(TRIM(A1680),Inventory!E:E,1,0),0)=0,"X","_")</f>
        <v>_</v>
      </c>
      <c r="C1680" t="str">
        <f>IF(IFERROR(VLOOKUP(TRIM(A1680),'Full Inventory'!F:F,1,0),0)=0,"X","_")</f>
        <v>_</v>
      </c>
      <c r="D1680" t="str">
        <f t="shared" si="78"/>
        <v>X</v>
      </c>
      <c r="E1680" t="str">
        <f ca="1">IFERROR(IF(AND(B1680&amp;C1680&amp;D1680="___",INDIRECT("Inventory!A"&amp;MATCH(VLOOKUP(A1680,Inventory!E:E,1,0),Inventory!E:E,0))&lt;&gt;INDIRECT("'Full Inventory'!B"&amp;MATCH(VLOOKUP(A1680,'Full Inventory'!F:F,1,0),'Full Inventory'!F:F,0))),"X","_"),"_")</f>
        <v>_</v>
      </c>
      <c r="K1680" t="str">
        <f t="shared" ca="1" si="79"/>
        <v>__X_</v>
      </c>
      <c r="L1680" t="str">
        <f t="shared" ca="1" si="80"/>
        <v/>
      </c>
      <c r="M1680" t="str">
        <f>IFERROR(INDEX(Inventory!A:A,MATCH(Scan!A1680,Inventory!E:E,0)),"")</f>
        <v/>
      </c>
    </row>
    <row r="1681" spans="2:13" x14ac:dyDescent="0.25">
      <c r="B1681" t="str">
        <f>IF(IFERROR(VLOOKUP(TRIM(A1681),Inventory!E:E,1,0),0)=0,"X","_")</f>
        <v>_</v>
      </c>
      <c r="C1681" t="str">
        <f>IF(IFERROR(VLOOKUP(TRIM(A1681),'Full Inventory'!F:F,1,0),0)=0,"X","_")</f>
        <v>_</v>
      </c>
      <c r="D1681" t="str">
        <f t="shared" si="78"/>
        <v>X</v>
      </c>
      <c r="E1681" t="str">
        <f ca="1">IFERROR(IF(AND(B1681&amp;C1681&amp;D1681="___",INDIRECT("Inventory!A"&amp;MATCH(VLOOKUP(A1681,Inventory!E:E,1,0),Inventory!E:E,0))&lt;&gt;INDIRECT("'Full Inventory'!B"&amp;MATCH(VLOOKUP(A1681,'Full Inventory'!F:F,1,0),'Full Inventory'!F:F,0))),"X","_"),"_")</f>
        <v>_</v>
      </c>
      <c r="K1681" t="str">
        <f t="shared" ca="1" si="79"/>
        <v>__X_</v>
      </c>
      <c r="L1681" t="str">
        <f t="shared" ca="1" si="80"/>
        <v/>
      </c>
      <c r="M1681" t="str">
        <f>IFERROR(INDEX(Inventory!A:A,MATCH(Scan!A1681,Inventory!E:E,0)),"")</f>
        <v/>
      </c>
    </row>
    <row r="1682" spans="2:13" x14ac:dyDescent="0.25">
      <c r="B1682" t="str">
        <f>IF(IFERROR(VLOOKUP(TRIM(A1682),Inventory!E:E,1,0),0)=0,"X","_")</f>
        <v>_</v>
      </c>
      <c r="C1682" t="str">
        <f>IF(IFERROR(VLOOKUP(TRIM(A1682),'Full Inventory'!F:F,1,0),0)=0,"X","_")</f>
        <v>_</v>
      </c>
      <c r="D1682" t="str">
        <f t="shared" si="78"/>
        <v>X</v>
      </c>
      <c r="E1682" t="str">
        <f ca="1">IFERROR(IF(AND(B1682&amp;C1682&amp;D1682="___",INDIRECT("Inventory!A"&amp;MATCH(VLOOKUP(A1682,Inventory!E:E,1,0),Inventory!E:E,0))&lt;&gt;INDIRECT("'Full Inventory'!B"&amp;MATCH(VLOOKUP(A1682,'Full Inventory'!F:F,1,0),'Full Inventory'!F:F,0))),"X","_"),"_")</f>
        <v>_</v>
      </c>
      <c r="K1682" t="str">
        <f t="shared" ca="1" si="79"/>
        <v>__X_</v>
      </c>
      <c r="L1682" t="str">
        <f t="shared" ca="1" si="80"/>
        <v/>
      </c>
      <c r="M1682" t="str">
        <f>IFERROR(INDEX(Inventory!A:A,MATCH(Scan!A1682,Inventory!E:E,0)),"")</f>
        <v/>
      </c>
    </row>
    <row r="1683" spans="2:13" x14ac:dyDescent="0.25">
      <c r="B1683" t="str">
        <f>IF(IFERROR(VLOOKUP(TRIM(A1683),Inventory!E:E,1,0),0)=0,"X","_")</f>
        <v>_</v>
      </c>
      <c r="C1683" t="str">
        <f>IF(IFERROR(VLOOKUP(TRIM(A1683),'Full Inventory'!F:F,1,0),0)=0,"X","_")</f>
        <v>_</v>
      </c>
      <c r="D1683" t="str">
        <f t="shared" si="78"/>
        <v>X</v>
      </c>
      <c r="E1683" t="str">
        <f ca="1">IFERROR(IF(AND(B1683&amp;C1683&amp;D1683="___",INDIRECT("Inventory!A"&amp;MATCH(VLOOKUP(A1683,Inventory!E:E,1,0),Inventory!E:E,0))&lt;&gt;INDIRECT("'Full Inventory'!B"&amp;MATCH(VLOOKUP(A1683,'Full Inventory'!F:F,1,0),'Full Inventory'!F:F,0))),"X","_"),"_")</f>
        <v>_</v>
      </c>
      <c r="K1683" t="str">
        <f t="shared" ca="1" si="79"/>
        <v>__X_</v>
      </c>
      <c r="L1683" t="str">
        <f t="shared" ca="1" si="80"/>
        <v/>
      </c>
      <c r="M1683" t="str">
        <f>IFERROR(INDEX(Inventory!A:A,MATCH(Scan!A1683,Inventory!E:E,0)),"")</f>
        <v/>
      </c>
    </row>
    <row r="1684" spans="2:13" x14ac:dyDescent="0.25">
      <c r="B1684" t="str">
        <f>IF(IFERROR(VLOOKUP(TRIM(A1684),Inventory!E:E,1,0),0)=0,"X","_")</f>
        <v>_</v>
      </c>
      <c r="C1684" t="str">
        <f>IF(IFERROR(VLOOKUP(TRIM(A1684),'Full Inventory'!F:F,1,0),0)=0,"X","_")</f>
        <v>_</v>
      </c>
      <c r="D1684" t="str">
        <f t="shared" si="78"/>
        <v>X</v>
      </c>
      <c r="E1684" t="str">
        <f ca="1">IFERROR(IF(AND(B1684&amp;C1684&amp;D1684="___",INDIRECT("Inventory!A"&amp;MATCH(VLOOKUP(A1684,Inventory!E:E,1,0),Inventory!E:E,0))&lt;&gt;INDIRECT("'Full Inventory'!B"&amp;MATCH(VLOOKUP(A1684,'Full Inventory'!F:F,1,0),'Full Inventory'!F:F,0))),"X","_"),"_")</f>
        <v>_</v>
      </c>
      <c r="K1684" t="str">
        <f t="shared" ca="1" si="79"/>
        <v>__X_</v>
      </c>
      <c r="L1684" t="str">
        <f t="shared" ca="1" si="80"/>
        <v/>
      </c>
      <c r="M1684" t="str">
        <f>IFERROR(INDEX(Inventory!A:A,MATCH(Scan!A1684,Inventory!E:E,0)),"")</f>
        <v/>
      </c>
    </row>
    <row r="1685" spans="2:13" x14ac:dyDescent="0.25">
      <c r="B1685" t="str">
        <f>IF(IFERROR(VLOOKUP(TRIM(A1685),Inventory!E:E,1,0),0)=0,"X","_")</f>
        <v>_</v>
      </c>
      <c r="C1685" t="str">
        <f>IF(IFERROR(VLOOKUP(TRIM(A1685),'Full Inventory'!F:F,1,0),0)=0,"X","_")</f>
        <v>_</v>
      </c>
      <c r="D1685" t="str">
        <f t="shared" si="78"/>
        <v>X</v>
      </c>
      <c r="E1685" t="str">
        <f ca="1">IFERROR(IF(AND(B1685&amp;C1685&amp;D1685="___",INDIRECT("Inventory!A"&amp;MATCH(VLOOKUP(A1685,Inventory!E:E,1,0),Inventory!E:E,0))&lt;&gt;INDIRECT("'Full Inventory'!B"&amp;MATCH(VLOOKUP(A1685,'Full Inventory'!F:F,1,0),'Full Inventory'!F:F,0))),"X","_"),"_")</f>
        <v>_</v>
      </c>
      <c r="K1685" t="str">
        <f t="shared" ca="1" si="79"/>
        <v>__X_</v>
      </c>
      <c r="L1685" t="str">
        <f t="shared" ca="1" si="80"/>
        <v/>
      </c>
      <c r="M1685" t="str">
        <f>IFERROR(INDEX(Inventory!A:A,MATCH(Scan!A1685,Inventory!E:E,0)),"")</f>
        <v/>
      </c>
    </row>
    <row r="1686" spans="2:13" x14ac:dyDescent="0.25">
      <c r="B1686" t="str">
        <f>IF(IFERROR(VLOOKUP(TRIM(A1686),Inventory!E:E,1,0),0)=0,"X","_")</f>
        <v>_</v>
      </c>
      <c r="C1686" t="str">
        <f>IF(IFERROR(VLOOKUP(TRIM(A1686),'Full Inventory'!F:F,1,0),0)=0,"X","_")</f>
        <v>_</v>
      </c>
      <c r="D1686" t="str">
        <f t="shared" si="78"/>
        <v>X</v>
      </c>
      <c r="E1686" t="str">
        <f ca="1">IFERROR(IF(AND(B1686&amp;C1686&amp;D1686="___",INDIRECT("Inventory!A"&amp;MATCH(VLOOKUP(A1686,Inventory!E:E,1,0),Inventory!E:E,0))&lt;&gt;INDIRECT("'Full Inventory'!B"&amp;MATCH(VLOOKUP(A1686,'Full Inventory'!F:F,1,0),'Full Inventory'!F:F,0))),"X","_"),"_")</f>
        <v>_</v>
      </c>
      <c r="K1686" t="str">
        <f t="shared" ca="1" si="79"/>
        <v>__X_</v>
      </c>
      <c r="L1686" t="str">
        <f t="shared" ca="1" si="80"/>
        <v/>
      </c>
      <c r="M1686" t="str">
        <f>IFERROR(INDEX(Inventory!A:A,MATCH(Scan!A1686,Inventory!E:E,0)),"")</f>
        <v/>
      </c>
    </row>
    <row r="1687" spans="2:13" x14ac:dyDescent="0.25">
      <c r="B1687" t="str">
        <f>IF(IFERROR(VLOOKUP(TRIM(A1687),Inventory!E:E,1,0),0)=0,"X","_")</f>
        <v>_</v>
      </c>
      <c r="C1687" t="str">
        <f>IF(IFERROR(VLOOKUP(TRIM(A1687),'Full Inventory'!F:F,1,0),0)=0,"X","_")</f>
        <v>_</v>
      </c>
      <c r="D1687" t="str">
        <f t="shared" si="78"/>
        <v>X</v>
      </c>
      <c r="E1687" t="str">
        <f ca="1">IFERROR(IF(AND(B1687&amp;C1687&amp;D1687="___",INDIRECT("Inventory!A"&amp;MATCH(VLOOKUP(A1687,Inventory!E:E,1,0),Inventory!E:E,0))&lt;&gt;INDIRECT("'Full Inventory'!B"&amp;MATCH(VLOOKUP(A1687,'Full Inventory'!F:F,1,0),'Full Inventory'!F:F,0))),"X","_"),"_")</f>
        <v>_</v>
      </c>
      <c r="K1687" t="str">
        <f t="shared" ca="1" si="79"/>
        <v>__X_</v>
      </c>
      <c r="L1687" t="str">
        <f t="shared" ca="1" si="80"/>
        <v/>
      </c>
      <c r="M1687" t="str">
        <f>IFERROR(INDEX(Inventory!A:A,MATCH(Scan!A1687,Inventory!E:E,0)),"")</f>
        <v/>
      </c>
    </row>
    <row r="1688" spans="2:13" x14ac:dyDescent="0.25">
      <c r="B1688" t="str">
        <f>IF(IFERROR(VLOOKUP(TRIM(A1688),Inventory!E:E,1,0),0)=0,"X","_")</f>
        <v>_</v>
      </c>
      <c r="C1688" t="str">
        <f>IF(IFERROR(VLOOKUP(TRIM(A1688),'Full Inventory'!F:F,1,0),0)=0,"X","_")</f>
        <v>_</v>
      </c>
      <c r="D1688" t="str">
        <f t="shared" si="78"/>
        <v>X</v>
      </c>
      <c r="E1688" t="str">
        <f ca="1">IFERROR(IF(AND(B1688&amp;C1688&amp;D1688="___",INDIRECT("Inventory!A"&amp;MATCH(VLOOKUP(A1688,Inventory!E:E,1,0),Inventory!E:E,0))&lt;&gt;INDIRECT("'Full Inventory'!B"&amp;MATCH(VLOOKUP(A1688,'Full Inventory'!F:F,1,0),'Full Inventory'!F:F,0))),"X","_"),"_")</f>
        <v>_</v>
      </c>
      <c r="K1688" t="str">
        <f t="shared" ca="1" si="79"/>
        <v>__X_</v>
      </c>
      <c r="L1688" t="str">
        <f t="shared" ca="1" si="80"/>
        <v/>
      </c>
      <c r="M1688" t="str">
        <f>IFERROR(INDEX(Inventory!A:A,MATCH(Scan!A1688,Inventory!E:E,0)),"")</f>
        <v/>
      </c>
    </row>
    <row r="1689" spans="2:13" x14ac:dyDescent="0.25">
      <c r="B1689" t="str">
        <f>IF(IFERROR(VLOOKUP(TRIM(A1689),Inventory!E:E,1,0),0)=0,"X","_")</f>
        <v>_</v>
      </c>
      <c r="C1689" t="str">
        <f>IF(IFERROR(VLOOKUP(TRIM(A1689),'Full Inventory'!F:F,1,0),0)=0,"X","_")</f>
        <v>_</v>
      </c>
      <c r="D1689" t="str">
        <f t="shared" si="78"/>
        <v>X</v>
      </c>
      <c r="E1689" t="str">
        <f ca="1">IFERROR(IF(AND(B1689&amp;C1689&amp;D1689="___",INDIRECT("Inventory!A"&amp;MATCH(VLOOKUP(A1689,Inventory!E:E,1,0),Inventory!E:E,0))&lt;&gt;INDIRECT("'Full Inventory'!B"&amp;MATCH(VLOOKUP(A1689,'Full Inventory'!F:F,1,0),'Full Inventory'!F:F,0))),"X","_"),"_")</f>
        <v>_</v>
      </c>
      <c r="K1689" t="str">
        <f t="shared" ca="1" si="79"/>
        <v>__X_</v>
      </c>
      <c r="L1689" t="str">
        <f t="shared" ca="1" si="80"/>
        <v/>
      </c>
      <c r="M1689" t="str">
        <f>IFERROR(INDEX(Inventory!A:A,MATCH(Scan!A1689,Inventory!E:E,0)),"")</f>
        <v/>
      </c>
    </row>
    <row r="1690" spans="2:13" x14ac:dyDescent="0.25">
      <c r="B1690" t="str">
        <f>IF(IFERROR(VLOOKUP(TRIM(A1690),Inventory!E:E,1,0),0)=0,"X","_")</f>
        <v>_</v>
      </c>
      <c r="C1690" t="str">
        <f>IF(IFERROR(VLOOKUP(TRIM(A1690),'Full Inventory'!F:F,1,0),0)=0,"X","_")</f>
        <v>_</v>
      </c>
      <c r="D1690" t="str">
        <f t="shared" si="78"/>
        <v>X</v>
      </c>
      <c r="E1690" t="str">
        <f ca="1">IFERROR(IF(AND(B1690&amp;C1690&amp;D1690="___",INDIRECT("Inventory!A"&amp;MATCH(VLOOKUP(A1690,Inventory!E:E,1,0),Inventory!E:E,0))&lt;&gt;INDIRECT("'Full Inventory'!B"&amp;MATCH(VLOOKUP(A1690,'Full Inventory'!F:F,1,0),'Full Inventory'!F:F,0))),"X","_"),"_")</f>
        <v>_</v>
      </c>
      <c r="K1690" t="str">
        <f t="shared" ca="1" si="79"/>
        <v>__X_</v>
      </c>
      <c r="L1690" t="str">
        <f t="shared" ca="1" si="80"/>
        <v/>
      </c>
      <c r="M1690" t="str">
        <f>IFERROR(INDEX(Inventory!A:A,MATCH(Scan!A1690,Inventory!E:E,0)),"")</f>
        <v/>
      </c>
    </row>
    <row r="1691" spans="2:13" x14ac:dyDescent="0.25">
      <c r="B1691" t="str">
        <f>IF(IFERROR(VLOOKUP(TRIM(A1691),Inventory!E:E,1,0),0)=0,"X","_")</f>
        <v>_</v>
      </c>
      <c r="C1691" t="str">
        <f>IF(IFERROR(VLOOKUP(TRIM(A1691),'Full Inventory'!F:F,1,0),0)=0,"X","_")</f>
        <v>_</v>
      </c>
      <c r="D1691" t="str">
        <f t="shared" si="78"/>
        <v>X</v>
      </c>
      <c r="E1691" t="str">
        <f ca="1">IFERROR(IF(AND(B1691&amp;C1691&amp;D1691="___",INDIRECT("Inventory!A"&amp;MATCH(VLOOKUP(A1691,Inventory!E:E,1,0),Inventory!E:E,0))&lt;&gt;INDIRECT("'Full Inventory'!B"&amp;MATCH(VLOOKUP(A1691,'Full Inventory'!F:F,1,0),'Full Inventory'!F:F,0))),"X","_"),"_")</f>
        <v>_</v>
      </c>
      <c r="K1691" t="str">
        <f t="shared" ca="1" si="79"/>
        <v>__X_</v>
      </c>
      <c r="L1691" t="str">
        <f t="shared" ca="1" si="80"/>
        <v/>
      </c>
      <c r="M1691" t="str">
        <f>IFERROR(INDEX(Inventory!A:A,MATCH(Scan!A1691,Inventory!E:E,0)),"")</f>
        <v/>
      </c>
    </row>
    <row r="1692" spans="2:13" x14ac:dyDescent="0.25">
      <c r="B1692" t="str">
        <f>IF(IFERROR(VLOOKUP(TRIM(A1692),Inventory!E:E,1,0),0)=0,"X","_")</f>
        <v>_</v>
      </c>
      <c r="C1692" t="str">
        <f>IF(IFERROR(VLOOKUP(TRIM(A1692),'Full Inventory'!F:F,1,0),0)=0,"X","_")</f>
        <v>_</v>
      </c>
      <c r="D1692" t="str">
        <f t="shared" si="78"/>
        <v>X</v>
      </c>
      <c r="E1692" t="str">
        <f ca="1">IFERROR(IF(AND(B1692&amp;C1692&amp;D1692="___",INDIRECT("Inventory!A"&amp;MATCH(VLOOKUP(A1692,Inventory!E:E,1,0),Inventory!E:E,0))&lt;&gt;INDIRECT("'Full Inventory'!B"&amp;MATCH(VLOOKUP(A1692,'Full Inventory'!F:F,1,0),'Full Inventory'!F:F,0))),"X","_"),"_")</f>
        <v>_</v>
      </c>
      <c r="K1692" t="str">
        <f t="shared" ca="1" si="79"/>
        <v>__X_</v>
      </c>
      <c r="L1692" t="str">
        <f t="shared" ca="1" si="80"/>
        <v/>
      </c>
      <c r="M1692" t="str">
        <f>IFERROR(INDEX(Inventory!A:A,MATCH(Scan!A1692,Inventory!E:E,0)),"")</f>
        <v/>
      </c>
    </row>
    <row r="1693" spans="2:13" x14ac:dyDescent="0.25">
      <c r="B1693" t="str">
        <f>IF(IFERROR(VLOOKUP(TRIM(A1693),Inventory!E:E,1,0),0)=0,"X","_")</f>
        <v>_</v>
      </c>
      <c r="C1693" t="str">
        <f>IF(IFERROR(VLOOKUP(TRIM(A1693),'Full Inventory'!F:F,1,0),0)=0,"X","_")</f>
        <v>_</v>
      </c>
      <c r="D1693" t="str">
        <f t="shared" si="78"/>
        <v>X</v>
      </c>
      <c r="E1693" t="str">
        <f ca="1">IFERROR(IF(AND(B1693&amp;C1693&amp;D1693="___",INDIRECT("Inventory!A"&amp;MATCH(VLOOKUP(A1693,Inventory!E:E,1,0),Inventory!E:E,0))&lt;&gt;INDIRECT("'Full Inventory'!B"&amp;MATCH(VLOOKUP(A1693,'Full Inventory'!F:F,1,0),'Full Inventory'!F:F,0))),"X","_"),"_")</f>
        <v>_</v>
      </c>
      <c r="K1693" t="str">
        <f t="shared" ca="1" si="79"/>
        <v>__X_</v>
      </c>
      <c r="L1693" t="str">
        <f t="shared" ca="1" si="80"/>
        <v/>
      </c>
      <c r="M1693" t="str">
        <f>IFERROR(INDEX(Inventory!A:A,MATCH(Scan!A1693,Inventory!E:E,0)),"")</f>
        <v/>
      </c>
    </row>
    <row r="1694" spans="2:13" x14ac:dyDescent="0.25">
      <c r="B1694" t="str">
        <f>IF(IFERROR(VLOOKUP(TRIM(A1694),Inventory!E:E,1,0),0)=0,"X","_")</f>
        <v>_</v>
      </c>
      <c r="C1694" t="str">
        <f>IF(IFERROR(VLOOKUP(TRIM(A1694),'Full Inventory'!F:F,1,0),0)=0,"X","_")</f>
        <v>_</v>
      </c>
      <c r="D1694" t="str">
        <f t="shared" si="78"/>
        <v>X</v>
      </c>
      <c r="E1694" t="str">
        <f ca="1">IFERROR(IF(AND(B1694&amp;C1694&amp;D1694="___",INDIRECT("Inventory!A"&amp;MATCH(VLOOKUP(A1694,Inventory!E:E,1,0),Inventory!E:E,0))&lt;&gt;INDIRECT("'Full Inventory'!B"&amp;MATCH(VLOOKUP(A1694,'Full Inventory'!F:F,1,0),'Full Inventory'!F:F,0))),"X","_"),"_")</f>
        <v>_</v>
      </c>
      <c r="K1694" t="str">
        <f t="shared" ca="1" si="79"/>
        <v>__X_</v>
      </c>
      <c r="L1694" t="str">
        <f t="shared" ca="1" si="80"/>
        <v/>
      </c>
      <c r="M1694" t="str">
        <f>IFERROR(INDEX(Inventory!A:A,MATCH(Scan!A1694,Inventory!E:E,0)),"")</f>
        <v/>
      </c>
    </row>
    <row r="1695" spans="2:13" x14ac:dyDescent="0.25">
      <c r="B1695" t="str">
        <f>IF(IFERROR(VLOOKUP(TRIM(A1695),Inventory!E:E,1,0),0)=0,"X","_")</f>
        <v>_</v>
      </c>
      <c r="C1695" t="str">
        <f>IF(IFERROR(VLOOKUP(TRIM(A1695),'Full Inventory'!F:F,1,0),0)=0,"X","_")</f>
        <v>_</v>
      </c>
      <c r="D1695" t="str">
        <f t="shared" si="78"/>
        <v>X</v>
      </c>
      <c r="E1695" t="str">
        <f ca="1">IFERROR(IF(AND(B1695&amp;C1695&amp;D1695="___",INDIRECT("Inventory!A"&amp;MATCH(VLOOKUP(A1695,Inventory!E:E,1,0),Inventory!E:E,0))&lt;&gt;INDIRECT("'Full Inventory'!B"&amp;MATCH(VLOOKUP(A1695,'Full Inventory'!F:F,1,0),'Full Inventory'!F:F,0))),"X","_"),"_")</f>
        <v>_</v>
      </c>
      <c r="K1695" t="str">
        <f t="shared" ca="1" si="79"/>
        <v>__X_</v>
      </c>
      <c r="L1695" t="str">
        <f t="shared" ca="1" si="80"/>
        <v/>
      </c>
      <c r="M1695" t="str">
        <f>IFERROR(INDEX(Inventory!A:A,MATCH(Scan!A1695,Inventory!E:E,0)),"")</f>
        <v/>
      </c>
    </row>
    <row r="1696" spans="2:13" x14ac:dyDescent="0.25">
      <c r="B1696" t="str">
        <f>IF(IFERROR(VLOOKUP(TRIM(A1696),Inventory!E:E,1,0),0)=0,"X","_")</f>
        <v>_</v>
      </c>
      <c r="C1696" t="str">
        <f>IF(IFERROR(VLOOKUP(TRIM(A1696),'Full Inventory'!F:F,1,0),0)=0,"X","_")</f>
        <v>_</v>
      </c>
      <c r="D1696" t="str">
        <f t="shared" si="78"/>
        <v>X</v>
      </c>
      <c r="E1696" t="str">
        <f ca="1">IFERROR(IF(AND(B1696&amp;C1696&amp;D1696="___",INDIRECT("Inventory!A"&amp;MATCH(VLOOKUP(A1696,Inventory!E:E,1,0),Inventory!E:E,0))&lt;&gt;INDIRECT("'Full Inventory'!B"&amp;MATCH(VLOOKUP(A1696,'Full Inventory'!F:F,1,0),'Full Inventory'!F:F,0))),"X","_"),"_")</f>
        <v>_</v>
      </c>
      <c r="K1696" t="str">
        <f t="shared" ca="1" si="79"/>
        <v>__X_</v>
      </c>
      <c r="L1696" t="str">
        <f t="shared" ca="1" si="80"/>
        <v/>
      </c>
      <c r="M1696" t="str">
        <f>IFERROR(INDEX(Inventory!A:A,MATCH(Scan!A1696,Inventory!E:E,0)),"")</f>
        <v/>
      </c>
    </row>
    <row r="1697" spans="2:13" x14ac:dyDescent="0.25">
      <c r="B1697" t="str">
        <f>IF(IFERROR(VLOOKUP(TRIM(A1697),Inventory!E:E,1,0),0)=0,"X","_")</f>
        <v>_</v>
      </c>
      <c r="C1697" t="str">
        <f>IF(IFERROR(VLOOKUP(TRIM(A1697),'Full Inventory'!F:F,1,0),0)=0,"X","_")</f>
        <v>_</v>
      </c>
      <c r="D1697" t="str">
        <f t="shared" si="78"/>
        <v>X</v>
      </c>
      <c r="E1697" t="str">
        <f ca="1">IFERROR(IF(AND(B1697&amp;C1697&amp;D1697="___",INDIRECT("Inventory!A"&amp;MATCH(VLOOKUP(A1697,Inventory!E:E,1,0),Inventory!E:E,0))&lt;&gt;INDIRECT("'Full Inventory'!B"&amp;MATCH(VLOOKUP(A1697,'Full Inventory'!F:F,1,0),'Full Inventory'!F:F,0))),"X","_"),"_")</f>
        <v>_</v>
      </c>
      <c r="K1697" t="str">
        <f t="shared" ca="1" si="79"/>
        <v>__X_</v>
      </c>
      <c r="L1697" t="str">
        <f t="shared" ca="1" si="80"/>
        <v/>
      </c>
      <c r="M1697" t="str">
        <f>IFERROR(INDEX(Inventory!A:A,MATCH(Scan!A1697,Inventory!E:E,0)),"")</f>
        <v/>
      </c>
    </row>
    <row r="1698" spans="2:13" x14ac:dyDescent="0.25">
      <c r="B1698" t="str">
        <f>IF(IFERROR(VLOOKUP(TRIM(A1698),Inventory!E:E,1,0),0)=0,"X","_")</f>
        <v>_</v>
      </c>
      <c r="C1698" t="str">
        <f>IF(IFERROR(VLOOKUP(TRIM(A1698),'Full Inventory'!F:F,1,0),0)=0,"X","_")</f>
        <v>_</v>
      </c>
      <c r="D1698" t="str">
        <f t="shared" si="78"/>
        <v>X</v>
      </c>
      <c r="E1698" t="str">
        <f ca="1">IFERROR(IF(AND(B1698&amp;C1698&amp;D1698="___",INDIRECT("Inventory!A"&amp;MATCH(VLOOKUP(A1698,Inventory!E:E,1,0),Inventory!E:E,0))&lt;&gt;INDIRECT("'Full Inventory'!B"&amp;MATCH(VLOOKUP(A1698,'Full Inventory'!F:F,1,0),'Full Inventory'!F:F,0))),"X","_"),"_")</f>
        <v>_</v>
      </c>
      <c r="K1698" t="str">
        <f t="shared" ca="1" si="79"/>
        <v>__X_</v>
      </c>
      <c r="L1698" t="str">
        <f t="shared" ca="1" si="80"/>
        <v/>
      </c>
      <c r="M1698" t="str">
        <f>IFERROR(INDEX(Inventory!A:A,MATCH(Scan!A1698,Inventory!E:E,0)),"")</f>
        <v/>
      </c>
    </row>
    <row r="1699" spans="2:13" x14ac:dyDescent="0.25">
      <c r="B1699" t="str">
        <f>IF(IFERROR(VLOOKUP(TRIM(A1699),Inventory!E:E,1,0),0)=0,"X","_")</f>
        <v>_</v>
      </c>
      <c r="C1699" t="str">
        <f>IF(IFERROR(VLOOKUP(TRIM(A1699),'Full Inventory'!F:F,1,0),0)=0,"X","_")</f>
        <v>_</v>
      </c>
      <c r="D1699" t="str">
        <f t="shared" si="78"/>
        <v>X</v>
      </c>
      <c r="E1699" t="str">
        <f ca="1">IFERROR(IF(AND(B1699&amp;C1699&amp;D1699="___",INDIRECT("Inventory!A"&amp;MATCH(VLOOKUP(A1699,Inventory!E:E,1,0),Inventory!E:E,0))&lt;&gt;INDIRECT("'Full Inventory'!B"&amp;MATCH(VLOOKUP(A1699,'Full Inventory'!F:F,1,0),'Full Inventory'!F:F,0))),"X","_"),"_")</f>
        <v>_</v>
      </c>
      <c r="K1699" t="str">
        <f t="shared" ca="1" si="79"/>
        <v>__X_</v>
      </c>
      <c r="L1699" t="str">
        <f t="shared" ca="1" si="80"/>
        <v/>
      </c>
      <c r="M1699" t="str">
        <f>IFERROR(INDEX(Inventory!A:A,MATCH(Scan!A1699,Inventory!E:E,0)),"")</f>
        <v/>
      </c>
    </row>
    <row r="1700" spans="2:13" x14ac:dyDescent="0.25">
      <c r="B1700" t="str">
        <f>IF(IFERROR(VLOOKUP(TRIM(A1700),Inventory!E:E,1,0),0)=0,"X","_")</f>
        <v>_</v>
      </c>
      <c r="C1700" t="str">
        <f>IF(IFERROR(VLOOKUP(TRIM(A1700),'Full Inventory'!F:F,1,0),0)=0,"X","_")</f>
        <v>_</v>
      </c>
      <c r="D1700" t="str">
        <f t="shared" si="78"/>
        <v>X</v>
      </c>
      <c r="E1700" t="str">
        <f ca="1">IFERROR(IF(AND(B1700&amp;C1700&amp;D1700="___",INDIRECT("Inventory!A"&amp;MATCH(VLOOKUP(A1700,Inventory!E:E,1,0),Inventory!E:E,0))&lt;&gt;INDIRECT("'Full Inventory'!B"&amp;MATCH(VLOOKUP(A1700,'Full Inventory'!F:F,1,0),'Full Inventory'!F:F,0))),"X","_"),"_")</f>
        <v>_</v>
      </c>
      <c r="K1700" t="str">
        <f t="shared" ca="1" si="79"/>
        <v>__X_</v>
      </c>
      <c r="L1700" t="str">
        <f t="shared" ca="1" si="80"/>
        <v/>
      </c>
      <c r="M1700" t="str">
        <f>IFERROR(INDEX(Inventory!A:A,MATCH(Scan!A1700,Inventory!E:E,0)),"")</f>
        <v/>
      </c>
    </row>
    <row r="1701" spans="2:13" x14ac:dyDescent="0.25">
      <c r="B1701" t="str">
        <f>IF(IFERROR(VLOOKUP(TRIM(A1701),Inventory!E:E,1,0),0)=0,"X","_")</f>
        <v>_</v>
      </c>
      <c r="C1701" t="str">
        <f>IF(IFERROR(VLOOKUP(TRIM(A1701),'Full Inventory'!F:F,1,0),0)=0,"X","_")</f>
        <v>_</v>
      </c>
      <c r="D1701" t="str">
        <f t="shared" si="78"/>
        <v>X</v>
      </c>
      <c r="E1701" t="str">
        <f ca="1">IFERROR(IF(AND(B1701&amp;C1701&amp;D1701="___",INDIRECT("Inventory!A"&amp;MATCH(VLOOKUP(A1701,Inventory!E:E,1,0),Inventory!E:E,0))&lt;&gt;INDIRECT("'Full Inventory'!B"&amp;MATCH(VLOOKUP(A1701,'Full Inventory'!F:F,1,0),'Full Inventory'!F:F,0))),"X","_"),"_")</f>
        <v>_</v>
      </c>
      <c r="K1701" t="str">
        <f t="shared" ca="1" si="79"/>
        <v>__X_</v>
      </c>
      <c r="L1701" t="str">
        <f t="shared" ca="1" si="80"/>
        <v/>
      </c>
      <c r="M1701" t="str">
        <f>IFERROR(INDEX(Inventory!A:A,MATCH(Scan!A1701,Inventory!E:E,0)),"")</f>
        <v/>
      </c>
    </row>
    <row r="1702" spans="2:13" x14ac:dyDescent="0.25">
      <c r="B1702" t="str">
        <f>IF(IFERROR(VLOOKUP(TRIM(A1702),Inventory!E:E,1,0),0)=0,"X","_")</f>
        <v>_</v>
      </c>
      <c r="C1702" t="str">
        <f>IF(IFERROR(VLOOKUP(TRIM(A1702),'Full Inventory'!F:F,1,0),0)=0,"X","_")</f>
        <v>_</v>
      </c>
      <c r="D1702" t="str">
        <f t="shared" si="78"/>
        <v>X</v>
      </c>
      <c r="E1702" t="str">
        <f ca="1">IFERROR(IF(AND(B1702&amp;C1702&amp;D1702="___",INDIRECT("Inventory!A"&amp;MATCH(VLOOKUP(A1702,Inventory!E:E,1,0),Inventory!E:E,0))&lt;&gt;INDIRECT("'Full Inventory'!B"&amp;MATCH(VLOOKUP(A1702,'Full Inventory'!F:F,1,0),'Full Inventory'!F:F,0))),"X","_"),"_")</f>
        <v>_</v>
      </c>
      <c r="K1702" t="str">
        <f t="shared" ca="1" si="79"/>
        <v>__X_</v>
      </c>
      <c r="L1702" t="str">
        <f t="shared" ca="1" si="80"/>
        <v/>
      </c>
      <c r="M1702" t="str">
        <f>IFERROR(INDEX(Inventory!A:A,MATCH(Scan!A1702,Inventory!E:E,0)),"")</f>
        <v/>
      </c>
    </row>
    <row r="1703" spans="2:13" x14ac:dyDescent="0.25">
      <c r="B1703" t="str">
        <f>IF(IFERROR(VLOOKUP(TRIM(A1703),Inventory!E:E,1,0),0)=0,"X","_")</f>
        <v>_</v>
      </c>
      <c r="C1703" t="str">
        <f>IF(IFERROR(VLOOKUP(TRIM(A1703),'Full Inventory'!F:F,1,0),0)=0,"X","_")</f>
        <v>_</v>
      </c>
      <c r="D1703" t="str">
        <f t="shared" si="78"/>
        <v>X</v>
      </c>
      <c r="E1703" t="str">
        <f ca="1">IFERROR(IF(AND(B1703&amp;C1703&amp;D1703="___",INDIRECT("Inventory!A"&amp;MATCH(VLOOKUP(A1703,Inventory!E:E,1,0),Inventory!E:E,0))&lt;&gt;INDIRECT("'Full Inventory'!B"&amp;MATCH(VLOOKUP(A1703,'Full Inventory'!F:F,1,0),'Full Inventory'!F:F,0))),"X","_"),"_")</f>
        <v>_</v>
      </c>
      <c r="K1703" t="str">
        <f t="shared" ca="1" si="79"/>
        <v>__X_</v>
      </c>
      <c r="L1703" t="str">
        <f t="shared" ca="1" si="80"/>
        <v/>
      </c>
      <c r="M1703" t="str">
        <f>IFERROR(INDEX(Inventory!A:A,MATCH(Scan!A1703,Inventory!E:E,0)),"")</f>
        <v/>
      </c>
    </row>
    <row r="1704" spans="2:13" x14ac:dyDescent="0.25">
      <c r="B1704" t="str">
        <f>IF(IFERROR(VLOOKUP(TRIM(A1704),Inventory!E:E,1,0),0)=0,"X","_")</f>
        <v>_</v>
      </c>
      <c r="C1704" t="str">
        <f>IF(IFERROR(VLOOKUP(TRIM(A1704),'Full Inventory'!F:F,1,0),0)=0,"X","_")</f>
        <v>_</v>
      </c>
      <c r="D1704" t="str">
        <f t="shared" si="78"/>
        <v>X</v>
      </c>
      <c r="E1704" t="str">
        <f ca="1">IFERROR(IF(AND(B1704&amp;C1704&amp;D1704="___",INDIRECT("Inventory!A"&amp;MATCH(VLOOKUP(A1704,Inventory!E:E,1,0),Inventory!E:E,0))&lt;&gt;INDIRECT("'Full Inventory'!B"&amp;MATCH(VLOOKUP(A1704,'Full Inventory'!F:F,1,0),'Full Inventory'!F:F,0))),"X","_"),"_")</f>
        <v>_</v>
      </c>
      <c r="K1704" t="str">
        <f t="shared" ca="1" si="79"/>
        <v>__X_</v>
      </c>
      <c r="L1704" t="str">
        <f t="shared" ca="1" si="80"/>
        <v/>
      </c>
      <c r="M1704" t="str">
        <f>IFERROR(INDEX(Inventory!A:A,MATCH(Scan!A1704,Inventory!E:E,0)),"")</f>
        <v/>
      </c>
    </row>
    <row r="1705" spans="2:13" x14ac:dyDescent="0.25">
      <c r="B1705" t="str">
        <f>IF(IFERROR(VLOOKUP(TRIM(A1705),Inventory!E:E,1,0),0)=0,"X","_")</f>
        <v>_</v>
      </c>
      <c r="C1705" t="str">
        <f>IF(IFERROR(VLOOKUP(TRIM(A1705),'Full Inventory'!F:F,1,0),0)=0,"X","_")</f>
        <v>_</v>
      </c>
      <c r="D1705" t="str">
        <f t="shared" si="78"/>
        <v>X</v>
      </c>
      <c r="E1705" t="str">
        <f ca="1">IFERROR(IF(AND(B1705&amp;C1705&amp;D1705="___",INDIRECT("Inventory!A"&amp;MATCH(VLOOKUP(A1705,Inventory!E:E,1,0),Inventory!E:E,0))&lt;&gt;INDIRECT("'Full Inventory'!B"&amp;MATCH(VLOOKUP(A1705,'Full Inventory'!F:F,1,0),'Full Inventory'!F:F,0))),"X","_"),"_")</f>
        <v>_</v>
      </c>
      <c r="K1705" t="str">
        <f t="shared" ca="1" si="79"/>
        <v>__X_</v>
      </c>
      <c r="L1705" t="str">
        <f t="shared" ca="1" si="80"/>
        <v/>
      </c>
      <c r="M1705" t="str">
        <f>IFERROR(INDEX(Inventory!A:A,MATCH(Scan!A1705,Inventory!E:E,0)),"")</f>
        <v/>
      </c>
    </row>
    <row r="1706" spans="2:13" x14ac:dyDescent="0.25">
      <c r="B1706" t="str">
        <f>IF(IFERROR(VLOOKUP(TRIM(A1706),Inventory!E:E,1,0),0)=0,"X","_")</f>
        <v>_</v>
      </c>
      <c r="C1706" t="str">
        <f>IF(IFERROR(VLOOKUP(TRIM(A1706),'Full Inventory'!F:F,1,0),0)=0,"X","_")</f>
        <v>_</v>
      </c>
      <c r="D1706" t="str">
        <f t="shared" si="78"/>
        <v>X</v>
      </c>
      <c r="E1706" t="str">
        <f ca="1">IFERROR(IF(AND(B1706&amp;C1706&amp;D1706="___",INDIRECT("Inventory!A"&amp;MATCH(VLOOKUP(A1706,Inventory!E:E,1,0),Inventory!E:E,0))&lt;&gt;INDIRECT("'Full Inventory'!B"&amp;MATCH(VLOOKUP(A1706,'Full Inventory'!F:F,1,0),'Full Inventory'!F:F,0))),"X","_"),"_")</f>
        <v>_</v>
      </c>
      <c r="K1706" t="str">
        <f t="shared" ca="1" si="79"/>
        <v>__X_</v>
      </c>
      <c r="L1706" t="str">
        <f t="shared" ca="1" si="80"/>
        <v/>
      </c>
      <c r="M1706" t="str">
        <f>IFERROR(INDEX(Inventory!A:A,MATCH(Scan!A1706,Inventory!E:E,0)),"")</f>
        <v/>
      </c>
    </row>
    <row r="1707" spans="2:13" x14ac:dyDescent="0.25">
      <c r="B1707" t="str">
        <f>IF(IFERROR(VLOOKUP(TRIM(A1707),Inventory!E:E,1,0),0)=0,"X","_")</f>
        <v>_</v>
      </c>
      <c r="C1707" t="str">
        <f>IF(IFERROR(VLOOKUP(TRIM(A1707),'Full Inventory'!F:F,1,0),0)=0,"X","_")</f>
        <v>_</v>
      </c>
      <c r="D1707" t="str">
        <f t="shared" si="78"/>
        <v>X</v>
      </c>
      <c r="E1707" t="str">
        <f ca="1">IFERROR(IF(AND(B1707&amp;C1707&amp;D1707="___",INDIRECT("Inventory!A"&amp;MATCH(VLOOKUP(A1707,Inventory!E:E,1,0),Inventory!E:E,0))&lt;&gt;INDIRECT("'Full Inventory'!B"&amp;MATCH(VLOOKUP(A1707,'Full Inventory'!F:F,1,0),'Full Inventory'!F:F,0))),"X","_"),"_")</f>
        <v>_</v>
      </c>
      <c r="K1707" t="str">
        <f t="shared" ca="1" si="79"/>
        <v>__X_</v>
      </c>
      <c r="L1707" t="str">
        <f t="shared" ca="1" si="80"/>
        <v/>
      </c>
      <c r="M1707" t="str">
        <f>IFERROR(INDEX(Inventory!A:A,MATCH(Scan!A1707,Inventory!E:E,0)),"")</f>
        <v/>
      </c>
    </row>
    <row r="1708" spans="2:13" x14ac:dyDescent="0.25">
      <c r="B1708" t="str">
        <f>IF(IFERROR(VLOOKUP(TRIM(A1708),Inventory!E:E,1,0),0)=0,"X","_")</f>
        <v>_</v>
      </c>
      <c r="C1708" t="str">
        <f>IF(IFERROR(VLOOKUP(TRIM(A1708),'Full Inventory'!F:F,1,0),0)=0,"X","_")</f>
        <v>_</v>
      </c>
      <c r="D1708" t="str">
        <f t="shared" si="78"/>
        <v>X</v>
      </c>
      <c r="E1708" t="str">
        <f ca="1">IFERROR(IF(AND(B1708&amp;C1708&amp;D1708="___",INDIRECT("Inventory!A"&amp;MATCH(VLOOKUP(A1708,Inventory!E:E,1,0),Inventory!E:E,0))&lt;&gt;INDIRECT("'Full Inventory'!B"&amp;MATCH(VLOOKUP(A1708,'Full Inventory'!F:F,1,0),'Full Inventory'!F:F,0))),"X","_"),"_")</f>
        <v>_</v>
      </c>
      <c r="K1708" t="str">
        <f t="shared" ca="1" si="79"/>
        <v>__X_</v>
      </c>
      <c r="L1708" t="str">
        <f t="shared" ca="1" si="80"/>
        <v/>
      </c>
      <c r="M1708" t="str">
        <f>IFERROR(INDEX(Inventory!A:A,MATCH(Scan!A1708,Inventory!E:E,0)),"")</f>
        <v/>
      </c>
    </row>
    <row r="1709" spans="2:13" x14ac:dyDescent="0.25">
      <c r="B1709" t="str">
        <f>IF(IFERROR(VLOOKUP(TRIM(A1709),Inventory!E:E,1,0),0)=0,"X","_")</f>
        <v>_</v>
      </c>
      <c r="C1709" t="str">
        <f>IF(IFERROR(VLOOKUP(TRIM(A1709),'Full Inventory'!F:F,1,0),0)=0,"X","_")</f>
        <v>_</v>
      </c>
      <c r="D1709" t="str">
        <f t="shared" si="78"/>
        <v>X</v>
      </c>
      <c r="E1709" t="str">
        <f ca="1">IFERROR(IF(AND(B1709&amp;C1709&amp;D1709="___",INDIRECT("Inventory!A"&amp;MATCH(VLOOKUP(A1709,Inventory!E:E,1,0),Inventory!E:E,0))&lt;&gt;INDIRECT("'Full Inventory'!B"&amp;MATCH(VLOOKUP(A1709,'Full Inventory'!F:F,1,0),'Full Inventory'!F:F,0))),"X","_"),"_")</f>
        <v>_</v>
      </c>
      <c r="K1709" t="str">
        <f t="shared" ca="1" si="79"/>
        <v>__X_</v>
      </c>
      <c r="L1709" t="str">
        <f t="shared" ca="1" si="80"/>
        <v/>
      </c>
      <c r="M1709" t="str">
        <f>IFERROR(INDEX(Inventory!A:A,MATCH(Scan!A1709,Inventory!E:E,0)),"")</f>
        <v/>
      </c>
    </row>
    <row r="1710" spans="2:13" x14ac:dyDescent="0.25">
      <c r="B1710" t="str">
        <f>IF(IFERROR(VLOOKUP(TRIM(A1710),Inventory!E:E,1,0),0)=0,"X","_")</f>
        <v>_</v>
      </c>
      <c r="C1710" t="str">
        <f>IF(IFERROR(VLOOKUP(TRIM(A1710),'Full Inventory'!F:F,1,0),0)=0,"X","_")</f>
        <v>_</v>
      </c>
      <c r="D1710" t="str">
        <f t="shared" si="78"/>
        <v>X</v>
      </c>
      <c r="E1710" t="str">
        <f ca="1">IFERROR(IF(AND(B1710&amp;C1710&amp;D1710="___",INDIRECT("Inventory!A"&amp;MATCH(VLOOKUP(A1710,Inventory!E:E,1,0),Inventory!E:E,0))&lt;&gt;INDIRECT("'Full Inventory'!B"&amp;MATCH(VLOOKUP(A1710,'Full Inventory'!F:F,1,0),'Full Inventory'!F:F,0))),"X","_"),"_")</f>
        <v>_</v>
      </c>
      <c r="K1710" t="str">
        <f t="shared" ca="1" si="79"/>
        <v>__X_</v>
      </c>
      <c r="L1710" t="str">
        <f t="shared" ca="1" si="80"/>
        <v/>
      </c>
      <c r="M1710" t="str">
        <f>IFERROR(INDEX(Inventory!A:A,MATCH(Scan!A1710,Inventory!E:E,0)),"")</f>
        <v/>
      </c>
    </row>
    <row r="1711" spans="2:13" x14ac:dyDescent="0.25">
      <c r="B1711" t="str">
        <f>IF(IFERROR(VLOOKUP(TRIM(A1711),Inventory!E:E,1,0),0)=0,"X","_")</f>
        <v>_</v>
      </c>
      <c r="C1711" t="str">
        <f>IF(IFERROR(VLOOKUP(TRIM(A1711),'Full Inventory'!F:F,1,0),0)=0,"X","_")</f>
        <v>_</v>
      </c>
      <c r="D1711" t="str">
        <f t="shared" si="78"/>
        <v>X</v>
      </c>
      <c r="E1711" t="str">
        <f ca="1">IFERROR(IF(AND(B1711&amp;C1711&amp;D1711="___",INDIRECT("Inventory!A"&amp;MATCH(VLOOKUP(A1711,Inventory!E:E,1,0),Inventory!E:E,0))&lt;&gt;INDIRECT("'Full Inventory'!B"&amp;MATCH(VLOOKUP(A1711,'Full Inventory'!F:F,1,0),'Full Inventory'!F:F,0))),"X","_"),"_")</f>
        <v>_</v>
      </c>
      <c r="K1711" t="str">
        <f t="shared" ca="1" si="79"/>
        <v>__X_</v>
      </c>
      <c r="L1711" t="str">
        <f t="shared" ca="1" si="80"/>
        <v/>
      </c>
      <c r="M1711" t="str">
        <f>IFERROR(INDEX(Inventory!A:A,MATCH(Scan!A1711,Inventory!E:E,0)),"")</f>
        <v/>
      </c>
    </row>
    <row r="1712" spans="2:13" x14ac:dyDescent="0.25">
      <c r="B1712" t="str">
        <f>IF(IFERROR(VLOOKUP(TRIM(A1712),Inventory!E:E,1,0),0)=0,"X","_")</f>
        <v>_</v>
      </c>
      <c r="C1712" t="str">
        <f>IF(IFERROR(VLOOKUP(TRIM(A1712),'Full Inventory'!F:F,1,0),0)=0,"X","_")</f>
        <v>_</v>
      </c>
      <c r="D1712" t="str">
        <f t="shared" si="78"/>
        <v>X</v>
      </c>
      <c r="E1712" t="str">
        <f ca="1">IFERROR(IF(AND(B1712&amp;C1712&amp;D1712="___",INDIRECT("Inventory!A"&amp;MATCH(VLOOKUP(A1712,Inventory!E:E,1,0),Inventory!E:E,0))&lt;&gt;INDIRECT("'Full Inventory'!B"&amp;MATCH(VLOOKUP(A1712,'Full Inventory'!F:F,1,0),'Full Inventory'!F:F,0))),"X","_"),"_")</f>
        <v>_</v>
      </c>
      <c r="K1712" t="str">
        <f t="shared" ca="1" si="79"/>
        <v>__X_</v>
      </c>
      <c r="L1712" t="str">
        <f t="shared" ca="1" si="80"/>
        <v/>
      </c>
      <c r="M1712" t="str">
        <f>IFERROR(INDEX(Inventory!A:A,MATCH(Scan!A1712,Inventory!E:E,0)),"")</f>
        <v/>
      </c>
    </row>
    <row r="1713" spans="2:13" x14ac:dyDescent="0.25">
      <c r="B1713" t="str">
        <f>IF(IFERROR(VLOOKUP(TRIM(A1713),Inventory!E:E,1,0),0)=0,"X","_")</f>
        <v>_</v>
      </c>
      <c r="C1713" t="str">
        <f>IF(IFERROR(VLOOKUP(TRIM(A1713),'Full Inventory'!F:F,1,0),0)=0,"X","_")</f>
        <v>_</v>
      </c>
      <c r="D1713" t="str">
        <f t="shared" si="78"/>
        <v>X</v>
      </c>
      <c r="E1713" t="str">
        <f ca="1">IFERROR(IF(AND(B1713&amp;C1713&amp;D1713="___",INDIRECT("Inventory!A"&amp;MATCH(VLOOKUP(A1713,Inventory!E:E,1,0),Inventory!E:E,0))&lt;&gt;INDIRECT("'Full Inventory'!B"&amp;MATCH(VLOOKUP(A1713,'Full Inventory'!F:F,1,0),'Full Inventory'!F:F,0))),"X","_"),"_")</f>
        <v>_</v>
      </c>
      <c r="K1713" t="str">
        <f t="shared" ca="1" si="79"/>
        <v>__X_</v>
      </c>
      <c r="L1713" t="str">
        <f t="shared" ca="1" si="80"/>
        <v/>
      </c>
      <c r="M1713" t="str">
        <f>IFERROR(INDEX(Inventory!A:A,MATCH(Scan!A1713,Inventory!E:E,0)),"")</f>
        <v/>
      </c>
    </row>
    <row r="1714" spans="2:13" x14ac:dyDescent="0.25">
      <c r="B1714" t="str">
        <f>IF(IFERROR(VLOOKUP(TRIM(A1714),Inventory!E:E,1,0),0)=0,"X","_")</f>
        <v>_</v>
      </c>
      <c r="C1714" t="str">
        <f>IF(IFERROR(VLOOKUP(TRIM(A1714),'Full Inventory'!F:F,1,0),0)=0,"X","_")</f>
        <v>_</v>
      </c>
      <c r="D1714" t="str">
        <f t="shared" si="78"/>
        <v>X</v>
      </c>
      <c r="E1714" t="str">
        <f ca="1">IFERROR(IF(AND(B1714&amp;C1714&amp;D1714="___",INDIRECT("Inventory!A"&amp;MATCH(VLOOKUP(A1714,Inventory!E:E,1,0),Inventory!E:E,0))&lt;&gt;INDIRECT("'Full Inventory'!B"&amp;MATCH(VLOOKUP(A1714,'Full Inventory'!F:F,1,0),'Full Inventory'!F:F,0))),"X","_"),"_")</f>
        <v>_</v>
      </c>
      <c r="K1714" t="str">
        <f t="shared" ca="1" si="79"/>
        <v>__X_</v>
      </c>
      <c r="L1714" t="str">
        <f t="shared" ca="1" si="80"/>
        <v/>
      </c>
      <c r="M1714" t="str">
        <f>IFERROR(INDEX(Inventory!A:A,MATCH(Scan!A1714,Inventory!E:E,0)),"")</f>
        <v/>
      </c>
    </row>
    <row r="1715" spans="2:13" x14ac:dyDescent="0.25">
      <c r="B1715" t="str">
        <f>IF(IFERROR(VLOOKUP(TRIM(A1715),Inventory!E:E,1,0),0)=0,"X","_")</f>
        <v>_</v>
      </c>
      <c r="C1715" t="str">
        <f>IF(IFERROR(VLOOKUP(TRIM(A1715),'Full Inventory'!F:F,1,0),0)=0,"X","_")</f>
        <v>_</v>
      </c>
      <c r="D1715" t="str">
        <f t="shared" si="78"/>
        <v>X</v>
      </c>
      <c r="E1715" t="str">
        <f ca="1">IFERROR(IF(AND(B1715&amp;C1715&amp;D1715="___",INDIRECT("Inventory!A"&amp;MATCH(VLOOKUP(A1715,Inventory!E:E,1,0),Inventory!E:E,0))&lt;&gt;INDIRECT("'Full Inventory'!B"&amp;MATCH(VLOOKUP(A1715,'Full Inventory'!F:F,1,0),'Full Inventory'!F:F,0))),"X","_"),"_")</f>
        <v>_</v>
      </c>
      <c r="K1715" t="str">
        <f t="shared" ca="1" si="79"/>
        <v>__X_</v>
      </c>
      <c r="L1715" t="str">
        <f t="shared" ca="1" si="80"/>
        <v/>
      </c>
      <c r="M1715" t="str">
        <f>IFERROR(INDEX(Inventory!A:A,MATCH(Scan!A1715,Inventory!E:E,0)),"")</f>
        <v/>
      </c>
    </row>
    <row r="1716" spans="2:13" x14ac:dyDescent="0.25">
      <c r="B1716" t="str">
        <f>IF(IFERROR(VLOOKUP(TRIM(A1716),Inventory!E:E,1,0),0)=0,"X","_")</f>
        <v>_</v>
      </c>
      <c r="C1716" t="str">
        <f>IF(IFERROR(VLOOKUP(TRIM(A1716),'Full Inventory'!F:F,1,0),0)=0,"X","_")</f>
        <v>_</v>
      </c>
      <c r="D1716" t="str">
        <f t="shared" si="78"/>
        <v>X</v>
      </c>
      <c r="E1716" t="str">
        <f ca="1">IFERROR(IF(AND(B1716&amp;C1716&amp;D1716="___",INDIRECT("Inventory!A"&amp;MATCH(VLOOKUP(A1716,Inventory!E:E,1,0),Inventory!E:E,0))&lt;&gt;INDIRECT("'Full Inventory'!B"&amp;MATCH(VLOOKUP(A1716,'Full Inventory'!F:F,1,0),'Full Inventory'!F:F,0))),"X","_"),"_")</f>
        <v>_</v>
      </c>
      <c r="K1716" t="str">
        <f t="shared" ca="1" si="79"/>
        <v>__X_</v>
      </c>
      <c r="L1716" t="str">
        <f t="shared" ca="1" si="80"/>
        <v/>
      </c>
      <c r="M1716" t="str">
        <f>IFERROR(INDEX(Inventory!A:A,MATCH(Scan!A1716,Inventory!E:E,0)),"")</f>
        <v/>
      </c>
    </row>
    <row r="1717" spans="2:13" x14ac:dyDescent="0.25">
      <c r="B1717" t="str">
        <f>IF(IFERROR(VLOOKUP(TRIM(A1717),Inventory!E:E,1,0),0)=0,"X","_")</f>
        <v>_</v>
      </c>
      <c r="C1717" t="str">
        <f>IF(IFERROR(VLOOKUP(TRIM(A1717),'Full Inventory'!F:F,1,0),0)=0,"X","_")</f>
        <v>_</v>
      </c>
      <c r="D1717" t="str">
        <f t="shared" si="78"/>
        <v>X</v>
      </c>
      <c r="E1717" t="str">
        <f ca="1">IFERROR(IF(AND(B1717&amp;C1717&amp;D1717="___",INDIRECT("Inventory!A"&amp;MATCH(VLOOKUP(A1717,Inventory!E:E,1,0),Inventory!E:E,0))&lt;&gt;INDIRECT("'Full Inventory'!B"&amp;MATCH(VLOOKUP(A1717,'Full Inventory'!F:F,1,0),'Full Inventory'!F:F,0))),"X","_"),"_")</f>
        <v>_</v>
      </c>
      <c r="K1717" t="str">
        <f t="shared" ca="1" si="79"/>
        <v>__X_</v>
      </c>
      <c r="L1717" t="str">
        <f t="shared" ca="1" si="80"/>
        <v/>
      </c>
      <c r="M1717" t="str">
        <f>IFERROR(INDEX(Inventory!A:A,MATCH(Scan!A1717,Inventory!E:E,0)),"")</f>
        <v/>
      </c>
    </row>
    <row r="1718" spans="2:13" x14ac:dyDescent="0.25">
      <c r="B1718" t="str">
        <f>IF(IFERROR(VLOOKUP(TRIM(A1718),Inventory!E:E,1,0),0)=0,"X","_")</f>
        <v>_</v>
      </c>
      <c r="C1718" t="str">
        <f>IF(IFERROR(VLOOKUP(TRIM(A1718),'Full Inventory'!F:F,1,0),0)=0,"X","_")</f>
        <v>_</v>
      </c>
      <c r="D1718" t="str">
        <f t="shared" si="78"/>
        <v>X</v>
      </c>
      <c r="E1718" t="str">
        <f ca="1">IFERROR(IF(AND(B1718&amp;C1718&amp;D1718="___",INDIRECT("Inventory!A"&amp;MATCH(VLOOKUP(A1718,Inventory!E:E,1,0),Inventory!E:E,0))&lt;&gt;INDIRECT("'Full Inventory'!B"&amp;MATCH(VLOOKUP(A1718,'Full Inventory'!F:F,1,0),'Full Inventory'!F:F,0))),"X","_"),"_")</f>
        <v>_</v>
      </c>
      <c r="K1718" t="str">
        <f t="shared" ca="1" si="79"/>
        <v>__X_</v>
      </c>
      <c r="L1718" t="str">
        <f t="shared" ca="1" si="80"/>
        <v/>
      </c>
      <c r="M1718" t="str">
        <f>IFERROR(INDEX(Inventory!A:A,MATCH(Scan!A1718,Inventory!E:E,0)),"")</f>
        <v/>
      </c>
    </row>
    <row r="1719" spans="2:13" x14ac:dyDescent="0.25">
      <c r="B1719" t="str">
        <f>IF(IFERROR(VLOOKUP(TRIM(A1719),Inventory!E:E,1,0),0)=0,"X","_")</f>
        <v>_</v>
      </c>
      <c r="C1719" t="str">
        <f>IF(IFERROR(VLOOKUP(TRIM(A1719),'Full Inventory'!F:F,1,0),0)=0,"X","_")</f>
        <v>_</v>
      </c>
      <c r="D1719" t="str">
        <f t="shared" si="78"/>
        <v>X</v>
      </c>
      <c r="E1719" t="str">
        <f ca="1">IFERROR(IF(AND(B1719&amp;C1719&amp;D1719="___",INDIRECT("Inventory!A"&amp;MATCH(VLOOKUP(A1719,Inventory!E:E,1,0),Inventory!E:E,0))&lt;&gt;INDIRECT("'Full Inventory'!B"&amp;MATCH(VLOOKUP(A1719,'Full Inventory'!F:F,1,0),'Full Inventory'!F:F,0))),"X","_"),"_")</f>
        <v>_</v>
      </c>
      <c r="K1719" t="str">
        <f t="shared" ca="1" si="79"/>
        <v>__X_</v>
      </c>
      <c r="L1719" t="str">
        <f t="shared" ca="1" si="80"/>
        <v/>
      </c>
      <c r="M1719" t="str">
        <f>IFERROR(INDEX(Inventory!A:A,MATCH(Scan!A1719,Inventory!E:E,0)),"")</f>
        <v/>
      </c>
    </row>
    <row r="1720" spans="2:13" x14ac:dyDescent="0.25">
      <c r="B1720" t="str">
        <f>IF(IFERROR(VLOOKUP(TRIM(A1720),Inventory!E:E,1,0),0)=0,"X","_")</f>
        <v>_</v>
      </c>
      <c r="C1720" t="str">
        <f>IF(IFERROR(VLOOKUP(TRIM(A1720),'Full Inventory'!F:F,1,0),0)=0,"X","_")</f>
        <v>_</v>
      </c>
      <c r="D1720" t="str">
        <f t="shared" si="78"/>
        <v>X</v>
      </c>
      <c r="E1720" t="str">
        <f ca="1">IFERROR(IF(AND(B1720&amp;C1720&amp;D1720="___",INDIRECT("Inventory!A"&amp;MATCH(VLOOKUP(A1720,Inventory!E:E,1,0),Inventory!E:E,0))&lt;&gt;INDIRECT("'Full Inventory'!B"&amp;MATCH(VLOOKUP(A1720,'Full Inventory'!F:F,1,0),'Full Inventory'!F:F,0))),"X","_"),"_")</f>
        <v>_</v>
      </c>
      <c r="K1720" t="str">
        <f t="shared" ca="1" si="79"/>
        <v>__X_</v>
      </c>
      <c r="L1720" t="str">
        <f t="shared" ca="1" si="80"/>
        <v/>
      </c>
      <c r="M1720" t="str">
        <f>IFERROR(INDEX(Inventory!A:A,MATCH(Scan!A1720,Inventory!E:E,0)),"")</f>
        <v/>
      </c>
    </row>
    <row r="1721" spans="2:13" x14ac:dyDescent="0.25">
      <c r="B1721" t="str">
        <f>IF(IFERROR(VLOOKUP(TRIM(A1721),Inventory!E:E,1,0),0)=0,"X","_")</f>
        <v>_</v>
      </c>
      <c r="C1721" t="str">
        <f>IF(IFERROR(VLOOKUP(TRIM(A1721),'Full Inventory'!F:F,1,0),0)=0,"X","_")</f>
        <v>_</v>
      </c>
      <c r="D1721" t="str">
        <f t="shared" si="78"/>
        <v>X</v>
      </c>
      <c r="E1721" t="str">
        <f ca="1">IFERROR(IF(AND(B1721&amp;C1721&amp;D1721="___",INDIRECT("Inventory!A"&amp;MATCH(VLOOKUP(A1721,Inventory!E:E,1,0),Inventory!E:E,0))&lt;&gt;INDIRECT("'Full Inventory'!B"&amp;MATCH(VLOOKUP(A1721,'Full Inventory'!F:F,1,0),'Full Inventory'!F:F,0))),"X","_"),"_")</f>
        <v>_</v>
      </c>
      <c r="K1721" t="str">
        <f t="shared" ca="1" si="79"/>
        <v>__X_</v>
      </c>
      <c r="L1721" t="str">
        <f t="shared" ca="1" si="80"/>
        <v/>
      </c>
      <c r="M1721" t="str">
        <f>IFERROR(INDEX(Inventory!A:A,MATCH(Scan!A1721,Inventory!E:E,0)),"")</f>
        <v/>
      </c>
    </row>
    <row r="1722" spans="2:13" x14ac:dyDescent="0.25">
      <c r="B1722" t="str">
        <f>IF(IFERROR(VLOOKUP(TRIM(A1722),Inventory!E:E,1,0),0)=0,"X","_")</f>
        <v>_</v>
      </c>
      <c r="C1722" t="str">
        <f>IF(IFERROR(VLOOKUP(TRIM(A1722),'Full Inventory'!F:F,1,0),0)=0,"X","_")</f>
        <v>_</v>
      </c>
      <c r="D1722" t="str">
        <f t="shared" si="78"/>
        <v>X</v>
      </c>
      <c r="E1722" t="str">
        <f ca="1">IFERROR(IF(AND(B1722&amp;C1722&amp;D1722="___",INDIRECT("Inventory!A"&amp;MATCH(VLOOKUP(A1722,Inventory!E:E,1,0),Inventory!E:E,0))&lt;&gt;INDIRECT("'Full Inventory'!B"&amp;MATCH(VLOOKUP(A1722,'Full Inventory'!F:F,1,0),'Full Inventory'!F:F,0))),"X","_"),"_")</f>
        <v>_</v>
      </c>
      <c r="K1722" t="str">
        <f t="shared" ca="1" si="79"/>
        <v>__X_</v>
      </c>
      <c r="L1722" t="str">
        <f t="shared" ca="1" si="80"/>
        <v/>
      </c>
      <c r="M1722" t="str">
        <f>IFERROR(INDEX(Inventory!A:A,MATCH(Scan!A1722,Inventory!E:E,0)),"")</f>
        <v/>
      </c>
    </row>
    <row r="1723" spans="2:13" x14ac:dyDescent="0.25">
      <c r="B1723" t="str">
        <f>IF(IFERROR(VLOOKUP(TRIM(A1723),Inventory!E:E,1,0),0)=0,"X","_")</f>
        <v>_</v>
      </c>
      <c r="C1723" t="str">
        <f>IF(IFERROR(VLOOKUP(TRIM(A1723),'Full Inventory'!F:F,1,0),0)=0,"X","_")</f>
        <v>_</v>
      </c>
      <c r="D1723" t="str">
        <f t="shared" si="78"/>
        <v>X</v>
      </c>
      <c r="E1723" t="str">
        <f ca="1">IFERROR(IF(AND(B1723&amp;C1723&amp;D1723="___",INDIRECT("Inventory!A"&amp;MATCH(VLOOKUP(A1723,Inventory!E:E,1,0),Inventory!E:E,0))&lt;&gt;INDIRECT("'Full Inventory'!B"&amp;MATCH(VLOOKUP(A1723,'Full Inventory'!F:F,1,0),'Full Inventory'!F:F,0))),"X","_"),"_")</f>
        <v>_</v>
      </c>
      <c r="K1723" t="str">
        <f t="shared" ca="1" si="79"/>
        <v>__X_</v>
      </c>
      <c r="L1723" t="str">
        <f t="shared" ca="1" si="80"/>
        <v/>
      </c>
      <c r="M1723" t="str">
        <f>IFERROR(INDEX(Inventory!A:A,MATCH(Scan!A1723,Inventory!E:E,0)),"")</f>
        <v/>
      </c>
    </row>
    <row r="1724" spans="2:13" x14ac:dyDescent="0.25">
      <c r="B1724" t="str">
        <f>IF(IFERROR(VLOOKUP(TRIM(A1724),Inventory!E:E,1,0),0)=0,"X","_")</f>
        <v>_</v>
      </c>
      <c r="C1724" t="str">
        <f>IF(IFERROR(VLOOKUP(TRIM(A1724),'Full Inventory'!F:F,1,0),0)=0,"X","_")</f>
        <v>_</v>
      </c>
      <c r="D1724" t="str">
        <f t="shared" si="78"/>
        <v>X</v>
      </c>
      <c r="E1724" t="str">
        <f ca="1">IFERROR(IF(AND(B1724&amp;C1724&amp;D1724="___",INDIRECT("Inventory!A"&amp;MATCH(VLOOKUP(A1724,Inventory!E:E,1,0),Inventory!E:E,0))&lt;&gt;INDIRECT("'Full Inventory'!B"&amp;MATCH(VLOOKUP(A1724,'Full Inventory'!F:F,1,0),'Full Inventory'!F:F,0))),"X","_"),"_")</f>
        <v>_</v>
      </c>
      <c r="K1724" t="str">
        <f t="shared" ca="1" si="79"/>
        <v>__X_</v>
      </c>
      <c r="L1724" t="str">
        <f t="shared" ca="1" si="80"/>
        <v/>
      </c>
      <c r="M1724" t="str">
        <f>IFERROR(INDEX(Inventory!A:A,MATCH(Scan!A1724,Inventory!E:E,0)),"")</f>
        <v/>
      </c>
    </row>
    <row r="1725" spans="2:13" x14ac:dyDescent="0.25">
      <c r="B1725" t="str">
        <f>IF(IFERROR(VLOOKUP(TRIM(A1725),Inventory!E:E,1,0),0)=0,"X","_")</f>
        <v>_</v>
      </c>
      <c r="C1725" t="str">
        <f>IF(IFERROR(VLOOKUP(TRIM(A1725),'Full Inventory'!F:F,1,0),0)=0,"X","_")</f>
        <v>_</v>
      </c>
      <c r="D1725" t="str">
        <f t="shared" si="78"/>
        <v>X</v>
      </c>
      <c r="E1725" t="str">
        <f ca="1">IFERROR(IF(AND(B1725&amp;C1725&amp;D1725="___",INDIRECT("Inventory!A"&amp;MATCH(VLOOKUP(A1725,Inventory!E:E,1,0),Inventory!E:E,0))&lt;&gt;INDIRECT("'Full Inventory'!B"&amp;MATCH(VLOOKUP(A1725,'Full Inventory'!F:F,1,0),'Full Inventory'!F:F,0))),"X","_"),"_")</f>
        <v>_</v>
      </c>
      <c r="K1725" t="str">
        <f t="shared" ca="1" si="79"/>
        <v>__X_</v>
      </c>
      <c r="L1725" t="str">
        <f t="shared" ca="1" si="80"/>
        <v/>
      </c>
      <c r="M1725" t="str">
        <f>IFERROR(INDEX(Inventory!A:A,MATCH(Scan!A1725,Inventory!E:E,0)),"")</f>
        <v/>
      </c>
    </row>
    <row r="1726" spans="2:13" x14ac:dyDescent="0.25">
      <c r="B1726" t="str">
        <f>IF(IFERROR(VLOOKUP(TRIM(A1726),Inventory!E:E,1,0),0)=0,"X","_")</f>
        <v>_</v>
      </c>
      <c r="C1726" t="str">
        <f>IF(IFERROR(VLOOKUP(TRIM(A1726),'Full Inventory'!F:F,1,0),0)=0,"X","_")</f>
        <v>_</v>
      </c>
      <c r="D1726" t="str">
        <f t="shared" si="78"/>
        <v>X</v>
      </c>
      <c r="E1726" t="str">
        <f ca="1">IFERROR(IF(AND(B1726&amp;C1726&amp;D1726="___",INDIRECT("Inventory!A"&amp;MATCH(VLOOKUP(A1726,Inventory!E:E,1,0),Inventory!E:E,0))&lt;&gt;INDIRECT("'Full Inventory'!B"&amp;MATCH(VLOOKUP(A1726,'Full Inventory'!F:F,1,0),'Full Inventory'!F:F,0))),"X","_"),"_")</f>
        <v>_</v>
      </c>
      <c r="K1726" t="str">
        <f t="shared" ca="1" si="79"/>
        <v>__X_</v>
      </c>
      <c r="L1726" t="str">
        <f t="shared" ca="1" si="80"/>
        <v/>
      </c>
      <c r="M1726" t="str">
        <f>IFERROR(INDEX(Inventory!A:A,MATCH(Scan!A1726,Inventory!E:E,0)),"")</f>
        <v/>
      </c>
    </row>
    <row r="1727" spans="2:13" x14ac:dyDescent="0.25">
      <c r="B1727" t="str">
        <f>IF(IFERROR(VLOOKUP(TRIM(A1727),Inventory!E:E,1,0),0)=0,"X","_")</f>
        <v>_</v>
      </c>
      <c r="C1727" t="str">
        <f>IF(IFERROR(VLOOKUP(TRIM(A1727),'Full Inventory'!F:F,1,0),0)=0,"X","_")</f>
        <v>_</v>
      </c>
      <c r="D1727" t="str">
        <f t="shared" si="78"/>
        <v>X</v>
      </c>
      <c r="E1727" t="str">
        <f ca="1">IFERROR(IF(AND(B1727&amp;C1727&amp;D1727="___",INDIRECT("Inventory!A"&amp;MATCH(VLOOKUP(A1727,Inventory!E:E,1,0),Inventory!E:E,0))&lt;&gt;INDIRECT("'Full Inventory'!B"&amp;MATCH(VLOOKUP(A1727,'Full Inventory'!F:F,1,0),'Full Inventory'!F:F,0))),"X","_"),"_")</f>
        <v>_</v>
      </c>
      <c r="K1727" t="str">
        <f t="shared" ca="1" si="79"/>
        <v>__X_</v>
      </c>
      <c r="L1727" t="str">
        <f t="shared" ca="1" si="80"/>
        <v/>
      </c>
      <c r="M1727" t="str">
        <f>IFERROR(INDEX(Inventory!A:A,MATCH(Scan!A1727,Inventory!E:E,0)),"")</f>
        <v/>
      </c>
    </row>
    <row r="1728" spans="2:13" x14ac:dyDescent="0.25">
      <c r="B1728" t="str">
        <f>IF(IFERROR(VLOOKUP(TRIM(A1728),Inventory!E:E,1,0),0)=0,"X","_")</f>
        <v>_</v>
      </c>
      <c r="C1728" t="str">
        <f>IF(IFERROR(VLOOKUP(TRIM(A1728),'Full Inventory'!F:F,1,0),0)=0,"X","_")</f>
        <v>_</v>
      </c>
      <c r="D1728" t="str">
        <f t="shared" si="78"/>
        <v>X</v>
      </c>
      <c r="E1728" t="str">
        <f ca="1">IFERROR(IF(AND(B1728&amp;C1728&amp;D1728="___",INDIRECT("Inventory!A"&amp;MATCH(VLOOKUP(A1728,Inventory!E:E,1,0),Inventory!E:E,0))&lt;&gt;INDIRECT("'Full Inventory'!B"&amp;MATCH(VLOOKUP(A1728,'Full Inventory'!F:F,1,0),'Full Inventory'!F:F,0))),"X","_"),"_")</f>
        <v>_</v>
      </c>
      <c r="K1728" t="str">
        <f t="shared" ca="1" si="79"/>
        <v>__X_</v>
      </c>
      <c r="L1728" t="str">
        <f t="shared" ca="1" si="80"/>
        <v/>
      </c>
      <c r="M1728" t="str">
        <f>IFERROR(INDEX(Inventory!A:A,MATCH(Scan!A1728,Inventory!E:E,0)),"")</f>
        <v/>
      </c>
    </row>
    <row r="1729" spans="2:13" x14ac:dyDescent="0.25">
      <c r="B1729" t="str">
        <f>IF(IFERROR(VLOOKUP(TRIM(A1729),Inventory!E:E,1,0),0)=0,"X","_")</f>
        <v>_</v>
      </c>
      <c r="C1729" t="str">
        <f>IF(IFERROR(VLOOKUP(TRIM(A1729),'Full Inventory'!F:F,1,0),0)=0,"X","_")</f>
        <v>_</v>
      </c>
      <c r="D1729" t="str">
        <f t="shared" si="78"/>
        <v>X</v>
      </c>
      <c r="E1729" t="str">
        <f ca="1">IFERROR(IF(AND(B1729&amp;C1729&amp;D1729="___",INDIRECT("Inventory!A"&amp;MATCH(VLOOKUP(A1729,Inventory!E:E,1,0),Inventory!E:E,0))&lt;&gt;INDIRECT("'Full Inventory'!B"&amp;MATCH(VLOOKUP(A1729,'Full Inventory'!F:F,1,0),'Full Inventory'!F:F,0))),"X","_"),"_")</f>
        <v>_</v>
      </c>
      <c r="K1729" t="str">
        <f t="shared" ca="1" si="79"/>
        <v>__X_</v>
      </c>
      <c r="L1729" t="str">
        <f t="shared" ca="1" si="80"/>
        <v/>
      </c>
      <c r="M1729" t="str">
        <f>IFERROR(INDEX(Inventory!A:A,MATCH(Scan!A1729,Inventory!E:E,0)),"")</f>
        <v/>
      </c>
    </row>
    <row r="1730" spans="2:13" x14ac:dyDescent="0.25">
      <c r="B1730" t="str">
        <f>IF(IFERROR(VLOOKUP(TRIM(A1730),Inventory!E:E,1,0),0)=0,"X","_")</f>
        <v>_</v>
      </c>
      <c r="C1730" t="str">
        <f>IF(IFERROR(VLOOKUP(TRIM(A1730),'Full Inventory'!F:F,1,0),0)=0,"X","_")</f>
        <v>_</v>
      </c>
      <c r="D1730" t="str">
        <f t="shared" ref="D1730:D1793" si="81">IF(TRIM(A1730)&lt;&gt;"","_","X")</f>
        <v>X</v>
      </c>
      <c r="E1730" t="str">
        <f ca="1">IFERROR(IF(AND(B1730&amp;C1730&amp;D1730="___",INDIRECT("Inventory!A"&amp;MATCH(VLOOKUP(A1730,Inventory!E:E,1,0),Inventory!E:E,0))&lt;&gt;INDIRECT("'Full Inventory'!B"&amp;MATCH(VLOOKUP(A1730,'Full Inventory'!F:F,1,0),'Full Inventory'!F:F,0))),"X","_"),"_")</f>
        <v>_</v>
      </c>
      <c r="K1730" t="str">
        <f t="shared" ca="1" si="79"/>
        <v>__X_</v>
      </c>
      <c r="L1730" t="str">
        <f t="shared" ca="1" si="80"/>
        <v/>
      </c>
      <c r="M1730" t="str">
        <f>IFERROR(INDEX(Inventory!A:A,MATCH(Scan!A1730,Inventory!E:E,0)),"")</f>
        <v/>
      </c>
    </row>
    <row r="1731" spans="2:13" x14ac:dyDescent="0.25">
      <c r="B1731" t="str">
        <f>IF(IFERROR(VLOOKUP(TRIM(A1731),Inventory!E:E,1,0),0)=0,"X","_")</f>
        <v>_</v>
      </c>
      <c r="C1731" t="str">
        <f>IF(IFERROR(VLOOKUP(TRIM(A1731),'Full Inventory'!F:F,1,0),0)=0,"X","_")</f>
        <v>_</v>
      </c>
      <c r="D1731" t="str">
        <f t="shared" si="81"/>
        <v>X</v>
      </c>
      <c r="E1731" t="str">
        <f ca="1">IFERROR(IF(AND(B1731&amp;C1731&amp;D1731="___",INDIRECT("Inventory!A"&amp;MATCH(VLOOKUP(A1731,Inventory!E:E,1,0),Inventory!E:E,0))&lt;&gt;INDIRECT("'Full Inventory'!B"&amp;MATCH(VLOOKUP(A1731,'Full Inventory'!F:F,1,0),'Full Inventory'!F:F,0))),"X","_"),"_")</f>
        <v>_</v>
      </c>
      <c r="K1731" t="str">
        <f t="shared" ref="K1731:K1794" ca="1" si="82">B1731&amp;C1731&amp;D1731&amp;E1731</f>
        <v>__X_</v>
      </c>
      <c r="L1731" t="str">
        <f t="shared" ref="L1731:L1794" ca="1" si="83">IF(K1731="____","OK",IF(K1731="_X__","NOT IN FULL INVENTORY",IF(K1731="XX__","NOT IN FULL INVENTORY AND INVENTORY",IF(K1731="X___","NOT IN INVENTORY",IF(K1731="___X","DIFFERENT NAMES IN FULL INVENTORY AND INVENTORY","")))))</f>
        <v/>
      </c>
      <c r="M1731" t="str">
        <f>IFERROR(INDEX(Inventory!A:A,MATCH(Scan!A1731,Inventory!E:E,0)),"")</f>
        <v/>
      </c>
    </row>
    <row r="1732" spans="2:13" x14ac:dyDescent="0.25">
      <c r="B1732" t="str">
        <f>IF(IFERROR(VLOOKUP(TRIM(A1732),Inventory!E:E,1,0),0)=0,"X","_")</f>
        <v>_</v>
      </c>
      <c r="C1732" t="str">
        <f>IF(IFERROR(VLOOKUP(TRIM(A1732),'Full Inventory'!F:F,1,0),0)=0,"X","_")</f>
        <v>_</v>
      </c>
      <c r="D1732" t="str">
        <f t="shared" si="81"/>
        <v>X</v>
      </c>
      <c r="E1732" t="str">
        <f ca="1">IFERROR(IF(AND(B1732&amp;C1732&amp;D1732="___",INDIRECT("Inventory!A"&amp;MATCH(VLOOKUP(A1732,Inventory!E:E,1,0),Inventory!E:E,0))&lt;&gt;INDIRECT("'Full Inventory'!B"&amp;MATCH(VLOOKUP(A1732,'Full Inventory'!F:F,1,0),'Full Inventory'!F:F,0))),"X","_"),"_")</f>
        <v>_</v>
      </c>
      <c r="K1732" t="str">
        <f t="shared" ca="1" si="82"/>
        <v>__X_</v>
      </c>
      <c r="L1732" t="str">
        <f t="shared" ca="1" si="83"/>
        <v/>
      </c>
      <c r="M1732" t="str">
        <f>IFERROR(INDEX(Inventory!A:A,MATCH(Scan!A1732,Inventory!E:E,0)),"")</f>
        <v/>
      </c>
    </row>
    <row r="1733" spans="2:13" x14ac:dyDescent="0.25">
      <c r="B1733" t="str">
        <f>IF(IFERROR(VLOOKUP(TRIM(A1733),Inventory!E:E,1,0),0)=0,"X","_")</f>
        <v>_</v>
      </c>
      <c r="C1733" t="str">
        <f>IF(IFERROR(VLOOKUP(TRIM(A1733),'Full Inventory'!F:F,1,0),0)=0,"X","_")</f>
        <v>_</v>
      </c>
      <c r="D1733" t="str">
        <f t="shared" si="81"/>
        <v>X</v>
      </c>
      <c r="E1733" t="str">
        <f ca="1">IFERROR(IF(AND(B1733&amp;C1733&amp;D1733="___",INDIRECT("Inventory!A"&amp;MATCH(VLOOKUP(A1733,Inventory!E:E,1,0),Inventory!E:E,0))&lt;&gt;INDIRECT("'Full Inventory'!B"&amp;MATCH(VLOOKUP(A1733,'Full Inventory'!F:F,1,0),'Full Inventory'!F:F,0))),"X","_"),"_")</f>
        <v>_</v>
      </c>
      <c r="K1733" t="str">
        <f t="shared" ca="1" si="82"/>
        <v>__X_</v>
      </c>
      <c r="L1733" t="str">
        <f t="shared" ca="1" si="83"/>
        <v/>
      </c>
      <c r="M1733" t="str">
        <f>IFERROR(INDEX(Inventory!A:A,MATCH(Scan!A1733,Inventory!E:E,0)),"")</f>
        <v/>
      </c>
    </row>
    <row r="1734" spans="2:13" x14ac:dyDescent="0.25">
      <c r="B1734" t="str">
        <f>IF(IFERROR(VLOOKUP(TRIM(A1734),Inventory!E:E,1,0),0)=0,"X","_")</f>
        <v>_</v>
      </c>
      <c r="C1734" t="str">
        <f>IF(IFERROR(VLOOKUP(TRIM(A1734),'Full Inventory'!F:F,1,0),0)=0,"X","_")</f>
        <v>_</v>
      </c>
      <c r="D1734" t="str">
        <f t="shared" si="81"/>
        <v>X</v>
      </c>
      <c r="E1734" t="str">
        <f ca="1">IFERROR(IF(AND(B1734&amp;C1734&amp;D1734="___",INDIRECT("Inventory!A"&amp;MATCH(VLOOKUP(A1734,Inventory!E:E,1,0),Inventory!E:E,0))&lt;&gt;INDIRECT("'Full Inventory'!B"&amp;MATCH(VLOOKUP(A1734,'Full Inventory'!F:F,1,0),'Full Inventory'!F:F,0))),"X","_"),"_")</f>
        <v>_</v>
      </c>
      <c r="K1734" t="str">
        <f t="shared" ca="1" si="82"/>
        <v>__X_</v>
      </c>
      <c r="L1734" t="str">
        <f t="shared" ca="1" si="83"/>
        <v/>
      </c>
      <c r="M1734" t="str">
        <f>IFERROR(INDEX(Inventory!A:A,MATCH(Scan!A1734,Inventory!E:E,0)),"")</f>
        <v/>
      </c>
    </row>
    <row r="1735" spans="2:13" x14ac:dyDescent="0.25">
      <c r="B1735" t="str">
        <f>IF(IFERROR(VLOOKUP(TRIM(A1735),Inventory!E:E,1,0),0)=0,"X","_")</f>
        <v>_</v>
      </c>
      <c r="C1735" t="str">
        <f>IF(IFERROR(VLOOKUP(TRIM(A1735),'Full Inventory'!F:F,1,0),0)=0,"X","_")</f>
        <v>_</v>
      </c>
      <c r="D1735" t="str">
        <f t="shared" si="81"/>
        <v>X</v>
      </c>
      <c r="E1735" t="str">
        <f ca="1">IFERROR(IF(AND(B1735&amp;C1735&amp;D1735="___",INDIRECT("Inventory!A"&amp;MATCH(VLOOKUP(A1735,Inventory!E:E,1,0),Inventory!E:E,0))&lt;&gt;INDIRECT("'Full Inventory'!B"&amp;MATCH(VLOOKUP(A1735,'Full Inventory'!F:F,1,0),'Full Inventory'!F:F,0))),"X","_"),"_")</f>
        <v>_</v>
      </c>
      <c r="K1735" t="str">
        <f t="shared" ca="1" si="82"/>
        <v>__X_</v>
      </c>
      <c r="L1735" t="str">
        <f t="shared" ca="1" si="83"/>
        <v/>
      </c>
      <c r="M1735" t="str">
        <f>IFERROR(INDEX(Inventory!A:A,MATCH(Scan!A1735,Inventory!E:E,0)),"")</f>
        <v/>
      </c>
    </row>
    <row r="1736" spans="2:13" x14ac:dyDescent="0.25">
      <c r="B1736" t="str">
        <f>IF(IFERROR(VLOOKUP(TRIM(A1736),Inventory!E:E,1,0),0)=0,"X","_")</f>
        <v>_</v>
      </c>
      <c r="C1736" t="str">
        <f>IF(IFERROR(VLOOKUP(TRIM(A1736),'Full Inventory'!F:F,1,0),0)=0,"X","_")</f>
        <v>_</v>
      </c>
      <c r="D1736" t="str">
        <f t="shared" si="81"/>
        <v>X</v>
      </c>
      <c r="E1736" t="str">
        <f ca="1">IFERROR(IF(AND(B1736&amp;C1736&amp;D1736="___",INDIRECT("Inventory!A"&amp;MATCH(VLOOKUP(A1736,Inventory!E:E,1,0),Inventory!E:E,0))&lt;&gt;INDIRECT("'Full Inventory'!B"&amp;MATCH(VLOOKUP(A1736,'Full Inventory'!F:F,1,0),'Full Inventory'!F:F,0))),"X","_"),"_")</f>
        <v>_</v>
      </c>
      <c r="K1736" t="str">
        <f t="shared" ca="1" si="82"/>
        <v>__X_</v>
      </c>
      <c r="L1736" t="str">
        <f t="shared" ca="1" si="83"/>
        <v/>
      </c>
      <c r="M1736" t="str">
        <f>IFERROR(INDEX(Inventory!A:A,MATCH(Scan!A1736,Inventory!E:E,0)),"")</f>
        <v/>
      </c>
    </row>
    <row r="1737" spans="2:13" x14ac:dyDescent="0.25">
      <c r="B1737" t="str">
        <f>IF(IFERROR(VLOOKUP(TRIM(A1737),Inventory!E:E,1,0),0)=0,"X","_")</f>
        <v>_</v>
      </c>
      <c r="C1737" t="str">
        <f>IF(IFERROR(VLOOKUP(TRIM(A1737),'Full Inventory'!F:F,1,0),0)=0,"X","_")</f>
        <v>_</v>
      </c>
      <c r="D1737" t="str">
        <f t="shared" si="81"/>
        <v>X</v>
      </c>
      <c r="E1737" t="str">
        <f ca="1">IFERROR(IF(AND(B1737&amp;C1737&amp;D1737="___",INDIRECT("Inventory!A"&amp;MATCH(VLOOKUP(A1737,Inventory!E:E,1,0),Inventory!E:E,0))&lt;&gt;INDIRECT("'Full Inventory'!B"&amp;MATCH(VLOOKUP(A1737,'Full Inventory'!F:F,1,0),'Full Inventory'!F:F,0))),"X","_"),"_")</f>
        <v>_</v>
      </c>
      <c r="K1737" t="str">
        <f t="shared" ca="1" si="82"/>
        <v>__X_</v>
      </c>
      <c r="L1737" t="str">
        <f t="shared" ca="1" si="83"/>
        <v/>
      </c>
      <c r="M1737" t="str">
        <f>IFERROR(INDEX(Inventory!A:A,MATCH(Scan!A1737,Inventory!E:E,0)),"")</f>
        <v/>
      </c>
    </row>
    <row r="1738" spans="2:13" x14ac:dyDescent="0.25">
      <c r="B1738" t="str">
        <f>IF(IFERROR(VLOOKUP(TRIM(A1738),Inventory!E:E,1,0),0)=0,"X","_")</f>
        <v>_</v>
      </c>
      <c r="C1738" t="str">
        <f>IF(IFERROR(VLOOKUP(TRIM(A1738),'Full Inventory'!F:F,1,0),0)=0,"X","_")</f>
        <v>_</v>
      </c>
      <c r="D1738" t="str">
        <f t="shared" si="81"/>
        <v>X</v>
      </c>
      <c r="E1738" t="str">
        <f ca="1">IFERROR(IF(AND(B1738&amp;C1738&amp;D1738="___",INDIRECT("Inventory!A"&amp;MATCH(VLOOKUP(A1738,Inventory!E:E,1,0),Inventory!E:E,0))&lt;&gt;INDIRECT("'Full Inventory'!B"&amp;MATCH(VLOOKUP(A1738,'Full Inventory'!F:F,1,0),'Full Inventory'!F:F,0))),"X","_"),"_")</f>
        <v>_</v>
      </c>
      <c r="K1738" t="str">
        <f t="shared" ca="1" si="82"/>
        <v>__X_</v>
      </c>
      <c r="L1738" t="str">
        <f t="shared" ca="1" si="83"/>
        <v/>
      </c>
      <c r="M1738" t="str">
        <f>IFERROR(INDEX(Inventory!A:A,MATCH(Scan!A1738,Inventory!E:E,0)),"")</f>
        <v/>
      </c>
    </row>
    <row r="1739" spans="2:13" x14ac:dyDescent="0.25">
      <c r="B1739" t="str">
        <f>IF(IFERROR(VLOOKUP(TRIM(A1739),Inventory!E:E,1,0),0)=0,"X","_")</f>
        <v>_</v>
      </c>
      <c r="C1739" t="str">
        <f>IF(IFERROR(VLOOKUP(TRIM(A1739),'Full Inventory'!F:F,1,0),0)=0,"X","_")</f>
        <v>_</v>
      </c>
      <c r="D1739" t="str">
        <f t="shared" si="81"/>
        <v>X</v>
      </c>
      <c r="E1739" t="str">
        <f ca="1">IFERROR(IF(AND(B1739&amp;C1739&amp;D1739="___",INDIRECT("Inventory!A"&amp;MATCH(VLOOKUP(A1739,Inventory!E:E,1,0),Inventory!E:E,0))&lt;&gt;INDIRECT("'Full Inventory'!B"&amp;MATCH(VLOOKUP(A1739,'Full Inventory'!F:F,1,0),'Full Inventory'!F:F,0))),"X","_"),"_")</f>
        <v>_</v>
      </c>
      <c r="K1739" t="str">
        <f t="shared" ca="1" si="82"/>
        <v>__X_</v>
      </c>
      <c r="L1739" t="str">
        <f t="shared" ca="1" si="83"/>
        <v/>
      </c>
      <c r="M1739" t="str">
        <f>IFERROR(INDEX(Inventory!A:A,MATCH(Scan!A1739,Inventory!E:E,0)),"")</f>
        <v/>
      </c>
    </row>
    <row r="1740" spans="2:13" x14ac:dyDescent="0.25">
      <c r="B1740" t="str">
        <f>IF(IFERROR(VLOOKUP(TRIM(A1740),Inventory!E:E,1,0),0)=0,"X","_")</f>
        <v>_</v>
      </c>
      <c r="C1740" t="str">
        <f>IF(IFERROR(VLOOKUP(TRIM(A1740),'Full Inventory'!F:F,1,0),0)=0,"X","_")</f>
        <v>_</v>
      </c>
      <c r="D1740" t="str">
        <f t="shared" si="81"/>
        <v>X</v>
      </c>
      <c r="E1740" t="str">
        <f ca="1">IFERROR(IF(AND(B1740&amp;C1740&amp;D1740="___",INDIRECT("Inventory!A"&amp;MATCH(VLOOKUP(A1740,Inventory!E:E,1,0),Inventory!E:E,0))&lt;&gt;INDIRECT("'Full Inventory'!B"&amp;MATCH(VLOOKUP(A1740,'Full Inventory'!F:F,1,0),'Full Inventory'!F:F,0))),"X","_"),"_")</f>
        <v>_</v>
      </c>
      <c r="K1740" t="str">
        <f t="shared" ca="1" si="82"/>
        <v>__X_</v>
      </c>
      <c r="L1740" t="str">
        <f t="shared" ca="1" si="83"/>
        <v/>
      </c>
      <c r="M1740" t="str">
        <f>IFERROR(INDEX(Inventory!A:A,MATCH(Scan!A1740,Inventory!E:E,0)),"")</f>
        <v/>
      </c>
    </row>
    <row r="1741" spans="2:13" x14ac:dyDescent="0.25">
      <c r="B1741" t="str">
        <f>IF(IFERROR(VLOOKUP(TRIM(A1741),Inventory!E:E,1,0),0)=0,"X","_")</f>
        <v>_</v>
      </c>
      <c r="C1741" t="str">
        <f>IF(IFERROR(VLOOKUP(TRIM(A1741),'Full Inventory'!F:F,1,0),0)=0,"X","_")</f>
        <v>_</v>
      </c>
      <c r="D1741" t="str">
        <f t="shared" si="81"/>
        <v>X</v>
      </c>
      <c r="E1741" t="str">
        <f ca="1">IFERROR(IF(AND(B1741&amp;C1741&amp;D1741="___",INDIRECT("Inventory!A"&amp;MATCH(VLOOKUP(A1741,Inventory!E:E,1,0),Inventory!E:E,0))&lt;&gt;INDIRECT("'Full Inventory'!B"&amp;MATCH(VLOOKUP(A1741,'Full Inventory'!F:F,1,0),'Full Inventory'!F:F,0))),"X","_"),"_")</f>
        <v>_</v>
      </c>
      <c r="K1741" t="str">
        <f t="shared" ca="1" si="82"/>
        <v>__X_</v>
      </c>
      <c r="L1741" t="str">
        <f t="shared" ca="1" si="83"/>
        <v/>
      </c>
      <c r="M1741" t="str">
        <f>IFERROR(INDEX(Inventory!A:A,MATCH(Scan!A1741,Inventory!E:E,0)),"")</f>
        <v/>
      </c>
    </row>
    <row r="1742" spans="2:13" x14ac:dyDescent="0.25">
      <c r="B1742" t="str">
        <f>IF(IFERROR(VLOOKUP(TRIM(A1742),Inventory!E:E,1,0),0)=0,"X","_")</f>
        <v>_</v>
      </c>
      <c r="C1742" t="str">
        <f>IF(IFERROR(VLOOKUP(TRIM(A1742),'Full Inventory'!F:F,1,0),0)=0,"X","_")</f>
        <v>_</v>
      </c>
      <c r="D1742" t="str">
        <f t="shared" si="81"/>
        <v>X</v>
      </c>
      <c r="E1742" t="str">
        <f ca="1">IFERROR(IF(AND(B1742&amp;C1742&amp;D1742="___",INDIRECT("Inventory!A"&amp;MATCH(VLOOKUP(A1742,Inventory!E:E,1,0),Inventory!E:E,0))&lt;&gt;INDIRECT("'Full Inventory'!B"&amp;MATCH(VLOOKUP(A1742,'Full Inventory'!F:F,1,0),'Full Inventory'!F:F,0))),"X","_"),"_")</f>
        <v>_</v>
      </c>
      <c r="K1742" t="str">
        <f t="shared" ca="1" si="82"/>
        <v>__X_</v>
      </c>
      <c r="L1742" t="str">
        <f t="shared" ca="1" si="83"/>
        <v/>
      </c>
      <c r="M1742" t="str">
        <f>IFERROR(INDEX(Inventory!A:A,MATCH(Scan!A1742,Inventory!E:E,0)),"")</f>
        <v/>
      </c>
    </row>
    <row r="1743" spans="2:13" x14ac:dyDescent="0.25">
      <c r="B1743" t="str">
        <f>IF(IFERROR(VLOOKUP(TRIM(A1743),Inventory!E:E,1,0),0)=0,"X","_")</f>
        <v>_</v>
      </c>
      <c r="C1743" t="str">
        <f>IF(IFERROR(VLOOKUP(TRIM(A1743),'Full Inventory'!F:F,1,0),0)=0,"X","_")</f>
        <v>_</v>
      </c>
      <c r="D1743" t="str">
        <f t="shared" si="81"/>
        <v>X</v>
      </c>
      <c r="E1743" t="str">
        <f ca="1">IFERROR(IF(AND(B1743&amp;C1743&amp;D1743="___",INDIRECT("Inventory!A"&amp;MATCH(VLOOKUP(A1743,Inventory!E:E,1,0),Inventory!E:E,0))&lt;&gt;INDIRECT("'Full Inventory'!B"&amp;MATCH(VLOOKUP(A1743,'Full Inventory'!F:F,1,0),'Full Inventory'!F:F,0))),"X","_"),"_")</f>
        <v>_</v>
      </c>
      <c r="K1743" t="str">
        <f t="shared" ca="1" si="82"/>
        <v>__X_</v>
      </c>
      <c r="L1743" t="str">
        <f t="shared" ca="1" si="83"/>
        <v/>
      </c>
      <c r="M1743" t="str">
        <f>IFERROR(INDEX(Inventory!A:A,MATCH(Scan!A1743,Inventory!E:E,0)),"")</f>
        <v/>
      </c>
    </row>
    <row r="1744" spans="2:13" x14ac:dyDescent="0.25">
      <c r="B1744" t="str">
        <f>IF(IFERROR(VLOOKUP(TRIM(A1744),Inventory!E:E,1,0),0)=0,"X","_")</f>
        <v>_</v>
      </c>
      <c r="C1744" t="str">
        <f>IF(IFERROR(VLOOKUP(TRIM(A1744),'Full Inventory'!F:F,1,0),0)=0,"X","_")</f>
        <v>_</v>
      </c>
      <c r="D1744" t="str">
        <f t="shared" si="81"/>
        <v>X</v>
      </c>
      <c r="E1744" t="str">
        <f ca="1">IFERROR(IF(AND(B1744&amp;C1744&amp;D1744="___",INDIRECT("Inventory!A"&amp;MATCH(VLOOKUP(A1744,Inventory!E:E,1,0),Inventory!E:E,0))&lt;&gt;INDIRECT("'Full Inventory'!B"&amp;MATCH(VLOOKUP(A1744,'Full Inventory'!F:F,1,0),'Full Inventory'!F:F,0))),"X","_"),"_")</f>
        <v>_</v>
      </c>
      <c r="K1744" t="str">
        <f t="shared" ca="1" si="82"/>
        <v>__X_</v>
      </c>
      <c r="L1744" t="str">
        <f t="shared" ca="1" si="83"/>
        <v/>
      </c>
      <c r="M1744" t="str">
        <f>IFERROR(INDEX(Inventory!A:A,MATCH(Scan!A1744,Inventory!E:E,0)),"")</f>
        <v/>
      </c>
    </row>
    <row r="1745" spans="2:13" x14ac:dyDescent="0.25">
      <c r="B1745" t="str">
        <f>IF(IFERROR(VLOOKUP(TRIM(A1745),Inventory!E:E,1,0),0)=0,"X","_")</f>
        <v>_</v>
      </c>
      <c r="C1745" t="str">
        <f>IF(IFERROR(VLOOKUP(TRIM(A1745),'Full Inventory'!F:F,1,0),0)=0,"X","_")</f>
        <v>_</v>
      </c>
      <c r="D1745" t="str">
        <f t="shared" si="81"/>
        <v>X</v>
      </c>
      <c r="E1745" t="str">
        <f ca="1">IFERROR(IF(AND(B1745&amp;C1745&amp;D1745="___",INDIRECT("Inventory!A"&amp;MATCH(VLOOKUP(A1745,Inventory!E:E,1,0),Inventory!E:E,0))&lt;&gt;INDIRECT("'Full Inventory'!B"&amp;MATCH(VLOOKUP(A1745,'Full Inventory'!F:F,1,0),'Full Inventory'!F:F,0))),"X","_"),"_")</f>
        <v>_</v>
      </c>
      <c r="K1745" t="str">
        <f t="shared" ca="1" si="82"/>
        <v>__X_</v>
      </c>
      <c r="L1745" t="str">
        <f t="shared" ca="1" si="83"/>
        <v/>
      </c>
      <c r="M1745" t="str">
        <f>IFERROR(INDEX(Inventory!A:A,MATCH(Scan!A1745,Inventory!E:E,0)),"")</f>
        <v/>
      </c>
    </row>
    <row r="1746" spans="2:13" x14ac:dyDescent="0.25">
      <c r="B1746" t="str">
        <f>IF(IFERROR(VLOOKUP(TRIM(A1746),Inventory!E:E,1,0),0)=0,"X","_")</f>
        <v>_</v>
      </c>
      <c r="C1746" t="str">
        <f>IF(IFERROR(VLOOKUP(TRIM(A1746),'Full Inventory'!F:F,1,0),0)=0,"X","_")</f>
        <v>_</v>
      </c>
      <c r="D1746" t="str">
        <f t="shared" si="81"/>
        <v>X</v>
      </c>
      <c r="E1746" t="str">
        <f ca="1">IFERROR(IF(AND(B1746&amp;C1746&amp;D1746="___",INDIRECT("Inventory!A"&amp;MATCH(VLOOKUP(A1746,Inventory!E:E,1,0),Inventory!E:E,0))&lt;&gt;INDIRECT("'Full Inventory'!B"&amp;MATCH(VLOOKUP(A1746,'Full Inventory'!F:F,1,0),'Full Inventory'!F:F,0))),"X","_"),"_")</f>
        <v>_</v>
      </c>
      <c r="K1746" t="str">
        <f t="shared" ca="1" si="82"/>
        <v>__X_</v>
      </c>
      <c r="L1746" t="str">
        <f t="shared" ca="1" si="83"/>
        <v/>
      </c>
      <c r="M1746" t="str">
        <f>IFERROR(INDEX(Inventory!A:A,MATCH(Scan!A1746,Inventory!E:E,0)),"")</f>
        <v/>
      </c>
    </row>
    <row r="1747" spans="2:13" x14ac:dyDescent="0.25">
      <c r="B1747" t="str">
        <f>IF(IFERROR(VLOOKUP(TRIM(A1747),Inventory!E:E,1,0),0)=0,"X","_")</f>
        <v>_</v>
      </c>
      <c r="C1747" t="str">
        <f>IF(IFERROR(VLOOKUP(TRIM(A1747),'Full Inventory'!F:F,1,0),0)=0,"X","_")</f>
        <v>_</v>
      </c>
      <c r="D1747" t="str">
        <f t="shared" si="81"/>
        <v>X</v>
      </c>
      <c r="E1747" t="str">
        <f ca="1">IFERROR(IF(AND(B1747&amp;C1747&amp;D1747="___",INDIRECT("Inventory!A"&amp;MATCH(VLOOKUP(A1747,Inventory!E:E,1,0),Inventory!E:E,0))&lt;&gt;INDIRECT("'Full Inventory'!B"&amp;MATCH(VLOOKUP(A1747,'Full Inventory'!F:F,1,0),'Full Inventory'!F:F,0))),"X","_"),"_")</f>
        <v>_</v>
      </c>
      <c r="K1747" t="str">
        <f t="shared" ca="1" si="82"/>
        <v>__X_</v>
      </c>
      <c r="L1747" t="str">
        <f t="shared" ca="1" si="83"/>
        <v/>
      </c>
      <c r="M1747" t="str">
        <f>IFERROR(INDEX(Inventory!A:A,MATCH(Scan!A1747,Inventory!E:E,0)),"")</f>
        <v/>
      </c>
    </row>
    <row r="1748" spans="2:13" x14ac:dyDescent="0.25">
      <c r="B1748" t="str">
        <f>IF(IFERROR(VLOOKUP(TRIM(A1748),Inventory!E:E,1,0),0)=0,"X","_")</f>
        <v>_</v>
      </c>
      <c r="C1748" t="str">
        <f>IF(IFERROR(VLOOKUP(TRIM(A1748),'Full Inventory'!F:F,1,0),0)=0,"X","_")</f>
        <v>_</v>
      </c>
      <c r="D1748" t="str">
        <f t="shared" si="81"/>
        <v>X</v>
      </c>
      <c r="E1748" t="str">
        <f ca="1">IFERROR(IF(AND(B1748&amp;C1748&amp;D1748="___",INDIRECT("Inventory!A"&amp;MATCH(VLOOKUP(A1748,Inventory!E:E,1,0),Inventory!E:E,0))&lt;&gt;INDIRECT("'Full Inventory'!B"&amp;MATCH(VLOOKUP(A1748,'Full Inventory'!F:F,1,0),'Full Inventory'!F:F,0))),"X","_"),"_")</f>
        <v>_</v>
      </c>
      <c r="K1748" t="str">
        <f t="shared" ca="1" si="82"/>
        <v>__X_</v>
      </c>
      <c r="L1748" t="str">
        <f t="shared" ca="1" si="83"/>
        <v/>
      </c>
      <c r="M1748" t="str">
        <f>IFERROR(INDEX(Inventory!A:A,MATCH(Scan!A1748,Inventory!E:E,0)),"")</f>
        <v/>
      </c>
    </row>
    <row r="1749" spans="2:13" x14ac:dyDescent="0.25">
      <c r="B1749" t="str">
        <f>IF(IFERROR(VLOOKUP(TRIM(A1749),Inventory!E:E,1,0),0)=0,"X","_")</f>
        <v>_</v>
      </c>
      <c r="C1749" t="str">
        <f>IF(IFERROR(VLOOKUP(TRIM(A1749),'Full Inventory'!F:F,1,0),0)=0,"X","_")</f>
        <v>_</v>
      </c>
      <c r="D1749" t="str">
        <f t="shared" si="81"/>
        <v>X</v>
      </c>
      <c r="E1749" t="str">
        <f ca="1">IFERROR(IF(AND(B1749&amp;C1749&amp;D1749="___",INDIRECT("Inventory!A"&amp;MATCH(VLOOKUP(A1749,Inventory!E:E,1,0),Inventory!E:E,0))&lt;&gt;INDIRECT("'Full Inventory'!B"&amp;MATCH(VLOOKUP(A1749,'Full Inventory'!F:F,1,0),'Full Inventory'!F:F,0))),"X","_"),"_")</f>
        <v>_</v>
      </c>
      <c r="K1749" t="str">
        <f t="shared" ca="1" si="82"/>
        <v>__X_</v>
      </c>
      <c r="L1749" t="str">
        <f t="shared" ca="1" si="83"/>
        <v/>
      </c>
      <c r="M1749" t="str">
        <f>IFERROR(INDEX(Inventory!A:A,MATCH(Scan!A1749,Inventory!E:E,0)),"")</f>
        <v/>
      </c>
    </row>
    <row r="1750" spans="2:13" x14ac:dyDescent="0.25">
      <c r="B1750" t="str">
        <f>IF(IFERROR(VLOOKUP(TRIM(A1750),Inventory!E:E,1,0),0)=0,"X","_")</f>
        <v>_</v>
      </c>
      <c r="C1750" t="str">
        <f>IF(IFERROR(VLOOKUP(TRIM(A1750),'Full Inventory'!F:F,1,0),0)=0,"X","_")</f>
        <v>_</v>
      </c>
      <c r="D1750" t="str">
        <f t="shared" si="81"/>
        <v>X</v>
      </c>
      <c r="E1750" t="str">
        <f ca="1">IFERROR(IF(AND(B1750&amp;C1750&amp;D1750="___",INDIRECT("Inventory!A"&amp;MATCH(VLOOKUP(A1750,Inventory!E:E,1,0),Inventory!E:E,0))&lt;&gt;INDIRECT("'Full Inventory'!B"&amp;MATCH(VLOOKUP(A1750,'Full Inventory'!F:F,1,0),'Full Inventory'!F:F,0))),"X","_"),"_")</f>
        <v>_</v>
      </c>
      <c r="K1750" t="str">
        <f t="shared" ca="1" si="82"/>
        <v>__X_</v>
      </c>
      <c r="L1750" t="str">
        <f t="shared" ca="1" si="83"/>
        <v/>
      </c>
      <c r="M1750" t="str">
        <f>IFERROR(INDEX(Inventory!A:A,MATCH(Scan!A1750,Inventory!E:E,0)),"")</f>
        <v/>
      </c>
    </row>
    <row r="1751" spans="2:13" x14ac:dyDescent="0.25">
      <c r="B1751" t="str">
        <f>IF(IFERROR(VLOOKUP(TRIM(A1751),Inventory!E:E,1,0),0)=0,"X","_")</f>
        <v>_</v>
      </c>
      <c r="C1751" t="str">
        <f>IF(IFERROR(VLOOKUP(TRIM(A1751),'Full Inventory'!F:F,1,0),0)=0,"X","_")</f>
        <v>_</v>
      </c>
      <c r="D1751" t="str">
        <f t="shared" si="81"/>
        <v>X</v>
      </c>
      <c r="E1751" t="str">
        <f ca="1">IFERROR(IF(AND(B1751&amp;C1751&amp;D1751="___",INDIRECT("Inventory!A"&amp;MATCH(VLOOKUP(A1751,Inventory!E:E,1,0),Inventory!E:E,0))&lt;&gt;INDIRECT("'Full Inventory'!B"&amp;MATCH(VLOOKUP(A1751,'Full Inventory'!F:F,1,0),'Full Inventory'!F:F,0))),"X","_"),"_")</f>
        <v>_</v>
      </c>
      <c r="K1751" t="str">
        <f t="shared" ca="1" si="82"/>
        <v>__X_</v>
      </c>
      <c r="L1751" t="str">
        <f t="shared" ca="1" si="83"/>
        <v/>
      </c>
      <c r="M1751" t="str">
        <f>IFERROR(INDEX(Inventory!A:A,MATCH(Scan!A1751,Inventory!E:E,0)),"")</f>
        <v/>
      </c>
    </row>
    <row r="1752" spans="2:13" x14ac:dyDescent="0.25">
      <c r="B1752" t="str">
        <f>IF(IFERROR(VLOOKUP(TRIM(A1752),Inventory!E:E,1,0),0)=0,"X","_")</f>
        <v>_</v>
      </c>
      <c r="C1752" t="str">
        <f>IF(IFERROR(VLOOKUP(TRIM(A1752),'Full Inventory'!F:F,1,0),0)=0,"X","_")</f>
        <v>_</v>
      </c>
      <c r="D1752" t="str">
        <f t="shared" si="81"/>
        <v>X</v>
      </c>
      <c r="E1752" t="str">
        <f ca="1">IFERROR(IF(AND(B1752&amp;C1752&amp;D1752="___",INDIRECT("Inventory!A"&amp;MATCH(VLOOKUP(A1752,Inventory!E:E,1,0),Inventory!E:E,0))&lt;&gt;INDIRECT("'Full Inventory'!B"&amp;MATCH(VLOOKUP(A1752,'Full Inventory'!F:F,1,0),'Full Inventory'!F:F,0))),"X","_"),"_")</f>
        <v>_</v>
      </c>
      <c r="K1752" t="str">
        <f t="shared" ca="1" si="82"/>
        <v>__X_</v>
      </c>
      <c r="L1752" t="str">
        <f t="shared" ca="1" si="83"/>
        <v/>
      </c>
      <c r="M1752" t="str">
        <f>IFERROR(INDEX(Inventory!A:A,MATCH(Scan!A1752,Inventory!E:E,0)),"")</f>
        <v/>
      </c>
    </row>
    <row r="1753" spans="2:13" x14ac:dyDescent="0.25">
      <c r="B1753" t="str">
        <f>IF(IFERROR(VLOOKUP(TRIM(A1753),Inventory!E:E,1,0),0)=0,"X","_")</f>
        <v>_</v>
      </c>
      <c r="C1753" t="str">
        <f>IF(IFERROR(VLOOKUP(TRIM(A1753),'Full Inventory'!F:F,1,0),0)=0,"X","_")</f>
        <v>_</v>
      </c>
      <c r="D1753" t="str">
        <f t="shared" si="81"/>
        <v>X</v>
      </c>
      <c r="E1753" t="str">
        <f ca="1">IFERROR(IF(AND(B1753&amp;C1753&amp;D1753="___",INDIRECT("Inventory!A"&amp;MATCH(VLOOKUP(A1753,Inventory!E:E,1,0),Inventory!E:E,0))&lt;&gt;INDIRECT("'Full Inventory'!B"&amp;MATCH(VLOOKUP(A1753,'Full Inventory'!F:F,1,0),'Full Inventory'!F:F,0))),"X","_"),"_")</f>
        <v>_</v>
      </c>
      <c r="K1753" t="str">
        <f t="shared" ca="1" si="82"/>
        <v>__X_</v>
      </c>
      <c r="L1753" t="str">
        <f t="shared" ca="1" si="83"/>
        <v/>
      </c>
      <c r="M1753" t="str">
        <f>IFERROR(INDEX(Inventory!A:A,MATCH(Scan!A1753,Inventory!E:E,0)),"")</f>
        <v/>
      </c>
    </row>
    <row r="1754" spans="2:13" x14ac:dyDescent="0.25">
      <c r="B1754" t="str">
        <f>IF(IFERROR(VLOOKUP(TRIM(A1754),Inventory!E:E,1,0),0)=0,"X","_")</f>
        <v>_</v>
      </c>
      <c r="C1754" t="str">
        <f>IF(IFERROR(VLOOKUP(TRIM(A1754),'Full Inventory'!F:F,1,0),0)=0,"X","_")</f>
        <v>_</v>
      </c>
      <c r="D1754" t="str">
        <f t="shared" si="81"/>
        <v>X</v>
      </c>
      <c r="E1754" t="str">
        <f ca="1">IFERROR(IF(AND(B1754&amp;C1754&amp;D1754="___",INDIRECT("Inventory!A"&amp;MATCH(VLOOKUP(A1754,Inventory!E:E,1,0),Inventory!E:E,0))&lt;&gt;INDIRECT("'Full Inventory'!B"&amp;MATCH(VLOOKUP(A1754,'Full Inventory'!F:F,1,0),'Full Inventory'!F:F,0))),"X","_"),"_")</f>
        <v>_</v>
      </c>
      <c r="K1754" t="str">
        <f t="shared" ca="1" si="82"/>
        <v>__X_</v>
      </c>
      <c r="L1754" t="str">
        <f t="shared" ca="1" si="83"/>
        <v/>
      </c>
      <c r="M1754" t="str">
        <f>IFERROR(INDEX(Inventory!A:A,MATCH(Scan!A1754,Inventory!E:E,0)),"")</f>
        <v/>
      </c>
    </row>
    <row r="1755" spans="2:13" x14ac:dyDescent="0.25">
      <c r="B1755" t="str">
        <f>IF(IFERROR(VLOOKUP(TRIM(A1755),Inventory!E:E,1,0),0)=0,"X","_")</f>
        <v>_</v>
      </c>
      <c r="C1755" t="str">
        <f>IF(IFERROR(VLOOKUP(TRIM(A1755),'Full Inventory'!F:F,1,0),0)=0,"X","_")</f>
        <v>_</v>
      </c>
      <c r="D1755" t="str">
        <f t="shared" si="81"/>
        <v>X</v>
      </c>
      <c r="E1755" t="str">
        <f ca="1">IFERROR(IF(AND(B1755&amp;C1755&amp;D1755="___",INDIRECT("Inventory!A"&amp;MATCH(VLOOKUP(A1755,Inventory!E:E,1,0),Inventory!E:E,0))&lt;&gt;INDIRECT("'Full Inventory'!B"&amp;MATCH(VLOOKUP(A1755,'Full Inventory'!F:F,1,0),'Full Inventory'!F:F,0))),"X","_"),"_")</f>
        <v>_</v>
      </c>
      <c r="K1755" t="str">
        <f t="shared" ca="1" si="82"/>
        <v>__X_</v>
      </c>
      <c r="L1755" t="str">
        <f t="shared" ca="1" si="83"/>
        <v/>
      </c>
      <c r="M1755" t="str">
        <f>IFERROR(INDEX(Inventory!A:A,MATCH(Scan!A1755,Inventory!E:E,0)),"")</f>
        <v/>
      </c>
    </row>
    <row r="1756" spans="2:13" x14ac:dyDescent="0.25">
      <c r="B1756" t="str">
        <f>IF(IFERROR(VLOOKUP(TRIM(A1756),Inventory!E:E,1,0),0)=0,"X","_")</f>
        <v>_</v>
      </c>
      <c r="C1756" t="str">
        <f>IF(IFERROR(VLOOKUP(TRIM(A1756),'Full Inventory'!F:F,1,0),0)=0,"X","_")</f>
        <v>_</v>
      </c>
      <c r="D1756" t="str">
        <f t="shared" si="81"/>
        <v>X</v>
      </c>
      <c r="E1756" t="str">
        <f ca="1">IFERROR(IF(AND(B1756&amp;C1756&amp;D1756="___",INDIRECT("Inventory!A"&amp;MATCH(VLOOKUP(A1756,Inventory!E:E,1,0),Inventory!E:E,0))&lt;&gt;INDIRECT("'Full Inventory'!B"&amp;MATCH(VLOOKUP(A1756,'Full Inventory'!F:F,1,0),'Full Inventory'!F:F,0))),"X","_"),"_")</f>
        <v>_</v>
      </c>
      <c r="K1756" t="str">
        <f t="shared" ca="1" si="82"/>
        <v>__X_</v>
      </c>
      <c r="L1756" t="str">
        <f t="shared" ca="1" si="83"/>
        <v/>
      </c>
      <c r="M1756" t="str">
        <f>IFERROR(INDEX(Inventory!A:A,MATCH(Scan!A1756,Inventory!E:E,0)),"")</f>
        <v/>
      </c>
    </row>
    <row r="1757" spans="2:13" x14ac:dyDescent="0.25">
      <c r="B1757" t="str">
        <f>IF(IFERROR(VLOOKUP(TRIM(A1757),Inventory!E:E,1,0),0)=0,"X","_")</f>
        <v>_</v>
      </c>
      <c r="C1757" t="str">
        <f>IF(IFERROR(VLOOKUP(TRIM(A1757),'Full Inventory'!F:F,1,0),0)=0,"X","_")</f>
        <v>_</v>
      </c>
      <c r="D1757" t="str">
        <f t="shared" si="81"/>
        <v>X</v>
      </c>
      <c r="E1757" t="str">
        <f ca="1">IFERROR(IF(AND(B1757&amp;C1757&amp;D1757="___",INDIRECT("Inventory!A"&amp;MATCH(VLOOKUP(A1757,Inventory!E:E,1,0),Inventory!E:E,0))&lt;&gt;INDIRECT("'Full Inventory'!B"&amp;MATCH(VLOOKUP(A1757,'Full Inventory'!F:F,1,0),'Full Inventory'!F:F,0))),"X","_"),"_")</f>
        <v>_</v>
      </c>
      <c r="K1757" t="str">
        <f t="shared" ca="1" si="82"/>
        <v>__X_</v>
      </c>
      <c r="L1757" t="str">
        <f t="shared" ca="1" si="83"/>
        <v/>
      </c>
      <c r="M1757" t="str">
        <f>IFERROR(INDEX(Inventory!A:A,MATCH(Scan!A1757,Inventory!E:E,0)),"")</f>
        <v/>
      </c>
    </row>
    <row r="1758" spans="2:13" x14ac:dyDescent="0.25">
      <c r="B1758" t="str">
        <f>IF(IFERROR(VLOOKUP(TRIM(A1758),Inventory!E:E,1,0),0)=0,"X","_")</f>
        <v>_</v>
      </c>
      <c r="C1758" t="str">
        <f>IF(IFERROR(VLOOKUP(TRIM(A1758),'Full Inventory'!F:F,1,0),0)=0,"X","_")</f>
        <v>_</v>
      </c>
      <c r="D1758" t="str">
        <f t="shared" si="81"/>
        <v>X</v>
      </c>
      <c r="E1758" t="str">
        <f ca="1">IFERROR(IF(AND(B1758&amp;C1758&amp;D1758="___",INDIRECT("Inventory!A"&amp;MATCH(VLOOKUP(A1758,Inventory!E:E,1,0),Inventory!E:E,0))&lt;&gt;INDIRECT("'Full Inventory'!B"&amp;MATCH(VLOOKUP(A1758,'Full Inventory'!F:F,1,0),'Full Inventory'!F:F,0))),"X","_"),"_")</f>
        <v>_</v>
      </c>
      <c r="K1758" t="str">
        <f t="shared" ca="1" si="82"/>
        <v>__X_</v>
      </c>
      <c r="L1758" t="str">
        <f t="shared" ca="1" si="83"/>
        <v/>
      </c>
      <c r="M1758" t="str">
        <f>IFERROR(INDEX(Inventory!A:A,MATCH(Scan!A1758,Inventory!E:E,0)),"")</f>
        <v/>
      </c>
    </row>
    <row r="1759" spans="2:13" x14ac:dyDescent="0.25">
      <c r="B1759" t="str">
        <f>IF(IFERROR(VLOOKUP(TRIM(A1759),Inventory!E:E,1,0),0)=0,"X","_")</f>
        <v>_</v>
      </c>
      <c r="C1759" t="str">
        <f>IF(IFERROR(VLOOKUP(TRIM(A1759),'Full Inventory'!F:F,1,0),0)=0,"X","_")</f>
        <v>_</v>
      </c>
      <c r="D1759" t="str">
        <f t="shared" si="81"/>
        <v>X</v>
      </c>
      <c r="E1759" t="str">
        <f ca="1">IFERROR(IF(AND(B1759&amp;C1759&amp;D1759="___",INDIRECT("Inventory!A"&amp;MATCH(VLOOKUP(A1759,Inventory!E:E,1,0),Inventory!E:E,0))&lt;&gt;INDIRECT("'Full Inventory'!B"&amp;MATCH(VLOOKUP(A1759,'Full Inventory'!F:F,1,0),'Full Inventory'!F:F,0))),"X","_"),"_")</f>
        <v>_</v>
      </c>
      <c r="K1759" t="str">
        <f t="shared" ca="1" si="82"/>
        <v>__X_</v>
      </c>
      <c r="L1759" t="str">
        <f t="shared" ca="1" si="83"/>
        <v/>
      </c>
      <c r="M1759" t="str">
        <f>IFERROR(INDEX(Inventory!A:A,MATCH(Scan!A1759,Inventory!E:E,0)),"")</f>
        <v/>
      </c>
    </row>
    <row r="1760" spans="2:13" x14ac:dyDescent="0.25">
      <c r="B1760" t="str">
        <f>IF(IFERROR(VLOOKUP(TRIM(A1760),Inventory!E:E,1,0),0)=0,"X","_")</f>
        <v>_</v>
      </c>
      <c r="C1760" t="str">
        <f>IF(IFERROR(VLOOKUP(TRIM(A1760),'Full Inventory'!F:F,1,0),0)=0,"X","_")</f>
        <v>_</v>
      </c>
      <c r="D1760" t="str">
        <f t="shared" si="81"/>
        <v>X</v>
      </c>
      <c r="E1760" t="str">
        <f ca="1">IFERROR(IF(AND(B1760&amp;C1760&amp;D1760="___",INDIRECT("Inventory!A"&amp;MATCH(VLOOKUP(A1760,Inventory!E:E,1,0),Inventory!E:E,0))&lt;&gt;INDIRECT("'Full Inventory'!B"&amp;MATCH(VLOOKUP(A1760,'Full Inventory'!F:F,1,0),'Full Inventory'!F:F,0))),"X","_"),"_")</f>
        <v>_</v>
      </c>
      <c r="K1760" t="str">
        <f t="shared" ca="1" si="82"/>
        <v>__X_</v>
      </c>
      <c r="L1760" t="str">
        <f t="shared" ca="1" si="83"/>
        <v/>
      </c>
      <c r="M1760" t="str">
        <f>IFERROR(INDEX(Inventory!A:A,MATCH(Scan!A1760,Inventory!E:E,0)),"")</f>
        <v/>
      </c>
    </row>
    <row r="1761" spans="2:13" x14ac:dyDescent="0.25">
      <c r="B1761" t="str">
        <f>IF(IFERROR(VLOOKUP(TRIM(A1761),Inventory!E:E,1,0),0)=0,"X","_")</f>
        <v>_</v>
      </c>
      <c r="C1761" t="str">
        <f>IF(IFERROR(VLOOKUP(TRIM(A1761),'Full Inventory'!F:F,1,0),0)=0,"X","_")</f>
        <v>_</v>
      </c>
      <c r="D1761" t="str">
        <f t="shared" si="81"/>
        <v>X</v>
      </c>
      <c r="E1761" t="str">
        <f ca="1">IFERROR(IF(AND(B1761&amp;C1761&amp;D1761="___",INDIRECT("Inventory!A"&amp;MATCH(VLOOKUP(A1761,Inventory!E:E,1,0),Inventory!E:E,0))&lt;&gt;INDIRECT("'Full Inventory'!B"&amp;MATCH(VLOOKUP(A1761,'Full Inventory'!F:F,1,0),'Full Inventory'!F:F,0))),"X","_"),"_")</f>
        <v>_</v>
      </c>
      <c r="K1761" t="str">
        <f t="shared" ca="1" si="82"/>
        <v>__X_</v>
      </c>
      <c r="L1761" t="str">
        <f t="shared" ca="1" si="83"/>
        <v/>
      </c>
      <c r="M1761" t="str">
        <f>IFERROR(INDEX(Inventory!A:A,MATCH(Scan!A1761,Inventory!E:E,0)),"")</f>
        <v/>
      </c>
    </row>
    <row r="1762" spans="2:13" x14ac:dyDescent="0.25">
      <c r="B1762" t="str">
        <f>IF(IFERROR(VLOOKUP(TRIM(A1762),Inventory!E:E,1,0),0)=0,"X","_")</f>
        <v>_</v>
      </c>
      <c r="C1762" t="str">
        <f>IF(IFERROR(VLOOKUP(TRIM(A1762),'Full Inventory'!F:F,1,0),0)=0,"X","_")</f>
        <v>_</v>
      </c>
      <c r="D1762" t="str">
        <f t="shared" si="81"/>
        <v>X</v>
      </c>
      <c r="E1762" t="str">
        <f ca="1">IFERROR(IF(AND(B1762&amp;C1762&amp;D1762="___",INDIRECT("Inventory!A"&amp;MATCH(VLOOKUP(A1762,Inventory!E:E,1,0),Inventory!E:E,0))&lt;&gt;INDIRECT("'Full Inventory'!B"&amp;MATCH(VLOOKUP(A1762,'Full Inventory'!F:F,1,0),'Full Inventory'!F:F,0))),"X","_"),"_")</f>
        <v>_</v>
      </c>
      <c r="K1762" t="str">
        <f t="shared" ca="1" si="82"/>
        <v>__X_</v>
      </c>
      <c r="L1762" t="str">
        <f t="shared" ca="1" si="83"/>
        <v/>
      </c>
      <c r="M1762" t="str">
        <f>IFERROR(INDEX(Inventory!A:A,MATCH(Scan!A1762,Inventory!E:E,0)),"")</f>
        <v/>
      </c>
    </row>
    <row r="1763" spans="2:13" x14ac:dyDescent="0.25">
      <c r="B1763" t="str">
        <f>IF(IFERROR(VLOOKUP(TRIM(A1763),Inventory!E:E,1,0),0)=0,"X","_")</f>
        <v>_</v>
      </c>
      <c r="C1763" t="str">
        <f>IF(IFERROR(VLOOKUP(TRIM(A1763),'Full Inventory'!F:F,1,0),0)=0,"X","_")</f>
        <v>_</v>
      </c>
      <c r="D1763" t="str">
        <f t="shared" si="81"/>
        <v>X</v>
      </c>
      <c r="E1763" t="str">
        <f ca="1">IFERROR(IF(AND(B1763&amp;C1763&amp;D1763="___",INDIRECT("Inventory!A"&amp;MATCH(VLOOKUP(A1763,Inventory!E:E,1,0),Inventory!E:E,0))&lt;&gt;INDIRECT("'Full Inventory'!B"&amp;MATCH(VLOOKUP(A1763,'Full Inventory'!F:F,1,0),'Full Inventory'!F:F,0))),"X","_"),"_")</f>
        <v>_</v>
      </c>
      <c r="K1763" t="str">
        <f t="shared" ca="1" si="82"/>
        <v>__X_</v>
      </c>
      <c r="L1763" t="str">
        <f t="shared" ca="1" si="83"/>
        <v/>
      </c>
      <c r="M1763" t="str">
        <f>IFERROR(INDEX(Inventory!A:A,MATCH(Scan!A1763,Inventory!E:E,0)),"")</f>
        <v/>
      </c>
    </row>
    <row r="1764" spans="2:13" x14ac:dyDescent="0.25">
      <c r="B1764" t="str">
        <f>IF(IFERROR(VLOOKUP(TRIM(A1764),Inventory!E:E,1,0),0)=0,"X","_")</f>
        <v>_</v>
      </c>
      <c r="C1764" t="str">
        <f>IF(IFERROR(VLOOKUP(TRIM(A1764),'Full Inventory'!F:F,1,0),0)=0,"X","_")</f>
        <v>_</v>
      </c>
      <c r="D1764" t="str">
        <f t="shared" si="81"/>
        <v>X</v>
      </c>
      <c r="E1764" t="str">
        <f ca="1">IFERROR(IF(AND(B1764&amp;C1764&amp;D1764="___",INDIRECT("Inventory!A"&amp;MATCH(VLOOKUP(A1764,Inventory!E:E,1,0),Inventory!E:E,0))&lt;&gt;INDIRECT("'Full Inventory'!B"&amp;MATCH(VLOOKUP(A1764,'Full Inventory'!F:F,1,0),'Full Inventory'!F:F,0))),"X","_"),"_")</f>
        <v>_</v>
      </c>
      <c r="K1764" t="str">
        <f t="shared" ca="1" si="82"/>
        <v>__X_</v>
      </c>
      <c r="L1764" t="str">
        <f t="shared" ca="1" si="83"/>
        <v/>
      </c>
      <c r="M1764" t="str">
        <f>IFERROR(INDEX(Inventory!A:A,MATCH(Scan!A1764,Inventory!E:E,0)),"")</f>
        <v/>
      </c>
    </row>
    <row r="1765" spans="2:13" x14ac:dyDescent="0.25">
      <c r="B1765" t="str">
        <f>IF(IFERROR(VLOOKUP(TRIM(A1765),Inventory!E:E,1,0),0)=0,"X","_")</f>
        <v>_</v>
      </c>
      <c r="C1765" t="str">
        <f>IF(IFERROR(VLOOKUP(TRIM(A1765),'Full Inventory'!F:F,1,0),0)=0,"X","_")</f>
        <v>_</v>
      </c>
      <c r="D1765" t="str">
        <f t="shared" si="81"/>
        <v>X</v>
      </c>
      <c r="E1765" t="str">
        <f ca="1">IFERROR(IF(AND(B1765&amp;C1765&amp;D1765="___",INDIRECT("Inventory!A"&amp;MATCH(VLOOKUP(A1765,Inventory!E:E,1,0),Inventory!E:E,0))&lt;&gt;INDIRECT("'Full Inventory'!B"&amp;MATCH(VLOOKUP(A1765,'Full Inventory'!F:F,1,0),'Full Inventory'!F:F,0))),"X","_"),"_")</f>
        <v>_</v>
      </c>
      <c r="K1765" t="str">
        <f t="shared" ca="1" si="82"/>
        <v>__X_</v>
      </c>
      <c r="L1765" t="str">
        <f t="shared" ca="1" si="83"/>
        <v/>
      </c>
      <c r="M1765" t="str">
        <f>IFERROR(INDEX(Inventory!A:A,MATCH(Scan!A1765,Inventory!E:E,0)),"")</f>
        <v/>
      </c>
    </row>
    <row r="1766" spans="2:13" x14ac:dyDescent="0.25">
      <c r="B1766" t="str">
        <f>IF(IFERROR(VLOOKUP(TRIM(A1766),Inventory!E:E,1,0),0)=0,"X","_")</f>
        <v>_</v>
      </c>
      <c r="C1766" t="str">
        <f>IF(IFERROR(VLOOKUP(TRIM(A1766),'Full Inventory'!F:F,1,0),0)=0,"X","_")</f>
        <v>_</v>
      </c>
      <c r="D1766" t="str">
        <f t="shared" si="81"/>
        <v>X</v>
      </c>
      <c r="E1766" t="str">
        <f ca="1">IFERROR(IF(AND(B1766&amp;C1766&amp;D1766="___",INDIRECT("Inventory!A"&amp;MATCH(VLOOKUP(A1766,Inventory!E:E,1,0),Inventory!E:E,0))&lt;&gt;INDIRECT("'Full Inventory'!B"&amp;MATCH(VLOOKUP(A1766,'Full Inventory'!F:F,1,0),'Full Inventory'!F:F,0))),"X","_"),"_")</f>
        <v>_</v>
      </c>
      <c r="K1766" t="str">
        <f t="shared" ca="1" si="82"/>
        <v>__X_</v>
      </c>
      <c r="L1766" t="str">
        <f t="shared" ca="1" si="83"/>
        <v/>
      </c>
      <c r="M1766" t="str">
        <f>IFERROR(INDEX(Inventory!A:A,MATCH(Scan!A1766,Inventory!E:E,0)),"")</f>
        <v/>
      </c>
    </row>
    <row r="1767" spans="2:13" x14ac:dyDescent="0.25">
      <c r="B1767" t="str">
        <f>IF(IFERROR(VLOOKUP(TRIM(A1767),Inventory!E:E,1,0),0)=0,"X","_")</f>
        <v>_</v>
      </c>
      <c r="C1767" t="str">
        <f>IF(IFERROR(VLOOKUP(TRIM(A1767),'Full Inventory'!F:F,1,0),0)=0,"X","_")</f>
        <v>_</v>
      </c>
      <c r="D1767" t="str">
        <f t="shared" si="81"/>
        <v>X</v>
      </c>
      <c r="E1767" t="str">
        <f ca="1">IFERROR(IF(AND(B1767&amp;C1767&amp;D1767="___",INDIRECT("Inventory!A"&amp;MATCH(VLOOKUP(A1767,Inventory!E:E,1,0),Inventory!E:E,0))&lt;&gt;INDIRECT("'Full Inventory'!B"&amp;MATCH(VLOOKUP(A1767,'Full Inventory'!F:F,1,0),'Full Inventory'!F:F,0))),"X","_"),"_")</f>
        <v>_</v>
      </c>
      <c r="K1767" t="str">
        <f t="shared" ca="1" si="82"/>
        <v>__X_</v>
      </c>
      <c r="L1767" t="str">
        <f t="shared" ca="1" si="83"/>
        <v/>
      </c>
      <c r="M1767" t="str">
        <f>IFERROR(INDEX(Inventory!A:A,MATCH(Scan!A1767,Inventory!E:E,0)),"")</f>
        <v/>
      </c>
    </row>
    <row r="1768" spans="2:13" x14ac:dyDescent="0.25">
      <c r="B1768" t="str">
        <f>IF(IFERROR(VLOOKUP(TRIM(A1768),Inventory!E:E,1,0),0)=0,"X","_")</f>
        <v>_</v>
      </c>
      <c r="C1768" t="str">
        <f>IF(IFERROR(VLOOKUP(TRIM(A1768),'Full Inventory'!F:F,1,0),0)=0,"X","_")</f>
        <v>_</v>
      </c>
      <c r="D1768" t="str">
        <f t="shared" si="81"/>
        <v>X</v>
      </c>
      <c r="E1768" t="str">
        <f ca="1">IFERROR(IF(AND(B1768&amp;C1768&amp;D1768="___",INDIRECT("Inventory!A"&amp;MATCH(VLOOKUP(A1768,Inventory!E:E,1,0),Inventory!E:E,0))&lt;&gt;INDIRECT("'Full Inventory'!B"&amp;MATCH(VLOOKUP(A1768,'Full Inventory'!F:F,1,0),'Full Inventory'!F:F,0))),"X","_"),"_")</f>
        <v>_</v>
      </c>
      <c r="K1768" t="str">
        <f t="shared" ca="1" si="82"/>
        <v>__X_</v>
      </c>
      <c r="L1768" t="str">
        <f t="shared" ca="1" si="83"/>
        <v/>
      </c>
      <c r="M1768" t="str">
        <f>IFERROR(INDEX(Inventory!A:A,MATCH(Scan!A1768,Inventory!E:E,0)),"")</f>
        <v/>
      </c>
    </row>
    <row r="1769" spans="2:13" x14ac:dyDescent="0.25">
      <c r="B1769" t="str">
        <f>IF(IFERROR(VLOOKUP(TRIM(A1769),Inventory!E:E,1,0),0)=0,"X","_")</f>
        <v>_</v>
      </c>
      <c r="C1769" t="str">
        <f>IF(IFERROR(VLOOKUP(TRIM(A1769),'Full Inventory'!F:F,1,0),0)=0,"X","_")</f>
        <v>_</v>
      </c>
      <c r="D1769" t="str">
        <f t="shared" si="81"/>
        <v>X</v>
      </c>
      <c r="E1769" t="str">
        <f ca="1">IFERROR(IF(AND(B1769&amp;C1769&amp;D1769="___",INDIRECT("Inventory!A"&amp;MATCH(VLOOKUP(A1769,Inventory!E:E,1,0),Inventory!E:E,0))&lt;&gt;INDIRECT("'Full Inventory'!B"&amp;MATCH(VLOOKUP(A1769,'Full Inventory'!F:F,1,0),'Full Inventory'!F:F,0))),"X","_"),"_")</f>
        <v>_</v>
      </c>
      <c r="K1769" t="str">
        <f t="shared" ca="1" si="82"/>
        <v>__X_</v>
      </c>
      <c r="L1769" t="str">
        <f t="shared" ca="1" si="83"/>
        <v/>
      </c>
      <c r="M1769" t="str">
        <f>IFERROR(INDEX(Inventory!A:A,MATCH(Scan!A1769,Inventory!E:E,0)),"")</f>
        <v/>
      </c>
    </row>
    <row r="1770" spans="2:13" x14ac:dyDescent="0.25">
      <c r="B1770" t="str">
        <f>IF(IFERROR(VLOOKUP(TRIM(A1770),Inventory!E:E,1,0),0)=0,"X","_")</f>
        <v>_</v>
      </c>
      <c r="C1770" t="str">
        <f>IF(IFERROR(VLOOKUP(TRIM(A1770),'Full Inventory'!F:F,1,0),0)=0,"X","_")</f>
        <v>_</v>
      </c>
      <c r="D1770" t="str">
        <f t="shared" si="81"/>
        <v>X</v>
      </c>
      <c r="E1770" t="str">
        <f ca="1">IFERROR(IF(AND(B1770&amp;C1770&amp;D1770="___",INDIRECT("Inventory!A"&amp;MATCH(VLOOKUP(A1770,Inventory!E:E,1,0),Inventory!E:E,0))&lt;&gt;INDIRECT("'Full Inventory'!B"&amp;MATCH(VLOOKUP(A1770,'Full Inventory'!F:F,1,0),'Full Inventory'!F:F,0))),"X","_"),"_")</f>
        <v>_</v>
      </c>
      <c r="K1770" t="str">
        <f t="shared" ca="1" si="82"/>
        <v>__X_</v>
      </c>
      <c r="L1770" t="str">
        <f t="shared" ca="1" si="83"/>
        <v/>
      </c>
      <c r="M1770" t="str">
        <f>IFERROR(INDEX(Inventory!A:A,MATCH(Scan!A1770,Inventory!E:E,0)),"")</f>
        <v/>
      </c>
    </row>
    <row r="1771" spans="2:13" x14ac:dyDescent="0.25">
      <c r="B1771" t="str">
        <f>IF(IFERROR(VLOOKUP(TRIM(A1771),Inventory!E:E,1,0),0)=0,"X","_")</f>
        <v>_</v>
      </c>
      <c r="C1771" t="str">
        <f>IF(IFERROR(VLOOKUP(TRIM(A1771),'Full Inventory'!F:F,1,0),0)=0,"X","_")</f>
        <v>_</v>
      </c>
      <c r="D1771" t="str">
        <f t="shared" si="81"/>
        <v>X</v>
      </c>
      <c r="E1771" t="str">
        <f ca="1">IFERROR(IF(AND(B1771&amp;C1771&amp;D1771="___",INDIRECT("Inventory!A"&amp;MATCH(VLOOKUP(A1771,Inventory!E:E,1,0),Inventory!E:E,0))&lt;&gt;INDIRECT("'Full Inventory'!B"&amp;MATCH(VLOOKUP(A1771,'Full Inventory'!F:F,1,0),'Full Inventory'!F:F,0))),"X","_"),"_")</f>
        <v>_</v>
      </c>
      <c r="K1771" t="str">
        <f t="shared" ca="1" si="82"/>
        <v>__X_</v>
      </c>
      <c r="L1771" t="str">
        <f t="shared" ca="1" si="83"/>
        <v/>
      </c>
      <c r="M1771" t="str">
        <f>IFERROR(INDEX(Inventory!A:A,MATCH(Scan!A1771,Inventory!E:E,0)),"")</f>
        <v/>
      </c>
    </row>
    <row r="1772" spans="2:13" x14ac:dyDescent="0.25">
      <c r="B1772" t="str">
        <f>IF(IFERROR(VLOOKUP(TRIM(A1772),Inventory!E:E,1,0),0)=0,"X","_")</f>
        <v>_</v>
      </c>
      <c r="C1772" t="str">
        <f>IF(IFERROR(VLOOKUP(TRIM(A1772),'Full Inventory'!F:F,1,0),0)=0,"X","_")</f>
        <v>_</v>
      </c>
      <c r="D1772" t="str">
        <f t="shared" si="81"/>
        <v>X</v>
      </c>
      <c r="E1772" t="str">
        <f ca="1">IFERROR(IF(AND(B1772&amp;C1772&amp;D1772="___",INDIRECT("Inventory!A"&amp;MATCH(VLOOKUP(A1772,Inventory!E:E,1,0),Inventory!E:E,0))&lt;&gt;INDIRECT("'Full Inventory'!B"&amp;MATCH(VLOOKUP(A1772,'Full Inventory'!F:F,1,0),'Full Inventory'!F:F,0))),"X","_"),"_")</f>
        <v>_</v>
      </c>
      <c r="K1772" t="str">
        <f t="shared" ca="1" si="82"/>
        <v>__X_</v>
      </c>
      <c r="L1772" t="str">
        <f t="shared" ca="1" si="83"/>
        <v/>
      </c>
      <c r="M1772" t="str">
        <f>IFERROR(INDEX(Inventory!A:A,MATCH(Scan!A1772,Inventory!E:E,0)),"")</f>
        <v/>
      </c>
    </row>
    <row r="1773" spans="2:13" x14ac:dyDescent="0.25">
      <c r="B1773" t="str">
        <f>IF(IFERROR(VLOOKUP(TRIM(A1773),Inventory!E:E,1,0),0)=0,"X","_")</f>
        <v>_</v>
      </c>
      <c r="C1773" t="str">
        <f>IF(IFERROR(VLOOKUP(TRIM(A1773),'Full Inventory'!F:F,1,0),0)=0,"X","_")</f>
        <v>_</v>
      </c>
      <c r="D1773" t="str">
        <f t="shared" si="81"/>
        <v>X</v>
      </c>
      <c r="E1773" t="str">
        <f ca="1">IFERROR(IF(AND(B1773&amp;C1773&amp;D1773="___",INDIRECT("Inventory!A"&amp;MATCH(VLOOKUP(A1773,Inventory!E:E,1,0),Inventory!E:E,0))&lt;&gt;INDIRECT("'Full Inventory'!B"&amp;MATCH(VLOOKUP(A1773,'Full Inventory'!F:F,1,0),'Full Inventory'!F:F,0))),"X","_"),"_")</f>
        <v>_</v>
      </c>
      <c r="K1773" t="str">
        <f t="shared" ca="1" si="82"/>
        <v>__X_</v>
      </c>
      <c r="L1773" t="str">
        <f t="shared" ca="1" si="83"/>
        <v/>
      </c>
      <c r="M1773" t="str">
        <f>IFERROR(INDEX(Inventory!A:A,MATCH(Scan!A1773,Inventory!E:E,0)),"")</f>
        <v/>
      </c>
    </row>
    <row r="1774" spans="2:13" x14ac:dyDescent="0.25">
      <c r="B1774" t="str">
        <f>IF(IFERROR(VLOOKUP(TRIM(A1774),Inventory!E:E,1,0),0)=0,"X","_")</f>
        <v>_</v>
      </c>
      <c r="C1774" t="str">
        <f>IF(IFERROR(VLOOKUP(TRIM(A1774),'Full Inventory'!F:F,1,0),0)=0,"X","_")</f>
        <v>_</v>
      </c>
      <c r="D1774" t="str">
        <f t="shared" si="81"/>
        <v>X</v>
      </c>
      <c r="E1774" t="str">
        <f ca="1">IFERROR(IF(AND(B1774&amp;C1774&amp;D1774="___",INDIRECT("Inventory!A"&amp;MATCH(VLOOKUP(A1774,Inventory!E:E,1,0),Inventory!E:E,0))&lt;&gt;INDIRECT("'Full Inventory'!B"&amp;MATCH(VLOOKUP(A1774,'Full Inventory'!F:F,1,0),'Full Inventory'!F:F,0))),"X","_"),"_")</f>
        <v>_</v>
      </c>
      <c r="K1774" t="str">
        <f t="shared" ca="1" si="82"/>
        <v>__X_</v>
      </c>
      <c r="L1774" t="str">
        <f t="shared" ca="1" si="83"/>
        <v/>
      </c>
      <c r="M1774" t="str">
        <f>IFERROR(INDEX(Inventory!A:A,MATCH(Scan!A1774,Inventory!E:E,0)),"")</f>
        <v/>
      </c>
    </row>
    <row r="1775" spans="2:13" x14ac:dyDescent="0.25">
      <c r="B1775" t="str">
        <f>IF(IFERROR(VLOOKUP(TRIM(A1775),Inventory!E:E,1,0),0)=0,"X","_")</f>
        <v>_</v>
      </c>
      <c r="C1775" t="str">
        <f>IF(IFERROR(VLOOKUP(TRIM(A1775),'Full Inventory'!F:F,1,0),0)=0,"X","_")</f>
        <v>_</v>
      </c>
      <c r="D1775" t="str">
        <f t="shared" si="81"/>
        <v>X</v>
      </c>
      <c r="E1775" t="str">
        <f ca="1">IFERROR(IF(AND(B1775&amp;C1775&amp;D1775="___",INDIRECT("Inventory!A"&amp;MATCH(VLOOKUP(A1775,Inventory!E:E,1,0),Inventory!E:E,0))&lt;&gt;INDIRECT("'Full Inventory'!B"&amp;MATCH(VLOOKUP(A1775,'Full Inventory'!F:F,1,0),'Full Inventory'!F:F,0))),"X","_"),"_")</f>
        <v>_</v>
      </c>
      <c r="K1775" t="str">
        <f t="shared" ca="1" si="82"/>
        <v>__X_</v>
      </c>
      <c r="L1775" t="str">
        <f t="shared" ca="1" si="83"/>
        <v/>
      </c>
      <c r="M1775" t="str">
        <f>IFERROR(INDEX(Inventory!A:A,MATCH(Scan!A1775,Inventory!E:E,0)),"")</f>
        <v/>
      </c>
    </row>
    <row r="1776" spans="2:13" x14ac:dyDescent="0.25">
      <c r="B1776" t="str">
        <f>IF(IFERROR(VLOOKUP(TRIM(A1776),Inventory!E:E,1,0),0)=0,"X","_")</f>
        <v>_</v>
      </c>
      <c r="C1776" t="str">
        <f>IF(IFERROR(VLOOKUP(TRIM(A1776),'Full Inventory'!F:F,1,0),0)=0,"X","_")</f>
        <v>_</v>
      </c>
      <c r="D1776" t="str">
        <f t="shared" si="81"/>
        <v>X</v>
      </c>
      <c r="E1776" t="str">
        <f ca="1">IFERROR(IF(AND(B1776&amp;C1776&amp;D1776="___",INDIRECT("Inventory!A"&amp;MATCH(VLOOKUP(A1776,Inventory!E:E,1,0),Inventory!E:E,0))&lt;&gt;INDIRECT("'Full Inventory'!B"&amp;MATCH(VLOOKUP(A1776,'Full Inventory'!F:F,1,0),'Full Inventory'!F:F,0))),"X","_"),"_")</f>
        <v>_</v>
      </c>
      <c r="K1776" t="str">
        <f t="shared" ca="1" si="82"/>
        <v>__X_</v>
      </c>
      <c r="L1776" t="str">
        <f t="shared" ca="1" si="83"/>
        <v/>
      </c>
      <c r="M1776" t="str">
        <f>IFERROR(INDEX(Inventory!A:A,MATCH(Scan!A1776,Inventory!E:E,0)),"")</f>
        <v/>
      </c>
    </row>
    <row r="1777" spans="2:13" x14ac:dyDescent="0.25">
      <c r="B1777" t="str">
        <f>IF(IFERROR(VLOOKUP(TRIM(A1777),Inventory!E:E,1,0),0)=0,"X","_")</f>
        <v>_</v>
      </c>
      <c r="C1777" t="str">
        <f>IF(IFERROR(VLOOKUP(TRIM(A1777),'Full Inventory'!F:F,1,0),0)=0,"X","_")</f>
        <v>_</v>
      </c>
      <c r="D1777" t="str">
        <f t="shared" si="81"/>
        <v>X</v>
      </c>
      <c r="E1777" t="str">
        <f ca="1">IFERROR(IF(AND(B1777&amp;C1777&amp;D1777="___",INDIRECT("Inventory!A"&amp;MATCH(VLOOKUP(A1777,Inventory!E:E,1,0),Inventory!E:E,0))&lt;&gt;INDIRECT("'Full Inventory'!B"&amp;MATCH(VLOOKUP(A1777,'Full Inventory'!F:F,1,0),'Full Inventory'!F:F,0))),"X","_"),"_")</f>
        <v>_</v>
      </c>
      <c r="K1777" t="str">
        <f t="shared" ca="1" si="82"/>
        <v>__X_</v>
      </c>
      <c r="L1777" t="str">
        <f t="shared" ca="1" si="83"/>
        <v/>
      </c>
      <c r="M1777" t="str">
        <f>IFERROR(INDEX(Inventory!A:A,MATCH(Scan!A1777,Inventory!E:E,0)),"")</f>
        <v/>
      </c>
    </row>
    <row r="1778" spans="2:13" x14ac:dyDescent="0.25">
      <c r="B1778" t="str">
        <f>IF(IFERROR(VLOOKUP(TRIM(A1778),Inventory!E:E,1,0),0)=0,"X","_")</f>
        <v>_</v>
      </c>
      <c r="C1778" t="str">
        <f>IF(IFERROR(VLOOKUP(TRIM(A1778),'Full Inventory'!F:F,1,0),0)=0,"X","_")</f>
        <v>_</v>
      </c>
      <c r="D1778" t="str">
        <f t="shared" si="81"/>
        <v>X</v>
      </c>
      <c r="E1778" t="str">
        <f ca="1">IFERROR(IF(AND(B1778&amp;C1778&amp;D1778="___",INDIRECT("Inventory!A"&amp;MATCH(VLOOKUP(A1778,Inventory!E:E,1,0),Inventory!E:E,0))&lt;&gt;INDIRECT("'Full Inventory'!B"&amp;MATCH(VLOOKUP(A1778,'Full Inventory'!F:F,1,0),'Full Inventory'!F:F,0))),"X","_"),"_")</f>
        <v>_</v>
      </c>
      <c r="K1778" t="str">
        <f t="shared" ca="1" si="82"/>
        <v>__X_</v>
      </c>
      <c r="L1778" t="str">
        <f t="shared" ca="1" si="83"/>
        <v/>
      </c>
      <c r="M1778" t="str">
        <f>IFERROR(INDEX(Inventory!A:A,MATCH(Scan!A1778,Inventory!E:E,0)),"")</f>
        <v/>
      </c>
    </row>
    <row r="1779" spans="2:13" x14ac:dyDescent="0.25">
      <c r="B1779" t="str">
        <f>IF(IFERROR(VLOOKUP(TRIM(A1779),Inventory!E:E,1,0),0)=0,"X","_")</f>
        <v>_</v>
      </c>
      <c r="C1779" t="str">
        <f>IF(IFERROR(VLOOKUP(TRIM(A1779),'Full Inventory'!F:F,1,0),0)=0,"X","_")</f>
        <v>_</v>
      </c>
      <c r="D1779" t="str">
        <f t="shared" si="81"/>
        <v>X</v>
      </c>
      <c r="E1779" t="str">
        <f ca="1">IFERROR(IF(AND(B1779&amp;C1779&amp;D1779="___",INDIRECT("Inventory!A"&amp;MATCH(VLOOKUP(A1779,Inventory!E:E,1,0),Inventory!E:E,0))&lt;&gt;INDIRECT("'Full Inventory'!B"&amp;MATCH(VLOOKUP(A1779,'Full Inventory'!F:F,1,0),'Full Inventory'!F:F,0))),"X","_"),"_")</f>
        <v>_</v>
      </c>
      <c r="K1779" t="str">
        <f t="shared" ca="1" si="82"/>
        <v>__X_</v>
      </c>
      <c r="L1779" t="str">
        <f t="shared" ca="1" si="83"/>
        <v/>
      </c>
      <c r="M1779" t="str">
        <f>IFERROR(INDEX(Inventory!A:A,MATCH(Scan!A1779,Inventory!E:E,0)),"")</f>
        <v/>
      </c>
    </row>
    <row r="1780" spans="2:13" x14ac:dyDescent="0.25">
      <c r="B1780" t="str">
        <f>IF(IFERROR(VLOOKUP(TRIM(A1780),Inventory!E:E,1,0),0)=0,"X","_")</f>
        <v>_</v>
      </c>
      <c r="C1780" t="str">
        <f>IF(IFERROR(VLOOKUP(TRIM(A1780),'Full Inventory'!F:F,1,0),0)=0,"X","_")</f>
        <v>_</v>
      </c>
      <c r="D1780" t="str">
        <f t="shared" si="81"/>
        <v>X</v>
      </c>
      <c r="E1780" t="str">
        <f ca="1">IFERROR(IF(AND(B1780&amp;C1780&amp;D1780="___",INDIRECT("Inventory!A"&amp;MATCH(VLOOKUP(A1780,Inventory!E:E,1,0),Inventory!E:E,0))&lt;&gt;INDIRECT("'Full Inventory'!B"&amp;MATCH(VLOOKUP(A1780,'Full Inventory'!F:F,1,0),'Full Inventory'!F:F,0))),"X","_"),"_")</f>
        <v>_</v>
      </c>
      <c r="K1780" t="str">
        <f t="shared" ca="1" si="82"/>
        <v>__X_</v>
      </c>
      <c r="L1780" t="str">
        <f t="shared" ca="1" si="83"/>
        <v/>
      </c>
      <c r="M1780" t="str">
        <f>IFERROR(INDEX(Inventory!A:A,MATCH(Scan!A1780,Inventory!E:E,0)),"")</f>
        <v/>
      </c>
    </row>
    <row r="1781" spans="2:13" x14ac:dyDescent="0.25">
      <c r="B1781" t="str">
        <f>IF(IFERROR(VLOOKUP(TRIM(A1781),Inventory!E:E,1,0),0)=0,"X","_")</f>
        <v>_</v>
      </c>
      <c r="C1781" t="str">
        <f>IF(IFERROR(VLOOKUP(TRIM(A1781),'Full Inventory'!F:F,1,0),0)=0,"X","_")</f>
        <v>_</v>
      </c>
      <c r="D1781" t="str">
        <f t="shared" si="81"/>
        <v>X</v>
      </c>
      <c r="E1781" t="str">
        <f ca="1">IFERROR(IF(AND(B1781&amp;C1781&amp;D1781="___",INDIRECT("Inventory!A"&amp;MATCH(VLOOKUP(A1781,Inventory!E:E,1,0),Inventory!E:E,0))&lt;&gt;INDIRECT("'Full Inventory'!B"&amp;MATCH(VLOOKUP(A1781,'Full Inventory'!F:F,1,0),'Full Inventory'!F:F,0))),"X","_"),"_")</f>
        <v>_</v>
      </c>
      <c r="K1781" t="str">
        <f t="shared" ca="1" si="82"/>
        <v>__X_</v>
      </c>
      <c r="L1781" t="str">
        <f t="shared" ca="1" si="83"/>
        <v/>
      </c>
      <c r="M1781" t="str">
        <f>IFERROR(INDEX(Inventory!A:A,MATCH(Scan!A1781,Inventory!E:E,0)),"")</f>
        <v/>
      </c>
    </row>
    <row r="1782" spans="2:13" x14ac:dyDescent="0.25">
      <c r="B1782" t="str">
        <f>IF(IFERROR(VLOOKUP(TRIM(A1782),Inventory!E:E,1,0),0)=0,"X","_")</f>
        <v>_</v>
      </c>
      <c r="C1782" t="str">
        <f>IF(IFERROR(VLOOKUP(TRIM(A1782),'Full Inventory'!F:F,1,0),0)=0,"X","_")</f>
        <v>_</v>
      </c>
      <c r="D1782" t="str">
        <f t="shared" si="81"/>
        <v>X</v>
      </c>
      <c r="E1782" t="str">
        <f ca="1">IFERROR(IF(AND(B1782&amp;C1782&amp;D1782="___",INDIRECT("Inventory!A"&amp;MATCH(VLOOKUP(A1782,Inventory!E:E,1,0),Inventory!E:E,0))&lt;&gt;INDIRECT("'Full Inventory'!B"&amp;MATCH(VLOOKUP(A1782,'Full Inventory'!F:F,1,0),'Full Inventory'!F:F,0))),"X","_"),"_")</f>
        <v>_</v>
      </c>
      <c r="K1782" t="str">
        <f t="shared" ca="1" si="82"/>
        <v>__X_</v>
      </c>
      <c r="L1782" t="str">
        <f t="shared" ca="1" si="83"/>
        <v/>
      </c>
      <c r="M1782" t="str">
        <f>IFERROR(INDEX(Inventory!A:A,MATCH(Scan!A1782,Inventory!E:E,0)),"")</f>
        <v/>
      </c>
    </row>
    <row r="1783" spans="2:13" x14ac:dyDescent="0.25">
      <c r="B1783" t="str">
        <f>IF(IFERROR(VLOOKUP(TRIM(A1783),Inventory!E:E,1,0),0)=0,"X","_")</f>
        <v>_</v>
      </c>
      <c r="C1783" t="str">
        <f>IF(IFERROR(VLOOKUP(TRIM(A1783),'Full Inventory'!F:F,1,0),0)=0,"X","_")</f>
        <v>_</v>
      </c>
      <c r="D1783" t="str">
        <f t="shared" si="81"/>
        <v>X</v>
      </c>
      <c r="E1783" t="str">
        <f ca="1">IFERROR(IF(AND(B1783&amp;C1783&amp;D1783="___",INDIRECT("Inventory!A"&amp;MATCH(VLOOKUP(A1783,Inventory!E:E,1,0),Inventory!E:E,0))&lt;&gt;INDIRECT("'Full Inventory'!B"&amp;MATCH(VLOOKUP(A1783,'Full Inventory'!F:F,1,0),'Full Inventory'!F:F,0))),"X","_"),"_")</f>
        <v>_</v>
      </c>
      <c r="K1783" t="str">
        <f t="shared" ca="1" si="82"/>
        <v>__X_</v>
      </c>
      <c r="L1783" t="str">
        <f t="shared" ca="1" si="83"/>
        <v/>
      </c>
      <c r="M1783" t="str">
        <f>IFERROR(INDEX(Inventory!A:A,MATCH(Scan!A1783,Inventory!E:E,0)),"")</f>
        <v/>
      </c>
    </row>
    <row r="1784" spans="2:13" x14ac:dyDescent="0.25">
      <c r="B1784" t="str">
        <f>IF(IFERROR(VLOOKUP(TRIM(A1784),Inventory!E:E,1,0),0)=0,"X","_")</f>
        <v>_</v>
      </c>
      <c r="C1784" t="str">
        <f>IF(IFERROR(VLOOKUP(TRIM(A1784),'Full Inventory'!F:F,1,0),0)=0,"X","_")</f>
        <v>_</v>
      </c>
      <c r="D1784" t="str">
        <f t="shared" si="81"/>
        <v>X</v>
      </c>
      <c r="E1784" t="str">
        <f ca="1">IFERROR(IF(AND(B1784&amp;C1784&amp;D1784="___",INDIRECT("Inventory!A"&amp;MATCH(VLOOKUP(A1784,Inventory!E:E,1,0),Inventory!E:E,0))&lt;&gt;INDIRECT("'Full Inventory'!B"&amp;MATCH(VLOOKUP(A1784,'Full Inventory'!F:F,1,0),'Full Inventory'!F:F,0))),"X","_"),"_")</f>
        <v>_</v>
      </c>
      <c r="K1784" t="str">
        <f t="shared" ca="1" si="82"/>
        <v>__X_</v>
      </c>
      <c r="L1784" t="str">
        <f t="shared" ca="1" si="83"/>
        <v/>
      </c>
      <c r="M1784" t="str">
        <f>IFERROR(INDEX(Inventory!A:A,MATCH(Scan!A1784,Inventory!E:E,0)),"")</f>
        <v/>
      </c>
    </row>
    <row r="1785" spans="2:13" x14ac:dyDescent="0.25">
      <c r="B1785" t="str">
        <f>IF(IFERROR(VLOOKUP(TRIM(A1785),Inventory!E:E,1,0),0)=0,"X","_")</f>
        <v>_</v>
      </c>
      <c r="C1785" t="str">
        <f>IF(IFERROR(VLOOKUP(TRIM(A1785),'Full Inventory'!F:F,1,0),0)=0,"X","_")</f>
        <v>_</v>
      </c>
      <c r="D1785" t="str">
        <f t="shared" si="81"/>
        <v>X</v>
      </c>
      <c r="E1785" t="str">
        <f ca="1">IFERROR(IF(AND(B1785&amp;C1785&amp;D1785="___",INDIRECT("Inventory!A"&amp;MATCH(VLOOKUP(A1785,Inventory!E:E,1,0),Inventory!E:E,0))&lt;&gt;INDIRECT("'Full Inventory'!B"&amp;MATCH(VLOOKUP(A1785,'Full Inventory'!F:F,1,0),'Full Inventory'!F:F,0))),"X","_"),"_")</f>
        <v>_</v>
      </c>
      <c r="K1785" t="str">
        <f t="shared" ca="1" si="82"/>
        <v>__X_</v>
      </c>
      <c r="L1785" t="str">
        <f t="shared" ca="1" si="83"/>
        <v/>
      </c>
      <c r="M1785" t="str">
        <f>IFERROR(INDEX(Inventory!A:A,MATCH(Scan!A1785,Inventory!E:E,0)),"")</f>
        <v/>
      </c>
    </row>
    <row r="1786" spans="2:13" x14ac:dyDescent="0.25">
      <c r="B1786" t="str">
        <f>IF(IFERROR(VLOOKUP(TRIM(A1786),Inventory!E:E,1,0),0)=0,"X","_")</f>
        <v>_</v>
      </c>
      <c r="C1786" t="str">
        <f>IF(IFERROR(VLOOKUP(TRIM(A1786),'Full Inventory'!F:F,1,0),0)=0,"X","_")</f>
        <v>_</v>
      </c>
      <c r="D1786" t="str">
        <f t="shared" si="81"/>
        <v>X</v>
      </c>
      <c r="E1786" t="str">
        <f ca="1">IFERROR(IF(AND(B1786&amp;C1786&amp;D1786="___",INDIRECT("Inventory!A"&amp;MATCH(VLOOKUP(A1786,Inventory!E:E,1,0),Inventory!E:E,0))&lt;&gt;INDIRECT("'Full Inventory'!B"&amp;MATCH(VLOOKUP(A1786,'Full Inventory'!F:F,1,0),'Full Inventory'!F:F,0))),"X","_"),"_")</f>
        <v>_</v>
      </c>
      <c r="K1786" t="str">
        <f t="shared" ca="1" si="82"/>
        <v>__X_</v>
      </c>
      <c r="L1786" t="str">
        <f t="shared" ca="1" si="83"/>
        <v/>
      </c>
      <c r="M1786" t="str">
        <f>IFERROR(INDEX(Inventory!A:A,MATCH(Scan!A1786,Inventory!E:E,0)),"")</f>
        <v/>
      </c>
    </row>
    <row r="1787" spans="2:13" x14ac:dyDescent="0.25">
      <c r="B1787" t="str">
        <f>IF(IFERROR(VLOOKUP(TRIM(A1787),Inventory!E:E,1,0),0)=0,"X","_")</f>
        <v>_</v>
      </c>
      <c r="C1787" t="str">
        <f>IF(IFERROR(VLOOKUP(TRIM(A1787),'Full Inventory'!F:F,1,0),0)=0,"X","_")</f>
        <v>_</v>
      </c>
      <c r="D1787" t="str">
        <f t="shared" si="81"/>
        <v>X</v>
      </c>
      <c r="E1787" t="str">
        <f ca="1">IFERROR(IF(AND(B1787&amp;C1787&amp;D1787="___",INDIRECT("Inventory!A"&amp;MATCH(VLOOKUP(A1787,Inventory!E:E,1,0),Inventory!E:E,0))&lt;&gt;INDIRECT("'Full Inventory'!B"&amp;MATCH(VLOOKUP(A1787,'Full Inventory'!F:F,1,0),'Full Inventory'!F:F,0))),"X","_"),"_")</f>
        <v>_</v>
      </c>
      <c r="K1787" t="str">
        <f t="shared" ca="1" si="82"/>
        <v>__X_</v>
      </c>
      <c r="L1787" t="str">
        <f t="shared" ca="1" si="83"/>
        <v/>
      </c>
      <c r="M1787" t="str">
        <f>IFERROR(INDEX(Inventory!A:A,MATCH(Scan!A1787,Inventory!E:E,0)),"")</f>
        <v/>
      </c>
    </row>
    <row r="1788" spans="2:13" x14ac:dyDescent="0.25">
      <c r="B1788" t="str">
        <f>IF(IFERROR(VLOOKUP(TRIM(A1788),Inventory!E:E,1,0),0)=0,"X","_")</f>
        <v>_</v>
      </c>
      <c r="C1788" t="str">
        <f>IF(IFERROR(VLOOKUP(TRIM(A1788),'Full Inventory'!F:F,1,0),0)=0,"X","_")</f>
        <v>_</v>
      </c>
      <c r="D1788" t="str">
        <f t="shared" si="81"/>
        <v>X</v>
      </c>
      <c r="E1788" t="str">
        <f ca="1">IFERROR(IF(AND(B1788&amp;C1788&amp;D1788="___",INDIRECT("Inventory!A"&amp;MATCH(VLOOKUP(A1788,Inventory!E:E,1,0),Inventory!E:E,0))&lt;&gt;INDIRECT("'Full Inventory'!B"&amp;MATCH(VLOOKUP(A1788,'Full Inventory'!F:F,1,0),'Full Inventory'!F:F,0))),"X","_"),"_")</f>
        <v>_</v>
      </c>
      <c r="K1788" t="str">
        <f t="shared" ca="1" si="82"/>
        <v>__X_</v>
      </c>
      <c r="L1788" t="str">
        <f t="shared" ca="1" si="83"/>
        <v/>
      </c>
      <c r="M1788" t="str">
        <f>IFERROR(INDEX(Inventory!A:A,MATCH(Scan!A1788,Inventory!E:E,0)),"")</f>
        <v/>
      </c>
    </row>
    <row r="1789" spans="2:13" x14ac:dyDescent="0.25">
      <c r="B1789" t="str">
        <f>IF(IFERROR(VLOOKUP(TRIM(A1789),Inventory!E:E,1,0),0)=0,"X","_")</f>
        <v>_</v>
      </c>
      <c r="C1789" t="str">
        <f>IF(IFERROR(VLOOKUP(TRIM(A1789),'Full Inventory'!F:F,1,0),0)=0,"X","_")</f>
        <v>_</v>
      </c>
      <c r="D1789" t="str">
        <f t="shared" si="81"/>
        <v>X</v>
      </c>
      <c r="E1789" t="str">
        <f ca="1">IFERROR(IF(AND(B1789&amp;C1789&amp;D1789="___",INDIRECT("Inventory!A"&amp;MATCH(VLOOKUP(A1789,Inventory!E:E,1,0),Inventory!E:E,0))&lt;&gt;INDIRECT("'Full Inventory'!B"&amp;MATCH(VLOOKUP(A1789,'Full Inventory'!F:F,1,0),'Full Inventory'!F:F,0))),"X","_"),"_")</f>
        <v>_</v>
      </c>
      <c r="K1789" t="str">
        <f t="shared" ca="1" si="82"/>
        <v>__X_</v>
      </c>
      <c r="L1789" t="str">
        <f t="shared" ca="1" si="83"/>
        <v/>
      </c>
      <c r="M1789" t="str">
        <f>IFERROR(INDEX(Inventory!A:A,MATCH(Scan!A1789,Inventory!E:E,0)),"")</f>
        <v/>
      </c>
    </row>
    <row r="1790" spans="2:13" x14ac:dyDescent="0.25">
      <c r="B1790" t="str">
        <f>IF(IFERROR(VLOOKUP(TRIM(A1790),Inventory!E:E,1,0),0)=0,"X","_")</f>
        <v>_</v>
      </c>
      <c r="C1790" t="str">
        <f>IF(IFERROR(VLOOKUP(TRIM(A1790),'Full Inventory'!F:F,1,0),0)=0,"X","_")</f>
        <v>_</v>
      </c>
      <c r="D1790" t="str">
        <f t="shared" si="81"/>
        <v>X</v>
      </c>
      <c r="E1790" t="str">
        <f ca="1">IFERROR(IF(AND(B1790&amp;C1790&amp;D1790="___",INDIRECT("Inventory!A"&amp;MATCH(VLOOKUP(A1790,Inventory!E:E,1,0),Inventory!E:E,0))&lt;&gt;INDIRECT("'Full Inventory'!B"&amp;MATCH(VLOOKUP(A1790,'Full Inventory'!F:F,1,0),'Full Inventory'!F:F,0))),"X","_"),"_")</f>
        <v>_</v>
      </c>
      <c r="K1790" t="str">
        <f t="shared" ca="1" si="82"/>
        <v>__X_</v>
      </c>
      <c r="L1790" t="str">
        <f t="shared" ca="1" si="83"/>
        <v/>
      </c>
      <c r="M1790" t="str">
        <f>IFERROR(INDEX(Inventory!A:A,MATCH(Scan!A1790,Inventory!E:E,0)),"")</f>
        <v/>
      </c>
    </row>
    <row r="1791" spans="2:13" x14ac:dyDescent="0.25">
      <c r="B1791" t="str">
        <f>IF(IFERROR(VLOOKUP(TRIM(A1791),Inventory!E:E,1,0),0)=0,"X","_")</f>
        <v>_</v>
      </c>
      <c r="C1791" t="str">
        <f>IF(IFERROR(VLOOKUP(TRIM(A1791),'Full Inventory'!F:F,1,0),0)=0,"X","_")</f>
        <v>_</v>
      </c>
      <c r="D1791" t="str">
        <f t="shared" si="81"/>
        <v>X</v>
      </c>
      <c r="E1791" t="str">
        <f ca="1">IFERROR(IF(AND(B1791&amp;C1791&amp;D1791="___",INDIRECT("Inventory!A"&amp;MATCH(VLOOKUP(A1791,Inventory!E:E,1,0),Inventory!E:E,0))&lt;&gt;INDIRECT("'Full Inventory'!B"&amp;MATCH(VLOOKUP(A1791,'Full Inventory'!F:F,1,0),'Full Inventory'!F:F,0))),"X","_"),"_")</f>
        <v>_</v>
      </c>
      <c r="K1791" t="str">
        <f t="shared" ca="1" si="82"/>
        <v>__X_</v>
      </c>
      <c r="L1791" t="str">
        <f t="shared" ca="1" si="83"/>
        <v/>
      </c>
      <c r="M1791" t="str">
        <f>IFERROR(INDEX(Inventory!A:A,MATCH(Scan!A1791,Inventory!E:E,0)),"")</f>
        <v/>
      </c>
    </row>
    <row r="1792" spans="2:13" x14ac:dyDescent="0.25">
      <c r="B1792" t="str">
        <f>IF(IFERROR(VLOOKUP(TRIM(A1792),Inventory!E:E,1,0),0)=0,"X","_")</f>
        <v>_</v>
      </c>
      <c r="C1792" t="str">
        <f>IF(IFERROR(VLOOKUP(TRIM(A1792),'Full Inventory'!F:F,1,0),0)=0,"X","_")</f>
        <v>_</v>
      </c>
      <c r="D1792" t="str">
        <f t="shared" si="81"/>
        <v>X</v>
      </c>
      <c r="E1792" t="str">
        <f ca="1">IFERROR(IF(AND(B1792&amp;C1792&amp;D1792="___",INDIRECT("Inventory!A"&amp;MATCH(VLOOKUP(A1792,Inventory!E:E,1,0),Inventory!E:E,0))&lt;&gt;INDIRECT("'Full Inventory'!B"&amp;MATCH(VLOOKUP(A1792,'Full Inventory'!F:F,1,0),'Full Inventory'!F:F,0))),"X","_"),"_")</f>
        <v>_</v>
      </c>
      <c r="K1792" t="str">
        <f t="shared" ca="1" si="82"/>
        <v>__X_</v>
      </c>
      <c r="L1792" t="str">
        <f t="shared" ca="1" si="83"/>
        <v/>
      </c>
      <c r="M1792" t="str">
        <f>IFERROR(INDEX(Inventory!A:A,MATCH(Scan!A1792,Inventory!E:E,0)),"")</f>
        <v/>
      </c>
    </row>
    <row r="1793" spans="2:13" x14ac:dyDescent="0.25">
      <c r="B1793" t="str">
        <f>IF(IFERROR(VLOOKUP(TRIM(A1793),Inventory!E:E,1,0),0)=0,"X","_")</f>
        <v>_</v>
      </c>
      <c r="C1793" t="str">
        <f>IF(IFERROR(VLOOKUP(TRIM(A1793),'Full Inventory'!F:F,1,0),0)=0,"X","_")</f>
        <v>_</v>
      </c>
      <c r="D1793" t="str">
        <f t="shared" si="81"/>
        <v>X</v>
      </c>
      <c r="E1793" t="str">
        <f ca="1">IFERROR(IF(AND(B1793&amp;C1793&amp;D1793="___",INDIRECT("Inventory!A"&amp;MATCH(VLOOKUP(A1793,Inventory!E:E,1,0),Inventory!E:E,0))&lt;&gt;INDIRECT("'Full Inventory'!B"&amp;MATCH(VLOOKUP(A1793,'Full Inventory'!F:F,1,0),'Full Inventory'!F:F,0))),"X","_"),"_")</f>
        <v>_</v>
      </c>
      <c r="K1793" t="str">
        <f t="shared" ca="1" si="82"/>
        <v>__X_</v>
      </c>
      <c r="L1793" t="str">
        <f t="shared" ca="1" si="83"/>
        <v/>
      </c>
      <c r="M1793" t="str">
        <f>IFERROR(INDEX(Inventory!A:A,MATCH(Scan!A1793,Inventory!E:E,0)),"")</f>
        <v/>
      </c>
    </row>
    <row r="1794" spans="2:13" x14ac:dyDescent="0.25">
      <c r="B1794" t="str">
        <f>IF(IFERROR(VLOOKUP(TRIM(A1794),Inventory!E:E,1,0),0)=0,"X","_")</f>
        <v>_</v>
      </c>
      <c r="C1794" t="str">
        <f>IF(IFERROR(VLOOKUP(TRIM(A1794),'Full Inventory'!F:F,1,0),0)=0,"X","_")</f>
        <v>_</v>
      </c>
      <c r="D1794" t="str">
        <f t="shared" ref="D1794:D1857" si="84">IF(TRIM(A1794)&lt;&gt;"","_","X")</f>
        <v>X</v>
      </c>
      <c r="E1794" t="str">
        <f ca="1">IFERROR(IF(AND(B1794&amp;C1794&amp;D1794="___",INDIRECT("Inventory!A"&amp;MATCH(VLOOKUP(A1794,Inventory!E:E,1,0),Inventory!E:E,0))&lt;&gt;INDIRECT("'Full Inventory'!B"&amp;MATCH(VLOOKUP(A1794,'Full Inventory'!F:F,1,0),'Full Inventory'!F:F,0))),"X","_"),"_")</f>
        <v>_</v>
      </c>
      <c r="K1794" t="str">
        <f t="shared" ca="1" si="82"/>
        <v>__X_</v>
      </c>
      <c r="L1794" t="str">
        <f t="shared" ca="1" si="83"/>
        <v/>
      </c>
      <c r="M1794" t="str">
        <f>IFERROR(INDEX(Inventory!A:A,MATCH(Scan!A1794,Inventory!E:E,0)),"")</f>
        <v/>
      </c>
    </row>
    <row r="1795" spans="2:13" x14ac:dyDescent="0.25">
      <c r="B1795" t="str">
        <f>IF(IFERROR(VLOOKUP(TRIM(A1795),Inventory!E:E,1,0),0)=0,"X","_")</f>
        <v>_</v>
      </c>
      <c r="C1795" t="str">
        <f>IF(IFERROR(VLOOKUP(TRIM(A1795),'Full Inventory'!F:F,1,0),0)=0,"X","_")</f>
        <v>_</v>
      </c>
      <c r="D1795" t="str">
        <f t="shared" si="84"/>
        <v>X</v>
      </c>
      <c r="E1795" t="str">
        <f ca="1">IFERROR(IF(AND(B1795&amp;C1795&amp;D1795="___",INDIRECT("Inventory!A"&amp;MATCH(VLOOKUP(A1795,Inventory!E:E,1,0),Inventory!E:E,0))&lt;&gt;INDIRECT("'Full Inventory'!B"&amp;MATCH(VLOOKUP(A1795,'Full Inventory'!F:F,1,0),'Full Inventory'!F:F,0))),"X","_"),"_")</f>
        <v>_</v>
      </c>
      <c r="K1795" t="str">
        <f t="shared" ref="K1795:K1858" ca="1" si="85">B1795&amp;C1795&amp;D1795&amp;E1795</f>
        <v>__X_</v>
      </c>
      <c r="L1795" t="str">
        <f t="shared" ref="L1795:L1858" ca="1" si="86">IF(K1795="____","OK",IF(K1795="_X__","NOT IN FULL INVENTORY",IF(K1795="XX__","NOT IN FULL INVENTORY AND INVENTORY",IF(K1795="X___","NOT IN INVENTORY",IF(K1795="___X","DIFFERENT NAMES IN FULL INVENTORY AND INVENTORY","")))))</f>
        <v/>
      </c>
      <c r="M1795" t="str">
        <f>IFERROR(INDEX(Inventory!A:A,MATCH(Scan!A1795,Inventory!E:E,0)),"")</f>
        <v/>
      </c>
    </row>
    <row r="1796" spans="2:13" x14ac:dyDescent="0.25">
      <c r="B1796" t="str">
        <f>IF(IFERROR(VLOOKUP(TRIM(A1796),Inventory!E:E,1,0),0)=0,"X","_")</f>
        <v>_</v>
      </c>
      <c r="C1796" t="str">
        <f>IF(IFERROR(VLOOKUP(TRIM(A1796),'Full Inventory'!F:F,1,0),0)=0,"X","_")</f>
        <v>_</v>
      </c>
      <c r="D1796" t="str">
        <f t="shared" si="84"/>
        <v>X</v>
      </c>
      <c r="E1796" t="str">
        <f ca="1">IFERROR(IF(AND(B1796&amp;C1796&amp;D1796="___",INDIRECT("Inventory!A"&amp;MATCH(VLOOKUP(A1796,Inventory!E:E,1,0),Inventory!E:E,0))&lt;&gt;INDIRECT("'Full Inventory'!B"&amp;MATCH(VLOOKUP(A1796,'Full Inventory'!F:F,1,0),'Full Inventory'!F:F,0))),"X","_"),"_")</f>
        <v>_</v>
      </c>
      <c r="K1796" t="str">
        <f t="shared" ca="1" si="85"/>
        <v>__X_</v>
      </c>
      <c r="L1796" t="str">
        <f t="shared" ca="1" si="86"/>
        <v/>
      </c>
      <c r="M1796" t="str">
        <f>IFERROR(INDEX(Inventory!A:A,MATCH(Scan!A1796,Inventory!E:E,0)),"")</f>
        <v/>
      </c>
    </row>
    <row r="1797" spans="2:13" x14ac:dyDescent="0.25">
      <c r="B1797" t="str">
        <f>IF(IFERROR(VLOOKUP(TRIM(A1797),Inventory!E:E,1,0),0)=0,"X","_")</f>
        <v>_</v>
      </c>
      <c r="C1797" t="str">
        <f>IF(IFERROR(VLOOKUP(TRIM(A1797),'Full Inventory'!F:F,1,0),0)=0,"X","_")</f>
        <v>_</v>
      </c>
      <c r="D1797" t="str">
        <f t="shared" si="84"/>
        <v>X</v>
      </c>
      <c r="E1797" t="str">
        <f ca="1">IFERROR(IF(AND(B1797&amp;C1797&amp;D1797="___",INDIRECT("Inventory!A"&amp;MATCH(VLOOKUP(A1797,Inventory!E:E,1,0),Inventory!E:E,0))&lt;&gt;INDIRECT("'Full Inventory'!B"&amp;MATCH(VLOOKUP(A1797,'Full Inventory'!F:F,1,0),'Full Inventory'!F:F,0))),"X","_"),"_")</f>
        <v>_</v>
      </c>
      <c r="K1797" t="str">
        <f t="shared" ca="1" si="85"/>
        <v>__X_</v>
      </c>
      <c r="L1797" t="str">
        <f t="shared" ca="1" si="86"/>
        <v/>
      </c>
      <c r="M1797" t="str">
        <f>IFERROR(INDEX(Inventory!A:A,MATCH(Scan!A1797,Inventory!E:E,0)),"")</f>
        <v/>
      </c>
    </row>
    <row r="1798" spans="2:13" x14ac:dyDescent="0.25">
      <c r="B1798" t="str">
        <f>IF(IFERROR(VLOOKUP(TRIM(A1798),Inventory!E:E,1,0),0)=0,"X","_")</f>
        <v>_</v>
      </c>
      <c r="C1798" t="str">
        <f>IF(IFERROR(VLOOKUP(TRIM(A1798),'Full Inventory'!F:F,1,0),0)=0,"X","_")</f>
        <v>_</v>
      </c>
      <c r="D1798" t="str">
        <f t="shared" si="84"/>
        <v>X</v>
      </c>
      <c r="E1798" t="str">
        <f ca="1">IFERROR(IF(AND(B1798&amp;C1798&amp;D1798="___",INDIRECT("Inventory!A"&amp;MATCH(VLOOKUP(A1798,Inventory!E:E,1,0),Inventory!E:E,0))&lt;&gt;INDIRECT("'Full Inventory'!B"&amp;MATCH(VLOOKUP(A1798,'Full Inventory'!F:F,1,0),'Full Inventory'!F:F,0))),"X","_"),"_")</f>
        <v>_</v>
      </c>
      <c r="K1798" t="str">
        <f t="shared" ca="1" si="85"/>
        <v>__X_</v>
      </c>
      <c r="L1798" t="str">
        <f t="shared" ca="1" si="86"/>
        <v/>
      </c>
      <c r="M1798" t="str">
        <f>IFERROR(INDEX(Inventory!A:A,MATCH(Scan!A1798,Inventory!E:E,0)),"")</f>
        <v/>
      </c>
    </row>
    <row r="1799" spans="2:13" x14ac:dyDescent="0.25">
      <c r="B1799" t="str">
        <f>IF(IFERROR(VLOOKUP(TRIM(A1799),Inventory!E:E,1,0),0)=0,"X","_")</f>
        <v>_</v>
      </c>
      <c r="C1799" t="str">
        <f>IF(IFERROR(VLOOKUP(TRIM(A1799),'Full Inventory'!F:F,1,0),0)=0,"X","_")</f>
        <v>_</v>
      </c>
      <c r="D1799" t="str">
        <f t="shared" si="84"/>
        <v>X</v>
      </c>
      <c r="E1799" t="str">
        <f ca="1">IFERROR(IF(AND(B1799&amp;C1799&amp;D1799="___",INDIRECT("Inventory!A"&amp;MATCH(VLOOKUP(A1799,Inventory!E:E,1,0),Inventory!E:E,0))&lt;&gt;INDIRECT("'Full Inventory'!B"&amp;MATCH(VLOOKUP(A1799,'Full Inventory'!F:F,1,0),'Full Inventory'!F:F,0))),"X","_"),"_")</f>
        <v>_</v>
      </c>
      <c r="K1799" t="str">
        <f t="shared" ca="1" si="85"/>
        <v>__X_</v>
      </c>
      <c r="L1799" t="str">
        <f t="shared" ca="1" si="86"/>
        <v/>
      </c>
      <c r="M1799" t="str">
        <f>IFERROR(INDEX(Inventory!A:A,MATCH(Scan!A1799,Inventory!E:E,0)),"")</f>
        <v/>
      </c>
    </row>
    <row r="1800" spans="2:13" x14ac:dyDescent="0.25">
      <c r="B1800" t="str">
        <f>IF(IFERROR(VLOOKUP(TRIM(A1800),Inventory!E:E,1,0),0)=0,"X","_")</f>
        <v>_</v>
      </c>
      <c r="C1800" t="str">
        <f>IF(IFERROR(VLOOKUP(TRIM(A1800),'Full Inventory'!F:F,1,0),0)=0,"X","_")</f>
        <v>_</v>
      </c>
      <c r="D1800" t="str">
        <f t="shared" si="84"/>
        <v>X</v>
      </c>
      <c r="E1800" t="str">
        <f ca="1">IFERROR(IF(AND(B1800&amp;C1800&amp;D1800="___",INDIRECT("Inventory!A"&amp;MATCH(VLOOKUP(A1800,Inventory!E:E,1,0),Inventory!E:E,0))&lt;&gt;INDIRECT("'Full Inventory'!B"&amp;MATCH(VLOOKUP(A1800,'Full Inventory'!F:F,1,0),'Full Inventory'!F:F,0))),"X","_"),"_")</f>
        <v>_</v>
      </c>
      <c r="K1800" t="str">
        <f t="shared" ca="1" si="85"/>
        <v>__X_</v>
      </c>
      <c r="L1800" t="str">
        <f t="shared" ca="1" si="86"/>
        <v/>
      </c>
      <c r="M1800" t="str">
        <f>IFERROR(INDEX(Inventory!A:A,MATCH(Scan!A1800,Inventory!E:E,0)),"")</f>
        <v/>
      </c>
    </row>
    <row r="1801" spans="2:13" x14ac:dyDescent="0.25">
      <c r="B1801" t="str">
        <f>IF(IFERROR(VLOOKUP(TRIM(A1801),Inventory!E:E,1,0),0)=0,"X","_")</f>
        <v>_</v>
      </c>
      <c r="C1801" t="str">
        <f>IF(IFERROR(VLOOKUP(TRIM(A1801),'Full Inventory'!F:F,1,0),0)=0,"X","_")</f>
        <v>_</v>
      </c>
      <c r="D1801" t="str">
        <f t="shared" si="84"/>
        <v>X</v>
      </c>
      <c r="E1801" t="str">
        <f ca="1">IFERROR(IF(AND(B1801&amp;C1801&amp;D1801="___",INDIRECT("Inventory!A"&amp;MATCH(VLOOKUP(A1801,Inventory!E:E,1,0),Inventory!E:E,0))&lt;&gt;INDIRECT("'Full Inventory'!B"&amp;MATCH(VLOOKUP(A1801,'Full Inventory'!F:F,1,0),'Full Inventory'!F:F,0))),"X","_"),"_")</f>
        <v>_</v>
      </c>
      <c r="K1801" t="str">
        <f t="shared" ca="1" si="85"/>
        <v>__X_</v>
      </c>
      <c r="L1801" t="str">
        <f t="shared" ca="1" si="86"/>
        <v/>
      </c>
      <c r="M1801" t="str">
        <f>IFERROR(INDEX(Inventory!A:A,MATCH(Scan!A1801,Inventory!E:E,0)),"")</f>
        <v/>
      </c>
    </row>
    <row r="1802" spans="2:13" x14ac:dyDescent="0.25">
      <c r="B1802" t="str">
        <f>IF(IFERROR(VLOOKUP(TRIM(A1802),Inventory!E:E,1,0),0)=0,"X","_")</f>
        <v>_</v>
      </c>
      <c r="C1802" t="str">
        <f>IF(IFERROR(VLOOKUP(TRIM(A1802),'Full Inventory'!F:F,1,0),0)=0,"X","_")</f>
        <v>_</v>
      </c>
      <c r="D1802" t="str">
        <f t="shared" si="84"/>
        <v>X</v>
      </c>
      <c r="E1802" t="str">
        <f ca="1">IFERROR(IF(AND(B1802&amp;C1802&amp;D1802="___",INDIRECT("Inventory!A"&amp;MATCH(VLOOKUP(A1802,Inventory!E:E,1,0),Inventory!E:E,0))&lt;&gt;INDIRECT("'Full Inventory'!B"&amp;MATCH(VLOOKUP(A1802,'Full Inventory'!F:F,1,0),'Full Inventory'!F:F,0))),"X","_"),"_")</f>
        <v>_</v>
      </c>
      <c r="K1802" t="str">
        <f t="shared" ca="1" si="85"/>
        <v>__X_</v>
      </c>
      <c r="L1802" t="str">
        <f t="shared" ca="1" si="86"/>
        <v/>
      </c>
      <c r="M1802" t="str">
        <f>IFERROR(INDEX(Inventory!A:A,MATCH(Scan!A1802,Inventory!E:E,0)),"")</f>
        <v/>
      </c>
    </row>
    <row r="1803" spans="2:13" x14ac:dyDescent="0.25">
      <c r="B1803" t="str">
        <f>IF(IFERROR(VLOOKUP(TRIM(A1803),Inventory!E:E,1,0),0)=0,"X","_")</f>
        <v>_</v>
      </c>
      <c r="C1803" t="str">
        <f>IF(IFERROR(VLOOKUP(TRIM(A1803),'Full Inventory'!F:F,1,0),0)=0,"X","_")</f>
        <v>_</v>
      </c>
      <c r="D1803" t="str">
        <f t="shared" si="84"/>
        <v>X</v>
      </c>
      <c r="E1803" t="str">
        <f ca="1">IFERROR(IF(AND(B1803&amp;C1803&amp;D1803="___",INDIRECT("Inventory!A"&amp;MATCH(VLOOKUP(A1803,Inventory!E:E,1,0),Inventory!E:E,0))&lt;&gt;INDIRECT("'Full Inventory'!B"&amp;MATCH(VLOOKUP(A1803,'Full Inventory'!F:F,1,0),'Full Inventory'!F:F,0))),"X","_"),"_")</f>
        <v>_</v>
      </c>
      <c r="K1803" t="str">
        <f t="shared" ca="1" si="85"/>
        <v>__X_</v>
      </c>
      <c r="L1803" t="str">
        <f t="shared" ca="1" si="86"/>
        <v/>
      </c>
      <c r="M1803" t="str">
        <f>IFERROR(INDEX(Inventory!A:A,MATCH(Scan!A1803,Inventory!E:E,0)),"")</f>
        <v/>
      </c>
    </row>
    <row r="1804" spans="2:13" x14ac:dyDescent="0.25">
      <c r="B1804" t="str">
        <f>IF(IFERROR(VLOOKUP(TRIM(A1804),Inventory!E:E,1,0),0)=0,"X","_")</f>
        <v>_</v>
      </c>
      <c r="C1804" t="str">
        <f>IF(IFERROR(VLOOKUP(TRIM(A1804),'Full Inventory'!F:F,1,0),0)=0,"X","_")</f>
        <v>_</v>
      </c>
      <c r="D1804" t="str">
        <f t="shared" si="84"/>
        <v>X</v>
      </c>
      <c r="E1804" t="str">
        <f ca="1">IFERROR(IF(AND(B1804&amp;C1804&amp;D1804="___",INDIRECT("Inventory!A"&amp;MATCH(VLOOKUP(A1804,Inventory!E:E,1,0),Inventory!E:E,0))&lt;&gt;INDIRECT("'Full Inventory'!B"&amp;MATCH(VLOOKUP(A1804,'Full Inventory'!F:F,1,0),'Full Inventory'!F:F,0))),"X","_"),"_")</f>
        <v>_</v>
      </c>
      <c r="K1804" t="str">
        <f t="shared" ca="1" si="85"/>
        <v>__X_</v>
      </c>
      <c r="L1804" t="str">
        <f t="shared" ca="1" si="86"/>
        <v/>
      </c>
      <c r="M1804" t="str">
        <f>IFERROR(INDEX(Inventory!A:A,MATCH(Scan!A1804,Inventory!E:E,0)),"")</f>
        <v/>
      </c>
    </row>
    <row r="1805" spans="2:13" x14ac:dyDescent="0.25">
      <c r="B1805" t="str">
        <f>IF(IFERROR(VLOOKUP(TRIM(A1805),Inventory!E:E,1,0),0)=0,"X","_")</f>
        <v>_</v>
      </c>
      <c r="C1805" t="str">
        <f>IF(IFERROR(VLOOKUP(TRIM(A1805),'Full Inventory'!F:F,1,0),0)=0,"X","_")</f>
        <v>_</v>
      </c>
      <c r="D1805" t="str">
        <f t="shared" si="84"/>
        <v>X</v>
      </c>
      <c r="E1805" t="str">
        <f ca="1">IFERROR(IF(AND(B1805&amp;C1805&amp;D1805="___",INDIRECT("Inventory!A"&amp;MATCH(VLOOKUP(A1805,Inventory!E:E,1,0),Inventory!E:E,0))&lt;&gt;INDIRECT("'Full Inventory'!B"&amp;MATCH(VLOOKUP(A1805,'Full Inventory'!F:F,1,0),'Full Inventory'!F:F,0))),"X","_"),"_")</f>
        <v>_</v>
      </c>
      <c r="K1805" t="str">
        <f t="shared" ca="1" si="85"/>
        <v>__X_</v>
      </c>
      <c r="L1805" t="str">
        <f t="shared" ca="1" si="86"/>
        <v/>
      </c>
      <c r="M1805" t="str">
        <f>IFERROR(INDEX(Inventory!A:A,MATCH(Scan!A1805,Inventory!E:E,0)),"")</f>
        <v/>
      </c>
    </row>
    <row r="1806" spans="2:13" x14ac:dyDescent="0.25">
      <c r="B1806" t="str">
        <f>IF(IFERROR(VLOOKUP(TRIM(A1806),Inventory!E:E,1,0),0)=0,"X","_")</f>
        <v>_</v>
      </c>
      <c r="C1806" t="str">
        <f>IF(IFERROR(VLOOKUP(TRIM(A1806),'Full Inventory'!F:F,1,0),0)=0,"X","_")</f>
        <v>_</v>
      </c>
      <c r="D1806" t="str">
        <f t="shared" si="84"/>
        <v>X</v>
      </c>
      <c r="E1806" t="str">
        <f ca="1">IFERROR(IF(AND(B1806&amp;C1806&amp;D1806="___",INDIRECT("Inventory!A"&amp;MATCH(VLOOKUP(A1806,Inventory!E:E,1,0),Inventory!E:E,0))&lt;&gt;INDIRECT("'Full Inventory'!B"&amp;MATCH(VLOOKUP(A1806,'Full Inventory'!F:F,1,0),'Full Inventory'!F:F,0))),"X","_"),"_")</f>
        <v>_</v>
      </c>
      <c r="K1806" t="str">
        <f t="shared" ca="1" si="85"/>
        <v>__X_</v>
      </c>
      <c r="L1806" t="str">
        <f t="shared" ca="1" si="86"/>
        <v/>
      </c>
      <c r="M1806" t="str">
        <f>IFERROR(INDEX(Inventory!A:A,MATCH(Scan!A1806,Inventory!E:E,0)),"")</f>
        <v/>
      </c>
    </row>
    <row r="1807" spans="2:13" x14ac:dyDescent="0.25">
      <c r="B1807" t="str">
        <f>IF(IFERROR(VLOOKUP(TRIM(A1807),Inventory!E:E,1,0),0)=0,"X","_")</f>
        <v>_</v>
      </c>
      <c r="C1807" t="str">
        <f>IF(IFERROR(VLOOKUP(TRIM(A1807),'Full Inventory'!F:F,1,0),0)=0,"X","_")</f>
        <v>_</v>
      </c>
      <c r="D1807" t="str">
        <f t="shared" si="84"/>
        <v>X</v>
      </c>
      <c r="E1807" t="str">
        <f ca="1">IFERROR(IF(AND(B1807&amp;C1807&amp;D1807="___",INDIRECT("Inventory!A"&amp;MATCH(VLOOKUP(A1807,Inventory!E:E,1,0),Inventory!E:E,0))&lt;&gt;INDIRECT("'Full Inventory'!B"&amp;MATCH(VLOOKUP(A1807,'Full Inventory'!F:F,1,0),'Full Inventory'!F:F,0))),"X","_"),"_")</f>
        <v>_</v>
      </c>
      <c r="K1807" t="str">
        <f t="shared" ca="1" si="85"/>
        <v>__X_</v>
      </c>
      <c r="L1807" t="str">
        <f t="shared" ca="1" si="86"/>
        <v/>
      </c>
      <c r="M1807" t="str">
        <f>IFERROR(INDEX(Inventory!A:A,MATCH(Scan!A1807,Inventory!E:E,0)),"")</f>
        <v/>
      </c>
    </row>
    <row r="1808" spans="2:13" x14ac:dyDescent="0.25">
      <c r="B1808" t="str">
        <f>IF(IFERROR(VLOOKUP(TRIM(A1808),Inventory!E:E,1,0),0)=0,"X","_")</f>
        <v>_</v>
      </c>
      <c r="C1808" t="str">
        <f>IF(IFERROR(VLOOKUP(TRIM(A1808),'Full Inventory'!F:F,1,0),0)=0,"X","_")</f>
        <v>_</v>
      </c>
      <c r="D1808" t="str">
        <f t="shared" si="84"/>
        <v>X</v>
      </c>
      <c r="E1808" t="str">
        <f ca="1">IFERROR(IF(AND(B1808&amp;C1808&amp;D1808="___",INDIRECT("Inventory!A"&amp;MATCH(VLOOKUP(A1808,Inventory!E:E,1,0),Inventory!E:E,0))&lt;&gt;INDIRECT("'Full Inventory'!B"&amp;MATCH(VLOOKUP(A1808,'Full Inventory'!F:F,1,0),'Full Inventory'!F:F,0))),"X","_"),"_")</f>
        <v>_</v>
      </c>
      <c r="K1808" t="str">
        <f t="shared" ca="1" si="85"/>
        <v>__X_</v>
      </c>
      <c r="L1808" t="str">
        <f t="shared" ca="1" si="86"/>
        <v/>
      </c>
      <c r="M1808" t="str">
        <f>IFERROR(INDEX(Inventory!A:A,MATCH(Scan!A1808,Inventory!E:E,0)),"")</f>
        <v/>
      </c>
    </row>
    <row r="1809" spans="2:13" x14ac:dyDescent="0.25">
      <c r="B1809" t="str">
        <f>IF(IFERROR(VLOOKUP(TRIM(A1809),Inventory!E:E,1,0),0)=0,"X","_")</f>
        <v>_</v>
      </c>
      <c r="C1809" t="str">
        <f>IF(IFERROR(VLOOKUP(TRIM(A1809),'Full Inventory'!F:F,1,0),0)=0,"X","_")</f>
        <v>_</v>
      </c>
      <c r="D1809" t="str">
        <f t="shared" si="84"/>
        <v>X</v>
      </c>
      <c r="E1809" t="str">
        <f ca="1">IFERROR(IF(AND(B1809&amp;C1809&amp;D1809="___",INDIRECT("Inventory!A"&amp;MATCH(VLOOKUP(A1809,Inventory!E:E,1,0),Inventory!E:E,0))&lt;&gt;INDIRECT("'Full Inventory'!B"&amp;MATCH(VLOOKUP(A1809,'Full Inventory'!F:F,1,0),'Full Inventory'!F:F,0))),"X","_"),"_")</f>
        <v>_</v>
      </c>
      <c r="K1809" t="str">
        <f t="shared" ca="1" si="85"/>
        <v>__X_</v>
      </c>
      <c r="L1809" t="str">
        <f t="shared" ca="1" si="86"/>
        <v/>
      </c>
      <c r="M1809" t="str">
        <f>IFERROR(INDEX(Inventory!A:A,MATCH(Scan!A1809,Inventory!E:E,0)),"")</f>
        <v/>
      </c>
    </row>
    <row r="1810" spans="2:13" x14ac:dyDescent="0.25">
      <c r="B1810" t="str">
        <f>IF(IFERROR(VLOOKUP(TRIM(A1810),Inventory!E:E,1,0),0)=0,"X","_")</f>
        <v>_</v>
      </c>
      <c r="C1810" t="str">
        <f>IF(IFERROR(VLOOKUP(TRIM(A1810),'Full Inventory'!F:F,1,0),0)=0,"X","_")</f>
        <v>_</v>
      </c>
      <c r="D1810" t="str">
        <f t="shared" si="84"/>
        <v>X</v>
      </c>
      <c r="E1810" t="str">
        <f ca="1">IFERROR(IF(AND(B1810&amp;C1810&amp;D1810="___",INDIRECT("Inventory!A"&amp;MATCH(VLOOKUP(A1810,Inventory!E:E,1,0),Inventory!E:E,0))&lt;&gt;INDIRECT("'Full Inventory'!B"&amp;MATCH(VLOOKUP(A1810,'Full Inventory'!F:F,1,0),'Full Inventory'!F:F,0))),"X","_"),"_")</f>
        <v>_</v>
      </c>
      <c r="K1810" t="str">
        <f t="shared" ca="1" si="85"/>
        <v>__X_</v>
      </c>
      <c r="L1810" t="str">
        <f t="shared" ca="1" si="86"/>
        <v/>
      </c>
      <c r="M1810" t="str">
        <f>IFERROR(INDEX(Inventory!A:A,MATCH(Scan!A1810,Inventory!E:E,0)),"")</f>
        <v/>
      </c>
    </row>
    <row r="1811" spans="2:13" x14ac:dyDescent="0.25">
      <c r="B1811" t="str">
        <f>IF(IFERROR(VLOOKUP(TRIM(A1811),Inventory!E:E,1,0),0)=0,"X","_")</f>
        <v>_</v>
      </c>
      <c r="C1811" t="str">
        <f>IF(IFERROR(VLOOKUP(TRIM(A1811),'Full Inventory'!F:F,1,0),0)=0,"X","_")</f>
        <v>_</v>
      </c>
      <c r="D1811" t="str">
        <f t="shared" si="84"/>
        <v>X</v>
      </c>
      <c r="E1811" t="str">
        <f ca="1">IFERROR(IF(AND(B1811&amp;C1811&amp;D1811="___",INDIRECT("Inventory!A"&amp;MATCH(VLOOKUP(A1811,Inventory!E:E,1,0),Inventory!E:E,0))&lt;&gt;INDIRECT("'Full Inventory'!B"&amp;MATCH(VLOOKUP(A1811,'Full Inventory'!F:F,1,0),'Full Inventory'!F:F,0))),"X","_"),"_")</f>
        <v>_</v>
      </c>
      <c r="K1811" t="str">
        <f t="shared" ca="1" si="85"/>
        <v>__X_</v>
      </c>
      <c r="L1811" t="str">
        <f t="shared" ca="1" si="86"/>
        <v/>
      </c>
      <c r="M1811" t="str">
        <f>IFERROR(INDEX(Inventory!A:A,MATCH(Scan!A1811,Inventory!E:E,0)),"")</f>
        <v/>
      </c>
    </row>
    <row r="1812" spans="2:13" x14ac:dyDescent="0.25">
      <c r="B1812" t="str">
        <f>IF(IFERROR(VLOOKUP(TRIM(A1812),Inventory!E:E,1,0),0)=0,"X","_")</f>
        <v>_</v>
      </c>
      <c r="C1812" t="str">
        <f>IF(IFERROR(VLOOKUP(TRIM(A1812),'Full Inventory'!F:F,1,0),0)=0,"X","_")</f>
        <v>_</v>
      </c>
      <c r="D1812" t="str">
        <f t="shared" si="84"/>
        <v>X</v>
      </c>
      <c r="E1812" t="str">
        <f ca="1">IFERROR(IF(AND(B1812&amp;C1812&amp;D1812="___",INDIRECT("Inventory!A"&amp;MATCH(VLOOKUP(A1812,Inventory!E:E,1,0),Inventory!E:E,0))&lt;&gt;INDIRECT("'Full Inventory'!B"&amp;MATCH(VLOOKUP(A1812,'Full Inventory'!F:F,1,0),'Full Inventory'!F:F,0))),"X","_"),"_")</f>
        <v>_</v>
      </c>
      <c r="K1812" t="str">
        <f t="shared" ca="1" si="85"/>
        <v>__X_</v>
      </c>
      <c r="L1812" t="str">
        <f t="shared" ca="1" si="86"/>
        <v/>
      </c>
      <c r="M1812" t="str">
        <f>IFERROR(INDEX(Inventory!A:A,MATCH(Scan!A1812,Inventory!E:E,0)),"")</f>
        <v/>
      </c>
    </row>
    <row r="1813" spans="2:13" x14ac:dyDescent="0.25">
      <c r="B1813" t="str">
        <f>IF(IFERROR(VLOOKUP(TRIM(A1813),Inventory!E:E,1,0),0)=0,"X","_")</f>
        <v>_</v>
      </c>
      <c r="C1813" t="str">
        <f>IF(IFERROR(VLOOKUP(TRIM(A1813),'Full Inventory'!F:F,1,0),0)=0,"X","_")</f>
        <v>_</v>
      </c>
      <c r="D1813" t="str">
        <f t="shared" si="84"/>
        <v>X</v>
      </c>
      <c r="E1813" t="str">
        <f ca="1">IFERROR(IF(AND(B1813&amp;C1813&amp;D1813="___",INDIRECT("Inventory!A"&amp;MATCH(VLOOKUP(A1813,Inventory!E:E,1,0),Inventory!E:E,0))&lt;&gt;INDIRECT("'Full Inventory'!B"&amp;MATCH(VLOOKUP(A1813,'Full Inventory'!F:F,1,0),'Full Inventory'!F:F,0))),"X","_"),"_")</f>
        <v>_</v>
      </c>
      <c r="K1813" t="str">
        <f t="shared" ca="1" si="85"/>
        <v>__X_</v>
      </c>
      <c r="L1813" t="str">
        <f t="shared" ca="1" si="86"/>
        <v/>
      </c>
      <c r="M1813" t="str">
        <f>IFERROR(INDEX(Inventory!A:A,MATCH(Scan!A1813,Inventory!E:E,0)),"")</f>
        <v/>
      </c>
    </row>
    <row r="1814" spans="2:13" x14ac:dyDescent="0.25">
      <c r="B1814" t="str">
        <f>IF(IFERROR(VLOOKUP(TRIM(A1814),Inventory!E:E,1,0),0)=0,"X","_")</f>
        <v>_</v>
      </c>
      <c r="C1814" t="str">
        <f>IF(IFERROR(VLOOKUP(TRIM(A1814),'Full Inventory'!F:F,1,0),0)=0,"X","_")</f>
        <v>_</v>
      </c>
      <c r="D1814" t="str">
        <f t="shared" si="84"/>
        <v>X</v>
      </c>
      <c r="E1814" t="str">
        <f ca="1">IFERROR(IF(AND(B1814&amp;C1814&amp;D1814="___",INDIRECT("Inventory!A"&amp;MATCH(VLOOKUP(A1814,Inventory!E:E,1,0),Inventory!E:E,0))&lt;&gt;INDIRECT("'Full Inventory'!B"&amp;MATCH(VLOOKUP(A1814,'Full Inventory'!F:F,1,0),'Full Inventory'!F:F,0))),"X","_"),"_")</f>
        <v>_</v>
      </c>
      <c r="K1814" t="str">
        <f t="shared" ca="1" si="85"/>
        <v>__X_</v>
      </c>
      <c r="L1814" t="str">
        <f t="shared" ca="1" si="86"/>
        <v/>
      </c>
      <c r="M1814" t="str">
        <f>IFERROR(INDEX(Inventory!A:A,MATCH(Scan!A1814,Inventory!E:E,0)),"")</f>
        <v/>
      </c>
    </row>
    <row r="1815" spans="2:13" x14ac:dyDescent="0.25">
      <c r="B1815" t="str">
        <f>IF(IFERROR(VLOOKUP(TRIM(A1815),Inventory!E:E,1,0),0)=0,"X","_")</f>
        <v>_</v>
      </c>
      <c r="C1815" t="str">
        <f>IF(IFERROR(VLOOKUP(TRIM(A1815),'Full Inventory'!F:F,1,0),0)=0,"X","_")</f>
        <v>_</v>
      </c>
      <c r="D1815" t="str">
        <f t="shared" si="84"/>
        <v>X</v>
      </c>
      <c r="E1815" t="str">
        <f ca="1">IFERROR(IF(AND(B1815&amp;C1815&amp;D1815="___",INDIRECT("Inventory!A"&amp;MATCH(VLOOKUP(A1815,Inventory!E:E,1,0),Inventory!E:E,0))&lt;&gt;INDIRECT("'Full Inventory'!B"&amp;MATCH(VLOOKUP(A1815,'Full Inventory'!F:F,1,0),'Full Inventory'!F:F,0))),"X","_"),"_")</f>
        <v>_</v>
      </c>
      <c r="K1815" t="str">
        <f t="shared" ca="1" si="85"/>
        <v>__X_</v>
      </c>
      <c r="L1815" t="str">
        <f t="shared" ca="1" si="86"/>
        <v/>
      </c>
      <c r="M1815" t="str">
        <f>IFERROR(INDEX(Inventory!A:A,MATCH(Scan!A1815,Inventory!E:E,0)),"")</f>
        <v/>
      </c>
    </row>
    <row r="1816" spans="2:13" x14ac:dyDescent="0.25">
      <c r="B1816" t="str">
        <f>IF(IFERROR(VLOOKUP(TRIM(A1816),Inventory!E:E,1,0),0)=0,"X","_")</f>
        <v>_</v>
      </c>
      <c r="C1816" t="str">
        <f>IF(IFERROR(VLOOKUP(TRIM(A1816),'Full Inventory'!F:F,1,0),0)=0,"X","_")</f>
        <v>_</v>
      </c>
      <c r="D1816" t="str">
        <f t="shared" si="84"/>
        <v>X</v>
      </c>
      <c r="E1816" t="str">
        <f ca="1">IFERROR(IF(AND(B1816&amp;C1816&amp;D1816="___",INDIRECT("Inventory!A"&amp;MATCH(VLOOKUP(A1816,Inventory!E:E,1,0),Inventory!E:E,0))&lt;&gt;INDIRECT("'Full Inventory'!B"&amp;MATCH(VLOOKUP(A1816,'Full Inventory'!F:F,1,0),'Full Inventory'!F:F,0))),"X","_"),"_")</f>
        <v>_</v>
      </c>
      <c r="K1816" t="str">
        <f t="shared" ca="1" si="85"/>
        <v>__X_</v>
      </c>
      <c r="L1816" t="str">
        <f t="shared" ca="1" si="86"/>
        <v/>
      </c>
      <c r="M1816" t="str">
        <f>IFERROR(INDEX(Inventory!A:A,MATCH(Scan!A1816,Inventory!E:E,0)),"")</f>
        <v/>
      </c>
    </row>
    <row r="1817" spans="2:13" x14ac:dyDescent="0.25">
      <c r="B1817" t="str">
        <f>IF(IFERROR(VLOOKUP(TRIM(A1817),Inventory!E:E,1,0),0)=0,"X","_")</f>
        <v>_</v>
      </c>
      <c r="C1817" t="str">
        <f>IF(IFERROR(VLOOKUP(TRIM(A1817),'Full Inventory'!F:F,1,0),0)=0,"X","_")</f>
        <v>_</v>
      </c>
      <c r="D1817" t="str">
        <f t="shared" si="84"/>
        <v>X</v>
      </c>
      <c r="E1817" t="str">
        <f ca="1">IFERROR(IF(AND(B1817&amp;C1817&amp;D1817="___",INDIRECT("Inventory!A"&amp;MATCH(VLOOKUP(A1817,Inventory!E:E,1,0),Inventory!E:E,0))&lt;&gt;INDIRECT("'Full Inventory'!B"&amp;MATCH(VLOOKUP(A1817,'Full Inventory'!F:F,1,0),'Full Inventory'!F:F,0))),"X","_"),"_")</f>
        <v>_</v>
      </c>
      <c r="K1817" t="str">
        <f t="shared" ca="1" si="85"/>
        <v>__X_</v>
      </c>
      <c r="L1817" t="str">
        <f t="shared" ca="1" si="86"/>
        <v/>
      </c>
      <c r="M1817" t="str">
        <f>IFERROR(INDEX(Inventory!A:A,MATCH(Scan!A1817,Inventory!E:E,0)),"")</f>
        <v/>
      </c>
    </row>
    <row r="1818" spans="2:13" x14ac:dyDescent="0.25">
      <c r="B1818" t="str">
        <f>IF(IFERROR(VLOOKUP(TRIM(A1818),Inventory!E:E,1,0),0)=0,"X","_")</f>
        <v>_</v>
      </c>
      <c r="C1818" t="str">
        <f>IF(IFERROR(VLOOKUP(TRIM(A1818),'Full Inventory'!F:F,1,0),0)=0,"X","_")</f>
        <v>_</v>
      </c>
      <c r="D1818" t="str">
        <f t="shared" si="84"/>
        <v>X</v>
      </c>
      <c r="E1818" t="str">
        <f ca="1">IFERROR(IF(AND(B1818&amp;C1818&amp;D1818="___",INDIRECT("Inventory!A"&amp;MATCH(VLOOKUP(A1818,Inventory!E:E,1,0),Inventory!E:E,0))&lt;&gt;INDIRECT("'Full Inventory'!B"&amp;MATCH(VLOOKUP(A1818,'Full Inventory'!F:F,1,0),'Full Inventory'!F:F,0))),"X","_"),"_")</f>
        <v>_</v>
      </c>
      <c r="K1818" t="str">
        <f t="shared" ca="1" si="85"/>
        <v>__X_</v>
      </c>
      <c r="L1818" t="str">
        <f t="shared" ca="1" si="86"/>
        <v/>
      </c>
      <c r="M1818" t="str">
        <f>IFERROR(INDEX(Inventory!A:A,MATCH(Scan!A1818,Inventory!E:E,0)),"")</f>
        <v/>
      </c>
    </row>
    <row r="1819" spans="2:13" x14ac:dyDescent="0.25">
      <c r="B1819" t="str">
        <f>IF(IFERROR(VLOOKUP(TRIM(A1819),Inventory!E:E,1,0),0)=0,"X","_")</f>
        <v>_</v>
      </c>
      <c r="C1819" t="str">
        <f>IF(IFERROR(VLOOKUP(TRIM(A1819),'Full Inventory'!F:F,1,0),0)=0,"X","_")</f>
        <v>_</v>
      </c>
      <c r="D1819" t="str">
        <f t="shared" si="84"/>
        <v>X</v>
      </c>
      <c r="E1819" t="str">
        <f ca="1">IFERROR(IF(AND(B1819&amp;C1819&amp;D1819="___",INDIRECT("Inventory!A"&amp;MATCH(VLOOKUP(A1819,Inventory!E:E,1,0),Inventory!E:E,0))&lt;&gt;INDIRECT("'Full Inventory'!B"&amp;MATCH(VLOOKUP(A1819,'Full Inventory'!F:F,1,0),'Full Inventory'!F:F,0))),"X","_"),"_")</f>
        <v>_</v>
      </c>
      <c r="K1819" t="str">
        <f t="shared" ca="1" si="85"/>
        <v>__X_</v>
      </c>
      <c r="L1819" t="str">
        <f t="shared" ca="1" si="86"/>
        <v/>
      </c>
      <c r="M1819" t="str">
        <f>IFERROR(INDEX(Inventory!A:A,MATCH(Scan!A1819,Inventory!E:E,0)),"")</f>
        <v/>
      </c>
    </row>
    <row r="1820" spans="2:13" x14ac:dyDescent="0.25">
      <c r="B1820" t="str">
        <f>IF(IFERROR(VLOOKUP(TRIM(A1820),Inventory!E:E,1,0),0)=0,"X","_")</f>
        <v>_</v>
      </c>
      <c r="C1820" t="str">
        <f>IF(IFERROR(VLOOKUP(TRIM(A1820),'Full Inventory'!F:F,1,0),0)=0,"X","_")</f>
        <v>_</v>
      </c>
      <c r="D1820" t="str">
        <f t="shared" si="84"/>
        <v>X</v>
      </c>
      <c r="E1820" t="str">
        <f ca="1">IFERROR(IF(AND(B1820&amp;C1820&amp;D1820="___",INDIRECT("Inventory!A"&amp;MATCH(VLOOKUP(A1820,Inventory!E:E,1,0),Inventory!E:E,0))&lt;&gt;INDIRECT("'Full Inventory'!B"&amp;MATCH(VLOOKUP(A1820,'Full Inventory'!F:F,1,0),'Full Inventory'!F:F,0))),"X","_"),"_")</f>
        <v>_</v>
      </c>
      <c r="K1820" t="str">
        <f t="shared" ca="1" si="85"/>
        <v>__X_</v>
      </c>
      <c r="L1820" t="str">
        <f t="shared" ca="1" si="86"/>
        <v/>
      </c>
      <c r="M1820" t="str">
        <f>IFERROR(INDEX(Inventory!A:A,MATCH(Scan!A1820,Inventory!E:E,0)),"")</f>
        <v/>
      </c>
    </row>
    <row r="1821" spans="2:13" x14ac:dyDescent="0.25">
      <c r="B1821" t="str">
        <f>IF(IFERROR(VLOOKUP(TRIM(A1821),Inventory!E:E,1,0),0)=0,"X","_")</f>
        <v>_</v>
      </c>
      <c r="C1821" t="str">
        <f>IF(IFERROR(VLOOKUP(TRIM(A1821),'Full Inventory'!F:F,1,0),0)=0,"X","_")</f>
        <v>_</v>
      </c>
      <c r="D1821" t="str">
        <f t="shared" si="84"/>
        <v>X</v>
      </c>
      <c r="E1821" t="str">
        <f ca="1">IFERROR(IF(AND(B1821&amp;C1821&amp;D1821="___",INDIRECT("Inventory!A"&amp;MATCH(VLOOKUP(A1821,Inventory!E:E,1,0),Inventory!E:E,0))&lt;&gt;INDIRECT("'Full Inventory'!B"&amp;MATCH(VLOOKUP(A1821,'Full Inventory'!F:F,1,0),'Full Inventory'!F:F,0))),"X","_"),"_")</f>
        <v>_</v>
      </c>
      <c r="K1821" t="str">
        <f t="shared" ca="1" si="85"/>
        <v>__X_</v>
      </c>
      <c r="L1821" t="str">
        <f t="shared" ca="1" si="86"/>
        <v/>
      </c>
      <c r="M1821" t="str">
        <f>IFERROR(INDEX(Inventory!A:A,MATCH(Scan!A1821,Inventory!E:E,0)),"")</f>
        <v/>
      </c>
    </row>
    <row r="1822" spans="2:13" x14ac:dyDescent="0.25">
      <c r="B1822" t="str">
        <f>IF(IFERROR(VLOOKUP(TRIM(A1822),Inventory!E:E,1,0),0)=0,"X","_")</f>
        <v>_</v>
      </c>
      <c r="C1822" t="str">
        <f>IF(IFERROR(VLOOKUP(TRIM(A1822),'Full Inventory'!F:F,1,0),0)=0,"X","_")</f>
        <v>_</v>
      </c>
      <c r="D1822" t="str">
        <f t="shared" si="84"/>
        <v>X</v>
      </c>
      <c r="E1822" t="str">
        <f ca="1">IFERROR(IF(AND(B1822&amp;C1822&amp;D1822="___",INDIRECT("Inventory!A"&amp;MATCH(VLOOKUP(A1822,Inventory!E:E,1,0),Inventory!E:E,0))&lt;&gt;INDIRECT("'Full Inventory'!B"&amp;MATCH(VLOOKUP(A1822,'Full Inventory'!F:F,1,0),'Full Inventory'!F:F,0))),"X","_"),"_")</f>
        <v>_</v>
      </c>
      <c r="K1822" t="str">
        <f t="shared" ca="1" si="85"/>
        <v>__X_</v>
      </c>
      <c r="L1822" t="str">
        <f t="shared" ca="1" si="86"/>
        <v/>
      </c>
      <c r="M1822" t="str">
        <f>IFERROR(INDEX(Inventory!A:A,MATCH(Scan!A1822,Inventory!E:E,0)),"")</f>
        <v/>
      </c>
    </row>
    <row r="1823" spans="2:13" x14ac:dyDescent="0.25">
      <c r="B1823" t="str">
        <f>IF(IFERROR(VLOOKUP(TRIM(A1823),Inventory!E:E,1,0),0)=0,"X","_")</f>
        <v>_</v>
      </c>
      <c r="C1823" t="str">
        <f>IF(IFERROR(VLOOKUP(TRIM(A1823),'Full Inventory'!F:F,1,0),0)=0,"X","_")</f>
        <v>_</v>
      </c>
      <c r="D1823" t="str">
        <f t="shared" si="84"/>
        <v>X</v>
      </c>
      <c r="E1823" t="str">
        <f ca="1">IFERROR(IF(AND(B1823&amp;C1823&amp;D1823="___",INDIRECT("Inventory!A"&amp;MATCH(VLOOKUP(A1823,Inventory!E:E,1,0),Inventory!E:E,0))&lt;&gt;INDIRECT("'Full Inventory'!B"&amp;MATCH(VLOOKUP(A1823,'Full Inventory'!F:F,1,0),'Full Inventory'!F:F,0))),"X","_"),"_")</f>
        <v>_</v>
      </c>
      <c r="K1823" t="str">
        <f t="shared" ca="1" si="85"/>
        <v>__X_</v>
      </c>
      <c r="L1823" t="str">
        <f t="shared" ca="1" si="86"/>
        <v/>
      </c>
      <c r="M1823" t="str">
        <f>IFERROR(INDEX(Inventory!A:A,MATCH(Scan!A1823,Inventory!E:E,0)),"")</f>
        <v/>
      </c>
    </row>
    <row r="1824" spans="2:13" x14ac:dyDescent="0.25">
      <c r="B1824" t="str">
        <f>IF(IFERROR(VLOOKUP(TRIM(A1824),Inventory!E:E,1,0),0)=0,"X","_")</f>
        <v>_</v>
      </c>
      <c r="C1824" t="str">
        <f>IF(IFERROR(VLOOKUP(TRIM(A1824),'Full Inventory'!F:F,1,0),0)=0,"X","_")</f>
        <v>_</v>
      </c>
      <c r="D1824" t="str">
        <f t="shared" si="84"/>
        <v>X</v>
      </c>
      <c r="E1824" t="str">
        <f ca="1">IFERROR(IF(AND(B1824&amp;C1824&amp;D1824="___",INDIRECT("Inventory!A"&amp;MATCH(VLOOKUP(A1824,Inventory!E:E,1,0),Inventory!E:E,0))&lt;&gt;INDIRECT("'Full Inventory'!B"&amp;MATCH(VLOOKUP(A1824,'Full Inventory'!F:F,1,0),'Full Inventory'!F:F,0))),"X","_"),"_")</f>
        <v>_</v>
      </c>
      <c r="K1824" t="str">
        <f t="shared" ca="1" si="85"/>
        <v>__X_</v>
      </c>
      <c r="L1824" t="str">
        <f t="shared" ca="1" si="86"/>
        <v/>
      </c>
      <c r="M1824" t="str">
        <f>IFERROR(INDEX(Inventory!A:A,MATCH(Scan!A1824,Inventory!E:E,0)),"")</f>
        <v/>
      </c>
    </row>
    <row r="1825" spans="2:13" x14ac:dyDescent="0.25">
      <c r="B1825" t="str">
        <f>IF(IFERROR(VLOOKUP(TRIM(A1825),Inventory!E:E,1,0),0)=0,"X","_")</f>
        <v>_</v>
      </c>
      <c r="C1825" t="str">
        <f>IF(IFERROR(VLOOKUP(TRIM(A1825),'Full Inventory'!F:F,1,0),0)=0,"X","_")</f>
        <v>_</v>
      </c>
      <c r="D1825" t="str">
        <f t="shared" si="84"/>
        <v>X</v>
      </c>
      <c r="E1825" t="str">
        <f ca="1">IFERROR(IF(AND(B1825&amp;C1825&amp;D1825="___",INDIRECT("Inventory!A"&amp;MATCH(VLOOKUP(A1825,Inventory!E:E,1,0),Inventory!E:E,0))&lt;&gt;INDIRECT("'Full Inventory'!B"&amp;MATCH(VLOOKUP(A1825,'Full Inventory'!F:F,1,0),'Full Inventory'!F:F,0))),"X","_"),"_")</f>
        <v>_</v>
      </c>
      <c r="K1825" t="str">
        <f t="shared" ca="1" si="85"/>
        <v>__X_</v>
      </c>
      <c r="L1825" t="str">
        <f t="shared" ca="1" si="86"/>
        <v/>
      </c>
      <c r="M1825" t="str">
        <f>IFERROR(INDEX(Inventory!A:A,MATCH(Scan!A1825,Inventory!E:E,0)),"")</f>
        <v/>
      </c>
    </row>
    <row r="1826" spans="2:13" x14ac:dyDescent="0.25">
      <c r="B1826" t="str">
        <f>IF(IFERROR(VLOOKUP(TRIM(A1826),Inventory!E:E,1,0),0)=0,"X","_")</f>
        <v>_</v>
      </c>
      <c r="C1826" t="str">
        <f>IF(IFERROR(VLOOKUP(TRIM(A1826),'Full Inventory'!F:F,1,0),0)=0,"X","_")</f>
        <v>_</v>
      </c>
      <c r="D1826" t="str">
        <f t="shared" si="84"/>
        <v>X</v>
      </c>
      <c r="E1826" t="str">
        <f ca="1">IFERROR(IF(AND(B1826&amp;C1826&amp;D1826="___",INDIRECT("Inventory!A"&amp;MATCH(VLOOKUP(A1826,Inventory!E:E,1,0),Inventory!E:E,0))&lt;&gt;INDIRECT("'Full Inventory'!B"&amp;MATCH(VLOOKUP(A1826,'Full Inventory'!F:F,1,0),'Full Inventory'!F:F,0))),"X","_"),"_")</f>
        <v>_</v>
      </c>
      <c r="K1826" t="str">
        <f t="shared" ca="1" si="85"/>
        <v>__X_</v>
      </c>
      <c r="L1826" t="str">
        <f t="shared" ca="1" si="86"/>
        <v/>
      </c>
      <c r="M1826" t="str">
        <f>IFERROR(INDEX(Inventory!A:A,MATCH(Scan!A1826,Inventory!E:E,0)),"")</f>
        <v/>
      </c>
    </row>
    <row r="1827" spans="2:13" x14ac:dyDescent="0.25">
      <c r="B1827" t="str">
        <f>IF(IFERROR(VLOOKUP(TRIM(A1827),Inventory!E:E,1,0),0)=0,"X","_")</f>
        <v>_</v>
      </c>
      <c r="C1827" t="str">
        <f>IF(IFERROR(VLOOKUP(TRIM(A1827),'Full Inventory'!F:F,1,0),0)=0,"X","_")</f>
        <v>_</v>
      </c>
      <c r="D1827" t="str">
        <f t="shared" si="84"/>
        <v>X</v>
      </c>
      <c r="E1827" t="str">
        <f ca="1">IFERROR(IF(AND(B1827&amp;C1827&amp;D1827="___",INDIRECT("Inventory!A"&amp;MATCH(VLOOKUP(A1827,Inventory!E:E,1,0),Inventory!E:E,0))&lt;&gt;INDIRECT("'Full Inventory'!B"&amp;MATCH(VLOOKUP(A1827,'Full Inventory'!F:F,1,0),'Full Inventory'!F:F,0))),"X","_"),"_")</f>
        <v>_</v>
      </c>
      <c r="K1827" t="str">
        <f t="shared" ca="1" si="85"/>
        <v>__X_</v>
      </c>
      <c r="L1827" t="str">
        <f t="shared" ca="1" si="86"/>
        <v/>
      </c>
      <c r="M1827" t="str">
        <f>IFERROR(INDEX(Inventory!A:A,MATCH(Scan!A1827,Inventory!E:E,0)),"")</f>
        <v/>
      </c>
    </row>
    <row r="1828" spans="2:13" x14ac:dyDescent="0.25">
      <c r="B1828" t="str">
        <f>IF(IFERROR(VLOOKUP(TRIM(A1828),Inventory!E:E,1,0),0)=0,"X","_")</f>
        <v>_</v>
      </c>
      <c r="C1828" t="str">
        <f>IF(IFERROR(VLOOKUP(TRIM(A1828),'Full Inventory'!F:F,1,0),0)=0,"X","_")</f>
        <v>_</v>
      </c>
      <c r="D1828" t="str">
        <f t="shared" si="84"/>
        <v>X</v>
      </c>
      <c r="E1828" t="str">
        <f ca="1">IFERROR(IF(AND(B1828&amp;C1828&amp;D1828="___",INDIRECT("Inventory!A"&amp;MATCH(VLOOKUP(A1828,Inventory!E:E,1,0),Inventory!E:E,0))&lt;&gt;INDIRECT("'Full Inventory'!B"&amp;MATCH(VLOOKUP(A1828,'Full Inventory'!F:F,1,0),'Full Inventory'!F:F,0))),"X","_"),"_")</f>
        <v>_</v>
      </c>
      <c r="K1828" t="str">
        <f t="shared" ca="1" si="85"/>
        <v>__X_</v>
      </c>
      <c r="L1828" t="str">
        <f t="shared" ca="1" si="86"/>
        <v/>
      </c>
      <c r="M1828" t="str">
        <f>IFERROR(INDEX(Inventory!A:A,MATCH(Scan!A1828,Inventory!E:E,0)),"")</f>
        <v/>
      </c>
    </row>
    <row r="1829" spans="2:13" x14ac:dyDescent="0.25">
      <c r="B1829" t="str">
        <f>IF(IFERROR(VLOOKUP(TRIM(A1829),Inventory!E:E,1,0),0)=0,"X","_")</f>
        <v>_</v>
      </c>
      <c r="C1829" t="str">
        <f>IF(IFERROR(VLOOKUP(TRIM(A1829),'Full Inventory'!F:F,1,0),0)=0,"X","_")</f>
        <v>_</v>
      </c>
      <c r="D1829" t="str">
        <f t="shared" si="84"/>
        <v>X</v>
      </c>
      <c r="E1829" t="str">
        <f ca="1">IFERROR(IF(AND(B1829&amp;C1829&amp;D1829="___",INDIRECT("Inventory!A"&amp;MATCH(VLOOKUP(A1829,Inventory!E:E,1,0),Inventory!E:E,0))&lt;&gt;INDIRECT("'Full Inventory'!B"&amp;MATCH(VLOOKUP(A1829,'Full Inventory'!F:F,1,0),'Full Inventory'!F:F,0))),"X","_"),"_")</f>
        <v>_</v>
      </c>
      <c r="K1829" t="str">
        <f t="shared" ca="1" si="85"/>
        <v>__X_</v>
      </c>
      <c r="L1829" t="str">
        <f t="shared" ca="1" si="86"/>
        <v/>
      </c>
      <c r="M1829" t="str">
        <f>IFERROR(INDEX(Inventory!A:A,MATCH(Scan!A1829,Inventory!E:E,0)),"")</f>
        <v/>
      </c>
    </row>
    <row r="1830" spans="2:13" x14ac:dyDescent="0.25">
      <c r="B1830" t="str">
        <f>IF(IFERROR(VLOOKUP(TRIM(A1830),Inventory!E:E,1,0),0)=0,"X","_")</f>
        <v>_</v>
      </c>
      <c r="C1830" t="str">
        <f>IF(IFERROR(VLOOKUP(TRIM(A1830),'Full Inventory'!F:F,1,0),0)=0,"X","_")</f>
        <v>_</v>
      </c>
      <c r="D1830" t="str">
        <f t="shared" si="84"/>
        <v>X</v>
      </c>
      <c r="E1830" t="str">
        <f ca="1">IFERROR(IF(AND(B1830&amp;C1830&amp;D1830="___",INDIRECT("Inventory!A"&amp;MATCH(VLOOKUP(A1830,Inventory!E:E,1,0),Inventory!E:E,0))&lt;&gt;INDIRECT("'Full Inventory'!B"&amp;MATCH(VLOOKUP(A1830,'Full Inventory'!F:F,1,0),'Full Inventory'!F:F,0))),"X","_"),"_")</f>
        <v>_</v>
      </c>
      <c r="K1830" t="str">
        <f t="shared" ca="1" si="85"/>
        <v>__X_</v>
      </c>
      <c r="L1830" t="str">
        <f t="shared" ca="1" si="86"/>
        <v/>
      </c>
      <c r="M1830" t="str">
        <f>IFERROR(INDEX(Inventory!A:A,MATCH(Scan!A1830,Inventory!E:E,0)),"")</f>
        <v/>
      </c>
    </row>
    <row r="1831" spans="2:13" x14ac:dyDescent="0.25">
      <c r="B1831" t="str">
        <f>IF(IFERROR(VLOOKUP(TRIM(A1831),Inventory!E:E,1,0),0)=0,"X","_")</f>
        <v>_</v>
      </c>
      <c r="C1831" t="str">
        <f>IF(IFERROR(VLOOKUP(TRIM(A1831),'Full Inventory'!F:F,1,0),0)=0,"X","_")</f>
        <v>_</v>
      </c>
      <c r="D1831" t="str">
        <f t="shared" si="84"/>
        <v>X</v>
      </c>
      <c r="E1831" t="str">
        <f ca="1">IFERROR(IF(AND(B1831&amp;C1831&amp;D1831="___",INDIRECT("Inventory!A"&amp;MATCH(VLOOKUP(A1831,Inventory!E:E,1,0),Inventory!E:E,0))&lt;&gt;INDIRECT("'Full Inventory'!B"&amp;MATCH(VLOOKUP(A1831,'Full Inventory'!F:F,1,0),'Full Inventory'!F:F,0))),"X","_"),"_")</f>
        <v>_</v>
      </c>
      <c r="K1831" t="str">
        <f t="shared" ca="1" si="85"/>
        <v>__X_</v>
      </c>
      <c r="L1831" t="str">
        <f t="shared" ca="1" si="86"/>
        <v/>
      </c>
      <c r="M1831" t="str">
        <f>IFERROR(INDEX(Inventory!A:A,MATCH(Scan!A1831,Inventory!E:E,0)),"")</f>
        <v/>
      </c>
    </row>
    <row r="1832" spans="2:13" x14ac:dyDescent="0.25">
      <c r="B1832" t="str">
        <f>IF(IFERROR(VLOOKUP(TRIM(A1832),Inventory!E:E,1,0),0)=0,"X","_")</f>
        <v>_</v>
      </c>
      <c r="C1832" t="str">
        <f>IF(IFERROR(VLOOKUP(TRIM(A1832),'Full Inventory'!F:F,1,0),0)=0,"X","_")</f>
        <v>_</v>
      </c>
      <c r="D1832" t="str">
        <f t="shared" si="84"/>
        <v>X</v>
      </c>
      <c r="E1832" t="str">
        <f ca="1">IFERROR(IF(AND(B1832&amp;C1832&amp;D1832="___",INDIRECT("Inventory!A"&amp;MATCH(VLOOKUP(A1832,Inventory!E:E,1,0),Inventory!E:E,0))&lt;&gt;INDIRECT("'Full Inventory'!B"&amp;MATCH(VLOOKUP(A1832,'Full Inventory'!F:F,1,0),'Full Inventory'!F:F,0))),"X","_"),"_")</f>
        <v>_</v>
      </c>
      <c r="K1832" t="str">
        <f t="shared" ca="1" si="85"/>
        <v>__X_</v>
      </c>
      <c r="L1832" t="str">
        <f t="shared" ca="1" si="86"/>
        <v/>
      </c>
      <c r="M1832" t="str">
        <f>IFERROR(INDEX(Inventory!A:A,MATCH(Scan!A1832,Inventory!E:E,0)),"")</f>
        <v/>
      </c>
    </row>
    <row r="1833" spans="2:13" x14ac:dyDescent="0.25">
      <c r="B1833" t="str">
        <f>IF(IFERROR(VLOOKUP(TRIM(A1833),Inventory!E:E,1,0),0)=0,"X","_")</f>
        <v>_</v>
      </c>
      <c r="C1833" t="str">
        <f>IF(IFERROR(VLOOKUP(TRIM(A1833),'Full Inventory'!F:F,1,0),0)=0,"X","_")</f>
        <v>_</v>
      </c>
      <c r="D1833" t="str">
        <f t="shared" si="84"/>
        <v>X</v>
      </c>
      <c r="E1833" t="str">
        <f ca="1">IFERROR(IF(AND(B1833&amp;C1833&amp;D1833="___",INDIRECT("Inventory!A"&amp;MATCH(VLOOKUP(A1833,Inventory!E:E,1,0),Inventory!E:E,0))&lt;&gt;INDIRECT("'Full Inventory'!B"&amp;MATCH(VLOOKUP(A1833,'Full Inventory'!F:F,1,0),'Full Inventory'!F:F,0))),"X","_"),"_")</f>
        <v>_</v>
      </c>
      <c r="K1833" t="str">
        <f t="shared" ca="1" si="85"/>
        <v>__X_</v>
      </c>
      <c r="L1833" t="str">
        <f t="shared" ca="1" si="86"/>
        <v/>
      </c>
      <c r="M1833" t="str">
        <f>IFERROR(INDEX(Inventory!A:A,MATCH(Scan!A1833,Inventory!E:E,0)),"")</f>
        <v/>
      </c>
    </row>
    <row r="1834" spans="2:13" x14ac:dyDescent="0.25">
      <c r="B1834" t="str">
        <f>IF(IFERROR(VLOOKUP(TRIM(A1834),Inventory!E:E,1,0),0)=0,"X","_")</f>
        <v>_</v>
      </c>
      <c r="C1834" t="str">
        <f>IF(IFERROR(VLOOKUP(TRIM(A1834),'Full Inventory'!F:F,1,0),0)=0,"X","_")</f>
        <v>_</v>
      </c>
      <c r="D1834" t="str">
        <f t="shared" si="84"/>
        <v>X</v>
      </c>
      <c r="E1834" t="str">
        <f ca="1">IFERROR(IF(AND(B1834&amp;C1834&amp;D1834="___",INDIRECT("Inventory!A"&amp;MATCH(VLOOKUP(A1834,Inventory!E:E,1,0),Inventory!E:E,0))&lt;&gt;INDIRECT("'Full Inventory'!B"&amp;MATCH(VLOOKUP(A1834,'Full Inventory'!F:F,1,0),'Full Inventory'!F:F,0))),"X","_"),"_")</f>
        <v>_</v>
      </c>
      <c r="K1834" t="str">
        <f t="shared" ca="1" si="85"/>
        <v>__X_</v>
      </c>
      <c r="L1834" t="str">
        <f t="shared" ca="1" si="86"/>
        <v/>
      </c>
      <c r="M1834" t="str">
        <f>IFERROR(INDEX(Inventory!A:A,MATCH(Scan!A1834,Inventory!E:E,0)),"")</f>
        <v/>
      </c>
    </row>
    <row r="1835" spans="2:13" x14ac:dyDescent="0.25">
      <c r="B1835" t="str">
        <f>IF(IFERROR(VLOOKUP(TRIM(A1835),Inventory!E:E,1,0),0)=0,"X","_")</f>
        <v>_</v>
      </c>
      <c r="C1835" t="str">
        <f>IF(IFERROR(VLOOKUP(TRIM(A1835),'Full Inventory'!F:F,1,0),0)=0,"X","_")</f>
        <v>_</v>
      </c>
      <c r="D1835" t="str">
        <f t="shared" si="84"/>
        <v>X</v>
      </c>
      <c r="E1835" t="str">
        <f ca="1">IFERROR(IF(AND(B1835&amp;C1835&amp;D1835="___",INDIRECT("Inventory!A"&amp;MATCH(VLOOKUP(A1835,Inventory!E:E,1,0),Inventory!E:E,0))&lt;&gt;INDIRECT("'Full Inventory'!B"&amp;MATCH(VLOOKUP(A1835,'Full Inventory'!F:F,1,0),'Full Inventory'!F:F,0))),"X","_"),"_")</f>
        <v>_</v>
      </c>
      <c r="K1835" t="str">
        <f t="shared" ca="1" si="85"/>
        <v>__X_</v>
      </c>
      <c r="L1835" t="str">
        <f t="shared" ca="1" si="86"/>
        <v/>
      </c>
      <c r="M1835" t="str">
        <f>IFERROR(INDEX(Inventory!A:A,MATCH(Scan!A1835,Inventory!E:E,0)),"")</f>
        <v/>
      </c>
    </row>
    <row r="1836" spans="2:13" x14ac:dyDescent="0.25">
      <c r="B1836" t="str">
        <f>IF(IFERROR(VLOOKUP(TRIM(A1836),Inventory!E:E,1,0),0)=0,"X","_")</f>
        <v>_</v>
      </c>
      <c r="C1836" t="str">
        <f>IF(IFERROR(VLOOKUP(TRIM(A1836),'Full Inventory'!F:F,1,0),0)=0,"X","_")</f>
        <v>_</v>
      </c>
      <c r="D1836" t="str">
        <f t="shared" si="84"/>
        <v>X</v>
      </c>
      <c r="E1836" t="str">
        <f ca="1">IFERROR(IF(AND(B1836&amp;C1836&amp;D1836="___",INDIRECT("Inventory!A"&amp;MATCH(VLOOKUP(A1836,Inventory!E:E,1,0),Inventory!E:E,0))&lt;&gt;INDIRECT("'Full Inventory'!B"&amp;MATCH(VLOOKUP(A1836,'Full Inventory'!F:F,1,0),'Full Inventory'!F:F,0))),"X","_"),"_")</f>
        <v>_</v>
      </c>
      <c r="K1836" t="str">
        <f t="shared" ca="1" si="85"/>
        <v>__X_</v>
      </c>
      <c r="L1836" t="str">
        <f t="shared" ca="1" si="86"/>
        <v/>
      </c>
      <c r="M1836" t="str">
        <f>IFERROR(INDEX(Inventory!A:A,MATCH(Scan!A1836,Inventory!E:E,0)),"")</f>
        <v/>
      </c>
    </row>
    <row r="1837" spans="2:13" x14ac:dyDescent="0.25">
      <c r="B1837" t="str">
        <f>IF(IFERROR(VLOOKUP(TRIM(A1837),Inventory!E:E,1,0),0)=0,"X","_")</f>
        <v>_</v>
      </c>
      <c r="C1837" t="str">
        <f>IF(IFERROR(VLOOKUP(TRIM(A1837),'Full Inventory'!F:F,1,0),0)=0,"X","_")</f>
        <v>_</v>
      </c>
      <c r="D1837" t="str">
        <f t="shared" si="84"/>
        <v>X</v>
      </c>
      <c r="E1837" t="str">
        <f ca="1">IFERROR(IF(AND(B1837&amp;C1837&amp;D1837="___",INDIRECT("Inventory!A"&amp;MATCH(VLOOKUP(A1837,Inventory!E:E,1,0),Inventory!E:E,0))&lt;&gt;INDIRECT("'Full Inventory'!B"&amp;MATCH(VLOOKUP(A1837,'Full Inventory'!F:F,1,0),'Full Inventory'!F:F,0))),"X","_"),"_")</f>
        <v>_</v>
      </c>
      <c r="K1837" t="str">
        <f t="shared" ca="1" si="85"/>
        <v>__X_</v>
      </c>
      <c r="L1837" t="str">
        <f t="shared" ca="1" si="86"/>
        <v/>
      </c>
      <c r="M1837" t="str">
        <f>IFERROR(INDEX(Inventory!A:A,MATCH(Scan!A1837,Inventory!E:E,0)),"")</f>
        <v/>
      </c>
    </row>
    <row r="1838" spans="2:13" x14ac:dyDescent="0.25">
      <c r="B1838" t="str">
        <f>IF(IFERROR(VLOOKUP(TRIM(A1838),Inventory!E:E,1,0),0)=0,"X","_")</f>
        <v>_</v>
      </c>
      <c r="C1838" t="str">
        <f>IF(IFERROR(VLOOKUP(TRIM(A1838),'Full Inventory'!F:F,1,0),0)=0,"X","_")</f>
        <v>_</v>
      </c>
      <c r="D1838" t="str">
        <f t="shared" si="84"/>
        <v>X</v>
      </c>
      <c r="E1838" t="str">
        <f ca="1">IFERROR(IF(AND(B1838&amp;C1838&amp;D1838="___",INDIRECT("Inventory!A"&amp;MATCH(VLOOKUP(A1838,Inventory!E:E,1,0),Inventory!E:E,0))&lt;&gt;INDIRECT("'Full Inventory'!B"&amp;MATCH(VLOOKUP(A1838,'Full Inventory'!F:F,1,0),'Full Inventory'!F:F,0))),"X","_"),"_")</f>
        <v>_</v>
      </c>
      <c r="K1838" t="str">
        <f t="shared" ca="1" si="85"/>
        <v>__X_</v>
      </c>
      <c r="L1838" t="str">
        <f t="shared" ca="1" si="86"/>
        <v/>
      </c>
      <c r="M1838" t="str">
        <f>IFERROR(INDEX(Inventory!A:A,MATCH(Scan!A1838,Inventory!E:E,0)),"")</f>
        <v/>
      </c>
    </row>
    <row r="1839" spans="2:13" x14ac:dyDescent="0.25">
      <c r="B1839" t="str">
        <f>IF(IFERROR(VLOOKUP(TRIM(A1839),Inventory!E:E,1,0),0)=0,"X","_")</f>
        <v>_</v>
      </c>
      <c r="C1839" t="str">
        <f>IF(IFERROR(VLOOKUP(TRIM(A1839),'Full Inventory'!F:F,1,0),0)=0,"X","_")</f>
        <v>_</v>
      </c>
      <c r="D1839" t="str">
        <f t="shared" si="84"/>
        <v>X</v>
      </c>
      <c r="E1839" t="str">
        <f ca="1">IFERROR(IF(AND(B1839&amp;C1839&amp;D1839="___",INDIRECT("Inventory!A"&amp;MATCH(VLOOKUP(A1839,Inventory!E:E,1,0),Inventory!E:E,0))&lt;&gt;INDIRECT("'Full Inventory'!B"&amp;MATCH(VLOOKUP(A1839,'Full Inventory'!F:F,1,0),'Full Inventory'!F:F,0))),"X","_"),"_")</f>
        <v>_</v>
      </c>
      <c r="K1839" t="str">
        <f t="shared" ca="1" si="85"/>
        <v>__X_</v>
      </c>
      <c r="L1839" t="str">
        <f t="shared" ca="1" si="86"/>
        <v/>
      </c>
      <c r="M1839" t="str">
        <f>IFERROR(INDEX(Inventory!A:A,MATCH(Scan!A1839,Inventory!E:E,0)),"")</f>
        <v/>
      </c>
    </row>
    <row r="1840" spans="2:13" x14ac:dyDescent="0.25">
      <c r="B1840" t="str">
        <f>IF(IFERROR(VLOOKUP(TRIM(A1840),Inventory!E:E,1,0),0)=0,"X","_")</f>
        <v>_</v>
      </c>
      <c r="C1840" t="str">
        <f>IF(IFERROR(VLOOKUP(TRIM(A1840),'Full Inventory'!F:F,1,0),0)=0,"X","_")</f>
        <v>_</v>
      </c>
      <c r="D1840" t="str">
        <f t="shared" si="84"/>
        <v>X</v>
      </c>
      <c r="E1840" t="str">
        <f ca="1">IFERROR(IF(AND(B1840&amp;C1840&amp;D1840="___",INDIRECT("Inventory!A"&amp;MATCH(VLOOKUP(A1840,Inventory!E:E,1,0),Inventory!E:E,0))&lt;&gt;INDIRECT("'Full Inventory'!B"&amp;MATCH(VLOOKUP(A1840,'Full Inventory'!F:F,1,0),'Full Inventory'!F:F,0))),"X","_"),"_")</f>
        <v>_</v>
      </c>
      <c r="K1840" t="str">
        <f t="shared" ca="1" si="85"/>
        <v>__X_</v>
      </c>
      <c r="L1840" t="str">
        <f t="shared" ca="1" si="86"/>
        <v/>
      </c>
      <c r="M1840" t="str">
        <f>IFERROR(INDEX(Inventory!A:A,MATCH(Scan!A1840,Inventory!E:E,0)),"")</f>
        <v/>
      </c>
    </row>
    <row r="1841" spans="2:13" x14ac:dyDescent="0.25">
      <c r="B1841" t="str">
        <f>IF(IFERROR(VLOOKUP(TRIM(A1841),Inventory!E:E,1,0),0)=0,"X","_")</f>
        <v>_</v>
      </c>
      <c r="C1841" t="str">
        <f>IF(IFERROR(VLOOKUP(TRIM(A1841),'Full Inventory'!F:F,1,0),0)=0,"X","_")</f>
        <v>_</v>
      </c>
      <c r="D1841" t="str">
        <f t="shared" si="84"/>
        <v>X</v>
      </c>
      <c r="E1841" t="str">
        <f ca="1">IFERROR(IF(AND(B1841&amp;C1841&amp;D1841="___",INDIRECT("Inventory!A"&amp;MATCH(VLOOKUP(A1841,Inventory!E:E,1,0),Inventory!E:E,0))&lt;&gt;INDIRECT("'Full Inventory'!B"&amp;MATCH(VLOOKUP(A1841,'Full Inventory'!F:F,1,0),'Full Inventory'!F:F,0))),"X","_"),"_")</f>
        <v>_</v>
      </c>
      <c r="K1841" t="str">
        <f t="shared" ca="1" si="85"/>
        <v>__X_</v>
      </c>
      <c r="L1841" t="str">
        <f t="shared" ca="1" si="86"/>
        <v/>
      </c>
      <c r="M1841" t="str">
        <f>IFERROR(INDEX(Inventory!A:A,MATCH(Scan!A1841,Inventory!E:E,0)),"")</f>
        <v/>
      </c>
    </row>
    <row r="1842" spans="2:13" x14ac:dyDescent="0.25">
      <c r="B1842" t="str">
        <f>IF(IFERROR(VLOOKUP(TRIM(A1842),Inventory!E:E,1,0),0)=0,"X","_")</f>
        <v>_</v>
      </c>
      <c r="C1842" t="str">
        <f>IF(IFERROR(VLOOKUP(TRIM(A1842),'Full Inventory'!F:F,1,0),0)=0,"X","_")</f>
        <v>_</v>
      </c>
      <c r="D1842" t="str">
        <f t="shared" si="84"/>
        <v>X</v>
      </c>
      <c r="E1842" t="str">
        <f ca="1">IFERROR(IF(AND(B1842&amp;C1842&amp;D1842="___",INDIRECT("Inventory!A"&amp;MATCH(VLOOKUP(A1842,Inventory!E:E,1,0),Inventory!E:E,0))&lt;&gt;INDIRECT("'Full Inventory'!B"&amp;MATCH(VLOOKUP(A1842,'Full Inventory'!F:F,1,0),'Full Inventory'!F:F,0))),"X","_"),"_")</f>
        <v>_</v>
      </c>
      <c r="K1842" t="str">
        <f t="shared" ca="1" si="85"/>
        <v>__X_</v>
      </c>
      <c r="L1842" t="str">
        <f t="shared" ca="1" si="86"/>
        <v/>
      </c>
      <c r="M1842" t="str">
        <f>IFERROR(INDEX(Inventory!A:A,MATCH(Scan!A1842,Inventory!E:E,0)),"")</f>
        <v/>
      </c>
    </row>
    <row r="1843" spans="2:13" x14ac:dyDescent="0.25">
      <c r="B1843" t="str">
        <f>IF(IFERROR(VLOOKUP(TRIM(A1843),Inventory!E:E,1,0),0)=0,"X","_")</f>
        <v>_</v>
      </c>
      <c r="C1843" t="str">
        <f>IF(IFERROR(VLOOKUP(TRIM(A1843),'Full Inventory'!F:F,1,0),0)=0,"X","_")</f>
        <v>_</v>
      </c>
      <c r="D1843" t="str">
        <f t="shared" si="84"/>
        <v>X</v>
      </c>
      <c r="E1843" t="str">
        <f ca="1">IFERROR(IF(AND(B1843&amp;C1843&amp;D1843="___",INDIRECT("Inventory!A"&amp;MATCH(VLOOKUP(A1843,Inventory!E:E,1,0),Inventory!E:E,0))&lt;&gt;INDIRECT("'Full Inventory'!B"&amp;MATCH(VLOOKUP(A1843,'Full Inventory'!F:F,1,0),'Full Inventory'!F:F,0))),"X","_"),"_")</f>
        <v>_</v>
      </c>
      <c r="K1843" t="str">
        <f t="shared" ca="1" si="85"/>
        <v>__X_</v>
      </c>
      <c r="L1843" t="str">
        <f t="shared" ca="1" si="86"/>
        <v/>
      </c>
      <c r="M1843" t="str">
        <f>IFERROR(INDEX(Inventory!A:A,MATCH(Scan!A1843,Inventory!E:E,0)),"")</f>
        <v/>
      </c>
    </row>
    <row r="1844" spans="2:13" x14ac:dyDescent="0.25">
      <c r="B1844" t="str">
        <f>IF(IFERROR(VLOOKUP(TRIM(A1844),Inventory!E:E,1,0),0)=0,"X","_")</f>
        <v>_</v>
      </c>
      <c r="C1844" t="str">
        <f>IF(IFERROR(VLOOKUP(TRIM(A1844),'Full Inventory'!F:F,1,0),0)=0,"X","_")</f>
        <v>_</v>
      </c>
      <c r="D1844" t="str">
        <f t="shared" si="84"/>
        <v>X</v>
      </c>
      <c r="E1844" t="str">
        <f ca="1">IFERROR(IF(AND(B1844&amp;C1844&amp;D1844="___",INDIRECT("Inventory!A"&amp;MATCH(VLOOKUP(A1844,Inventory!E:E,1,0),Inventory!E:E,0))&lt;&gt;INDIRECT("'Full Inventory'!B"&amp;MATCH(VLOOKUP(A1844,'Full Inventory'!F:F,1,0),'Full Inventory'!F:F,0))),"X","_"),"_")</f>
        <v>_</v>
      </c>
      <c r="K1844" t="str">
        <f t="shared" ca="1" si="85"/>
        <v>__X_</v>
      </c>
      <c r="L1844" t="str">
        <f t="shared" ca="1" si="86"/>
        <v/>
      </c>
      <c r="M1844" t="str">
        <f>IFERROR(INDEX(Inventory!A:A,MATCH(Scan!A1844,Inventory!E:E,0)),"")</f>
        <v/>
      </c>
    </row>
    <row r="1845" spans="2:13" x14ac:dyDescent="0.25">
      <c r="B1845" t="str">
        <f>IF(IFERROR(VLOOKUP(TRIM(A1845),Inventory!E:E,1,0),0)=0,"X","_")</f>
        <v>_</v>
      </c>
      <c r="C1845" t="str">
        <f>IF(IFERROR(VLOOKUP(TRIM(A1845),'Full Inventory'!F:F,1,0),0)=0,"X","_")</f>
        <v>_</v>
      </c>
      <c r="D1845" t="str">
        <f t="shared" si="84"/>
        <v>X</v>
      </c>
      <c r="E1845" t="str">
        <f ca="1">IFERROR(IF(AND(B1845&amp;C1845&amp;D1845="___",INDIRECT("Inventory!A"&amp;MATCH(VLOOKUP(A1845,Inventory!E:E,1,0),Inventory!E:E,0))&lt;&gt;INDIRECT("'Full Inventory'!B"&amp;MATCH(VLOOKUP(A1845,'Full Inventory'!F:F,1,0),'Full Inventory'!F:F,0))),"X","_"),"_")</f>
        <v>_</v>
      </c>
      <c r="K1845" t="str">
        <f t="shared" ca="1" si="85"/>
        <v>__X_</v>
      </c>
      <c r="L1845" t="str">
        <f t="shared" ca="1" si="86"/>
        <v/>
      </c>
      <c r="M1845" t="str">
        <f>IFERROR(INDEX(Inventory!A:A,MATCH(Scan!A1845,Inventory!E:E,0)),"")</f>
        <v/>
      </c>
    </row>
    <row r="1846" spans="2:13" x14ac:dyDescent="0.25">
      <c r="B1846" t="str">
        <f>IF(IFERROR(VLOOKUP(TRIM(A1846),Inventory!E:E,1,0),0)=0,"X","_")</f>
        <v>_</v>
      </c>
      <c r="C1846" t="str">
        <f>IF(IFERROR(VLOOKUP(TRIM(A1846),'Full Inventory'!F:F,1,0),0)=0,"X","_")</f>
        <v>_</v>
      </c>
      <c r="D1846" t="str">
        <f t="shared" si="84"/>
        <v>X</v>
      </c>
      <c r="E1846" t="str">
        <f ca="1">IFERROR(IF(AND(B1846&amp;C1846&amp;D1846="___",INDIRECT("Inventory!A"&amp;MATCH(VLOOKUP(A1846,Inventory!E:E,1,0),Inventory!E:E,0))&lt;&gt;INDIRECT("'Full Inventory'!B"&amp;MATCH(VLOOKUP(A1846,'Full Inventory'!F:F,1,0),'Full Inventory'!F:F,0))),"X","_"),"_")</f>
        <v>_</v>
      </c>
      <c r="K1846" t="str">
        <f t="shared" ca="1" si="85"/>
        <v>__X_</v>
      </c>
      <c r="L1846" t="str">
        <f t="shared" ca="1" si="86"/>
        <v/>
      </c>
      <c r="M1846" t="str">
        <f>IFERROR(INDEX(Inventory!A:A,MATCH(Scan!A1846,Inventory!E:E,0)),"")</f>
        <v/>
      </c>
    </row>
    <row r="1847" spans="2:13" x14ac:dyDescent="0.25">
      <c r="B1847" t="str">
        <f>IF(IFERROR(VLOOKUP(TRIM(A1847),Inventory!E:E,1,0),0)=0,"X","_")</f>
        <v>_</v>
      </c>
      <c r="C1847" t="str">
        <f>IF(IFERROR(VLOOKUP(TRIM(A1847),'Full Inventory'!F:F,1,0),0)=0,"X","_")</f>
        <v>_</v>
      </c>
      <c r="D1847" t="str">
        <f t="shared" si="84"/>
        <v>X</v>
      </c>
      <c r="E1847" t="str">
        <f ca="1">IFERROR(IF(AND(B1847&amp;C1847&amp;D1847="___",INDIRECT("Inventory!A"&amp;MATCH(VLOOKUP(A1847,Inventory!E:E,1,0),Inventory!E:E,0))&lt;&gt;INDIRECT("'Full Inventory'!B"&amp;MATCH(VLOOKUP(A1847,'Full Inventory'!F:F,1,0),'Full Inventory'!F:F,0))),"X","_"),"_")</f>
        <v>_</v>
      </c>
      <c r="K1847" t="str">
        <f t="shared" ca="1" si="85"/>
        <v>__X_</v>
      </c>
      <c r="L1847" t="str">
        <f t="shared" ca="1" si="86"/>
        <v/>
      </c>
      <c r="M1847" t="str">
        <f>IFERROR(INDEX(Inventory!A:A,MATCH(Scan!A1847,Inventory!E:E,0)),"")</f>
        <v/>
      </c>
    </row>
    <row r="1848" spans="2:13" x14ac:dyDescent="0.25">
      <c r="B1848" t="str">
        <f>IF(IFERROR(VLOOKUP(TRIM(A1848),Inventory!E:E,1,0),0)=0,"X","_")</f>
        <v>_</v>
      </c>
      <c r="C1848" t="str">
        <f>IF(IFERROR(VLOOKUP(TRIM(A1848),'Full Inventory'!F:F,1,0),0)=0,"X","_")</f>
        <v>_</v>
      </c>
      <c r="D1848" t="str">
        <f t="shared" si="84"/>
        <v>X</v>
      </c>
      <c r="E1848" t="str">
        <f ca="1">IFERROR(IF(AND(B1848&amp;C1848&amp;D1848="___",INDIRECT("Inventory!A"&amp;MATCH(VLOOKUP(A1848,Inventory!E:E,1,0),Inventory!E:E,0))&lt;&gt;INDIRECT("'Full Inventory'!B"&amp;MATCH(VLOOKUP(A1848,'Full Inventory'!F:F,1,0),'Full Inventory'!F:F,0))),"X","_"),"_")</f>
        <v>_</v>
      </c>
      <c r="K1848" t="str">
        <f t="shared" ca="1" si="85"/>
        <v>__X_</v>
      </c>
      <c r="L1848" t="str">
        <f t="shared" ca="1" si="86"/>
        <v/>
      </c>
      <c r="M1848" t="str">
        <f>IFERROR(INDEX(Inventory!A:A,MATCH(Scan!A1848,Inventory!E:E,0)),"")</f>
        <v/>
      </c>
    </row>
    <row r="1849" spans="2:13" x14ac:dyDescent="0.25">
      <c r="B1849" t="str">
        <f>IF(IFERROR(VLOOKUP(TRIM(A1849),Inventory!E:E,1,0),0)=0,"X","_")</f>
        <v>_</v>
      </c>
      <c r="C1849" t="str">
        <f>IF(IFERROR(VLOOKUP(TRIM(A1849),'Full Inventory'!F:F,1,0),0)=0,"X","_")</f>
        <v>_</v>
      </c>
      <c r="D1849" t="str">
        <f t="shared" si="84"/>
        <v>X</v>
      </c>
      <c r="E1849" t="str">
        <f ca="1">IFERROR(IF(AND(B1849&amp;C1849&amp;D1849="___",INDIRECT("Inventory!A"&amp;MATCH(VLOOKUP(A1849,Inventory!E:E,1,0),Inventory!E:E,0))&lt;&gt;INDIRECT("'Full Inventory'!B"&amp;MATCH(VLOOKUP(A1849,'Full Inventory'!F:F,1,0),'Full Inventory'!F:F,0))),"X","_"),"_")</f>
        <v>_</v>
      </c>
      <c r="K1849" t="str">
        <f t="shared" ca="1" si="85"/>
        <v>__X_</v>
      </c>
      <c r="L1849" t="str">
        <f t="shared" ca="1" si="86"/>
        <v/>
      </c>
      <c r="M1849" t="str">
        <f>IFERROR(INDEX(Inventory!A:A,MATCH(Scan!A1849,Inventory!E:E,0)),"")</f>
        <v/>
      </c>
    </row>
    <row r="1850" spans="2:13" x14ac:dyDescent="0.25">
      <c r="B1850" t="str">
        <f>IF(IFERROR(VLOOKUP(TRIM(A1850),Inventory!E:E,1,0),0)=0,"X","_")</f>
        <v>_</v>
      </c>
      <c r="C1850" t="str">
        <f>IF(IFERROR(VLOOKUP(TRIM(A1850),'Full Inventory'!F:F,1,0),0)=0,"X","_")</f>
        <v>_</v>
      </c>
      <c r="D1850" t="str">
        <f t="shared" si="84"/>
        <v>X</v>
      </c>
      <c r="E1850" t="str">
        <f ca="1">IFERROR(IF(AND(B1850&amp;C1850&amp;D1850="___",INDIRECT("Inventory!A"&amp;MATCH(VLOOKUP(A1850,Inventory!E:E,1,0),Inventory!E:E,0))&lt;&gt;INDIRECT("'Full Inventory'!B"&amp;MATCH(VLOOKUP(A1850,'Full Inventory'!F:F,1,0),'Full Inventory'!F:F,0))),"X","_"),"_")</f>
        <v>_</v>
      </c>
      <c r="K1850" t="str">
        <f t="shared" ca="1" si="85"/>
        <v>__X_</v>
      </c>
      <c r="L1850" t="str">
        <f t="shared" ca="1" si="86"/>
        <v/>
      </c>
      <c r="M1850" t="str">
        <f>IFERROR(INDEX(Inventory!A:A,MATCH(Scan!A1850,Inventory!E:E,0)),"")</f>
        <v/>
      </c>
    </row>
    <row r="1851" spans="2:13" x14ac:dyDescent="0.25">
      <c r="B1851" t="str">
        <f>IF(IFERROR(VLOOKUP(TRIM(A1851),Inventory!E:E,1,0),0)=0,"X","_")</f>
        <v>_</v>
      </c>
      <c r="C1851" t="str">
        <f>IF(IFERROR(VLOOKUP(TRIM(A1851),'Full Inventory'!F:F,1,0),0)=0,"X","_")</f>
        <v>_</v>
      </c>
      <c r="D1851" t="str">
        <f t="shared" si="84"/>
        <v>X</v>
      </c>
      <c r="E1851" t="str">
        <f ca="1">IFERROR(IF(AND(B1851&amp;C1851&amp;D1851="___",INDIRECT("Inventory!A"&amp;MATCH(VLOOKUP(A1851,Inventory!E:E,1,0),Inventory!E:E,0))&lt;&gt;INDIRECT("'Full Inventory'!B"&amp;MATCH(VLOOKUP(A1851,'Full Inventory'!F:F,1,0),'Full Inventory'!F:F,0))),"X","_"),"_")</f>
        <v>_</v>
      </c>
      <c r="K1851" t="str">
        <f t="shared" ca="1" si="85"/>
        <v>__X_</v>
      </c>
      <c r="L1851" t="str">
        <f t="shared" ca="1" si="86"/>
        <v/>
      </c>
      <c r="M1851" t="str">
        <f>IFERROR(INDEX(Inventory!A:A,MATCH(Scan!A1851,Inventory!E:E,0)),"")</f>
        <v/>
      </c>
    </row>
    <row r="1852" spans="2:13" x14ac:dyDescent="0.25">
      <c r="B1852" t="str">
        <f>IF(IFERROR(VLOOKUP(TRIM(A1852),Inventory!E:E,1,0),0)=0,"X","_")</f>
        <v>_</v>
      </c>
      <c r="C1852" t="str">
        <f>IF(IFERROR(VLOOKUP(TRIM(A1852),'Full Inventory'!F:F,1,0),0)=0,"X","_")</f>
        <v>_</v>
      </c>
      <c r="D1852" t="str">
        <f t="shared" si="84"/>
        <v>X</v>
      </c>
      <c r="E1852" t="str">
        <f ca="1">IFERROR(IF(AND(B1852&amp;C1852&amp;D1852="___",INDIRECT("Inventory!A"&amp;MATCH(VLOOKUP(A1852,Inventory!E:E,1,0),Inventory!E:E,0))&lt;&gt;INDIRECT("'Full Inventory'!B"&amp;MATCH(VLOOKUP(A1852,'Full Inventory'!F:F,1,0),'Full Inventory'!F:F,0))),"X","_"),"_")</f>
        <v>_</v>
      </c>
      <c r="K1852" t="str">
        <f t="shared" ca="1" si="85"/>
        <v>__X_</v>
      </c>
      <c r="L1852" t="str">
        <f t="shared" ca="1" si="86"/>
        <v/>
      </c>
      <c r="M1852" t="str">
        <f>IFERROR(INDEX(Inventory!A:A,MATCH(Scan!A1852,Inventory!E:E,0)),"")</f>
        <v/>
      </c>
    </row>
    <row r="1853" spans="2:13" x14ac:dyDescent="0.25">
      <c r="B1853" t="str">
        <f>IF(IFERROR(VLOOKUP(TRIM(A1853),Inventory!E:E,1,0),0)=0,"X","_")</f>
        <v>_</v>
      </c>
      <c r="C1853" t="str">
        <f>IF(IFERROR(VLOOKUP(TRIM(A1853),'Full Inventory'!F:F,1,0),0)=0,"X","_")</f>
        <v>_</v>
      </c>
      <c r="D1853" t="str">
        <f t="shared" si="84"/>
        <v>X</v>
      </c>
      <c r="E1853" t="str">
        <f ca="1">IFERROR(IF(AND(B1853&amp;C1853&amp;D1853="___",INDIRECT("Inventory!A"&amp;MATCH(VLOOKUP(A1853,Inventory!E:E,1,0),Inventory!E:E,0))&lt;&gt;INDIRECT("'Full Inventory'!B"&amp;MATCH(VLOOKUP(A1853,'Full Inventory'!F:F,1,0),'Full Inventory'!F:F,0))),"X","_"),"_")</f>
        <v>_</v>
      </c>
      <c r="K1853" t="str">
        <f t="shared" ca="1" si="85"/>
        <v>__X_</v>
      </c>
      <c r="L1853" t="str">
        <f t="shared" ca="1" si="86"/>
        <v/>
      </c>
      <c r="M1853" t="str">
        <f>IFERROR(INDEX(Inventory!A:A,MATCH(Scan!A1853,Inventory!E:E,0)),"")</f>
        <v/>
      </c>
    </row>
    <row r="1854" spans="2:13" x14ac:dyDescent="0.25">
      <c r="B1854" t="str">
        <f>IF(IFERROR(VLOOKUP(TRIM(A1854),Inventory!E:E,1,0),0)=0,"X","_")</f>
        <v>_</v>
      </c>
      <c r="C1854" t="str">
        <f>IF(IFERROR(VLOOKUP(TRIM(A1854),'Full Inventory'!F:F,1,0),0)=0,"X","_")</f>
        <v>_</v>
      </c>
      <c r="D1854" t="str">
        <f t="shared" si="84"/>
        <v>X</v>
      </c>
      <c r="E1854" t="str">
        <f ca="1">IFERROR(IF(AND(B1854&amp;C1854&amp;D1854="___",INDIRECT("Inventory!A"&amp;MATCH(VLOOKUP(A1854,Inventory!E:E,1,0),Inventory!E:E,0))&lt;&gt;INDIRECT("'Full Inventory'!B"&amp;MATCH(VLOOKUP(A1854,'Full Inventory'!F:F,1,0),'Full Inventory'!F:F,0))),"X","_"),"_")</f>
        <v>_</v>
      </c>
      <c r="K1854" t="str">
        <f t="shared" ca="1" si="85"/>
        <v>__X_</v>
      </c>
      <c r="L1854" t="str">
        <f t="shared" ca="1" si="86"/>
        <v/>
      </c>
      <c r="M1854" t="str">
        <f>IFERROR(INDEX(Inventory!A:A,MATCH(Scan!A1854,Inventory!E:E,0)),"")</f>
        <v/>
      </c>
    </row>
    <row r="1855" spans="2:13" x14ac:dyDescent="0.25">
      <c r="B1855" t="str">
        <f>IF(IFERROR(VLOOKUP(TRIM(A1855),Inventory!E:E,1,0),0)=0,"X","_")</f>
        <v>_</v>
      </c>
      <c r="C1855" t="str">
        <f>IF(IFERROR(VLOOKUP(TRIM(A1855),'Full Inventory'!F:F,1,0),0)=0,"X","_")</f>
        <v>_</v>
      </c>
      <c r="D1855" t="str">
        <f t="shared" si="84"/>
        <v>X</v>
      </c>
      <c r="E1855" t="str">
        <f ca="1">IFERROR(IF(AND(B1855&amp;C1855&amp;D1855="___",INDIRECT("Inventory!A"&amp;MATCH(VLOOKUP(A1855,Inventory!E:E,1,0),Inventory!E:E,0))&lt;&gt;INDIRECT("'Full Inventory'!B"&amp;MATCH(VLOOKUP(A1855,'Full Inventory'!F:F,1,0),'Full Inventory'!F:F,0))),"X","_"),"_")</f>
        <v>_</v>
      </c>
      <c r="K1855" t="str">
        <f t="shared" ca="1" si="85"/>
        <v>__X_</v>
      </c>
      <c r="L1855" t="str">
        <f t="shared" ca="1" si="86"/>
        <v/>
      </c>
      <c r="M1855" t="str">
        <f>IFERROR(INDEX(Inventory!A:A,MATCH(Scan!A1855,Inventory!E:E,0)),"")</f>
        <v/>
      </c>
    </row>
    <row r="1856" spans="2:13" x14ac:dyDescent="0.25">
      <c r="B1856" t="str">
        <f>IF(IFERROR(VLOOKUP(TRIM(A1856),Inventory!E:E,1,0),0)=0,"X","_")</f>
        <v>_</v>
      </c>
      <c r="C1856" t="str">
        <f>IF(IFERROR(VLOOKUP(TRIM(A1856),'Full Inventory'!F:F,1,0),0)=0,"X","_")</f>
        <v>_</v>
      </c>
      <c r="D1856" t="str">
        <f t="shared" si="84"/>
        <v>X</v>
      </c>
      <c r="E1856" t="str">
        <f ca="1">IFERROR(IF(AND(B1856&amp;C1856&amp;D1856="___",INDIRECT("Inventory!A"&amp;MATCH(VLOOKUP(A1856,Inventory!E:E,1,0),Inventory!E:E,0))&lt;&gt;INDIRECT("'Full Inventory'!B"&amp;MATCH(VLOOKUP(A1856,'Full Inventory'!F:F,1,0),'Full Inventory'!F:F,0))),"X","_"),"_")</f>
        <v>_</v>
      </c>
      <c r="K1856" t="str">
        <f t="shared" ca="1" si="85"/>
        <v>__X_</v>
      </c>
      <c r="L1856" t="str">
        <f t="shared" ca="1" si="86"/>
        <v/>
      </c>
      <c r="M1856" t="str">
        <f>IFERROR(INDEX(Inventory!A:A,MATCH(Scan!A1856,Inventory!E:E,0)),"")</f>
        <v/>
      </c>
    </row>
    <row r="1857" spans="2:13" x14ac:dyDescent="0.25">
      <c r="B1857" t="str">
        <f>IF(IFERROR(VLOOKUP(TRIM(A1857),Inventory!E:E,1,0),0)=0,"X","_")</f>
        <v>_</v>
      </c>
      <c r="C1857" t="str">
        <f>IF(IFERROR(VLOOKUP(TRIM(A1857),'Full Inventory'!F:F,1,0),0)=0,"X","_")</f>
        <v>_</v>
      </c>
      <c r="D1857" t="str">
        <f t="shared" si="84"/>
        <v>X</v>
      </c>
      <c r="E1857" t="str">
        <f ca="1">IFERROR(IF(AND(B1857&amp;C1857&amp;D1857="___",INDIRECT("Inventory!A"&amp;MATCH(VLOOKUP(A1857,Inventory!E:E,1,0),Inventory!E:E,0))&lt;&gt;INDIRECT("'Full Inventory'!B"&amp;MATCH(VLOOKUP(A1857,'Full Inventory'!F:F,1,0),'Full Inventory'!F:F,0))),"X","_"),"_")</f>
        <v>_</v>
      </c>
      <c r="K1857" t="str">
        <f t="shared" ca="1" si="85"/>
        <v>__X_</v>
      </c>
      <c r="L1857" t="str">
        <f t="shared" ca="1" si="86"/>
        <v/>
      </c>
      <c r="M1857" t="str">
        <f>IFERROR(INDEX(Inventory!A:A,MATCH(Scan!A1857,Inventory!E:E,0)),"")</f>
        <v/>
      </c>
    </row>
    <row r="1858" spans="2:13" x14ac:dyDescent="0.25">
      <c r="B1858" t="str">
        <f>IF(IFERROR(VLOOKUP(TRIM(A1858),Inventory!E:E,1,0),0)=0,"X","_")</f>
        <v>_</v>
      </c>
      <c r="C1858" t="str">
        <f>IF(IFERROR(VLOOKUP(TRIM(A1858),'Full Inventory'!F:F,1,0),0)=0,"X","_")</f>
        <v>_</v>
      </c>
      <c r="D1858" t="str">
        <f t="shared" ref="D1858:D1921" si="87">IF(TRIM(A1858)&lt;&gt;"","_","X")</f>
        <v>X</v>
      </c>
      <c r="E1858" t="str">
        <f ca="1">IFERROR(IF(AND(B1858&amp;C1858&amp;D1858="___",INDIRECT("Inventory!A"&amp;MATCH(VLOOKUP(A1858,Inventory!E:E,1,0),Inventory!E:E,0))&lt;&gt;INDIRECT("'Full Inventory'!B"&amp;MATCH(VLOOKUP(A1858,'Full Inventory'!F:F,1,0),'Full Inventory'!F:F,0))),"X","_"),"_")</f>
        <v>_</v>
      </c>
      <c r="K1858" t="str">
        <f t="shared" ca="1" si="85"/>
        <v>__X_</v>
      </c>
      <c r="L1858" t="str">
        <f t="shared" ca="1" si="86"/>
        <v/>
      </c>
      <c r="M1858" t="str">
        <f>IFERROR(INDEX(Inventory!A:A,MATCH(Scan!A1858,Inventory!E:E,0)),"")</f>
        <v/>
      </c>
    </row>
    <row r="1859" spans="2:13" x14ac:dyDescent="0.25">
      <c r="B1859" t="str">
        <f>IF(IFERROR(VLOOKUP(TRIM(A1859),Inventory!E:E,1,0),0)=0,"X","_")</f>
        <v>_</v>
      </c>
      <c r="C1859" t="str">
        <f>IF(IFERROR(VLOOKUP(TRIM(A1859),'Full Inventory'!F:F,1,0),0)=0,"X","_")</f>
        <v>_</v>
      </c>
      <c r="D1859" t="str">
        <f t="shared" si="87"/>
        <v>X</v>
      </c>
      <c r="E1859" t="str">
        <f ca="1">IFERROR(IF(AND(B1859&amp;C1859&amp;D1859="___",INDIRECT("Inventory!A"&amp;MATCH(VLOOKUP(A1859,Inventory!E:E,1,0),Inventory!E:E,0))&lt;&gt;INDIRECT("'Full Inventory'!B"&amp;MATCH(VLOOKUP(A1859,'Full Inventory'!F:F,1,0),'Full Inventory'!F:F,0))),"X","_"),"_")</f>
        <v>_</v>
      </c>
      <c r="K1859" t="str">
        <f t="shared" ref="K1859:K1922" ca="1" si="88">B1859&amp;C1859&amp;D1859&amp;E1859</f>
        <v>__X_</v>
      </c>
      <c r="L1859" t="str">
        <f t="shared" ref="L1859:L1922" ca="1" si="89">IF(K1859="____","OK",IF(K1859="_X__","NOT IN FULL INVENTORY",IF(K1859="XX__","NOT IN FULL INVENTORY AND INVENTORY",IF(K1859="X___","NOT IN INVENTORY",IF(K1859="___X","DIFFERENT NAMES IN FULL INVENTORY AND INVENTORY","")))))</f>
        <v/>
      </c>
      <c r="M1859" t="str">
        <f>IFERROR(INDEX(Inventory!A:A,MATCH(Scan!A1859,Inventory!E:E,0)),"")</f>
        <v/>
      </c>
    </row>
    <row r="1860" spans="2:13" x14ac:dyDescent="0.25">
      <c r="B1860" t="str">
        <f>IF(IFERROR(VLOOKUP(TRIM(A1860),Inventory!E:E,1,0),0)=0,"X","_")</f>
        <v>_</v>
      </c>
      <c r="C1860" t="str">
        <f>IF(IFERROR(VLOOKUP(TRIM(A1860),'Full Inventory'!F:F,1,0),0)=0,"X","_")</f>
        <v>_</v>
      </c>
      <c r="D1860" t="str">
        <f t="shared" si="87"/>
        <v>X</v>
      </c>
      <c r="E1860" t="str">
        <f ca="1">IFERROR(IF(AND(B1860&amp;C1860&amp;D1860="___",INDIRECT("Inventory!A"&amp;MATCH(VLOOKUP(A1860,Inventory!E:E,1,0),Inventory!E:E,0))&lt;&gt;INDIRECT("'Full Inventory'!B"&amp;MATCH(VLOOKUP(A1860,'Full Inventory'!F:F,1,0),'Full Inventory'!F:F,0))),"X","_"),"_")</f>
        <v>_</v>
      </c>
      <c r="K1860" t="str">
        <f t="shared" ca="1" si="88"/>
        <v>__X_</v>
      </c>
      <c r="L1860" t="str">
        <f t="shared" ca="1" si="89"/>
        <v/>
      </c>
      <c r="M1860" t="str">
        <f>IFERROR(INDEX(Inventory!A:A,MATCH(Scan!A1860,Inventory!E:E,0)),"")</f>
        <v/>
      </c>
    </row>
    <row r="1861" spans="2:13" x14ac:dyDescent="0.25">
      <c r="B1861" t="str">
        <f>IF(IFERROR(VLOOKUP(TRIM(A1861),Inventory!E:E,1,0),0)=0,"X","_")</f>
        <v>_</v>
      </c>
      <c r="C1861" t="str">
        <f>IF(IFERROR(VLOOKUP(TRIM(A1861),'Full Inventory'!F:F,1,0),0)=0,"X","_")</f>
        <v>_</v>
      </c>
      <c r="D1861" t="str">
        <f t="shared" si="87"/>
        <v>X</v>
      </c>
      <c r="E1861" t="str">
        <f ca="1">IFERROR(IF(AND(B1861&amp;C1861&amp;D1861="___",INDIRECT("Inventory!A"&amp;MATCH(VLOOKUP(A1861,Inventory!E:E,1,0),Inventory!E:E,0))&lt;&gt;INDIRECT("'Full Inventory'!B"&amp;MATCH(VLOOKUP(A1861,'Full Inventory'!F:F,1,0),'Full Inventory'!F:F,0))),"X","_"),"_")</f>
        <v>_</v>
      </c>
      <c r="K1861" t="str">
        <f t="shared" ca="1" si="88"/>
        <v>__X_</v>
      </c>
      <c r="L1861" t="str">
        <f t="shared" ca="1" si="89"/>
        <v/>
      </c>
      <c r="M1861" t="str">
        <f>IFERROR(INDEX(Inventory!A:A,MATCH(Scan!A1861,Inventory!E:E,0)),"")</f>
        <v/>
      </c>
    </row>
    <row r="1862" spans="2:13" x14ac:dyDescent="0.25">
      <c r="B1862" t="str">
        <f>IF(IFERROR(VLOOKUP(TRIM(A1862),Inventory!E:E,1,0),0)=0,"X","_")</f>
        <v>_</v>
      </c>
      <c r="C1862" t="str">
        <f>IF(IFERROR(VLOOKUP(TRIM(A1862),'Full Inventory'!F:F,1,0),0)=0,"X","_")</f>
        <v>_</v>
      </c>
      <c r="D1862" t="str">
        <f t="shared" si="87"/>
        <v>X</v>
      </c>
      <c r="E1862" t="str">
        <f ca="1">IFERROR(IF(AND(B1862&amp;C1862&amp;D1862="___",INDIRECT("Inventory!A"&amp;MATCH(VLOOKUP(A1862,Inventory!E:E,1,0),Inventory!E:E,0))&lt;&gt;INDIRECT("'Full Inventory'!B"&amp;MATCH(VLOOKUP(A1862,'Full Inventory'!F:F,1,0),'Full Inventory'!F:F,0))),"X","_"),"_")</f>
        <v>_</v>
      </c>
      <c r="K1862" t="str">
        <f t="shared" ca="1" si="88"/>
        <v>__X_</v>
      </c>
      <c r="L1862" t="str">
        <f t="shared" ca="1" si="89"/>
        <v/>
      </c>
      <c r="M1862" t="str">
        <f>IFERROR(INDEX(Inventory!A:A,MATCH(Scan!A1862,Inventory!E:E,0)),"")</f>
        <v/>
      </c>
    </row>
    <row r="1863" spans="2:13" x14ac:dyDescent="0.25">
      <c r="B1863" t="str">
        <f>IF(IFERROR(VLOOKUP(TRIM(A1863),Inventory!E:E,1,0),0)=0,"X","_")</f>
        <v>_</v>
      </c>
      <c r="C1863" t="str">
        <f>IF(IFERROR(VLOOKUP(TRIM(A1863),'Full Inventory'!F:F,1,0),0)=0,"X","_")</f>
        <v>_</v>
      </c>
      <c r="D1863" t="str">
        <f t="shared" si="87"/>
        <v>X</v>
      </c>
      <c r="E1863" t="str">
        <f ca="1">IFERROR(IF(AND(B1863&amp;C1863&amp;D1863="___",INDIRECT("Inventory!A"&amp;MATCH(VLOOKUP(A1863,Inventory!E:E,1,0),Inventory!E:E,0))&lt;&gt;INDIRECT("'Full Inventory'!B"&amp;MATCH(VLOOKUP(A1863,'Full Inventory'!F:F,1,0),'Full Inventory'!F:F,0))),"X","_"),"_")</f>
        <v>_</v>
      </c>
      <c r="K1863" t="str">
        <f t="shared" ca="1" si="88"/>
        <v>__X_</v>
      </c>
      <c r="L1863" t="str">
        <f t="shared" ca="1" si="89"/>
        <v/>
      </c>
      <c r="M1863" t="str">
        <f>IFERROR(INDEX(Inventory!A:A,MATCH(Scan!A1863,Inventory!E:E,0)),"")</f>
        <v/>
      </c>
    </row>
    <row r="1864" spans="2:13" x14ac:dyDescent="0.25">
      <c r="B1864" t="str">
        <f>IF(IFERROR(VLOOKUP(TRIM(A1864),Inventory!E:E,1,0),0)=0,"X","_")</f>
        <v>_</v>
      </c>
      <c r="C1864" t="str">
        <f>IF(IFERROR(VLOOKUP(TRIM(A1864),'Full Inventory'!F:F,1,0),0)=0,"X","_")</f>
        <v>_</v>
      </c>
      <c r="D1864" t="str">
        <f t="shared" si="87"/>
        <v>X</v>
      </c>
      <c r="E1864" t="str">
        <f ca="1">IFERROR(IF(AND(B1864&amp;C1864&amp;D1864="___",INDIRECT("Inventory!A"&amp;MATCH(VLOOKUP(A1864,Inventory!E:E,1,0),Inventory!E:E,0))&lt;&gt;INDIRECT("'Full Inventory'!B"&amp;MATCH(VLOOKUP(A1864,'Full Inventory'!F:F,1,0),'Full Inventory'!F:F,0))),"X","_"),"_")</f>
        <v>_</v>
      </c>
      <c r="K1864" t="str">
        <f t="shared" ca="1" si="88"/>
        <v>__X_</v>
      </c>
      <c r="L1864" t="str">
        <f t="shared" ca="1" si="89"/>
        <v/>
      </c>
      <c r="M1864" t="str">
        <f>IFERROR(INDEX(Inventory!A:A,MATCH(Scan!A1864,Inventory!E:E,0)),"")</f>
        <v/>
      </c>
    </row>
    <row r="1865" spans="2:13" x14ac:dyDescent="0.25">
      <c r="B1865" t="str">
        <f>IF(IFERROR(VLOOKUP(TRIM(A1865),Inventory!E:E,1,0),0)=0,"X","_")</f>
        <v>_</v>
      </c>
      <c r="C1865" t="str">
        <f>IF(IFERROR(VLOOKUP(TRIM(A1865),'Full Inventory'!F:F,1,0),0)=0,"X","_")</f>
        <v>_</v>
      </c>
      <c r="D1865" t="str">
        <f t="shared" si="87"/>
        <v>X</v>
      </c>
      <c r="E1865" t="str">
        <f ca="1">IFERROR(IF(AND(B1865&amp;C1865&amp;D1865="___",INDIRECT("Inventory!A"&amp;MATCH(VLOOKUP(A1865,Inventory!E:E,1,0),Inventory!E:E,0))&lt;&gt;INDIRECT("'Full Inventory'!B"&amp;MATCH(VLOOKUP(A1865,'Full Inventory'!F:F,1,0),'Full Inventory'!F:F,0))),"X","_"),"_")</f>
        <v>_</v>
      </c>
      <c r="K1865" t="str">
        <f t="shared" ca="1" si="88"/>
        <v>__X_</v>
      </c>
      <c r="L1865" t="str">
        <f t="shared" ca="1" si="89"/>
        <v/>
      </c>
      <c r="M1865" t="str">
        <f>IFERROR(INDEX(Inventory!A:A,MATCH(Scan!A1865,Inventory!E:E,0)),"")</f>
        <v/>
      </c>
    </row>
    <row r="1866" spans="2:13" x14ac:dyDescent="0.25">
      <c r="B1866" t="str">
        <f>IF(IFERROR(VLOOKUP(TRIM(A1866),Inventory!E:E,1,0),0)=0,"X","_")</f>
        <v>_</v>
      </c>
      <c r="C1866" t="str">
        <f>IF(IFERROR(VLOOKUP(TRIM(A1866),'Full Inventory'!F:F,1,0),0)=0,"X","_")</f>
        <v>_</v>
      </c>
      <c r="D1866" t="str">
        <f t="shared" si="87"/>
        <v>X</v>
      </c>
      <c r="E1866" t="str">
        <f ca="1">IFERROR(IF(AND(B1866&amp;C1866&amp;D1866="___",INDIRECT("Inventory!A"&amp;MATCH(VLOOKUP(A1866,Inventory!E:E,1,0),Inventory!E:E,0))&lt;&gt;INDIRECT("'Full Inventory'!B"&amp;MATCH(VLOOKUP(A1866,'Full Inventory'!F:F,1,0),'Full Inventory'!F:F,0))),"X","_"),"_")</f>
        <v>_</v>
      </c>
      <c r="K1866" t="str">
        <f t="shared" ca="1" si="88"/>
        <v>__X_</v>
      </c>
      <c r="L1866" t="str">
        <f t="shared" ca="1" si="89"/>
        <v/>
      </c>
      <c r="M1866" t="str">
        <f>IFERROR(INDEX(Inventory!A:A,MATCH(Scan!A1866,Inventory!E:E,0)),"")</f>
        <v/>
      </c>
    </row>
    <row r="1867" spans="2:13" x14ac:dyDescent="0.25">
      <c r="B1867" t="str">
        <f>IF(IFERROR(VLOOKUP(TRIM(A1867),Inventory!E:E,1,0),0)=0,"X","_")</f>
        <v>_</v>
      </c>
      <c r="C1867" t="str">
        <f>IF(IFERROR(VLOOKUP(TRIM(A1867),'Full Inventory'!F:F,1,0),0)=0,"X","_")</f>
        <v>_</v>
      </c>
      <c r="D1867" t="str">
        <f t="shared" si="87"/>
        <v>X</v>
      </c>
      <c r="E1867" t="str">
        <f ca="1">IFERROR(IF(AND(B1867&amp;C1867&amp;D1867="___",INDIRECT("Inventory!A"&amp;MATCH(VLOOKUP(A1867,Inventory!E:E,1,0),Inventory!E:E,0))&lt;&gt;INDIRECT("'Full Inventory'!B"&amp;MATCH(VLOOKUP(A1867,'Full Inventory'!F:F,1,0),'Full Inventory'!F:F,0))),"X","_"),"_")</f>
        <v>_</v>
      </c>
      <c r="K1867" t="str">
        <f t="shared" ca="1" si="88"/>
        <v>__X_</v>
      </c>
      <c r="L1867" t="str">
        <f t="shared" ca="1" si="89"/>
        <v/>
      </c>
      <c r="M1867" t="str">
        <f>IFERROR(INDEX(Inventory!A:A,MATCH(Scan!A1867,Inventory!E:E,0)),"")</f>
        <v/>
      </c>
    </row>
    <row r="1868" spans="2:13" x14ac:dyDescent="0.25">
      <c r="B1868" t="str">
        <f>IF(IFERROR(VLOOKUP(TRIM(A1868),Inventory!E:E,1,0),0)=0,"X","_")</f>
        <v>_</v>
      </c>
      <c r="C1868" t="str">
        <f>IF(IFERROR(VLOOKUP(TRIM(A1868),'Full Inventory'!F:F,1,0),0)=0,"X","_")</f>
        <v>_</v>
      </c>
      <c r="D1868" t="str">
        <f t="shared" si="87"/>
        <v>X</v>
      </c>
      <c r="E1868" t="str">
        <f ca="1">IFERROR(IF(AND(B1868&amp;C1868&amp;D1868="___",INDIRECT("Inventory!A"&amp;MATCH(VLOOKUP(A1868,Inventory!E:E,1,0),Inventory!E:E,0))&lt;&gt;INDIRECT("'Full Inventory'!B"&amp;MATCH(VLOOKUP(A1868,'Full Inventory'!F:F,1,0),'Full Inventory'!F:F,0))),"X","_"),"_")</f>
        <v>_</v>
      </c>
      <c r="K1868" t="str">
        <f t="shared" ca="1" si="88"/>
        <v>__X_</v>
      </c>
      <c r="L1868" t="str">
        <f t="shared" ca="1" si="89"/>
        <v/>
      </c>
      <c r="M1868" t="str">
        <f>IFERROR(INDEX(Inventory!A:A,MATCH(Scan!A1868,Inventory!E:E,0)),"")</f>
        <v/>
      </c>
    </row>
    <row r="1869" spans="2:13" x14ac:dyDescent="0.25">
      <c r="B1869" t="str">
        <f>IF(IFERROR(VLOOKUP(TRIM(A1869),Inventory!E:E,1,0),0)=0,"X","_")</f>
        <v>_</v>
      </c>
      <c r="C1869" t="str">
        <f>IF(IFERROR(VLOOKUP(TRIM(A1869),'Full Inventory'!F:F,1,0),0)=0,"X","_")</f>
        <v>_</v>
      </c>
      <c r="D1869" t="str">
        <f t="shared" si="87"/>
        <v>X</v>
      </c>
      <c r="E1869" t="str">
        <f ca="1">IFERROR(IF(AND(B1869&amp;C1869&amp;D1869="___",INDIRECT("Inventory!A"&amp;MATCH(VLOOKUP(A1869,Inventory!E:E,1,0),Inventory!E:E,0))&lt;&gt;INDIRECT("'Full Inventory'!B"&amp;MATCH(VLOOKUP(A1869,'Full Inventory'!F:F,1,0),'Full Inventory'!F:F,0))),"X","_"),"_")</f>
        <v>_</v>
      </c>
      <c r="K1869" t="str">
        <f t="shared" ca="1" si="88"/>
        <v>__X_</v>
      </c>
      <c r="L1869" t="str">
        <f t="shared" ca="1" si="89"/>
        <v/>
      </c>
      <c r="M1869" t="str">
        <f>IFERROR(INDEX(Inventory!A:A,MATCH(Scan!A1869,Inventory!E:E,0)),"")</f>
        <v/>
      </c>
    </row>
    <row r="1870" spans="2:13" x14ac:dyDescent="0.25">
      <c r="B1870" t="str">
        <f>IF(IFERROR(VLOOKUP(TRIM(A1870),Inventory!E:E,1,0),0)=0,"X","_")</f>
        <v>_</v>
      </c>
      <c r="C1870" t="str">
        <f>IF(IFERROR(VLOOKUP(TRIM(A1870),'Full Inventory'!F:F,1,0),0)=0,"X","_")</f>
        <v>_</v>
      </c>
      <c r="D1870" t="str">
        <f t="shared" si="87"/>
        <v>X</v>
      </c>
      <c r="E1870" t="str">
        <f ca="1">IFERROR(IF(AND(B1870&amp;C1870&amp;D1870="___",INDIRECT("Inventory!A"&amp;MATCH(VLOOKUP(A1870,Inventory!E:E,1,0),Inventory!E:E,0))&lt;&gt;INDIRECT("'Full Inventory'!B"&amp;MATCH(VLOOKUP(A1870,'Full Inventory'!F:F,1,0),'Full Inventory'!F:F,0))),"X","_"),"_")</f>
        <v>_</v>
      </c>
      <c r="K1870" t="str">
        <f t="shared" ca="1" si="88"/>
        <v>__X_</v>
      </c>
      <c r="L1870" t="str">
        <f t="shared" ca="1" si="89"/>
        <v/>
      </c>
      <c r="M1870" t="str">
        <f>IFERROR(INDEX(Inventory!A:A,MATCH(Scan!A1870,Inventory!E:E,0)),"")</f>
        <v/>
      </c>
    </row>
    <row r="1871" spans="2:13" x14ac:dyDescent="0.25">
      <c r="B1871" t="str">
        <f>IF(IFERROR(VLOOKUP(TRIM(A1871),Inventory!E:E,1,0),0)=0,"X","_")</f>
        <v>_</v>
      </c>
      <c r="C1871" t="str">
        <f>IF(IFERROR(VLOOKUP(TRIM(A1871),'Full Inventory'!F:F,1,0),0)=0,"X","_")</f>
        <v>_</v>
      </c>
      <c r="D1871" t="str">
        <f t="shared" si="87"/>
        <v>X</v>
      </c>
      <c r="E1871" t="str">
        <f ca="1">IFERROR(IF(AND(B1871&amp;C1871&amp;D1871="___",INDIRECT("Inventory!A"&amp;MATCH(VLOOKUP(A1871,Inventory!E:E,1,0),Inventory!E:E,0))&lt;&gt;INDIRECT("'Full Inventory'!B"&amp;MATCH(VLOOKUP(A1871,'Full Inventory'!F:F,1,0),'Full Inventory'!F:F,0))),"X","_"),"_")</f>
        <v>_</v>
      </c>
      <c r="K1871" t="str">
        <f t="shared" ca="1" si="88"/>
        <v>__X_</v>
      </c>
      <c r="L1871" t="str">
        <f t="shared" ca="1" si="89"/>
        <v/>
      </c>
      <c r="M1871" t="str">
        <f>IFERROR(INDEX(Inventory!A:A,MATCH(Scan!A1871,Inventory!E:E,0)),"")</f>
        <v/>
      </c>
    </row>
    <row r="1872" spans="2:13" x14ac:dyDescent="0.25">
      <c r="B1872" t="str">
        <f>IF(IFERROR(VLOOKUP(TRIM(A1872),Inventory!E:E,1,0),0)=0,"X","_")</f>
        <v>_</v>
      </c>
      <c r="C1872" t="str">
        <f>IF(IFERROR(VLOOKUP(TRIM(A1872),'Full Inventory'!F:F,1,0),0)=0,"X","_")</f>
        <v>_</v>
      </c>
      <c r="D1872" t="str">
        <f t="shared" si="87"/>
        <v>X</v>
      </c>
      <c r="E1872" t="str">
        <f ca="1">IFERROR(IF(AND(B1872&amp;C1872&amp;D1872="___",INDIRECT("Inventory!A"&amp;MATCH(VLOOKUP(A1872,Inventory!E:E,1,0),Inventory!E:E,0))&lt;&gt;INDIRECT("'Full Inventory'!B"&amp;MATCH(VLOOKUP(A1872,'Full Inventory'!F:F,1,0),'Full Inventory'!F:F,0))),"X","_"),"_")</f>
        <v>_</v>
      </c>
      <c r="K1872" t="str">
        <f t="shared" ca="1" si="88"/>
        <v>__X_</v>
      </c>
      <c r="L1872" t="str">
        <f t="shared" ca="1" si="89"/>
        <v/>
      </c>
      <c r="M1872" t="str">
        <f>IFERROR(INDEX(Inventory!A:A,MATCH(Scan!A1872,Inventory!E:E,0)),"")</f>
        <v/>
      </c>
    </row>
    <row r="1873" spans="2:13" x14ac:dyDescent="0.25">
      <c r="B1873" t="str">
        <f>IF(IFERROR(VLOOKUP(TRIM(A1873),Inventory!E:E,1,0),0)=0,"X","_")</f>
        <v>_</v>
      </c>
      <c r="C1873" t="str">
        <f>IF(IFERROR(VLOOKUP(TRIM(A1873),'Full Inventory'!F:F,1,0),0)=0,"X","_")</f>
        <v>_</v>
      </c>
      <c r="D1873" t="str">
        <f t="shared" si="87"/>
        <v>X</v>
      </c>
      <c r="E1873" t="str">
        <f ca="1">IFERROR(IF(AND(B1873&amp;C1873&amp;D1873="___",INDIRECT("Inventory!A"&amp;MATCH(VLOOKUP(A1873,Inventory!E:E,1,0),Inventory!E:E,0))&lt;&gt;INDIRECT("'Full Inventory'!B"&amp;MATCH(VLOOKUP(A1873,'Full Inventory'!F:F,1,0),'Full Inventory'!F:F,0))),"X","_"),"_")</f>
        <v>_</v>
      </c>
      <c r="K1873" t="str">
        <f t="shared" ca="1" si="88"/>
        <v>__X_</v>
      </c>
      <c r="L1873" t="str">
        <f t="shared" ca="1" si="89"/>
        <v/>
      </c>
      <c r="M1873" t="str">
        <f>IFERROR(INDEX(Inventory!A:A,MATCH(Scan!A1873,Inventory!E:E,0)),"")</f>
        <v/>
      </c>
    </row>
    <row r="1874" spans="2:13" x14ac:dyDescent="0.25">
      <c r="B1874" t="str">
        <f>IF(IFERROR(VLOOKUP(TRIM(A1874),Inventory!E:E,1,0),0)=0,"X","_")</f>
        <v>_</v>
      </c>
      <c r="C1874" t="str">
        <f>IF(IFERROR(VLOOKUP(TRIM(A1874),'Full Inventory'!F:F,1,0),0)=0,"X","_")</f>
        <v>_</v>
      </c>
      <c r="D1874" t="str">
        <f t="shared" si="87"/>
        <v>X</v>
      </c>
      <c r="E1874" t="str">
        <f ca="1">IFERROR(IF(AND(B1874&amp;C1874&amp;D1874="___",INDIRECT("Inventory!A"&amp;MATCH(VLOOKUP(A1874,Inventory!E:E,1,0),Inventory!E:E,0))&lt;&gt;INDIRECT("'Full Inventory'!B"&amp;MATCH(VLOOKUP(A1874,'Full Inventory'!F:F,1,0),'Full Inventory'!F:F,0))),"X","_"),"_")</f>
        <v>_</v>
      </c>
      <c r="K1874" t="str">
        <f t="shared" ca="1" si="88"/>
        <v>__X_</v>
      </c>
      <c r="L1874" t="str">
        <f t="shared" ca="1" si="89"/>
        <v/>
      </c>
      <c r="M1874" t="str">
        <f>IFERROR(INDEX(Inventory!A:A,MATCH(Scan!A1874,Inventory!E:E,0)),"")</f>
        <v/>
      </c>
    </row>
    <row r="1875" spans="2:13" x14ac:dyDescent="0.25">
      <c r="B1875" t="str">
        <f>IF(IFERROR(VLOOKUP(TRIM(A1875),Inventory!E:E,1,0),0)=0,"X","_")</f>
        <v>_</v>
      </c>
      <c r="C1875" t="str">
        <f>IF(IFERROR(VLOOKUP(TRIM(A1875),'Full Inventory'!F:F,1,0),0)=0,"X","_")</f>
        <v>_</v>
      </c>
      <c r="D1875" t="str">
        <f t="shared" si="87"/>
        <v>X</v>
      </c>
      <c r="E1875" t="str">
        <f ca="1">IFERROR(IF(AND(B1875&amp;C1875&amp;D1875="___",INDIRECT("Inventory!A"&amp;MATCH(VLOOKUP(A1875,Inventory!E:E,1,0),Inventory!E:E,0))&lt;&gt;INDIRECT("'Full Inventory'!B"&amp;MATCH(VLOOKUP(A1875,'Full Inventory'!F:F,1,0),'Full Inventory'!F:F,0))),"X","_"),"_")</f>
        <v>_</v>
      </c>
      <c r="K1875" t="str">
        <f t="shared" ca="1" si="88"/>
        <v>__X_</v>
      </c>
      <c r="L1875" t="str">
        <f t="shared" ca="1" si="89"/>
        <v/>
      </c>
      <c r="M1875" t="str">
        <f>IFERROR(INDEX(Inventory!A:A,MATCH(Scan!A1875,Inventory!E:E,0)),"")</f>
        <v/>
      </c>
    </row>
    <row r="1876" spans="2:13" x14ac:dyDescent="0.25">
      <c r="B1876" t="str">
        <f>IF(IFERROR(VLOOKUP(TRIM(A1876),Inventory!E:E,1,0),0)=0,"X","_")</f>
        <v>_</v>
      </c>
      <c r="C1876" t="str">
        <f>IF(IFERROR(VLOOKUP(TRIM(A1876),'Full Inventory'!F:F,1,0),0)=0,"X","_")</f>
        <v>_</v>
      </c>
      <c r="D1876" t="str">
        <f t="shared" si="87"/>
        <v>X</v>
      </c>
      <c r="E1876" t="str">
        <f ca="1">IFERROR(IF(AND(B1876&amp;C1876&amp;D1876="___",INDIRECT("Inventory!A"&amp;MATCH(VLOOKUP(A1876,Inventory!E:E,1,0),Inventory!E:E,0))&lt;&gt;INDIRECT("'Full Inventory'!B"&amp;MATCH(VLOOKUP(A1876,'Full Inventory'!F:F,1,0),'Full Inventory'!F:F,0))),"X","_"),"_")</f>
        <v>_</v>
      </c>
      <c r="K1876" t="str">
        <f t="shared" ca="1" si="88"/>
        <v>__X_</v>
      </c>
      <c r="L1876" t="str">
        <f t="shared" ca="1" si="89"/>
        <v/>
      </c>
      <c r="M1876" t="str">
        <f>IFERROR(INDEX(Inventory!A:A,MATCH(Scan!A1876,Inventory!E:E,0)),"")</f>
        <v/>
      </c>
    </row>
    <row r="1877" spans="2:13" x14ac:dyDescent="0.25">
      <c r="B1877" t="str">
        <f>IF(IFERROR(VLOOKUP(TRIM(A1877),Inventory!E:E,1,0),0)=0,"X","_")</f>
        <v>_</v>
      </c>
      <c r="C1877" t="str">
        <f>IF(IFERROR(VLOOKUP(TRIM(A1877),'Full Inventory'!F:F,1,0),0)=0,"X","_")</f>
        <v>_</v>
      </c>
      <c r="D1877" t="str">
        <f t="shared" si="87"/>
        <v>X</v>
      </c>
      <c r="E1877" t="str">
        <f ca="1">IFERROR(IF(AND(B1877&amp;C1877&amp;D1877="___",INDIRECT("Inventory!A"&amp;MATCH(VLOOKUP(A1877,Inventory!E:E,1,0),Inventory!E:E,0))&lt;&gt;INDIRECT("'Full Inventory'!B"&amp;MATCH(VLOOKUP(A1877,'Full Inventory'!F:F,1,0),'Full Inventory'!F:F,0))),"X","_"),"_")</f>
        <v>_</v>
      </c>
      <c r="K1877" t="str">
        <f t="shared" ca="1" si="88"/>
        <v>__X_</v>
      </c>
      <c r="L1877" t="str">
        <f t="shared" ca="1" si="89"/>
        <v/>
      </c>
      <c r="M1877" t="str">
        <f>IFERROR(INDEX(Inventory!A:A,MATCH(Scan!A1877,Inventory!E:E,0)),"")</f>
        <v/>
      </c>
    </row>
    <row r="1878" spans="2:13" x14ac:dyDescent="0.25">
      <c r="B1878" t="str">
        <f>IF(IFERROR(VLOOKUP(TRIM(A1878),Inventory!E:E,1,0),0)=0,"X","_")</f>
        <v>_</v>
      </c>
      <c r="C1878" t="str">
        <f>IF(IFERROR(VLOOKUP(TRIM(A1878),'Full Inventory'!F:F,1,0),0)=0,"X","_")</f>
        <v>_</v>
      </c>
      <c r="D1878" t="str">
        <f t="shared" si="87"/>
        <v>X</v>
      </c>
      <c r="E1878" t="str">
        <f ca="1">IFERROR(IF(AND(B1878&amp;C1878&amp;D1878="___",INDIRECT("Inventory!A"&amp;MATCH(VLOOKUP(A1878,Inventory!E:E,1,0),Inventory!E:E,0))&lt;&gt;INDIRECT("'Full Inventory'!B"&amp;MATCH(VLOOKUP(A1878,'Full Inventory'!F:F,1,0),'Full Inventory'!F:F,0))),"X","_"),"_")</f>
        <v>_</v>
      </c>
      <c r="K1878" t="str">
        <f t="shared" ca="1" si="88"/>
        <v>__X_</v>
      </c>
      <c r="L1878" t="str">
        <f t="shared" ca="1" si="89"/>
        <v/>
      </c>
      <c r="M1878" t="str">
        <f>IFERROR(INDEX(Inventory!A:A,MATCH(Scan!A1878,Inventory!E:E,0)),"")</f>
        <v/>
      </c>
    </row>
    <row r="1879" spans="2:13" x14ac:dyDescent="0.25">
      <c r="B1879" t="str">
        <f>IF(IFERROR(VLOOKUP(TRIM(A1879),Inventory!E:E,1,0),0)=0,"X","_")</f>
        <v>_</v>
      </c>
      <c r="C1879" t="str">
        <f>IF(IFERROR(VLOOKUP(TRIM(A1879),'Full Inventory'!F:F,1,0),0)=0,"X","_")</f>
        <v>_</v>
      </c>
      <c r="D1879" t="str">
        <f t="shared" si="87"/>
        <v>X</v>
      </c>
      <c r="E1879" t="str">
        <f ca="1">IFERROR(IF(AND(B1879&amp;C1879&amp;D1879="___",INDIRECT("Inventory!A"&amp;MATCH(VLOOKUP(A1879,Inventory!E:E,1,0),Inventory!E:E,0))&lt;&gt;INDIRECT("'Full Inventory'!B"&amp;MATCH(VLOOKUP(A1879,'Full Inventory'!F:F,1,0),'Full Inventory'!F:F,0))),"X","_"),"_")</f>
        <v>_</v>
      </c>
      <c r="K1879" t="str">
        <f t="shared" ca="1" si="88"/>
        <v>__X_</v>
      </c>
      <c r="L1879" t="str">
        <f t="shared" ca="1" si="89"/>
        <v/>
      </c>
      <c r="M1879" t="str">
        <f>IFERROR(INDEX(Inventory!A:A,MATCH(Scan!A1879,Inventory!E:E,0)),"")</f>
        <v/>
      </c>
    </row>
    <row r="1880" spans="2:13" x14ac:dyDescent="0.25">
      <c r="B1880" t="str">
        <f>IF(IFERROR(VLOOKUP(TRIM(A1880),Inventory!E:E,1,0),0)=0,"X","_")</f>
        <v>_</v>
      </c>
      <c r="C1880" t="str">
        <f>IF(IFERROR(VLOOKUP(TRIM(A1880),'Full Inventory'!F:F,1,0),0)=0,"X","_")</f>
        <v>_</v>
      </c>
      <c r="D1880" t="str">
        <f t="shared" si="87"/>
        <v>X</v>
      </c>
      <c r="E1880" t="str">
        <f ca="1">IFERROR(IF(AND(B1880&amp;C1880&amp;D1880="___",INDIRECT("Inventory!A"&amp;MATCH(VLOOKUP(A1880,Inventory!E:E,1,0),Inventory!E:E,0))&lt;&gt;INDIRECT("'Full Inventory'!B"&amp;MATCH(VLOOKUP(A1880,'Full Inventory'!F:F,1,0),'Full Inventory'!F:F,0))),"X","_"),"_")</f>
        <v>_</v>
      </c>
      <c r="K1880" t="str">
        <f t="shared" ca="1" si="88"/>
        <v>__X_</v>
      </c>
      <c r="L1880" t="str">
        <f t="shared" ca="1" si="89"/>
        <v/>
      </c>
      <c r="M1880" t="str">
        <f>IFERROR(INDEX(Inventory!A:A,MATCH(Scan!A1880,Inventory!E:E,0)),"")</f>
        <v/>
      </c>
    </row>
    <row r="1881" spans="2:13" x14ac:dyDescent="0.25">
      <c r="B1881" t="str">
        <f>IF(IFERROR(VLOOKUP(TRIM(A1881),Inventory!E:E,1,0),0)=0,"X","_")</f>
        <v>_</v>
      </c>
      <c r="C1881" t="str">
        <f>IF(IFERROR(VLOOKUP(TRIM(A1881),'Full Inventory'!F:F,1,0),0)=0,"X","_")</f>
        <v>_</v>
      </c>
      <c r="D1881" t="str">
        <f t="shared" si="87"/>
        <v>X</v>
      </c>
      <c r="E1881" t="str">
        <f ca="1">IFERROR(IF(AND(B1881&amp;C1881&amp;D1881="___",INDIRECT("Inventory!A"&amp;MATCH(VLOOKUP(A1881,Inventory!E:E,1,0),Inventory!E:E,0))&lt;&gt;INDIRECT("'Full Inventory'!B"&amp;MATCH(VLOOKUP(A1881,'Full Inventory'!F:F,1,0),'Full Inventory'!F:F,0))),"X","_"),"_")</f>
        <v>_</v>
      </c>
      <c r="K1881" t="str">
        <f t="shared" ca="1" si="88"/>
        <v>__X_</v>
      </c>
      <c r="L1881" t="str">
        <f t="shared" ca="1" si="89"/>
        <v/>
      </c>
      <c r="M1881" t="str">
        <f>IFERROR(INDEX(Inventory!A:A,MATCH(Scan!A1881,Inventory!E:E,0)),"")</f>
        <v/>
      </c>
    </row>
    <row r="1882" spans="2:13" x14ac:dyDescent="0.25">
      <c r="B1882" t="str">
        <f>IF(IFERROR(VLOOKUP(TRIM(A1882),Inventory!E:E,1,0),0)=0,"X","_")</f>
        <v>_</v>
      </c>
      <c r="C1882" t="str">
        <f>IF(IFERROR(VLOOKUP(TRIM(A1882),'Full Inventory'!F:F,1,0),0)=0,"X","_")</f>
        <v>_</v>
      </c>
      <c r="D1882" t="str">
        <f t="shared" si="87"/>
        <v>X</v>
      </c>
      <c r="E1882" t="str">
        <f ca="1">IFERROR(IF(AND(B1882&amp;C1882&amp;D1882="___",INDIRECT("Inventory!A"&amp;MATCH(VLOOKUP(A1882,Inventory!E:E,1,0),Inventory!E:E,0))&lt;&gt;INDIRECT("'Full Inventory'!B"&amp;MATCH(VLOOKUP(A1882,'Full Inventory'!F:F,1,0),'Full Inventory'!F:F,0))),"X","_"),"_")</f>
        <v>_</v>
      </c>
      <c r="K1882" t="str">
        <f t="shared" ca="1" si="88"/>
        <v>__X_</v>
      </c>
      <c r="L1882" t="str">
        <f t="shared" ca="1" si="89"/>
        <v/>
      </c>
      <c r="M1882" t="str">
        <f>IFERROR(INDEX(Inventory!A:A,MATCH(Scan!A1882,Inventory!E:E,0)),"")</f>
        <v/>
      </c>
    </row>
    <row r="1883" spans="2:13" x14ac:dyDescent="0.25">
      <c r="B1883" t="str">
        <f>IF(IFERROR(VLOOKUP(TRIM(A1883),Inventory!E:E,1,0),0)=0,"X","_")</f>
        <v>_</v>
      </c>
      <c r="C1883" t="str">
        <f>IF(IFERROR(VLOOKUP(TRIM(A1883),'Full Inventory'!F:F,1,0),0)=0,"X","_")</f>
        <v>_</v>
      </c>
      <c r="D1883" t="str">
        <f t="shared" si="87"/>
        <v>X</v>
      </c>
      <c r="E1883" t="str">
        <f ca="1">IFERROR(IF(AND(B1883&amp;C1883&amp;D1883="___",INDIRECT("Inventory!A"&amp;MATCH(VLOOKUP(A1883,Inventory!E:E,1,0),Inventory!E:E,0))&lt;&gt;INDIRECT("'Full Inventory'!B"&amp;MATCH(VLOOKUP(A1883,'Full Inventory'!F:F,1,0),'Full Inventory'!F:F,0))),"X","_"),"_")</f>
        <v>_</v>
      </c>
      <c r="K1883" t="str">
        <f t="shared" ca="1" si="88"/>
        <v>__X_</v>
      </c>
      <c r="L1883" t="str">
        <f t="shared" ca="1" si="89"/>
        <v/>
      </c>
      <c r="M1883" t="str">
        <f>IFERROR(INDEX(Inventory!A:A,MATCH(Scan!A1883,Inventory!E:E,0)),"")</f>
        <v/>
      </c>
    </row>
    <row r="1884" spans="2:13" x14ac:dyDescent="0.25">
      <c r="B1884" t="str">
        <f>IF(IFERROR(VLOOKUP(TRIM(A1884),Inventory!E:E,1,0),0)=0,"X","_")</f>
        <v>_</v>
      </c>
      <c r="C1884" t="str">
        <f>IF(IFERROR(VLOOKUP(TRIM(A1884),'Full Inventory'!F:F,1,0),0)=0,"X","_")</f>
        <v>_</v>
      </c>
      <c r="D1884" t="str">
        <f t="shared" si="87"/>
        <v>X</v>
      </c>
      <c r="E1884" t="str">
        <f ca="1">IFERROR(IF(AND(B1884&amp;C1884&amp;D1884="___",INDIRECT("Inventory!A"&amp;MATCH(VLOOKUP(A1884,Inventory!E:E,1,0),Inventory!E:E,0))&lt;&gt;INDIRECT("'Full Inventory'!B"&amp;MATCH(VLOOKUP(A1884,'Full Inventory'!F:F,1,0),'Full Inventory'!F:F,0))),"X","_"),"_")</f>
        <v>_</v>
      </c>
      <c r="K1884" t="str">
        <f t="shared" ca="1" si="88"/>
        <v>__X_</v>
      </c>
      <c r="L1884" t="str">
        <f t="shared" ca="1" si="89"/>
        <v/>
      </c>
      <c r="M1884" t="str">
        <f>IFERROR(INDEX(Inventory!A:A,MATCH(Scan!A1884,Inventory!E:E,0)),"")</f>
        <v/>
      </c>
    </row>
    <row r="1885" spans="2:13" x14ac:dyDescent="0.25">
      <c r="B1885" t="str">
        <f>IF(IFERROR(VLOOKUP(TRIM(A1885),Inventory!E:E,1,0),0)=0,"X","_")</f>
        <v>_</v>
      </c>
      <c r="C1885" t="str">
        <f>IF(IFERROR(VLOOKUP(TRIM(A1885),'Full Inventory'!F:F,1,0),0)=0,"X","_")</f>
        <v>_</v>
      </c>
      <c r="D1885" t="str">
        <f t="shared" si="87"/>
        <v>X</v>
      </c>
      <c r="E1885" t="str">
        <f ca="1">IFERROR(IF(AND(B1885&amp;C1885&amp;D1885="___",INDIRECT("Inventory!A"&amp;MATCH(VLOOKUP(A1885,Inventory!E:E,1,0),Inventory!E:E,0))&lt;&gt;INDIRECT("'Full Inventory'!B"&amp;MATCH(VLOOKUP(A1885,'Full Inventory'!F:F,1,0),'Full Inventory'!F:F,0))),"X","_"),"_")</f>
        <v>_</v>
      </c>
      <c r="K1885" t="str">
        <f t="shared" ca="1" si="88"/>
        <v>__X_</v>
      </c>
      <c r="L1885" t="str">
        <f t="shared" ca="1" si="89"/>
        <v/>
      </c>
      <c r="M1885" t="str">
        <f>IFERROR(INDEX(Inventory!A:A,MATCH(Scan!A1885,Inventory!E:E,0)),"")</f>
        <v/>
      </c>
    </row>
    <row r="1886" spans="2:13" x14ac:dyDescent="0.25">
      <c r="B1886" t="str">
        <f>IF(IFERROR(VLOOKUP(TRIM(A1886),Inventory!E:E,1,0),0)=0,"X","_")</f>
        <v>_</v>
      </c>
      <c r="C1886" t="str">
        <f>IF(IFERROR(VLOOKUP(TRIM(A1886),'Full Inventory'!F:F,1,0),0)=0,"X","_")</f>
        <v>_</v>
      </c>
      <c r="D1886" t="str">
        <f t="shared" si="87"/>
        <v>X</v>
      </c>
      <c r="E1886" t="str">
        <f ca="1">IFERROR(IF(AND(B1886&amp;C1886&amp;D1886="___",INDIRECT("Inventory!A"&amp;MATCH(VLOOKUP(A1886,Inventory!E:E,1,0),Inventory!E:E,0))&lt;&gt;INDIRECT("'Full Inventory'!B"&amp;MATCH(VLOOKUP(A1886,'Full Inventory'!F:F,1,0),'Full Inventory'!F:F,0))),"X","_"),"_")</f>
        <v>_</v>
      </c>
      <c r="K1886" t="str">
        <f t="shared" ca="1" si="88"/>
        <v>__X_</v>
      </c>
      <c r="L1886" t="str">
        <f t="shared" ca="1" si="89"/>
        <v/>
      </c>
      <c r="M1886" t="str">
        <f>IFERROR(INDEX(Inventory!A:A,MATCH(Scan!A1886,Inventory!E:E,0)),"")</f>
        <v/>
      </c>
    </row>
    <row r="1887" spans="2:13" x14ac:dyDescent="0.25">
      <c r="B1887" t="str">
        <f>IF(IFERROR(VLOOKUP(TRIM(A1887),Inventory!E:E,1,0),0)=0,"X","_")</f>
        <v>_</v>
      </c>
      <c r="C1887" t="str">
        <f>IF(IFERROR(VLOOKUP(TRIM(A1887),'Full Inventory'!F:F,1,0),0)=0,"X","_")</f>
        <v>_</v>
      </c>
      <c r="D1887" t="str">
        <f t="shared" si="87"/>
        <v>X</v>
      </c>
      <c r="E1887" t="str">
        <f ca="1">IFERROR(IF(AND(B1887&amp;C1887&amp;D1887="___",INDIRECT("Inventory!A"&amp;MATCH(VLOOKUP(A1887,Inventory!E:E,1,0),Inventory!E:E,0))&lt;&gt;INDIRECT("'Full Inventory'!B"&amp;MATCH(VLOOKUP(A1887,'Full Inventory'!F:F,1,0),'Full Inventory'!F:F,0))),"X","_"),"_")</f>
        <v>_</v>
      </c>
      <c r="K1887" t="str">
        <f t="shared" ca="1" si="88"/>
        <v>__X_</v>
      </c>
      <c r="L1887" t="str">
        <f t="shared" ca="1" si="89"/>
        <v/>
      </c>
      <c r="M1887" t="str">
        <f>IFERROR(INDEX(Inventory!A:A,MATCH(Scan!A1887,Inventory!E:E,0)),"")</f>
        <v/>
      </c>
    </row>
    <row r="1888" spans="2:13" x14ac:dyDescent="0.25">
      <c r="B1888" t="str">
        <f>IF(IFERROR(VLOOKUP(TRIM(A1888),Inventory!E:E,1,0),0)=0,"X","_")</f>
        <v>_</v>
      </c>
      <c r="C1888" t="str">
        <f>IF(IFERROR(VLOOKUP(TRIM(A1888),'Full Inventory'!F:F,1,0),0)=0,"X","_")</f>
        <v>_</v>
      </c>
      <c r="D1888" t="str">
        <f t="shared" si="87"/>
        <v>X</v>
      </c>
      <c r="E1888" t="str">
        <f ca="1">IFERROR(IF(AND(B1888&amp;C1888&amp;D1888="___",INDIRECT("Inventory!A"&amp;MATCH(VLOOKUP(A1888,Inventory!E:E,1,0),Inventory!E:E,0))&lt;&gt;INDIRECT("'Full Inventory'!B"&amp;MATCH(VLOOKUP(A1888,'Full Inventory'!F:F,1,0),'Full Inventory'!F:F,0))),"X","_"),"_")</f>
        <v>_</v>
      </c>
      <c r="K1888" t="str">
        <f t="shared" ca="1" si="88"/>
        <v>__X_</v>
      </c>
      <c r="L1888" t="str">
        <f t="shared" ca="1" si="89"/>
        <v/>
      </c>
      <c r="M1888" t="str">
        <f>IFERROR(INDEX(Inventory!A:A,MATCH(Scan!A1888,Inventory!E:E,0)),"")</f>
        <v/>
      </c>
    </row>
    <row r="1889" spans="2:13" x14ac:dyDescent="0.25">
      <c r="B1889" t="str">
        <f>IF(IFERROR(VLOOKUP(TRIM(A1889),Inventory!E:E,1,0),0)=0,"X","_")</f>
        <v>_</v>
      </c>
      <c r="C1889" t="str">
        <f>IF(IFERROR(VLOOKUP(TRIM(A1889),'Full Inventory'!F:F,1,0),0)=0,"X","_")</f>
        <v>_</v>
      </c>
      <c r="D1889" t="str">
        <f t="shared" si="87"/>
        <v>X</v>
      </c>
      <c r="E1889" t="str">
        <f ca="1">IFERROR(IF(AND(B1889&amp;C1889&amp;D1889="___",INDIRECT("Inventory!A"&amp;MATCH(VLOOKUP(A1889,Inventory!E:E,1,0),Inventory!E:E,0))&lt;&gt;INDIRECT("'Full Inventory'!B"&amp;MATCH(VLOOKUP(A1889,'Full Inventory'!F:F,1,0),'Full Inventory'!F:F,0))),"X","_"),"_")</f>
        <v>_</v>
      </c>
      <c r="K1889" t="str">
        <f t="shared" ca="1" si="88"/>
        <v>__X_</v>
      </c>
      <c r="L1889" t="str">
        <f t="shared" ca="1" si="89"/>
        <v/>
      </c>
      <c r="M1889" t="str">
        <f>IFERROR(INDEX(Inventory!A:A,MATCH(Scan!A1889,Inventory!E:E,0)),"")</f>
        <v/>
      </c>
    </row>
    <row r="1890" spans="2:13" x14ac:dyDescent="0.25">
      <c r="B1890" t="str">
        <f>IF(IFERROR(VLOOKUP(TRIM(A1890),Inventory!E:E,1,0),0)=0,"X","_")</f>
        <v>_</v>
      </c>
      <c r="C1890" t="str">
        <f>IF(IFERROR(VLOOKUP(TRIM(A1890),'Full Inventory'!F:F,1,0),0)=0,"X","_")</f>
        <v>_</v>
      </c>
      <c r="D1890" t="str">
        <f t="shared" si="87"/>
        <v>X</v>
      </c>
      <c r="E1890" t="str">
        <f ca="1">IFERROR(IF(AND(B1890&amp;C1890&amp;D1890="___",INDIRECT("Inventory!A"&amp;MATCH(VLOOKUP(A1890,Inventory!E:E,1,0),Inventory!E:E,0))&lt;&gt;INDIRECT("'Full Inventory'!B"&amp;MATCH(VLOOKUP(A1890,'Full Inventory'!F:F,1,0),'Full Inventory'!F:F,0))),"X","_"),"_")</f>
        <v>_</v>
      </c>
      <c r="K1890" t="str">
        <f t="shared" ca="1" si="88"/>
        <v>__X_</v>
      </c>
      <c r="L1890" t="str">
        <f t="shared" ca="1" si="89"/>
        <v/>
      </c>
      <c r="M1890" t="str">
        <f>IFERROR(INDEX(Inventory!A:A,MATCH(Scan!A1890,Inventory!E:E,0)),"")</f>
        <v/>
      </c>
    </row>
    <row r="1891" spans="2:13" x14ac:dyDescent="0.25">
      <c r="B1891" t="str">
        <f>IF(IFERROR(VLOOKUP(TRIM(A1891),Inventory!E:E,1,0),0)=0,"X","_")</f>
        <v>_</v>
      </c>
      <c r="C1891" t="str">
        <f>IF(IFERROR(VLOOKUP(TRIM(A1891),'Full Inventory'!F:F,1,0),0)=0,"X","_")</f>
        <v>_</v>
      </c>
      <c r="D1891" t="str">
        <f t="shared" si="87"/>
        <v>X</v>
      </c>
      <c r="E1891" t="str">
        <f ca="1">IFERROR(IF(AND(B1891&amp;C1891&amp;D1891="___",INDIRECT("Inventory!A"&amp;MATCH(VLOOKUP(A1891,Inventory!E:E,1,0),Inventory!E:E,0))&lt;&gt;INDIRECT("'Full Inventory'!B"&amp;MATCH(VLOOKUP(A1891,'Full Inventory'!F:F,1,0),'Full Inventory'!F:F,0))),"X","_"),"_")</f>
        <v>_</v>
      </c>
      <c r="K1891" t="str">
        <f t="shared" ca="1" si="88"/>
        <v>__X_</v>
      </c>
      <c r="L1891" t="str">
        <f t="shared" ca="1" si="89"/>
        <v/>
      </c>
      <c r="M1891" t="str">
        <f>IFERROR(INDEX(Inventory!A:A,MATCH(Scan!A1891,Inventory!E:E,0)),"")</f>
        <v/>
      </c>
    </row>
    <row r="1892" spans="2:13" x14ac:dyDescent="0.25">
      <c r="B1892" t="str">
        <f>IF(IFERROR(VLOOKUP(TRIM(A1892),Inventory!E:E,1,0),0)=0,"X","_")</f>
        <v>_</v>
      </c>
      <c r="C1892" t="str">
        <f>IF(IFERROR(VLOOKUP(TRIM(A1892),'Full Inventory'!F:F,1,0),0)=0,"X","_")</f>
        <v>_</v>
      </c>
      <c r="D1892" t="str">
        <f t="shared" si="87"/>
        <v>X</v>
      </c>
      <c r="E1892" t="str">
        <f ca="1">IFERROR(IF(AND(B1892&amp;C1892&amp;D1892="___",INDIRECT("Inventory!A"&amp;MATCH(VLOOKUP(A1892,Inventory!E:E,1,0),Inventory!E:E,0))&lt;&gt;INDIRECT("'Full Inventory'!B"&amp;MATCH(VLOOKUP(A1892,'Full Inventory'!F:F,1,0),'Full Inventory'!F:F,0))),"X","_"),"_")</f>
        <v>_</v>
      </c>
      <c r="K1892" t="str">
        <f t="shared" ca="1" si="88"/>
        <v>__X_</v>
      </c>
      <c r="L1892" t="str">
        <f t="shared" ca="1" si="89"/>
        <v/>
      </c>
      <c r="M1892" t="str">
        <f>IFERROR(INDEX(Inventory!A:A,MATCH(Scan!A1892,Inventory!E:E,0)),"")</f>
        <v/>
      </c>
    </row>
    <row r="1893" spans="2:13" x14ac:dyDescent="0.25">
      <c r="B1893" t="str">
        <f>IF(IFERROR(VLOOKUP(TRIM(A1893),Inventory!E:E,1,0),0)=0,"X","_")</f>
        <v>_</v>
      </c>
      <c r="C1893" t="str">
        <f>IF(IFERROR(VLOOKUP(TRIM(A1893),'Full Inventory'!F:F,1,0),0)=0,"X","_")</f>
        <v>_</v>
      </c>
      <c r="D1893" t="str">
        <f t="shared" si="87"/>
        <v>X</v>
      </c>
      <c r="E1893" t="str">
        <f ca="1">IFERROR(IF(AND(B1893&amp;C1893&amp;D1893="___",INDIRECT("Inventory!A"&amp;MATCH(VLOOKUP(A1893,Inventory!E:E,1,0),Inventory!E:E,0))&lt;&gt;INDIRECT("'Full Inventory'!B"&amp;MATCH(VLOOKUP(A1893,'Full Inventory'!F:F,1,0),'Full Inventory'!F:F,0))),"X","_"),"_")</f>
        <v>_</v>
      </c>
      <c r="K1893" t="str">
        <f t="shared" ca="1" si="88"/>
        <v>__X_</v>
      </c>
      <c r="L1893" t="str">
        <f t="shared" ca="1" si="89"/>
        <v/>
      </c>
      <c r="M1893" t="str">
        <f>IFERROR(INDEX(Inventory!A:A,MATCH(Scan!A1893,Inventory!E:E,0)),"")</f>
        <v/>
      </c>
    </row>
    <row r="1894" spans="2:13" x14ac:dyDescent="0.25">
      <c r="B1894" t="str">
        <f>IF(IFERROR(VLOOKUP(TRIM(A1894),Inventory!E:E,1,0),0)=0,"X","_")</f>
        <v>_</v>
      </c>
      <c r="C1894" t="str">
        <f>IF(IFERROR(VLOOKUP(TRIM(A1894),'Full Inventory'!F:F,1,0),0)=0,"X","_")</f>
        <v>_</v>
      </c>
      <c r="D1894" t="str">
        <f t="shared" si="87"/>
        <v>X</v>
      </c>
      <c r="E1894" t="str">
        <f ca="1">IFERROR(IF(AND(B1894&amp;C1894&amp;D1894="___",INDIRECT("Inventory!A"&amp;MATCH(VLOOKUP(A1894,Inventory!E:E,1,0),Inventory!E:E,0))&lt;&gt;INDIRECT("'Full Inventory'!B"&amp;MATCH(VLOOKUP(A1894,'Full Inventory'!F:F,1,0),'Full Inventory'!F:F,0))),"X","_"),"_")</f>
        <v>_</v>
      </c>
      <c r="K1894" t="str">
        <f t="shared" ca="1" si="88"/>
        <v>__X_</v>
      </c>
      <c r="L1894" t="str">
        <f t="shared" ca="1" si="89"/>
        <v/>
      </c>
      <c r="M1894" t="str">
        <f>IFERROR(INDEX(Inventory!A:A,MATCH(Scan!A1894,Inventory!E:E,0)),"")</f>
        <v/>
      </c>
    </row>
    <row r="1895" spans="2:13" x14ac:dyDescent="0.25">
      <c r="B1895" t="str">
        <f>IF(IFERROR(VLOOKUP(TRIM(A1895),Inventory!E:E,1,0),0)=0,"X","_")</f>
        <v>_</v>
      </c>
      <c r="C1895" t="str">
        <f>IF(IFERROR(VLOOKUP(TRIM(A1895),'Full Inventory'!F:F,1,0),0)=0,"X","_")</f>
        <v>_</v>
      </c>
      <c r="D1895" t="str">
        <f t="shared" si="87"/>
        <v>X</v>
      </c>
      <c r="E1895" t="str">
        <f ca="1">IFERROR(IF(AND(B1895&amp;C1895&amp;D1895="___",INDIRECT("Inventory!A"&amp;MATCH(VLOOKUP(A1895,Inventory!E:E,1,0),Inventory!E:E,0))&lt;&gt;INDIRECT("'Full Inventory'!B"&amp;MATCH(VLOOKUP(A1895,'Full Inventory'!F:F,1,0),'Full Inventory'!F:F,0))),"X","_"),"_")</f>
        <v>_</v>
      </c>
      <c r="K1895" t="str">
        <f t="shared" ca="1" si="88"/>
        <v>__X_</v>
      </c>
      <c r="L1895" t="str">
        <f t="shared" ca="1" si="89"/>
        <v/>
      </c>
      <c r="M1895" t="str">
        <f>IFERROR(INDEX(Inventory!A:A,MATCH(Scan!A1895,Inventory!E:E,0)),"")</f>
        <v/>
      </c>
    </row>
    <row r="1896" spans="2:13" x14ac:dyDescent="0.25">
      <c r="B1896" t="str">
        <f>IF(IFERROR(VLOOKUP(TRIM(A1896),Inventory!E:E,1,0),0)=0,"X","_")</f>
        <v>_</v>
      </c>
      <c r="C1896" t="str">
        <f>IF(IFERROR(VLOOKUP(TRIM(A1896),'Full Inventory'!F:F,1,0),0)=0,"X","_")</f>
        <v>_</v>
      </c>
      <c r="D1896" t="str">
        <f t="shared" si="87"/>
        <v>X</v>
      </c>
      <c r="E1896" t="str">
        <f ca="1">IFERROR(IF(AND(B1896&amp;C1896&amp;D1896="___",INDIRECT("Inventory!A"&amp;MATCH(VLOOKUP(A1896,Inventory!E:E,1,0),Inventory!E:E,0))&lt;&gt;INDIRECT("'Full Inventory'!B"&amp;MATCH(VLOOKUP(A1896,'Full Inventory'!F:F,1,0),'Full Inventory'!F:F,0))),"X","_"),"_")</f>
        <v>_</v>
      </c>
      <c r="K1896" t="str">
        <f t="shared" ca="1" si="88"/>
        <v>__X_</v>
      </c>
      <c r="L1896" t="str">
        <f t="shared" ca="1" si="89"/>
        <v/>
      </c>
      <c r="M1896" t="str">
        <f>IFERROR(INDEX(Inventory!A:A,MATCH(Scan!A1896,Inventory!E:E,0)),"")</f>
        <v/>
      </c>
    </row>
    <row r="1897" spans="2:13" x14ac:dyDescent="0.25">
      <c r="B1897" t="str">
        <f>IF(IFERROR(VLOOKUP(TRIM(A1897),Inventory!E:E,1,0),0)=0,"X","_")</f>
        <v>_</v>
      </c>
      <c r="C1897" t="str">
        <f>IF(IFERROR(VLOOKUP(TRIM(A1897),'Full Inventory'!F:F,1,0),0)=0,"X","_")</f>
        <v>_</v>
      </c>
      <c r="D1897" t="str">
        <f t="shared" si="87"/>
        <v>X</v>
      </c>
      <c r="E1897" t="str">
        <f ca="1">IFERROR(IF(AND(B1897&amp;C1897&amp;D1897="___",INDIRECT("Inventory!A"&amp;MATCH(VLOOKUP(A1897,Inventory!E:E,1,0),Inventory!E:E,0))&lt;&gt;INDIRECT("'Full Inventory'!B"&amp;MATCH(VLOOKUP(A1897,'Full Inventory'!F:F,1,0),'Full Inventory'!F:F,0))),"X","_"),"_")</f>
        <v>_</v>
      </c>
      <c r="K1897" t="str">
        <f t="shared" ca="1" si="88"/>
        <v>__X_</v>
      </c>
      <c r="L1897" t="str">
        <f t="shared" ca="1" si="89"/>
        <v/>
      </c>
      <c r="M1897" t="str">
        <f>IFERROR(INDEX(Inventory!A:A,MATCH(Scan!A1897,Inventory!E:E,0)),"")</f>
        <v/>
      </c>
    </row>
    <row r="1898" spans="2:13" x14ac:dyDescent="0.25">
      <c r="B1898" t="str">
        <f>IF(IFERROR(VLOOKUP(TRIM(A1898),Inventory!E:E,1,0),0)=0,"X","_")</f>
        <v>_</v>
      </c>
      <c r="C1898" t="str">
        <f>IF(IFERROR(VLOOKUP(TRIM(A1898),'Full Inventory'!F:F,1,0),0)=0,"X","_")</f>
        <v>_</v>
      </c>
      <c r="D1898" t="str">
        <f t="shared" si="87"/>
        <v>X</v>
      </c>
      <c r="E1898" t="str">
        <f ca="1">IFERROR(IF(AND(B1898&amp;C1898&amp;D1898="___",INDIRECT("Inventory!A"&amp;MATCH(VLOOKUP(A1898,Inventory!E:E,1,0),Inventory!E:E,0))&lt;&gt;INDIRECT("'Full Inventory'!B"&amp;MATCH(VLOOKUP(A1898,'Full Inventory'!F:F,1,0),'Full Inventory'!F:F,0))),"X","_"),"_")</f>
        <v>_</v>
      </c>
      <c r="K1898" t="str">
        <f t="shared" ca="1" si="88"/>
        <v>__X_</v>
      </c>
      <c r="L1898" t="str">
        <f t="shared" ca="1" si="89"/>
        <v/>
      </c>
      <c r="M1898" t="str">
        <f>IFERROR(INDEX(Inventory!A:A,MATCH(Scan!A1898,Inventory!E:E,0)),"")</f>
        <v/>
      </c>
    </row>
    <row r="1899" spans="2:13" x14ac:dyDescent="0.25">
      <c r="B1899" t="str">
        <f>IF(IFERROR(VLOOKUP(TRIM(A1899),Inventory!E:E,1,0),0)=0,"X","_")</f>
        <v>_</v>
      </c>
      <c r="C1899" t="str">
        <f>IF(IFERROR(VLOOKUP(TRIM(A1899),'Full Inventory'!F:F,1,0),0)=0,"X","_")</f>
        <v>_</v>
      </c>
      <c r="D1899" t="str">
        <f t="shared" si="87"/>
        <v>X</v>
      </c>
      <c r="E1899" t="str">
        <f ca="1">IFERROR(IF(AND(B1899&amp;C1899&amp;D1899="___",INDIRECT("Inventory!A"&amp;MATCH(VLOOKUP(A1899,Inventory!E:E,1,0),Inventory!E:E,0))&lt;&gt;INDIRECT("'Full Inventory'!B"&amp;MATCH(VLOOKUP(A1899,'Full Inventory'!F:F,1,0),'Full Inventory'!F:F,0))),"X","_"),"_")</f>
        <v>_</v>
      </c>
      <c r="K1899" t="str">
        <f t="shared" ca="1" si="88"/>
        <v>__X_</v>
      </c>
      <c r="L1899" t="str">
        <f t="shared" ca="1" si="89"/>
        <v/>
      </c>
      <c r="M1899" t="str">
        <f>IFERROR(INDEX(Inventory!A:A,MATCH(Scan!A1899,Inventory!E:E,0)),"")</f>
        <v/>
      </c>
    </row>
    <row r="1900" spans="2:13" x14ac:dyDescent="0.25">
      <c r="B1900" t="str">
        <f>IF(IFERROR(VLOOKUP(TRIM(A1900),Inventory!E:E,1,0),0)=0,"X","_")</f>
        <v>_</v>
      </c>
      <c r="C1900" t="str">
        <f>IF(IFERROR(VLOOKUP(TRIM(A1900),'Full Inventory'!F:F,1,0),0)=0,"X","_")</f>
        <v>_</v>
      </c>
      <c r="D1900" t="str">
        <f t="shared" si="87"/>
        <v>X</v>
      </c>
      <c r="E1900" t="str">
        <f ca="1">IFERROR(IF(AND(B1900&amp;C1900&amp;D1900="___",INDIRECT("Inventory!A"&amp;MATCH(VLOOKUP(A1900,Inventory!E:E,1,0),Inventory!E:E,0))&lt;&gt;INDIRECT("'Full Inventory'!B"&amp;MATCH(VLOOKUP(A1900,'Full Inventory'!F:F,1,0),'Full Inventory'!F:F,0))),"X","_"),"_")</f>
        <v>_</v>
      </c>
      <c r="K1900" t="str">
        <f t="shared" ca="1" si="88"/>
        <v>__X_</v>
      </c>
      <c r="L1900" t="str">
        <f t="shared" ca="1" si="89"/>
        <v/>
      </c>
      <c r="M1900" t="str">
        <f>IFERROR(INDEX(Inventory!A:A,MATCH(Scan!A1900,Inventory!E:E,0)),"")</f>
        <v/>
      </c>
    </row>
    <row r="1901" spans="2:13" x14ac:dyDescent="0.25">
      <c r="B1901" t="str">
        <f>IF(IFERROR(VLOOKUP(TRIM(A1901),Inventory!E:E,1,0),0)=0,"X","_")</f>
        <v>_</v>
      </c>
      <c r="C1901" t="str">
        <f>IF(IFERROR(VLOOKUP(TRIM(A1901),'Full Inventory'!F:F,1,0),0)=0,"X","_")</f>
        <v>_</v>
      </c>
      <c r="D1901" t="str">
        <f t="shared" si="87"/>
        <v>X</v>
      </c>
      <c r="E1901" t="str">
        <f ca="1">IFERROR(IF(AND(B1901&amp;C1901&amp;D1901="___",INDIRECT("Inventory!A"&amp;MATCH(VLOOKUP(A1901,Inventory!E:E,1,0),Inventory!E:E,0))&lt;&gt;INDIRECT("'Full Inventory'!B"&amp;MATCH(VLOOKUP(A1901,'Full Inventory'!F:F,1,0),'Full Inventory'!F:F,0))),"X","_"),"_")</f>
        <v>_</v>
      </c>
      <c r="K1901" t="str">
        <f t="shared" ca="1" si="88"/>
        <v>__X_</v>
      </c>
      <c r="L1901" t="str">
        <f t="shared" ca="1" si="89"/>
        <v/>
      </c>
      <c r="M1901" t="str">
        <f>IFERROR(INDEX(Inventory!A:A,MATCH(Scan!A1901,Inventory!E:E,0)),"")</f>
        <v/>
      </c>
    </row>
    <row r="1902" spans="2:13" x14ac:dyDescent="0.25">
      <c r="B1902" t="str">
        <f>IF(IFERROR(VLOOKUP(TRIM(A1902),Inventory!E:E,1,0),0)=0,"X","_")</f>
        <v>_</v>
      </c>
      <c r="C1902" t="str">
        <f>IF(IFERROR(VLOOKUP(TRIM(A1902),'Full Inventory'!F:F,1,0),0)=0,"X","_")</f>
        <v>_</v>
      </c>
      <c r="D1902" t="str">
        <f t="shared" si="87"/>
        <v>X</v>
      </c>
      <c r="E1902" t="str">
        <f ca="1">IFERROR(IF(AND(B1902&amp;C1902&amp;D1902="___",INDIRECT("Inventory!A"&amp;MATCH(VLOOKUP(A1902,Inventory!E:E,1,0),Inventory!E:E,0))&lt;&gt;INDIRECT("'Full Inventory'!B"&amp;MATCH(VLOOKUP(A1902,'Full Inventory'!F:F,1,0),'Full Inventory'!F:F,0))),"X","_"),"_")</f>
        <v>_</v>
      </c>
      <c r="K1902" t="str">
        <f t="shared" ca="1" si="88"/>
        <v>__X_</v>
      </c>
      <c r="L1902" t="str">
        <f t="shared" ca="1" si="89"/>
        <v/>
      </c>
      <c r="M1902" t="str">
        <f>IFERROR(INDEX(Inventory!A:A,MATCH(Scan!A1902,Inventory!E:E,0)),"")</f>
        <v/>
      </c>
    </row>
    <row r="1903" spans="2:13" x14ac:dyDescent="0.25">
      <c r="B1903" t="str">
        <f>IF(IFERROR(VLOOKUP(TRIM(A1903),Inventory!E:E,1,0),0)=0,"X","_")</f>
        <v>_</v>
      </c>
      <c r="C1903" t="str">
        <f>IF(IFERROR(VLOOKUP(TRIM(A1903),'Full Inventory'!F:F,1,0),0)=0,"X","_")</f>
        <v>_</v>
      </c>
      <c r="D1903" t="str">
        <f t="shared" si="87"/>
        <v>X</v>
      </c>
      <c r="E1903" t="str">
        <f ca="1">IFERROR(IF(AND(B1903&amp;C1903&amp;D1903="___",INDIRECT("Inventory!A"&amp;MATCH(VLOOKUP(A1903,Inventory!E:E,1,0),Inventory!E:E,0))&lt;&gt;INDIRECT("'Full Inventory'!B"&amp;MATCH(VLOOKUP(A1903,'Full Inventory'!F:F,1,0),'Full Inventory'!F:F,0))),"X","_"),"_")</f>
        <v>_</v>
      </c>
      <c r="K1903" t="str">
        <f t="shared" ca="1" si="88"/>
        <v>__X_</v>
      </c>
      <c r="L1903" t="str">
        <f t="shared" ca="1" si="89"/>
        <v/>
      </c>
      <c r="M1903" t="str">
        <f>IFERROR(INDEX(Inventory!A:A,MATCH(Scan!A1903,Inventory!E:E,0)),"")</f>
        <v/>
      </c>
    </row>
    <row r="1904" spans="2:13" x14ac:dyDescent="0.25">
      <c r="B1904" t="str">
        <f>IF(IFERROR(VLOOKUP(TRIM(A1904),Inventory!E:E,1,0),0)=0,"X","_")</f>
        <v>_</v>
      </c>
      <c r="C1904" t="str">
        <f>IF(IFERROR(VLOOKUP(TRIM(A1904),'Full Inventory'!F:F,1,0),0)=0,"X","_")</f>
        <v>_</v>
      </c>
      <c r="D1904" t="str">
        <f t="shared" si="87"/>
        <v>X</v>
      </c>
      <c r="E1904" t="str">
        <f ca="1">IFERROR(IF(AND(B1904&amp;C1904&amp;D1904="___",INDIRECT("Inventory!A"&amp;MATCH(VLOOKUP(A1904,Inventory!E:E,1,0),Inventory!E:E,0))&lt;&gt;INDIRECT("'Full Inventory'!B"&amp;MATCH(VLOOKUP(A1904,'Full Inventory'!F:F,1,0),'Full Inventory'!F:F,0))),"X","_"),"_")</f>
        <v>_</v>
      </c>
      <c r="K1904" t="str">
        <f t="shared" ca="1" si="88"/>
        <v>__X_</v>
      </c>
      <c r="L1904" t="str">
        <f t="shared" ca="1" si="89"/>
        <v/>
      </c>
      <c r="M1904" t="str">
        <f>IFERROR(INDEX(Inventory!A:A,MATCH(Scan!A1904,Inventory!E:E,0)),"")</f>
        <v/>
      </c>
    </row>
    <row r="1905" spans="2:13" x14ac:dyDescent="0.25">
      <c r="B1905" t="str">
        <f>IF(IFERROR(VLOOKUP(TRIM(A1905),Inventory!E:E,1,0),0)=0,"X","_")</f>
        <v>_</v>
      </c>
      <c r="C1905" t="str">
        <f>IF(IFERROR(VLOOKUP(TRIM(A1905),'Full Inventory'!F:F,1,0),0)=0,"X","_")</f>
        <v>_</v>
      </c>
      <c r="D1905" t="str">
        <f t="shared" si="87"/>
        <v>X</v>
      </c>
      <c r="E1905" t="str">
        <f ca="1">IFERROR(IF(AND(B1905&amp;C1905&amp;D1905="___",INDIRECT("Inventory!A"&amp;MATCH(VLOOKUP(A1905,Inventory!E:E,1,0),Inventory!E:E,0))&lt;&gt;INDIRECT("'Full Inventory'!B"&amp;MATCH(VLOOKUP(A1905,'Full Inventory'!F:F,1,0),'Full Inventory'!F:F,0))),"X","_"),"_")</f>
        <v>_</v>
      </c>
      <c r="K1905" t="str">
        <f t="shared" ca="1" si="88"/>
        <v>__X_</v>
      </c>
      <c r="L1905" t="str">
        <f t="shared" ca="1" si="89"/>
        <v/>
      </c>
      <c r="M1905" t="str">
        <f>IFERROR(INDEX(Inventory!A:A,MATCH(Scan!A1905,Inventory!E:E,0)),"")</f>
        <v/>
      </c>
    </row>
    <row r="1906" spans="2:13" x14ac:dyDescent="0.25">
      <c r="B1906" t="str">
        <f>IF(IFERROR(VLOOKUP(TRIM(A1906),Inventory!E:E,1,0),0)=0,"X","_")</f>
        <v>_</v>
      </c>
      <c r="C1906" t="str">
        <f>IF(IFERROR(VLOOKUP(TRIM(A1906),'Full Inventory'!F:F,1,0),0)=0,"X","_")</f>
        <v>_</v>
      </c>
      <c r="D1906" t="str">
        <f t="shared" si="87"/>
        <v>X</v>
      </c>
      <c r="E1906" t="str">
        <f ca="1">IFERROR(IF(AND(B1906&amp;C1906&amp;D1906="___",INDIRECT("Inventory!A"&amp;MATCH(VLOOKUP(A1906,Inventory!E:E,1,0),Inventory!E:E,0))&lt;&gt;INDIRECT("'Full Inventory'!B"&amp;MATCH(VLOOKUP(A1906,'Full Inventory'!F:F,1,0),'Full Inventory'!F:F,0))),"X","_"),"_")</f>
        <v>_</v>
      </c>
      <c r="K1906" t="str">
        <f t="shared" ca="1" si="88"/>
        <v>__X_</v>
      </c>
      <c r="L1906" t="str">
        <f t="shared" ca="1" si="89"/>
        <v/>
      </c>
      <c r="M1906" t="str">
        <f>IFERROR(INDEX(Inventory!A:A,MATCH(Scan!A1906,Inventory!E:E,0)),"")</f>
        <v/>
      </c>
    </row>
    <row r="1907" spans="2:13" x14ac:dyDescent="0.25">
      <c r="B1907" t="str">
        <f>IF(IFERROR(VLOOKUP(TRIM(A1907),Inventory!E:E,1,0),0)=0,"X","_")</f>
        <v>_</v>
      </c>
      <c r="C1907" t="str">
        <f>IF(IFERROR(VLOOKUP(TRIM(A1907),'Full Inventory'!F:F,1,0),0)=0,"X","_")</f>
        <v>_</v>
      </c>
      <c r="D1907" t="str">
        <f t="shared" si="87"/>
        <v>X</v>
      </c>
      <c r="E1907" t="str">
        <f ca="1">IFERROR(IF(AND(B1907&amp;C1907&amp;D1907="___",INDIRECT("Inventory!A"&amp;MATCH(VLOOKUP(A1907,Inventory!E:E,1,0),Inventory!E:E,0))&lt;&gt;INDIRECT("'Full Inventory'!B"&amp;MATCH(VLOOKUP(A1907,'Full Inventory'!F:F,1,0),'Full Inventory'!F:F,0))),"X","_"),"_")</f>
        <v>_</v>
      </c>
      <c r="K1907" t="str">
        <f t="shared" ca="1" si="88"/>
        <v>__X_</v>
      </c>
      <c r="L1907" t="str">
        <f t="shared" ca="1" si="89"/>
        <v/>
      </c>
      <c r="M1907" t="str">
        <f>IFERROR(INDEX(Inventory!A:A,MATCH(Scan!A1907,Inventory!E:E,0)),"")</f>
        <v/>
      </c>
    </row>
    <row r="1908" spans="2:13" x14ac:dyDescent="0.25">
      <c r="B1908" t="str">
        <f>IF(IFERROR(VLOOKUP(TRIM(A1908),Inventory!E:E,1,0),0)=0,"X","_")</f>
        <v>_</v>
      </c>
      <c r="C1908" t="str">
        <f>IF(IFERROR(VLOOKUP(TRIM(A1908),'Full Inventory'!F:F,1,0),0)=0,"X","_")</f>
        <v>_</v>
      </c>
      <c r="D1908" t="str">
        <f t="shared" si="87"/>
        <v>X</v>
      </c>
      <c r="E1908" t="str">
        <f ca="1">IFERROR(IF(AND(B1908&amp;C1908&amp;D1908="___",INDIRECT("Inventory!A"&amp;MATCH(VLOOKUP(A1908,Inventory!E:E,1,0),Inventory!E:E,0))&lt;&gt;INDIRECT("'Full Inventory'!B"&amp;MATCH(VLOOKUP(A1908,'Full Inventory'!F:F,1,0),'Full Inventory'!F:F,0))),"X","_"),"_")</f>
        <v>_</v>
      </c>
      <c r="K1908" t="str">
        <f t="shared" ca="1" si="88"/>
        <v>__X_</v>
      </c>
      <c r="L1908" t="str">
        <f t="shared" ca="1" si="89"/>
        <v/>
      </c>
      <c r="M1908" t="str">
        <f>IFERROR(INDEX(Inventory!A:A,MATCH(Scan!A1908,Inventory!E:E,0)),"")</f>
        <v/>
      </c>
    </row>
    <row r="1909" spans="2:13" x14ac:dyDescent="0.25">
      <c r="B1909" t="str">
        <f>IF(IFERROR(VLOOKUP(TRIM(A1909),Inventory!E:E,1,0),0)=0,"X","_")</f>
        <v>_</v>
      </c>
      <c r="C1909" t="str">
        <f>IF(IFERROR(VLOOKUP(TRIM(A1909),'Full Inventory'!F:F,1,0),0)=0,"X","_")</f>
        <v>_</v>
      </c>
      <c r="D1909" t="str">
        <f t="shared" si="87"/>
        <v>X</v>
      </c>
      <c r="E1909" t="str">
        <f ca="1">IFERROR(IF(AND(B1909&amp;C1909&amp;D1909="___",INDIRECT("Inventory!A"&amp;MATCH(VLOOKUP(A1909,Inventory!E:E,1,0),Inventory!E:E,0))&lt;&gt;INDIRECT("'Full Inventory'!B"&amp;MATCH(VLOOKUP(A1909,'Full Inventory'!F:F,1,0),'Full Inventory'!F:F,0))),"X","_"),"_")</f>
        <v>_</v>
      </c>
      <c r="K1909" t="str">
        <f t="shared" ca="1" si="88"/>
        <v>__X_</v>
      </c>
      <c r="L1909" t="str">
        <f t="shared" ca="1" si="89"/>
        <v/>
      </c>
      <c r="M1909" t="str">
        <f>IFERROR(INDEX(Inventory!A:A,MATCH(Scan!A1909,Inventory!E:E,0)),"")</f>
        <v/>
      </c>
    </row>
    <row r="1910" spans="2:13" x14ac:dyDescent="0.25">
      <c r="B1910" t="str">
        <f>IF(IFERROR(VLOOKUP(TRIM(A1910),Inventory!E:E,1,0),0)=0,"X","_")</f>
        <v>_</v>
      </c>
      <c r="C1910" t="str">
        <f>IF(IFERROR(VLOOKUP(TRIM(A1910),'Full Inventory'!F:F,1,0),0)=0,"X","_")</f>
        <v>_</v>
      </c>
      <c r="D1910" t="str">
        <f t="shared" si="87"/>
        <v>X</v>
      </c>
      <c r="E1910" t="str">
        <f ca="1">IFERROR(IF(AND(B1910&amp;C1910&amp;D1910="___",INDIRECT("Inventory!A"&amp;MATCH(VLOOKUP(A1910,Inventory!E:E,1,0),Inventory!E:E,0))&lt;&gt;INDIRECT("'Full Inventory'!B"&amp;MATCH(VLOOKUP(A1910,'Full Inventory'!F:F,1,0),'Full Inventory'!F:F,0))),"X","_"),"_")</f>
        <v>_</v>
      </c>
      <c r="K1910" t="str">
        <f t="shared" ca="1" si="88"/>
        <v>__X_</v>
      </c>
      <c r="L1910" t="str">
        <f t="shared" ca="1" si="89"/>
        <v/>
      </c>
      <c r="M1910" t="str">
        <f>IFERROR(INDEX(Inventory!A:A,MATCH(Scan!A1910,Inventory!E:E,0)),"")</f>
        <v/>
      </c>
    </row>
    <row r="1911" spans="2:13" x14ac:dyDescent="0.25">
      <c r="B1911" t="str">
        <f>IF(IFERROR(VLOOKUP(TRIM(A1911),Inventory!E:E,1,0),0)=0,"X","_")</f>
        <v>_</v>
      </c>
      <c r="C1911" t="str">
        <f>IF(IFERROR(VLOOKUP(TRIM(A1911),'Full Inventory'!F:F,1,0),0)=0,"X","_")</f>
        <v>_</v>
      </c>
      <c r="D1911" t="str">
        <f t="shared" si="87"/>
        <v>X</v>
      </c>
      <c r="E1911" t="str">
        <f ca="1">IFERROR(IF(AND(B1911&amp;C1911&amp;D1911="___",INDIRECT("Inventory!A"&amp;MATCH(VLOOKUP(A1911,Inventory!E:E,1,0),Inventory!E:E,0))&lt;&gt;INDIRECT("'Full Inventory'!B"&amp;MATCH(VLOOKUP(A1911,'Full Inventory'!F:F,1,0),'Full Inventory'!F:F,0))),"X","_"),"_")</f>
        <v>_</v>
      </c>
      <c r="K1911" t="str">
        <f t="shared" ca="1" si="88"/>
        <v>__X_</v>
      </c>
      <c r="L1911" t="str">
        <f t="shared" ca="1" si="89"/>
        <v/>
      </c>
      <c r="M1911" t="str">
        <f>IFERROR(INDEX(Inventory!A:A,MATCH(Scan!A1911,Inventory!E:E,0)),"")</f>
        <v/>
      </c>
    </row>
    <row r="1912" spans="2:13" x14ac:dyDescent="0.25">
      <c r="B1912" t="str">
        <f>IF(IFERROR(VLOOKUP(TRIM(A1912),Inventory!E:E,1,0),0)=0,"X","_")</f>
        <v>_</v>
      </c>
      <c r="C1912" t="str">
        <f>IF(IFERROR(VLOOKUP(TRIM(A1912),'Full Inventory'!F:F,1,0),0)=0,"X","_")</f>
        <v>_</v>
      </c>
      <c r="D1912" t="str">
        <f t="shared" si="87"/>
        <v>X</v>
      </c>
      <c r="E1912" t="str">
        <f ca="1">IFERROR(IF(AND(B1912&amp;C1912&amp;D1912="___",INDIRECT("Inventory!A"&amp;MATCH(VLOOKUP(A1912,Inventory!E:E,1,0),Inventory!E:E,0))&lt;&gt;INDIRECT("'Full Inventory'!B"&amp;MATCH(VLOOKUP(A1912,'Full Inventory'!F:F,1,0),'Full Inventory'!F:F,0))),"X","_"),"_")</f>
        <v>_</v>
      </c>
      <c r="K1912" t="str">
        <f t="shared" ca="1" si="88"/>
        <v>__X_</v>
      </c>
      <c r="L1912" t="str">
        <f t="shared" ca="1" si="89"/>
        <v/>
      </c>
      <c r="M1912" t="str">
        <f>IFERROR(INDEX(Inventory!A:A,MATCH(Scan!A1912,Inventory!E:E,0)),"")</f>
        <v/>
      </c>
    </row>
    <row r="1913" spans="2:13" x14ac:dyDescent="0.25">
      <c r="B1913" t="str">
        <f>IF(IFERROR(VLOOKUP(TRIM(A1913),Inventory!E:E,1,0),0)=0,"X","_")</f>
        <v>_</v>
      </c>
      <c r="C1913" t="str">
        <f>IF(IFERROR(VLOOKUP(TRIM(A1913),'Full Inventory'!F:F,1,0),0)=0,"X","_")</f>
        <v>_</v>
      </c>
      <c r="D1913" t="str">
        <f t="shared" si="87"/>
        <v>X</v>
      </c>
      <c r="E1913" t="str">
        <f ca="1">IFERROR(IF(AND(B1913&amp;C1913&amp;D1913="___",INDIRECT("Inventory!A"&amp;MATCH(VLOOKUP(A1913,Inventory!E:E,1,0),Inventory!E:E,0))&lt;&gt;INDIRECT("'Full Inventory'!B"&amp;MATCH(VLOOKUP(A1913,'Full Inventory'!F:F,1,0),'Full Inventory'!F:F,0))),"X","_"),"_")</f>
        <v>_</v>
      </c>
      <c r="K1913" t="str">
        <f t="shared" ca="1" si="88"/>
        <v>__X_</v>
      </c>
      <c r="L1913" t="str">
        <f t="shared" ca="1" si="89"/>
        <v/>
      </c>
      <c r="M1913" t="str">
        <f>IFERROR(INDEX(Inventory!A:A,MATCH(Scan!A1913,Inventory!E:E,0)),"")</f>
        <v/>
      </c>
    </row>
    <row r="1914" spans="2:13" x14ac:dyDescent="0.25">
      <c r="B1914" t="str">
        <f>IF(IFERROR(VLOOKUP(TRIM(A1914),Inventory!E:E,1,0),0)=0,"X","_")</f>
        <v>_</v>
      </c>
      <c r="C1914" t="str">
        <f>IF(IFERROR(VLOOKUP(TRIM(A1914),'Full Inventory'!F:F,1,0),0)=0,"X","_")</f>
        <v>_</v>
      </c>
      <c r="D1914" t="str">
        <f t="shared" si="87"/>
        <v>X</v>
      </c>
      <c r="E1914" t="str">
        <f ca="1">IFERROR(IF(AND(B1914&amp;C1914&amp;D1914="___",INDIRECT("Inventory!A"&amp;MATCH(VLOOKUP(A1914,Inventory!E:E,1,0),Inventory!E:E,0))&lt;&gt;INDIRECT("'Full Inventory'!B"&amp;MATCH(VLOOKUP(A1914,'Full Inventory'!F:F,1,0),'Full Inventory'!F:F,0))),"X","_"),"_")</f>
        <v>_</v>
      </c>
      <c r="K1914" t="str">
        <f t="shared" ca="1" si="88"/>
        <v>__X_</v>
      </c>
      <c r="L1914" t="str">
        <f t="shared" ca="1" si="89"/>
        <v/>
      </c>
      <c r="M1914" t="str">
        <f>IFERROR(INDEX(Inventory!A:A,MATCH(Scan!A1914,Inventory!E:E,0)),"")</f>
        <v/>
      </c>
    </row>
    <row r="1915" spans="2:13" x14ac:dyDescent="0.25">
      <c r="B1915" t="str">
        <f>IF(IFERROR(VLOOKUP(TRIM(A1915),Inventory!E:E,1,0),0)=0,"X","_")</f>
        <v>_</v>
      </c>
      <c r="C1915" t="str">
        <f>IF(IFERROR(VLOOKUP(TRIM(A1915),'Full Inventory'!F:F,1,0),0)=0,"X","_")</f>
        <v>_</v>
      </c>
      <c r="D1915" t="str">
        <f t="shared" si="87"/>
        <v>X</v>
      </c>
      <c r="E1915" t="str">
        <f ca="1">IFERROR(IF(AND(B1915&amp;C1915&amp;D1915="___",INDIRECT("Inventory!A"&amp;MATCH(VLOOKUP(A1915,Inventory!E:E,1,0),Inventory!E:E,0))&lt;&gt;INDIRECT("'Full Inventory'!B"&amp;MATCH(VLOOKUP(A1915,'Full Inventory'!F:F,1,0),'Full Inventory'!F:F,0))),"X","_"),"_")</f>
        <v>_</v>
      </c>
      <c r="K1915" t="str">
        <f t="shared" ca="1" si="88"/>
        <v>__X_</v>
      </c>
      <c r="L1915" t="str">
        <f t="shared" ca="1" si="89"/>
        <v/>
      </c>
      <c r="M1915" t="str">
        <f>IFERROR(INDEX(Inventory!A:A,MATCH(Scan!A1915,Inventory!E:E,0)),"")</f>
        <v/>
      </c>
    </row>
    <row r="1916" spans="2:13" x14ac:dyDescent="0.25">
      <c r="B1916" t="str">
        <f>IF(IFERROR(VLOOKUP(TRIM(A1916),Inventory!E:E,1,0),0)=0,"X","_")</f>
        <v>_</v>
      </c>
      <c r="C1916" t="str">
        <f>IF(IFERROR(VLOOKUP(TRIM(A1916),'Full Inventory'!F:F,1,0),0)=0,"X","_")</f>
        <v>_</v>
      </c>
      <c r="D1916" t="str">
        <f t="shared" si="87"/>
        <v>X</v>
      </c>
      <c r="E1916" t="str">
        <f ca="1">IFERROR(IF(AND(B1916&amp;C1916&amp;D1916="___",INDIRECT("Inventory!A"&amp;MATCH(VLOOKUP(A1916,Inventory!E:E,1,0),Inventory!E:E,0))&lt;&gt;INDIRECT("'Full Inventory'!B"&amp;MATCH(VLOOKUP(A1916,'Full Inventory'!F:F,1,0),'Full Inventory'!F:F,0))),"X","_"),"_")</f>
        <v>_</v>
      </c>
      <c r="K1916" t="str">
        <f t="shared" ca="1" si="88"/>
        <v>__X_</v>
      </c>
      <c r="L1916" t="str">
        <f t="shared" ca="1" si="89"/>
        <v/>
      </c>
      <c r="M1916" t="str">
        <f>IFERROR(INDEX(Inventory!A:A,MATCH(Scan!A1916,Inventory!E:E,0)),"")</f>
        <v/>
      </c>
    </row>
    <row r="1917" spans="2:13" x14ac:dyDescent="0.25">
      <c r="B1917" t="str">
        <f>IF(IFERROR(VLOOKUP(TRIM(A1917),Inventory!E:E,1,0),0)=0,"X","_")</f>
        <v>_</v>
      </c>
      <c r="C1917" t="str">
        <f>IF(IFERROR(VLOOKUP(TRIM(A1917),'Full Inventory'!F:F,1,0),0)=0,"X","_")</f>
        <v>_</v>
      </c>
      <c r="D1917" t="str">
        <f t="shared" si="87"/>
        <v>X</v>
      </c>
      <c r="E1917" t="str">
        <f ca="1">IFERROR(IF(AND(B1917&amp;C1917&amp;D1917="___",INDIRECT("Inventory!A"&amp;MATCH(VLOOKUP(A1917,Inventory!E:E,1,0),Inventory!E:E,0))&lt;&gt;INDIRECT("'Full Inventory'!B"&amp;MATCH(VLOOKUP(A1917,'Full Inventory'!F:F,1,0),'Full Inventory'!F:F,0))),"X","_"),"_")</f>
        <v>_</v>
      </c>
      <c r="K1917" t="str">
        <f t="shared" ca="1" si="88"/>
        <v>__X_</v>
      </c>
      <c r="L1917" t="str">
        <f t="shared" ca="1" si="89"/>
        <v/>
      </c>
      <c r="M1917" t="str">
        <f>IFERROR(INDEX(Inventory!A:A,MATCH(Scan!A1917,Inventory!E:E,0)),"")</f>
        <v/>
      </c>
    </row>
    <row r="1918" spans="2:13" x14ac:dyDescent="0.25">
      <c r="B1918" t="str">
        <f>IF(IFERROR(VLOOKUP(TRIM(A1918),Inventory!E:E,1,0),0)=0,"X","_")</f>
        <v>_</v>
      </c>
      <c r="C1918" t="str">
        <f>IF(IFERROR(VLOOKUP(TRIM(A1918),'Full Inventory'!F:F,1,0),0)=0,"X","_")</f>
        <v>_</v>
      </c>
      <c r="D1918" t="str">
        <f t="shared" si="87"/>
        <v>X</v>
      </c>
      <c r="E1918" t="str">
        <f ca="1">IFERROR(IF(AND(B1918&amp;C1918&amp;D1918="___",INDIRECT("Inventory!A"&amp;MATCH(VLOOKUP(A1918,Inventory!E:E,1,0),Inventory!E:E,0))&lt;&gt;INDIRECT("'Full Inventory'!B"&amp;MATCH(VLOOKUP(A1918,'Full Inventory'!F:F,1,0),'Full Inventory'!F:F,0))),"X","_"),"_")</f>
        <v>_</v>
      </c>
      <c r="K1918" t="str">
        <f t="shared" ca="1" si="88"/>
        <v>__X_</v>
      </c>
      <c r="L1918" t="str">
        <f t="shared" ca="1" si="89"/>
        <v/>
      </c>
      <c r="M1918" t="str">
        <f>IFERROR(INDEX(Inventory!A:A,MATCH(Scan!A1918,Inventory!E:E,0)),"")</f>
        <v/>
      </c>
    </row>
    <row r="1919" spans="2:13" x14ac:dyDescent="0.25">
      <c r="B1919" t="str">
        <f>IF(IFERROR(VLOOKUP(TRIM(A1919),Inventory!E:E,1,0),0)=0,"X","_")</f>
        <v>_</v>
      </c>
      <c r="C1919" t="str">
        <f>IF(IFERROR(VLOOKUP(TRIM(A1919),'Full Inventory'!F:F,1,0),0)=0,"X","_")</f>
        <v>_</v>
      </c>
      <c r="D1919" t="str">
        <f t="shared" si="87"/>
        <v>X</v>
      </c>
      <c r="E1919" t="str">
        <f ca="1">IFERROR(IF(AND(B1919&amp;C1919&amp;D1919="___",INDIRECT("Inventory!A"&amp;MATCH(VLOOKUP(A1919,Inventory!E:E,1,0),Inventory!E:E,0))&lt;&gt;INDIRECT("'Full Inventory'!B"&amp;MATCH(VLOOKUP(A1919,'Full Inventory'!F:F,1,0),'Full Inventory'!F:F,0))),"X","_"),"_")</f>
        <v>_</v>
      </c>
      <c r="K1919" t="str">
        <f t="shared" ca="1" si="88"/>
        <v>__X_</v>
      </c>
      <c r="L1919" t="str">
        <f t="shared" ca="1" si="89"/>
        <v/>
      </c>
      <c r="M1919" t="str">
        <f>IFERROR(INDEX(Inventory!A:A,MATCH(Scan!A1919,Inventory!E:E,0)),"")</f>
        <v/>
      </c>
    </row>
    <row r="1920" spans="2:13" x14ac:dyDescent="0.25">
      <c r="B1920" t="str">
        <f>IF(IFERROR(VLOOKUP(TRIM(A1920),Inventory!E:E,1,0),0)=0,"X","_")</f>
        <v>_</v>
      </c>
      <c r="C1920" t="str">
        <f>IF(IFERROR(VLOOKUP(TRIM(A1920),'Full Inventory'!F:F,1,0),0)=0,"X","_")</f>
        <v>_</v>
      </c>
      <c r="D1920" t="str">
        <f t="shared" si="87"/>
        <v>X</v>
      </c>
      <c r="E1920" t="str">
        <f ca="1">IFERROR(IF(AND(B1920&amp;C1920&amp;D1920="___",INDIRECT("Inventory!A"&amp;MATCH(VLOOKUP(A1920,Inventory!E:E,1,0),Inventory!E:E,0))&lt;&gt;INDIRECT("'Full Inventory'!B"&amp;MATCH(VLOOKUP(A1920,'Full Inventory'!F:F,1,0),'Full Inventory'!F:F,0))),"X","_"),"_")</f>
        <v>_</v>
      </c>
      <c r="K1920" t="str">
        <f t="shared" ca="1" si="88"/>
        <v>__X_</v>
      </c>
      <c r="L1920" t="str">
        <f t="shared" ca="1" si="89"/>
        <v/>
      </c>
      <c r="M1920" t="str">
        <f>IFERROR(INDEX(Inventory!A:A,MATCH(Scan!A1920,Inventory!E:E,0)),"")</f>
        <v/>
      </c>
    </row>
    <row r="1921" spans="2:13" x14ac:dyDescent="0.25">
      <c r="B1921" t="str">
        <f>IF(IFERROR(VLOOKUP(TRIM(A1921),Inventory!E:E,1,0),0)=0,"X","_")</f>
        <v>_</v>
      </c>
      <c r="C1921" t="str">
        <f>IF(IFERROR(VLOOKUP(TRIM(A1921),'Full Inventory'!F:F,1,0),0)=0,"X","_")</f>
        <v>_</v>
      </c>
      <c r="D1921" t="str">
        <f t="shared" si="87"/>
        <v>X</v>
      </c>
      <c r="E1921" t="str">
        <f ca="1">IFERROR(IF(AND(B1921&amp;C1921&amp;D1921="___",INDIRECT("Inventory!A"&amp;MATCH(VLOOKUP(A1921,Inventory!E:E,1,0),Inventory!E:E,0))&lt;&gt;INDIRECT("'Full Inventory'!B"&amp;MATCH(VLOOKUP(A1921,'Full Inventory'!F:F,1,0),'Full Inventory'!F:F,0))),"X","_"),"_")</f>
        <v>_</v>
      </c>
      <c r="K1921" t="str">
        <f t="shared" ca="1" si="88"/>
        <v>__X_</v>
      </c>
      <c r="L1921" t="str">
        <f t="shared" ca="1" si="89"/>
        <v/>
      </c>
      <c r="M1921" t="str">
        <f>IFERROR(INDEX(Inventory!A:A,MATCH(Scan!A1921,Inventory!E:E,0)),"")</f>
        <v/>
      </c>
    </row>
    <row r="1922" spans="2:13" x14ac:dyDescent="0.25">
      <c r="B1922" t="str">
        <f>IF(IFERROR(VLOOKUP(TRIM(A1922),Inventory!E:E,1,0),0)=0,"X","_")</f>
        <v>_</v>
      </c>
      <c r="C1922" t="str">
        <f>IF(IFERROR(VLOOKUP(TRIM(A1922),'Full Inventory'!F:F,1,0),0)=0,"X","_")</f>
        <v>_</v>
      </c>
      <c r="D1922" t="str">
        <f t="shared" ref="D1922:D1985" si="90">IF(TRIM(A1922)&lt;&gt;"","_","X")</f>
        <v>X</v>
      </c>
      <c r="E1922" t="str">
        <f ca="1">IFERROR(IF(AND(B1922&amp;C1922&amp;D1922="___",INDIRECT("Inventory!A"&amp;MATCH(VLOOKUP(A1922,Inventory!E:E,1,0),Inventory!E:E,0))&lt;&gt;INDIRECT("'Full Inventory'!B"&amp;MATCH(VLOOKUP(A1922,'Full Inventory'!F:F,1,0),'Full Inventory'!F:F,0))),"X","_"),"_")</f>
        <v>_</v>
      </c>
      <c r="K1922" t="str">
        <f t="shared" ca="1" si="88"/>
        <v>__X_</v>
      </c>
      <c r="L1922" t="str">
        <f t="shared" ca="1" si="89"/>
        <v/>
      </c>
      <c r="M1922" t="str">
        <f>IFERROR(INDEX(Inventory!A:A,MATCH(Scan!A1922,Inventory!E:E,0)),"")</f>
        <v/>
      </c>
    </row>
    <row r="1923" spans="2:13" x14ac:dyDescent="0.25">
      <c r="B1923" t="str">
        <f>IF(IFERROR(VLOOKUP(TRIM(A1923),Inventory!E:E,1,0),0)=0,"X","_")</f>
        <v>_</v>
      </c>
      <c r="C1923" t="str">
        <f>IF(IFERROR(VLOOKUP(TRIM(A1923),'Full Inventory'!F:F,1,0),0)=0,"X","_")</f>
        <v>_</v>
      </c>
      <c r="D1923" t="str">
        <f t="shared" si="90"/>
        <v>X</v>
      </c>
      <c r="E1923" t="str">
        <f ca="1">IFERROR(IF(AND(B1923&amp;C1923&amp;D1923="___",INDIRECT("Inventory!A"&amp;MATCH(VLOOKUP(A1923,Inventory!E:E,1,0),Inventory!E:E,0))&lt;&gt;INDIRECT("'Full Inventory'!B"&amp;MATCH(VLOOKUP(A1923,'Full Inventory'!F:F,1,0),'Full Inventory'!F:F,0))),"X","_"),"_")</f>
        <v>_</v>
      </c>
      <c r="K1923" t="str">
        <f t="shared" ref="K1923:K1986" ca="1" si="91">B1923&amp;C1923&amp;D1923&amp;E1923</f>
        <v>__X_</v>
      </c>
      <c r="L1923" t="str">
        <f t="shared" ref="L1923:L1986" ca="1" si="92">IF(K1923="____","OK",IF(K1923="_X__","NOT IN FULL INVENTORY",IF(K1923="XX__","NOT IN FULL INVENTORY AND INVENTORY",IF(K1923="X___","NOT IN INVENTORY",IF(K1923="___X","DIFFERENT NAMES IN FULL INVENTORY AND INVENTORY","")))))</f>
        <v/>
      </c>
      <c r="M1923" t="str">
        <f>IFERROR(INDEX(Inventory!A:A,MATCH(Scan!A1923,Inventory!E:E,0)),"")</f>
        <v/>
      </c>
    </row>
    <row r="1924" spans="2:13" x14ac:dyDescent="0.25">
      <c r="B1924" t="str">
        <f>IF(IFERROR(VLOOKUP(TRIM(A1924),Inventory!E:E,1,0),0)=0,"X","_")</f>
        <v>_</v>
      </c>
      <c r="C1924" t="str">
        <f>IF(IFERROR(VLOOKUP(TRIM(A1924),'Full Inventory'!F:F,1,0),0)=0,"X","_")</f>
        <v>_</v>
      </c>
      <c r="D1924" t="str">
        <f t="shared" si="90"/>
        <v>X</v>
      </c>
      <c r="E1924" t="str">
        <f ca="1">IFERROR(IF(AND(B1924&amp;C1924&amp;D1924="___",INDIRECT("Inventory!A"&amp;MATCH(VLOOKUP(A1924,Inventory!E:E,1,0),Inventory!E:E,0))&lt;&gt;INDIRECT("'Full Inventory'!B"&amp;MATCH(VLOOKUP(A1924,'Full Inventory'!F:F,1,0),'Full Inventory'!F:F,0))),"X","_"),"_")</f>
        <v>_</v>
      </c>
      <c r="K1924" t="str">
        <f t="shared" ca="1" si="91"/>
        <v>__X_</v>
      </c>
      <c r="L1924" t="str">
        <f t="shared" ca="1" si="92"/>
        <v/>
      </c>
      <c r="M1924" t="str">
        <f>IFERROR(INDEX(Inventory!A:A,MATCH(Scan!A1924,Inventory!E:E,0)),"")</f>
        <v/>
      </c>
    </row>
    <row r="1925" spans="2:13" x14ac:dyDescent="0.25">
      <c r="B1925" t="str">
        <f>IF(IFERROR(VLOOKUP(TRIM(A1925),Inventory!E:E,1,0),0)=0,"X","_")</f>
        <v>_</v>
      </c>
      <c r="C1925" t="str">
        <f>IF(IFERROR(VLOOKUP(TRIM(A1925),'Full Inventory'!F:F,1,0),0)=0,"X","_")</f>
        <v>_</v>
      </c>
      <c r="D1925" t="str">
        <f t="shared" si="90"/>
        <v>X</v>
      </c>
      <c r="E1925" t="str">
        <f ca="1">IFERROR(IF(AND(B1925&amp;C1925&amp;D1925="___",INDIRECT("Inventory!A"&amp;MATCH(VLOOKUP(A1925,Inventory!E:E,1,0),Inventory!E:E,0))&lt;&gt;INDIRECT("'Full Inventory'!B"&amp;MATCH(VLOOKUP(A1925,'Full Inventory'!F:F,1,0),'Full Inventory'!F:F,0))),"X","_"),"_")</f>
        <v>_</v>
      </c>
      <c r="K1925" t="str">
        <f t="shared" ca="1" si="91"/>
        <v>__X_</v>
      </c>
      <c r="L1925" t="str">
        <f t="shared" ca="1" si="92"/>
        <v/>
      </c>
      <c r="M1925" t="str">
        <f>IFERROR(INDEX(Inventory!A:A,MATCH(Scan!A1925,Inventory!E:E,0)),"")</f>
        <v/>
      </c>
    </row>
    <row r="1926" spans="2:13" x14ac:dyDescent="0.25">
      <c r="B1926" t="str">
        <f>IF(IFERROR(VLOOKUP(TRIM(A1926),Inventory!E:E,1,0),0)=0,"X","_")</f>
        <v>_</v>
      </c>
      <c r="C1926" t="str">
        <f>IF(IFERROR(VLOOKUP(TRIM(A1926),'Full Inventory'!F:F,1,0),0)=0,"X","_")</f>
        <v>_</v>
      </c>
      <c r="D1926" t="str">
        <f t="shared" si="90"/>
        <v>X</v>
      </c>
      <c r="E1926" t="str">
        <f ca="1">IFERROR(IF(AND(B1926&amp;C1926&amp;D1926="___",INDIRECT("Inventory!A"&amp;MATCH(VLOOKUP(A1926,Inventory!E:E,1,0),Inventory!E:E,0))&lt;&gt;INDIRECT("'Full Inventory'!B"&amp;MATCH(VLOOKUP(A1926,'Full Inventory'!F:F,1,0),'Full Inventory'!F:F,0))),"X","_"),"_")</f>
        <v>_</v>
      </c>
      <c r="K1926" t="str">
        <f t="shared" ca="1" si="91"/>
        <v>__X_</v>
      </c>
      <c r="L1926" t="str">
        <f t="shared" ca="1" si="92"/>
        <v/>
      </c>
      <c r="M1926" t="str">
        <f>IFERROR(INDEX(Inventory!A:A,MATCH(Scan!A1926,Inventory!E:E,0)),"")</f>
        <v/>
      </c>
    </row>
    <row r="1927" spans="2:13" x14ac:dyDescent="0.25">
      <c r="B1927" t="str">
        <f>IF(IFERROR(VLOOKUP(TRIM(A1927),Inventory!E:E,1,0),0)=0,"X","_")</f>
        <v>_</v>
      </c>
      <c r="C1927" t="str">
        <f>IF(IFERROR(VLOOKUP(TRIM(A1927),'Full Inventory'!F:F,1,0),0)=0,"X","_")</f>
        <v>_</v>
      </c>
      <c r="D1927" t="str">
        <f t="shared" si="90"/>
        <v>X</v>
      </c>
      <c r="E1927" t="str">
        <f ca="1">IFERROR(IF(AND(B1927&amp;C1927&amp;D1927="___",INDIRECT("Inventory!A"&amp;MATCH(VLOOKUP(A1927,Inventory!E:E,1,0),Inventory!E:E,0))&lt;&gt;INDIRECT("'Full Inventory'!B"&amp;MATCH(VLOOKUP(A1927,'Full Inventory'!F:F,1,0),'Full Inventory'!F:F,0))),"X","_"),"_")</f>
        <v>_</v>
      </c>
      <c r="K1927" t="str">
        <f t="shared" ca="1" si="91"/>
        <v>__X_</v>
      </c>
      <c r="L1927" t="str">
        <f t="shared" ca="1" si="92"/>
        <v/>
      </c>
      <c r="M1927" t="str">
        <f>IFERROR(INDEX(Inventory!A:A,MATCH(Scan!A1927,Inventory!E:E,0)),"")</f>
        <v/>
      </c>
    </row>
    <row r="1928" spans="2:13" x14ac:dyDescent="0.25">
      <c r="B1928" t="str">
        <f>IF(IFERROR(VLOOKUP(TRIM(A1928),Inventory!E:E,1,0),0)=0,"X","_")</f>
        <v>_</v>
      </c>
      <c r="C1928" t="str">
        <f>IF(IFERROR(VLOOKUP(TRIM(A1928),'Full Inventory'!F:F,1,0),0)=0,"X","_")</f>
        <v>_</v>
      </c>
      <c r="D1928" t="str">
        <f t="shared" si="90"/>
        <v>X</v>
      </c>
      <c r="E1928" t="str">
        <f ca="1">IFERROR(IF(AND(B1928&amp;C1928&amp;D1928="___",INDIRECT("Inventory!A"&amp;MATCH(VLOOKUP(A1928,Inventory!E:E,1,0),Inventory!E:E,0))&lt;&gt;INDIRECT("'Full Inventory'!B"&amp;MATCH(VLOOKUP(A1928,'Full Inventory'!F:F,1,0),'Full Inventory'!F:F,0))),"X","_"),"_")</f>
        <v>_</v>
      </c>
      <c r="K1928" t="str">
        <f t="shared" ca="1" si="91"/>
        <v>__X_</v>
      </c>
      <c r="L1928" t="str">
        <f t="shared" ca="1" si="92"/>
        <v/>
      </c>
      <c r="M1928" t="str">
        <f>IFERROR(INDEX(Inventory!A:A,MATCH(Scan!A1928,Inventory!E:E,0)),"")</f>
        <v/>
      </c>
    </row>
    <row r="1929" spans="2:13" x14ac:dyDescent="0.25">
      <c r="B1929" t="str">
        <f>IF(IFERROR(VLOOKUP(TRIM(A1929),Inventory!E:E,1,0),0)=0,"X","_")</f>
        <v>_</v>
      </c>
      <c r="C1929" t="str">
        <f>IF(IFERROR(VLOOKUP(TRIM(A1929),'Full Inventory'!F:F,1,0),0)=0,"X","_")</f>
        <v>_</v>
      </c>
      <c r="D1929" t="str">
        <f t="shared" si="90"/>
        <v>X</v>
      </c>
      <c r="E1929" t="str">
        <f ca="1">IFERROR(IF(AND(B1929&amp;C1929&amp;D1929="___",INDIRECT("Inventory!A"&amp;MATCH(VLOOKUP(A1929,Inventory!E:E,1,0),Inventory!E:E,0))&lt;&gt;INDIRECT("'Full Inventory'!B"&amp;MATCH(VLOOKUP(A1929,'Full Inventory'!F:F,1,0),'Full Inventory'!F:F,0))),"X","_"),"_")</f>
        <v>_</v>
      </c>
      <c r="K1929" t="str">
        <f t="shared" ca="1" si="91"/>
        <v>__X_</v>
      </c>
      <c r="L1929" t="str">
        <f t="shared" ca="1" si="92"/>
        <v/>
      </c>
      <c r="M1929" t="str">
        <f>IFERROR(INDEX(Inventory!A:A,MATCH(Scan!A1929,Inventory!E:E,0)),"")</f>
        <v/>
      </c>
    </row>
    <row r="1930" spans="2:13" x14ac:dyDescent="0.25">
      <c r="B1930" t="str">
        <f>IF(IFERROR(VLOOKUP(TRIM(A1930),Inventory!E:E,1,0),0)=0,"X","_")</f>
        <v>_</v>
      </c>
      <c r="C1930" t="str">
        <f>IF(IFERROR(VLOOKUP(TRIM(A1930),'Full Inventory'!F:F,1,0),0)=0,"X","_")</f>
        <v>_</v>
      </c>
      <c r="D1930" t="str">
        <f t="shared" si="90"/>
        <v>X</v>
      </c>
      <c r="E1930" t="str">
        <f ca="1">IFERROR(IF(AND(B1930&amp;C1930&amp;D1930="___",INDIRECT("Inventory!A"&amp;MATCH(VLOOKUP(A1930,Inventory!E:E,1,0),Inventory!E:E,0))&lt;&gt;INDIRECT("'Full Inventory'!B"&amp;MATCH(VLOOKUP(A1930,'Full Inventory'!F:F,1,0),'Full Inventory'!F:F,0))),"X","_"),"_")</f>
        <v>_</v>
      </c>
      <c r="K1930" t="str">
        <f t="shared" ca="1" si="91"/>
        <v>__X_</v>
      </c>
      <c r="L1930" t="str">
        <f t="shared" ca="1" si="92"/>
        <v/>
      </c>
      <c r="M1930" t="str">
        <f>IFERROR(INDEX(Inventory!A:A,MATCH(Scan!A1930,Inventory!E:E,0)),"")</f>
        <v/>
      </c>
    </row>
    <row r="1931" spans="2:13" x14ac:dyDescent="0.25">
      <c r="B1931" t="str">
        <f>IF(IFERROR(VLOOKUP(TRIM(A1931),Inventory!E:E,1,0),0)=0,"X","_")</f>
        <v>_</v>
      </c>
      <c r="C1931" t="str">
        <f>IF(IFERROR(VLOOKUP(TRIM(A1931),'Full Inventory'!F:F,1,0),0)=0,"X","_")</f>
        <v>_</v>
      </c>
      <c r="D1931" t="str">
        <f t="shared" si="90"/>
        <v>X</v>
      </c>
      <c r="E1931" t="str">
        <f ca="1">IFERROR(IF(AND(B1931&amp;C1931&amp;D1931="___",INDIRECT("Inventory!A"&amp;MATCH(VLOOKUP(A1931,Inventory!E:E,1,0),Inventory!E:E,0))&lt;&gt;INDIRECT("'Full Inventory'!B"&amp;MATCH(VLOOKUP(A1931,'Full Inventory'!F:F,1,0),'Full Inventory'!F:F,0))),"X","_"),"_")</f>
        <v>_</v>
      </c>
      <c r="K1931" t="str">
        <f t="shared" ca="1" si="91"/>
        <v>__X_</v>
      </c>
      <c r="L1931" t="str">
        <f t="shared" ca="1" si="92"/>
        <v/>
      </c>
      <c r="M1931" t="str">
        <f>IFERROR(INDEX(Inventory!A:A,MATCH(Scan!A1931,Inventory!E:E,0)),"")</f>
        <v/>
      </c>
    </row>
    <row r="1932" spans="2:13" x14ac:dyDescent="0.25">
      <c r="B1932" t="str">
        <f>IF(IFERROR(VLOOKUP(TRIM(A1932),Inventory!E:E,1,0),0)=0,"X","_")</f>
        <v>_</v>
      </c>
      <c r="C1932" t="str">
        <f>IF(IFERROR(VLOOKUP(TRIM(A1932),'Full Inventory'!F:F,1,0),0)=0,"X","_")</f>
        <v>_</v>
      </c>
      <c r="D1932" t="str">
        <f t="shared" si="90"/>
        <v>X</v>
      </c>
      <c r="E1932" t="str">
        <f ca="1">IFERROR(IF(AND(B1932&amp;C1932&amp;D1932="___",INDIRECT("Inventory!A"&amp;MATCH(VLOOKUP(A1932,Inventory!E:E,1,0),Inventory!E:E,0))&lt;&gt;INDIRECT("'Full Inventory'!B"&amp;MATCH(VLOOKUP(A1932,'Full Inventory'!F:F,1,0),'Full Inventory'!F:F,0))),"X","_"),"_")</f>
        <v>_</v>
      </c>
      <c r="K1932" t="str">
        <f t="shared" ca="1" si="91"/>
        <v>__X_</v>
      </c>
      <c r="L1932" t="str">
        <f t="shared" ca="1" si="92"/>
        <v/>
      </c>
      <c r="M1932" t="str">
        <f>IFERROR(INDEX(Inventory!A:A,MATCH(Scan!A1932,Inventory!E:E,0)),"")</f>
        <v/>
      </c>
    </row>
    <row r="1933" spans="2:13" x14ac:dyDescent="0.25">
      <c r="B1933" t="str">
        <f>IF(IFERROR(VLOOKUP(TRIM(A1933),Inventory!E:E,1,0),0)=0,"X","_")</f>
        <v>_</v>
      </c>
      <c r="C1933" t="str">
        <f>IF(IFERROR(VLOOKUP(TRIM(A1933),'Full Inventory'!F:F,1,0),0)=0,"X","_")</f>
        <v>_</v>
      </c>
      <c r="D1933" t="str">
        <f t="shared" si="90"/>
        <v>X</v>
      </c>
      <c r="E1933" t="str">
        <f ca="1">IFERROR(IF(AND(B1933&amp;C1933&amp;D1933="___",INDIRECT("Inventory!A"&amp;MATCH(VLOOKUP(A1933,Inventory!E:E,1,0),Inventory!E:E,0))&lt;&gt;INDIRECT("'Full Inventory'!B"&amp;MATCH(VLOOKUP(A1933,'Full Inventory'!F:F,1,0),'Full Inventory'!F:F,0))),"X","_"),"_")</f>
        <v>_</v>
      </c>
      <c r="K1933" t="str">
        <f t="shared" ca="1" si="91"/>
        <v>__X_</v>
      </c>
      <c r="L1933" t="str">
        <f t="shared" ca="1" si="92"/>
        <v/>
      </c>
      <c r="M1933" t="str">
        <f>IFERROR(INDEX(Inventory!A:A,MATCH(Scan!A1933,Inventory!E:E,0)),"")</f>
        <v/>
      </c>
    </row>
    <row r="1934" spans="2:13" x14ac:dyDescent="0.25">
      <c r="B1934" t="str">
        <f>IF(IFERROR(VLOOKUP(TRIM(A1934),Inventory!E:E,1,0),0)=0,"X","_")</f>
        <v>_</v>
      </c>
      <c r="C1934" t="str">
        <f>IF(IFERROR(VLOOKUP(TRIM(A1934),'Full Inventory'!F:F,1,0),0)=0,"X","_")</f>
        <v>_</v>
      </c>
      <c r="D1934" t="str">
        <f t="shared" si="90"/>
        <v>X</v>
      </c>
      <c r="E1934" t="str">
        <f ca="1">IFERROR(IF(AND(B1934&amp;C1934&amp;D1934="___",INDIRECT("Inventory!A"&amp;MATCH(VLOOKUP(A1934,Inventory!E:E,1,0),Inventory!E:E,0))&lt;&gt;INDIRECT("'Full Inventory'!B"&amp;MATCH(VLOOKUP(A1934,'Full Inventory'!F:F,1,0),'Full Inventory'!F:F,0))),"X","_"),"_")</f>
        <v>_</v>
      </c>
      <c r="K1934" t="str">
        <f t="shared" ca="1" si="91"/>
        <v>__X_</v>
      </c>
      <c r="L1934" t="str">
        <f t="shared" ca="1" si="92"/>
        <v/>
      </c>
      <c r="M1934" t="str">
        <f>IFERROR(INDEX(Inventory!A:A,MATCH(Scan!A1934,Inventory!E:E,0)),"")</f>
        <v/>
      </c>
    </row>
    <row r="1935" spans="2:13" x14ac:dyDescent="0.25">
      <c r="B1935" t="str">
        <f>IF(IFERROR(VLOOKUP(TRIM(A1935),Inventory!E:E,1,0),0)=0,"X","_")</f>
        <v>_</v>
      </c>
      <c r="C1935" t="str">
        <f>IF(IFERROR(VLOOKUP(TRIM(A1935),'Full Inventory'!F:F,1,0),0)=0,"X","_")</f>
        <v>_</v>
      </c>
      <c r="D1935" t="str">
        <f t="shared" si="90"/>
        <v>X</v>
      </c>
      <c r="E1935" t="str">
        <f ca="1">IFERROR(IF(AND(B1935&amp;C1935&amp;D1935="___",INDIRECT("Inventory!A"&amp;MATCH(VLOOKUP(A1935,Inventory!E:E,1,0),Inventory!E:E,0))&lt;&gt;INDIRECT("'Full Inventory'!B"&amp;MATCH(VLOOKUP(A1935,'Full Inventory'!F:F,1,0),'Full Inventory'!F:F,0))),"X","_"),"_")</f>
        <v>_</v>
      </c>
      <c r="K1935" t="str">
        <f t="shared" ca="1" si="91"/>
        <v>__X_</v>
      </c>
      <c r="L1935" t="str">
        <f t="shared" ca="1" si="92"/>
        <v/>
      </c>
      <c r="M1935" t="str">
        <f>IFERROR(INDEX(Inventory!A:A,MATCH(Scan!A1935,Inventory!E:E,0)),"")</f>
        <v/>
      </c>
    </row>
    <row r="1936" spans="2:13" x14ac:dyDescent="0.25">
      <c r="B1936" t="str">
        <f>IF(IFERROR(VLOOKUP(TRIM(A1936),Inventory!E:E,1,0),0)=0,"X","_")</f>
        <v>_</v>
      </c>
      <c r="C1936" t="str">
        <f>IF(IFERROR(VLOOKUP(TRIM(A1936),'Full Inventory'!F:F,1,0),0)=0,"X","_")</f>
        <v>_</v>
      </c>
      <c r="D1936" t="str">
        <f t="shared" si="90"/>
        <v>X</v>
      </c>
      <c r="E1936" t="str">
        <f ca="1">IFERROR(IF(AND(B1936&amp;C1936&amp;D1936="___",INDIRECT("Inventory!A"&amp;MATCH(VLOOKUP(A1936,Inventory!E:E,1,0),Inventory!E:E,0))&lt;&gt;INDIRECT("'Full Inventory'!B"&amp;MATCH(VLOOKUP(A1936,'Full Inventory'!F:F,1,0),'Full Inventory'!F:F,0))),"X","_"),"_")</f>
        <v>_</v>
      </c>
      <c r="K1936" t="str">
        <f t="shared" ca="1" si="91"/>
        <v>__X_</v>
      </c>
      <c r="L1936" t="str">
        <f t="shared" ca="1" si="92"/>
        <v/>
      </c>
      <c r="M1936" t="str">
        <f>IFERROR(INDEX(Inventory!A:A,MATCH(Scan!A1936,Inventory!E:E,0)),"")</f>
        <v/>
      </c>
    </row>
    <row r="1937" spans="2:13" x14ac:dyDescent="0.25">
      <c r="B1937" t="str">
        <f>IF(IFERROR(VLOOKUP(TRIM(A1937),Inventory!E:E,1,0),0)=0,"X","_")</f>
        <v>_</v>
      </c>
      <c r="C1937" t="str">
        <f>IF(IFERROR(VLOOKUP(TRIM(A1937),'Full Inventory'!F:F,1,0),0)=0,"X","_")</f>
        <v>_</v>
      </c>
      <c r="D1937" t="str">
        <f t="shared" si="90"/>
        <v>X</v>
      </c>
      <c r="E1937" t="str">
        <f ca="1">IFERROR(IF(AND(B1937&amp;C1937&amp;D1937="___",INDIRECT("Inventory!A"&amp;MATCH(VLOOKUP(A1937,Inventory!E:E,1,0),Inventory!E:E,0))&lt;&gt;INDIRECT("'Full Inventory'!B"&amp;MATCH(VLOOKUP(A1937,'Full Inventory'!F:F,1,0),'Full Inventory'!F:F,0))),"X","_"),"_")</f>
        <v>_</v>
      </c>
      <c r="K1937" t="str">
        <f t="shared" ca="1" si="91"/>
        <v>__X_</v>
      </c>
      <c r="L1937" t="str">
        <f t="shared" ca="1" si="92"/>
        <v/>
      </c>
      <c r="M1937" t="str">
        <f>IFERROR(INDEX(Inventory!A:A,MATCH(Scan!A1937,Inventory!E:E,0)),"")</f>
        <v/>
      </c>
    </row>
    <row r="1938" spans="2:13" x14ac:dyDescent="0.25">
      <c r="B1938" t="str">
        <f>IF(IFERROR(VLOOKUP(TRIM(A1938),Inventory!E:E,1,0),0)=0,"X","_")</f>
        <v>_</v>
      </c>
      <c r="C1938" t="str">
        <f>IF(IFERROR(VLOOKUP(TRIM(A1938),'Full Inventory'!F:F,1,0),0)=0,"X","_")</f>
        <v>_</v>
      </c>
      <c r="D1938" t="str">
        <f t="shared" si="90"/>
        <v>X</v>
      </c>
      <c r="E1938" t="str">
        <f ca="1">IFERROR(IF(AND(B1938&amp;C1938&amp;D1938="___",INDIRECT("Inventory!A"&amp;MATCH(VLOOKUP(A1938,Inventory!E:E,1,0),Inventory!E:E,0))&lt;&gt;INDIRECT("'Full Inventory'!B"&amp;MATCH(VLOOKUP(A1938,'Full Inventory'!F:F,1,0),'Full Inventory'!F:F,0))),"X","_"),"_")</f>
        <v>_</v>
      </c>
      <c r="K1938" t="str">
        <f t="shared" ca="1" si="91"/>
        <v>__X_</v>
      </c>
      <c r="L1938" t="str">
        <f t="shared" ca="1" si="92"/>
        <v/>
      </c>
      <c r="M1938" t="str">
        <f>IFERROR(INDEX(Inventory!A:A,MATCH(Scan!A1938,Inventory!E:E,0)),"")</f>
        <v/>
      </c>
    </row>
    <row r="1939" spans="2:13" x14ac:dyDescent="0.25">
      <c r="B1939" t="str">
        <f>IF(IFERROR(VLOOKUP(TRIM(A1939),Inventory!E:E,1,0),0)=0,"X","_")</f>
        <v>_</v>
      </c>
      <c r="C1939" t="str">
        <f>IF(IFERROR(VLOOKUP(TRIM(A1939),'Full Inventory'!F:F,1,0),0)=0,"X","_")</f>
        <v>_</v>
      </c>
      <c r="D1939" t="str">
        <f t="shared" si="90"/>
        <v>X</v>
      </c>
      <c r="E1939" t="str">
        <f ca="1">IFERROR(IF(AND(B1939&amp;C1939&amp;D1939="___",INDIRECT("Inventory!A"&amp;MATCH(VLOOKUP(A1939,Inventory!E:E,1,0),Inventory!E:E,0))&lt;&gt;INDIRECT("'Full Inventory'!B"&amp;MATCH(VLOOKUP(A1939,'Full Inventory'!F:F,1,0),'Full Inventory'!F:F,0))),"X","_"),"_")</f>
        <v>_</v>
      </c>
      <c r="K1939" t="str">
        <f t="shared" ca="1" si="91"/>
        <v>__X_</v>
      </c>
      <c r="L1939" t="str">
        <f t="shared" ca="1" si="92"/>
        <v/>
      </c>
      <c r="M1939" t="str">
        <f>IFERROR(INDEX(Inventory!A:A,MATCH(Scan!A1939,Inventory!E:E,0)),"")</f>
        <v/>
      </c>
    </row>
    <row r="1940" spans="2:13" x14ac:dyDescent="0.25">
      <c r="B1940" t="str">
        <f>IF(IFERROR(VLOOKUP(TRIM(A1940),Inventory!E:E,1,0),0)=0,"X","_")</f>
        <v>_</v>
      </c>
      <c r="C1940" t="str">
        <f>IF(IFERROR(VLOOKUP(TRIM(A1940),'Full Inventory'!F:F,1,0),0)=0,"X","_")</f>
        <v>_</v>
      </c>
      <c r="D1940" t="str">
        <f t="shared" si="90"/>
        <v>X</v>
      </c>
      <c r="E1940" t="str">
        <f ca="1">IFERROR(IF(AND(B1940&amp;C1940&amp;D1940="___",INDIRECT("Inventory!A"&amp;MATCH(VLOOKUP(A1940,Inventory!E:E,1,0),Inventory!E:E,0))&lt;&gt;INDIRECT("'Full Inventory'!B"&amp;MATCH(VLOOKUP(A1940,'Full Inventory'!F:F,1,0),'Full Inventory'!F:F,0))),"X","_"),"_")</f>
        <v>_</v>
      </c>
      <c r="K1940" t="str">
        <f t="shared" ca="1" si="91"/>
        <v>__X_</v>
      </c>
      <c r="L1940" t="str">
        <f t="shared" ca="1" si="92"/>
        <v/>
      </c>
      <c r="M1940" t="str">
        <f>IFERROR(INDEX(Inventory!A:A,MATCH(Scan!A1940,Inventory!E:E,0)),"")</f>
        <v/>
      </c>
    </row>
    <row r="1941" spans="2:13" x14ac:dyDescent="0.25">
      <c r="B1941" t="str">
        <f>IF(IFERROR(VLOOKUP(TRIM(A1941),Inventory!E:E,1,0),0)=0,"X","_")</f>
        <v>_</v>
      </c>
      <c r="C1941" t="str">
        <f>IF(IFERROR(VLOOKUP(TRIM(A1941),'Full Inventory'!F:F,1,0),0)=0,"X","_")</f>
        <v>_</v>
      </c>
      <c r="D1941" t="str">
        <f t="shared" si="90"/>
        <v>X</v>
      </c>
      <c r="E1941" t="str">
        <f ca="1">IFERROR(IF(AND(B1941&amp;C1941&amp;D1941="___",INDIRECT("Inventory!A"&amp;MATCH(VLOOKUP(A1941,Inventory!E:E,1,0),Inventory!E:E,0))&lt;&gt;INDIRECT("'Full Inventory'!B"&amp;MATCH(VLOOKUP(A1941,'Full Inventory'!F:F,1,0),'Full Inventory'!F:F,0))),"X","_"),"_")</f>
        <v>_</v>
      </c>
      <c r="K1941" t="str">
        <f t="shared" ca="1" si="91"/>
        <v>__X_</v>
      </c>
      <c r="L1941" t="str">
        <f t="shared" ca="1" si="92"/>
        <v/>
      </c>
      <c r="M1941" t="str">
        <f>IFERROR(INDEX(Inventory!A:A,MATCH(Scan!A1941,Inventory!E:E,0)),"")</f>
        <v/>
      </c>
    </row>
    <row r="1942" spans="2:13" x14ac:dyDescent="0.25">
      <c r="B1942" t="str">
        <f>IF(IFERROR(VLOOKUP(TRIM(A1942),Inventory!E:E,1,0),0)=0,"X","_")</f>
        <v>_</v>
      </c>
      <c r="C1942" t="str">
        <f>IF(IFERROR(VLOOKUP(TRIM(A1942),'Full Inventory'!F:F,1,0),0)=0,"X","_")</f>
        <v>_</v>
      </c>
      <c r="D1942" t="str">
        <f t="shared" si="90"/>
        <v>X</v>
      </c>
      <c r="E1942" t="str">
        <f ca="1">IFERROR(IF(AND(B1942&amp;C1942&amp;D1942="___",INDIRECT("Inventory!A"&amp;MATCH(VLOOKUP(A1942,Inventory!E:E,1,0),Inventory!E:E,0))&lt;&gt;INDIRECT("'Full Inventory'!B"&amp;MATCH(VLOOKUP(A1942,'Full Inventory'!F:F,1,0),'Full Inventory'!F:F,0))),"X","_"),"_")</f>
        <v>_</v>
      </c>
      <c r="K1942" t="str">
        <f t="shared" ca="1" si="91"/>
        <v>__X_</v>
      </c>
      <c r="L1942" t="str">
        <f t="shared" ca="1" si="92"/>
        <v/>
      </c>
      <c r="M1942" t="str">
        <f>IFERROR(INDEX(Inventory!A:A,MATCH(Scan!A1942,Inventory!E:E,0)),"")</f>
        <v/>
      </c>
    </row>
    <row r="1943" spans="2:13" x14ac:dyDescent="0.25">
      <c r="B1943" t="str">
        <f>IF(IFERROR(VLOOKUP(TRIM(A1943),Inventory!E:E,1,0),0)=0,"X","_")</f>
        <v>_</v>
      </c>
      <c r="C1943" t="str">
        <f>IF(IFERROR(VLOOKUP(TRIM(A1943),'Full Inventory'!F:F,1,0),0)=0,"X","_")</f>
        <v>_</v>
      </c>
      <c r="D1943" t="str">
        <f t="shared" si="90"/>
        <v>X</v>
      </c>
      <c r="E1943" t="str">
        <f ca="1">IFERROR(IF(AND(B1943&amp;C1943&amp;D1943="___",INDIRECT("Inventory!A"&amp;MATCH(VLOOKUP(A1943,Inventory!E:E,1,0),Inventory!E:E,0))&lt;&gt;INDIRECT("'Full Inventory'!B"&amp;MATCH(VLOOKUP(A1943,'Full Inventory'!F:F,1,0),'Full Inventory'!F:F,0))),"X","_"),"_")</f>
        <v>_</v>
      </c>
      <c r="K1943" t="str">
        <f t="shared" ca="1" si="91"/>
        <v>__X_</v>
      </c>
      <c r="L1943" t="str">
        <f t="shared" ca="1" si="92"/>
        <v/>
      </c>
      <c r="M1943" t="str">
        <f>IFERROR(INDEX(Inventory!A:A,MATCH(Scan!A1943,Inventory!E:E,0)),"")</f>
        <v/>
      </c>
    </row>
    <row r="1944" spans="2:13" x14ac:dyDescent="0.25">
      <c r="B1944" t="str">
        <f>IF(IFERROR(VLOOKUP(TRIM(A1944),Inventory!E:E,1,0),0)=0,"X","_")</f>
        <v>_</v>
      </c>
      <c r="C1944" t="str">
        <f>IF(IFERROR(VLOOKUP(TRIM(A1944),'Full Inventory'!F:F,1,0),0)=0,"X","_")</f>
        <v>_</v>
      </c>
      <c r="D1944" t="str">
        <f t="shared" si="90"/>
        <v>X</v>
      </c>
      <c r="E1944" t="str">
        <f ca="1">IFERROR(IF(AND(B1944&amp;C1944&amp;D1944="___",INDIRECT("Inventory!A"&amp;MATCH(VLOOKUP(A1944,Inventory!E:E,1,0),Inventory!E:E,0))&lt;&gt;INDIRECT("'Full Inventory'!B"&amp;MATCH(VLOOKUP(A1944,'Full Inventory'!F:F,1,0),'Full Inventory'!F:F,0))),"X","_"),"_")</f>
        <v>_</v>
      </c>
      <c r="K1944" t="str">
        <f t="shared" ca="1" si="91"/>
        <v>__X_</v>
      </c>
      <c r="L1944" t="str">
        <f t="shared" ca="1" si="92"/>
        <v/>
      </c>
      <c r="M1944" t="str">
        <f>IFERROR(INDEX(Inventory!A:A,MATCH(Scan!A1944,Inventory!E:E,0)),"")</f>
        <v/>
      </c>
    </row>
    <row r="1945" spans="2:13" x14ac:dyDescent="0.25">
      <c r="B1945" t="str">
        <f>IF(IFERROR(VLOOKUP(TRIM(A1945),Inventory!E:E,1,0),0)=0,"X","_")</f>
        <v>_</v>
      </c>
      <c r="C1945" t="str">
        <f>IF(IFERROR(VLOOKUP(TRIM(A1945),'Full Inventory'!F:F,1,0),0)=0,"X","_")</f>
        <v>_</v>
      </c>
      <c r="D1945" t="str">
        <f t="shared" si="90"/>
        <v>X</v>
      </c>
      <c r="E1945" t="str">
        <f ca="1">IFERROR(IF(AND(B1945&amp;C1945&amp;D1945="___",INDIRECT("Inventory!A"&amp;MATCH(VLOOKUP(A1945,Inventory!E:E,1,0),Inventory!E:E,0))&lt;&gt;INDIRECT("'Full Inventory'!B"&amp;MATCH(VLOOKUP(A1945,'Full Inventory'!F:F,1,0),'Full Inventory'!F:F,0))),"X","_"),"_")</f>
        <v>_</v>
      </c>
      <c r="K1945" t="str">
        <f t="shared" ca="1" si="91"/>
        <v>__X_</v>
      </c>
      <c r="L1945" t="str">
        <f t="shared" ca="1" si="92"/>
        <v/>
      </c>
      <c r="M1945" t="str">
        <f>IFERROR(INDEX(Inventory!A:A,MATCH(Scan!A1945,Inventory!E:E,0)),"")</f>
        <v/>
      </c>
    </row>
    <row r="1946" spans="2:13" x14ac:dyDescent="0.25">
      <c r="B1946" t="str">
        <f>IF(IFERROR(VLOOKUP(TRIM(A1946),Inventory!E:E,1,0),0)=0,"X","_")</f>
        <v>_</v>
      </c>
      <c r="C1946" t="str">
        <f>IF(IFERROR(VLOOKUP(TRIM(A1946),'Full Inventory'!F:F,1,0),0)=0,"X","_")</f>
        <v>_</v>
      </c>
      <c r="D1946" t="str">
        <f t="shared" si="90"/>
        <v>X</v>
      </c>
      <c r="E1946" t="str">
        <f ca="1">IFERROR(IF(AND(B1946&amp;C1946&amp;D1946="___",INDIRECT("Inventory!A"&amp;MATCH(VLOOKUP(A1946,Inventory!E:E,1,0),Inventory!E:E,0))&lt;&gt;INDIRECT("'Full Inventory'!B"&amp;MATCH(VLOOKUP(A1946,'Full Inventory'!F:F,1,0),'Full Inventory'!F:F,0))),"X","_"),"_")</f>
        <v>_</v>
      </c>
      <c r="K1946" t="str">
        <f t="shared" ca="1" si="91"/>
        <v>__X_</v>
      </c>
      <c r="L1946" t="str">
        <f t="shared" ca="1" si="92"/>
        <v/>
      </c>
      <c r="M1946" t="str">
        <f>IFERROR(INDEX(Inventory!A:A,MATCH(Scan!A1946,Inventory!E:E,0)),"")</f>
        <v/>
      </c>
    </row>
    <row r="1947" spans="2:13" x14ac:dyDescent="0.25">
      <c r="B1947" t="str">
        <f>IF(IFERROR(VLOOKUP(TRIM(A1947),Inventory!E:E,1,0),0)=0,"X","_")</f>
        <v>_</v>
      </c>
      <c r="C1947" t="str">
        <f>IF(IFERROR(VLOOKUP(TRIM(A1947),'Full Inventory'!F:F,1,0),0)=0,"X","_")</f>
        <v>_</v>
      </c>
      <c r="D1947" t="str">
        <f t="shared" si="90"/>
        <v>X</v>
      </c>
      <c r="E1947" t="str">
        <f ca="1">IFERROR(IF(AND(B1947&amp;C1947&amp;D1947="___",INDIRECT("Inventory!A"&amp;MATCH(VLOOKUP(A1947,Inventory!E:E,1,0),Inventory!E:E,0))&lt;&gt;INDIRECT("'Full Inventory'!B"&amp;MATCH(VLOOKUP(A1947,'Full Inventory'!F:F,1,0),'Full Inventory'!F:F,0))),"X","_"),"_")</f>
        <v>_</v>
      </c>
      <c r="K1947" t="str">
        <f t="shared" ca="1" si="91"/>
        <v>__X_</v>
      </c>
      <c r="L1947" t="str">
        <f t="shared" ca="1" si="92"/>
        <v/>
      </c>
      <c r="M1947" t="str">
        <f>IFERROR(INDEX(Inventory!A:A,MATCH(Scan!A1947,Inventory!E:E,0)),"")</f>
        <v/>
      </c>
    </row>
    <row r="1948" spans="2:13" x14ac:dyDescent="0.25">
      <c r="B1948" t="str">
        <f>IF(IFERROR(VLOOKUP(TRIM(A1948),Inventory!E:E,1,0),0)=0,"X","_")</f>
        <v>_</v>
      </c>
      <c r="C1948" t="str">
        <f>IF(IFERROR(VLOOKUP(TRIM(A1948),'Full Inventory'!F:F,1,0),0)=0,"X","_")</f>
        <v>_</v>
      </c>
      <c r="D1948" t="str">
        <f t="shared" si="90"/>
        <v>X</v>
      </c>
      <c r="E1948" t="str">
        <f ca="1">IFERROR(IF(AND(B1948&amp;C1948&amp;D1948="___",INDIRECT("Inventory!A"&amp;MATCH(VLOOKUP(A1948,Inventory!E:E,1,0),Inventory!E:E,0))&lt;&gt;INDIRECT("'Full Inventory'!B"&amp;MATCH(VLOOKUP(A1948,'Full Inventory'!F:F,1,0),'Full Inventory'!F:F,0))),"X","_"),"_")</f>
        <v>_</v>
      </c>
      <c r="K1948" t="str">
        <f t="shared" ca="1" si="91"/>
        <v>__X_</v>
      </c>
      <c r="L1948" t="str">
        <f t="shared" ca="1" si="92"/>
        <v/>
      </c>
      <c r="M1948" t="str">
        <f>IFERROR(INDEX(Inventory!A:A,MATCH(Scan!A1948,Inventory!E:E,0)),"")</f>
        <v/>
      </c>
    </row>
    <row r="1949" spans="2:13" x14ac:dyDescent="0.25">
      <c r="B1949" t="str">
        <f>IF(IFERROR(VLOOKUP(TRIM(A1949),Inventory!E:E,1,0),0)=0,"X","_")</f>
        <v>_</v>
      </c>
      <c r="C1949" t="str">
        <f>IF(IFERROR(VLOOKUP(TRIM(A1949),'Full Inventory'!F:F,1,0),0)=0,"X","_")</f>
        <v>_</v>
      </c>
      <c r="D1949" t="str">
        <f t="shared" si="90"/>
        <v>X</v>
      </c>
      <c r="E1949" t="str">
        <f ca="1">IFERROR(IF(AND(B1949&amp;C1949&amp;D1949="___",INDIRECT("Inventory!A"&amp;MATCH(VLOOKUP(A1949,Inventory!E:E,1,0),Inventory!E:E,0))&lt;&gt;INDIRECT("'Full Inventory'!B"&amp;MATCH(VLOOKUP(A1949,'Full Inventory'!F:F,1,0),'Full Inventory'!F:F,0))),"X","_"),"_")</f>
        <v>_</v>
      </c>
      <c r="K1949" t="str">
        <f t="shared" ca="1" si="91"/>
        <v>__X_</v>
      </c>
      <c r="L1949" t="str">
        <f t="shared" ca="1" si="92"/>
        <v/>
      </c>
      <c r="M1949" t="str">
        <f>IFERROR(INDEX(Inventory!A:A,MATCH(Scan!A1949,Inventory!E:E,0)),"")</f>
        <v/>
      </c>
    </row>
    <row r="1950" spans="2:13" x14ac:dyDescent="0.25">
      <c r="B1950" t="str">
        <f>IF(IFERROR(VLOOKUP(TRIM(A1950),Inventory!E:E,1,0),0)=0,"X","_")</f>
        <v>_</v>
      </c>
      <c r="C1950" t="str">
        <f>IF(IFERROR(VLOOKUP(TRIM(A1950),'Full Inventory'!F:F,1,0),0)=0,"X","_")</f>
        <v>_</v>
      </c>
      <c r="D1950" t="str">
        <f t="shared" si="90"/>
        <v>X</v>
      </c>
      <c r="E1950" t="str">
        <f ca="1">IFERROR(IF(AND(B1950&amp;C1950&amp;D1950="___",INDIRECT("Inventory!A"&amp;MATCH(VLOOKUP(A1950,Inventory!E:E,1,0),Inventory!E:E,0))&lt;&gt;INDIRECT("'Full Inventory'!B"&amp;MATCH(VLOOKUP(A1950,'Full Inventory'!F:F,1,0),'Full Inventory'!F:F,0))),"X","_"),"_")</f>
        <v>_</v>
      </c>
      <c r="K1950" t="str">
        <f t="shared" ca="1" si="91"/>
        <v>__X_</v>
      </c>
      <c r="L1950" t="str">
        <f t="shared" ca="1" si="92"/>
        <v/>
      </c>
      <c r="M1950" t="str">
        <f>IFERROR(INDEX(Inventory!A:A,MATCH(Scan!A1950,Inventory!E:E,0)),"")</f>
        <v/>
      </c>
    </row>
    <row r="1951" spans="2:13" x14ac:dyDescent="0.25">
      <c r="B1951" t="str">
        <f>IF(IFERROR(VLOOKUP(TRIM(A1951),Inventory!E:E,1,0),0)=0,"X","_")</f>
        <v>_</v>
      </c>
      <c r="C1951" t="str">
        <f>IF(IFERROR(VLOOKUP(TRIM(A1951),'Full Inventory'!F:F,1,0),0)=0,"X","_")</f>
        <v>_</v>
      </c>
      <c r="D1951" t="str">
        <f t="shared" si="90"/>
        <v>X</v>
      </c>
      <c r="E1951" t="str">
        <f ca="1">IFERROR(IF(AND(B1951&amp;C1951&amp;D1951="___",INDIRECT("Inventory!A"&amp;MATCH(VLOOKUP(A1951,Inventory!E:E,1,0),Inventory!E:E,0))&lt;&gt;INDIRECT("'Full Inventory'!B"&amp;MATCH(VLOOKUP(A1951,'Full Inventory'!F:F,1,0),'Full Inventory'!F:F,0))),"X","_"),"_")</f>
        <v>_</v>
      </c>
      <c r="K1951" t="str">
        <f t="shared" ca="1" si="91"/>
        <v>__X_</v>
      </c>
      <c r="L1951" t="str">
        <f t="shared" ca="1" si="92"/>
        <v/>
      </c>
      <c r="M1951" t="str">
        <f>IFERROR(INDEX(Inventory!A:A,MATCH(Scan!A1951,Inventory!E:E,0)),"")</f>
        <v/>
      </c>
    </row>
    <row r="1952" spans="2:13" x14ac:dyDescent="0.25">
      <c r="B1952" t="str">
        <f>IF(IFERROR(VLOOKUP(TRIM(A1952),Inventory!E:E,1,0),0)=0,"X","_")</f>
        <v>_</v>
      </c>
      <c r="C1952" t="str">
        <f>IF(IFERROR(VLOOKUP(TRIM(A1952),'Full Inventory'!F:F,1,0),0)=0,"X","_")</f>
        <v>_</v>
      </c>
      <c r="D1952" t="str">
        <f t="shared" si="90"/>
        <v>X</v>
      </c>
      <c r="E1952" t="str">
        <f ca="1">IFERROR(IF(AND(B1952&amp;C1952&amp;D1952="___",INDIRECT("Inventory!A"&amp;MATCH(VLOOKUP(A1952,Inventory!E:E,1,0),Inventory!E:E,0))&lt;&gt;INDIRECT("'Full Inventory'!B"&amp;MATCH(VLOOKUP(A1952,'Full Inventory'!F:F,1,0),'Full Inventory'!F:F,0))),"X","_"),"_")</f>
        <v>_</v>
      </c>
      <c r="K1952" t="str">
        <f t="shared" ca="1" si="91"/>
        <v>__X_</v>
      </c>
      <c r="L1952" t="str">
        <f t="shared" ca="1" si="92"/>
        <v/>
      </c>
      <c r="M1952" t="str">
        <f>IFERROR(INDEX(Inventory!A:A,MATCH(Scan!A1952,Inventory!E:E,0)),"")</f>
        <v/>
      </c>
    </row>
    <row r="1953" spans="2:13" x14ac:dyDescent="0.25">
      <c r="B1953" t="str">
        <f>IF(IFERROR(VLOOKUP(TRIM(A1953),Inventory!E:E,1,0),0)=0,"X","_")</f>
        <v>_</v>
      </c>
      <c r="C1953" t="str">
        <f>IF(IFERROR(VLOOKUP(TRIM(A1953),'Full Inventory'!F:F,1,0),0)=0,"X","_")</f>
        <v>_</v>
      </c>
      <c r="D1953" t="str">
        <f t="shared" si="90"/>
        <v>X</v>
      </c>
      <c r="E1953" t="str">
        <f ca="1">IFERROR(IF(AND(B1953&amp;C1953&amp;D1953="___",INDIRECT("Inventory!A"&amp;MATCH(VLOOKUP(A1953,Inventory!E:E,1,0),Inventory!E:E,0))&lt;&gt;INDIRECT("'Full Inventory'!B"&amp;MATCH(VLOOKUP(A1953,'Full Inventory'!F:F,1,0),'Full Inventory'!F:F,0))),"X","_"),"_")</f>
        <v>_</v>
      </c>
      <c r="K1953" t="str">
        <f t="shared" ca="1" si="91"/>
        <v>__X_</v>
      </c>
      <c r="L1953" t="str">
        <f t="shared" ca="1" si="92"/>
        <v/>
      </c>
      <c r="M1953" t="str">
        <f>IFERROR(INDEX(Inventory!A:A,MATCH(Scan!A1953,Inventory!E:E,0)),"")</f>
        <v/>
      </c>
    </row>
    <row r="1954" spans="2:13" x14ac:dyDescent="0.25">
      <c r="B1954" t="str">
        <f>IF(IFERROR(VLOOKUP(TRIM(A1954),Inventory!E:E,1,0),0)=0,"X","_")</f>
        <v>_</v>
      </c>
      <c r="C1954" t="str">
        <f>IF(IFERROR(VLOOKUP(TRIM(A1954),'Full Inventory'!F:F,1,0),0)=0,"X","_")</f>
        <v>_</v>
      </c>
      <c r="D1954" t="str">
        <f t="shared" si="90"/>
        <v>X</v>
      </c>
      <c r="E1954" t="str">
        <f ca="1">IFERROR(IF(AND(B1954&amp;C1954&amp;D1954="___",INDIRECT("Inventory!A"&amp;MATCH(VLOOKUP(A1954,Inventory!E:E,1,0),Inventory!E:E,0))&lt;&gt;INDIRECT("'Full Inventory'!B"&amp;MATCH(VLOOKUP(A1954,'Full Inventory'!F:F,1,0),'Full Inventory'!F:F,0))),"X","_"),"_")</f>
        <v>_</v>
      </c>
      <c r="K1954" t="str">
        <f t="shared" ca="1" si="91"/>
        <v>__X_</v>
      </c>
      <c r="L1954" t="str">
        <f t="shared" ca="1" si="92"/>
        <v/>
      </c>
      <c r="M1954" t="str">
        <f>IFERROR(INDEX(Inventory!A:A,MATCH(Scan!A1954,Inventory!E:E,0)),"")</f>
        <v/>
      </c>
    </row>
    <row r="1955" spans="2:13" x14ac:dyDescent="0.25">
      <c r="B1955" t="str">
        <f>IF(IFERROR(VLOOKUP(TRIM(A1955),Inventory!E:E,1,0),0)=0,"X","_")</f>
        <v>_</v>
      </c>
      <c r="C1955" t="str">
        <f>IF(IFERROR(VLOOKUP(TRIM(A1955),'Full Inventory'!F:F,1,0),0)=0,"X","_")</f>
        <v>_</v>
      </c>
      <c r="D1955" t="str">
        <f t="shared" si="90"/>
        <v>X</v>
      </c>
      <c r="E1955" t="str">
        <f ca="1">IFERROR(IF(AND(B1955&amp;C1955&amp;D1955="___",INDIRECT("Inventory!A"&amp;MATCH(VLOOKUP(A1955,Inventory!E:E,1,0),Inventory!E:E,0))&lt;&gt;INDIRECT("'Full Inventory'!B"&amp;MATCH(VLOOKUP(A1955,'Full Inventory'!F:F,1,0),'Full Inventory'!F:F,0))),"X","_"),"_")</f>
        <v>_</v>
      </c>
      <c r="K1955" t="str">
        <f t="shared" ca="1" si="91"/>
        <v>__X_</v>
      </c>
      <c r="L1955" t="str">
        <f t="shared" ca="1" si="92"/>
        <v/>
      </c>
      <c r="M1955" t="str">
        <f>IFERROR(INDEX(Inventory!A:A,MATCH(Scan!A1955,Inventory!E:E,0)),"")</f>
        <v/>
      </c>
    </row>
    <row r="1956" spans="2:13" x14ac:dyDescent="0.25">
      <c r="B1956" t="str">
        <f>IF(IFERROR(VLOOKUP(TRIM(A1956),Inventory!E:E,1,0),0)=0,"X","_")</f>
        <v>_</v>
      </c>
      <c r="C1956" t="str">
        <f>IF(IFERROR(VLOOKUP(TRIM(A1956),'Full Inventory'!F:F,1,0),0)=0,"X","_")</f>
        <v>_</v>
      </c>
      <c r="D1956" t="str">
        <f t="shared" si="90"/>
        <v>X</v>
      </c>
      <c r="E1956" t="str">
        <f ca="1">IFERROR(IF(AND(B1956&amp;C1956&amp;D1956="___",INDIRECT("Inventory!A"&amp;MATCH(VLOOKUP(A1956,Inventory!E:E,1,0),Inventory!E:E,0))&lt;&gt;INDIRECT("'Full Inventory'!B"&amp;MATCH(VLOOKUP(A1956,'Full Inventory'!F:F,1,0),'Full Inventory'!F:F,0))),"X","_"),"_")</f>
        <v>_</v>
      </c>
      <c r="K1956" t="str">
        <f t="shared" ca="1" si="91"/>
        <v>__X_</v>
      </c>
      <c r="L1956" t="str">
        <f t="shared" ca="1" si="92"/>
        <v/>
      </c>
      <c r="M1956" t="str">
        <f>IFERROR(INDEX(Inventory!A:A,MATCH(Scan!A1956,Inventory!E:E,0)),"")</f>
        <v/>
      </c>
    </row>
    <row r="1957" spans="2:13" x14ac:dyDescent="0.25">
      <c r="B1957" t="str">
        <f>IF(IFERROR(VLOOKUP(TRIM(A1957),Inventory!E:E,1,0),0)=0,"X","_")</f>
        <v>_</v>
      </c>
      <c r="C1957" t="str">
        <f>IF(IFERROR(VLOOKUP(TRIM(A1957),'Full Inventory'!F:F,1,0),0)=0,"X","_")</f>
        <v>_</v>
      </c>
      <c r="D1957" t="str">
        <f t="shared" si="90"/>
        <v>X</v>
      </c>
      <c r="E1957" t="str">
        <f ca="1">IFERROR(IF(AND(B1957&amp;C1957&amp;D1957="___",INDIRECT("Inventory!A"&amp;MATCH(VLOOKUP(A1957,Inventory!E:E,1,0),Inventory!E:E,0))&lt;&gt;INDIRECT("'Full Inventory'!B"&amp;MATCH(VLOOKUP(A1957,'Full Inventory'!F:F,1,0),'Full Inventory'!F:F,0))),"X","_"),"_")</f>
        <v>_</v>
      </c>
      <c r="K1957" t="str">
        <f t="shared" ca="1" si="91"/>
        <v>__X_</v>
      </c>
      <c r="L1957" t="str">
        <f t="shared" ca="1" si="92"/>
        <v/>
      </c>
      <c r="M1957" t="str">
        <f>IFERROR(INDEX(Inventory!A:A,MATCH(Scan!A1957,Inventory!E:E,0)),"")</f>
        <v/>
      </c>
    </row>
    <row r="1958" spans="2:13" x14ac:dyDescent="0.25">
      <c r="B1958" t="str">
        <f>IF(IFERROR(VLOOKUP(TRIM(A1958),Inventory!E:E,1,0),0)=0,"X","_")</f>
        <v>_</v>
      </c>
      <c r="C1958" t="str">
        <f>IF(IFERROR(VLOOKUP(TRIM(A1958),'Full Inventory'!F:F,1,0),0)=0,"X","_")</f>
        <v>_</v>
      </c>
      <c r="D1958" t="str">
        <f t="shared" si="90"/>
        <v>X</v>
      </c>
      <c r="E1958" t="str">
        <f ca="1">IFERROR(IF(AND(B1958&amp;C1958&amp;D1958="___",INDIRECT("Inventory!A"&amp;MATCH(VLOOKUP(A1958,Inventory!E:E,1,0),Inventory!E:E,0))&lt;&gt;INDIRECT("'Full Inventory'!B"&amp;MATCH(VLOOKUP(A1958,'Full Inventory'!F:F,1,0),'Full Inventory'!F:F,0))),"X","_"),"_")</f>
        <v>_</v>
      </c>
      <c r="K1958" t="str">
        <f t="shared" ca="1" si="91"/>
        <v>__X_</v>
      </c>
      <c r="L1958" t="str">
        <f t="shared" ca="1" si="92"/>
        <v/>
      </c>
      <c r="M1958" t="str">
        <f>IFERROR(INDEX(Inventory!A:A,MATCH(Scan!A1958,Inventory!E:E,0)),"")</f>
        <v/>
      </c>
    </row>
    <row r="1959" spans="2:13" x14ac:dyDescent="0.25">
      <c r="B1959" t="str">
        <f>IF(IFERROR(VLOOKUP(TRIM(A1959),Inventory!E:E,1,0),0)=0,"X","_")</f>
        <v>_</v>
      </c>
      <c r="C1959" t="str">
        <f>IF(IFERROR(VLOOKUP(TRIM(A1959),'Full Inventory'!F:F,1,0),0)=0,"X","_")</f>
        <v>_</v>
      </c>
      <c r="D1959" t="str">
        <f t="shared" si="90"/>
        <v>X</v>
      </c>
      <c r="E1959" t="str">
        <f ca="1">IFERROR(IF(AND(B1959&amp;C1959&amp;D1959="___",INDIRECT("Inventory!A"&amp;MATCH(VLOOKUP(A1959,Inventory!E:E,1,0),Inventory!E:E,0))&lt;&gt;INDIRECT("'Full Inventory'!B"&amp;MATCH(VLOOKUP(A1959,'Full Inventory'!F:F,1,0),'Full Inventory'!F:F,0))),"X","_"),"_")</f>
        <v>_</v>
      </c>
      <c r="K1959" t="str">
        <f t="shared" ca="1" si="91"/>
        <v>__X_</v>
      </c>
      <c r="L1959" t="str">
        <f t="shared" ca="1" si="92"/>
        <v/>
      </c>
      <c r="M1959" t="str">
        <f>IFERROR(INDEX(Inventory!A:A,MATCH(Scan!A1959,Inventory!E:E,0)),"")</f>
        <v/>
      </c>
    </row>
    <row r="1960" spans="2:13" x14ac:dyDescent="0.25">
      <c r="B1960" t="str">
        <f>IF(IFERROR(VLOOKUP(TRIM(A1960),Inventory!E:E,1,0),0)=0,"X","_")</f>
        <v>_</v>
      </c>
      <c r="C1960" t="str">
        <f>IF(IFERROR(VLOOKUP(TRIM(A1960),'Full Inventory'!F:F,1,0),0)=0,"X","_")</f>
        <v>_</v>
      </c>
      <c r="D1960" t="str">
        <f t="shared" si="90"/>
        <v>X</v>
      </c>
      <c r="E1960" t="str">
        <f ca="1">IFERROR(IF(AND(B1960&amp;C1960&amp;D1960="___",INDIRECT("Inventory!A"&amp;MATCH(VLOOKUP(A1960,Inventory!E:E,1,0),Inventory!E:E,0))&lt;&gt;INDIRECT("'Full Inventory'!B"&amp;MATCH(VLOOKUP(A1960,'Full Inventory'!F:F,1,0),'Full Inventory'!F:F,0))),"X","_"),"_")</f>
        <v>_</v>
      </c>
      <c r="K1960" t="str">
        <f t="shared" ca="1" si="91"/>
        <v>__X_</v>
      </c>
      <c r="L1960" t="str">
        <f t="shared" ca="1" si="92"/>
        <v/>
      </c>
      <c r="M1960" t="str">
        <f>IFERROR(INDEX(Inventory!A:A,MATCH(Scan!A1960,Inventory!E:E,0)),"")</f>
        <v/>
      </c>
    </row>
    <row r="1961" spans="2:13" x14ac:dyDescent="0.25">
      <c r="B1961" t="str">
        <f>IF(IFERROR(VLOOKUP(TRIM(A1961),Inventory!E:E,1,0),0)=0,"X","_")</f>
        <v>_</v>
      </c>
      <c r="C1961" t="str">
        <f>IF(IFERROR(VLOOKUP(TRIM(A1961),'Full Inventory'!F:F,1,0),0)=0,"X","_")</f>
        <v>_</v>
      </c>
      <c r="D1961" t="str">
        <f t="shared" si="90"/>
        <v>X</v>
      </c>
      <c r="E1961" t="str">
        <f ca="1">IFERROR(IF(AND(B1961&amp;C1961&amp;D1961="___",INDIRECT("Inventory!A"&amp;MATCH(VLOOKUP(A1961,Inventory!E:E,1,0),Inventory!E:E,0))&lt;&gt;INDIRECT("'Full Inventory'!B"&amp;MATCH(VLOOKUP(A1961,'Full Inventory'!F:F,1,0),'Full Inventory'!F:F,0))),"X","_"),"_")</f>
        <v>_</v>
      </c>
      <c r="K1961" t="str">
        <f t="shared" ca="1" si="91"/>
        <v>__X_</v>
      </c>
      <c r="L1961" t="str">
        <f t="shared" ca="1" si="92"/>
        <v/>
      </c>
      <c r="M1961" t="str">
        <f>IFERROR(INDEX(Inventory!A:A,MATCH(Scan!A1961,Inventory!E:E,0)),"")</f>
        <v/>
      </c>
    </row>
    <row r="1962" spans="2:13" x14ac:dyDescent="0.25">
      <c r="B1962" t="str">
        <f>IF(IFERROR(VLOOKUP(TRIM(A1962),Inventory!E:E,1,0),0)=0,"X","_")</f>
        <v>_</v>
      </c>
      <c r="C1962" t="str">
        <f>IF(IFERROR(VLOOKUP(TRIM(A1962),'Full Inventory'!F:F,1,0),0)=0,"X","_")</f>
        <v>_</v>
      </c>
      <c r="D1962" t="str">
        <f t="shared" si="90"/>
        <v>X</v>
      </c>
      <c r="E1962" t="str">
        <f ca="1">IFERROR(IF(AND(B1962&amp;C1962&amp;D1962="___",INDIRECT("Inventory!A"&amp;MATCH(VLOOKUP(A1962,Inventory!E:E,1,0),Inventory!E:E,0))&lt;&gt;INDIRECT("'Full Inventory'!B"&amp;MATCH(VLOOKUP(A1962,'Full Inventory'!F:F,1,0),'Full Inventory'!F:F,0))),"X","_"),"_")</f>
        <v>_</v>
      </c>
      <c r="K1962" t="str">
        <f t="shared" ca="1" si="91"/>
        <v>__X_</v>
      </c>
      <c r="L1962" t="str">
        <f t="shared" ca="1" si="92"/>
        <v/>
      </c>
      <c r="M1962" t="str">
        <f>IFERROR(INDEX(Inventory!A:A,MATCH(Scan!A1962,Inventory!E:E,0)),"")</f>
        <v/>
      </c>
    </row>
    <row r="1963" spans="2:13" x14ac:dyDescent="0.25">
      <c r="B1963" t="str">
        <f>IF(IFERROR(VLOOKUP(TRIM(A1963),Inventory!E:E,1,0),0)=0,"X","_")</f>
        <v>_</v>
      </c>
      <c r="C1963" t="str">
        <f>IF(IFERROR(VLOOKUP(TRIM(A1963),'Full Inventory'!F:F,1,0),0)=0,"X","_")</f>
        <v>_</v>
      </c>
      <c r="D1963" t="str">
        <f t="shared" si="90"/>
        <v>X</v>
      </c>
      <c r="E1963" t="str">
        <f ca="1">IFERROR(IF(AND(B1963&amp;C1963&amp;D1963="___",INDIRECT("Inventory!A"&amp;MATCH(VLOOKUP(A1963,Inventory!E:E,1,0),Inventory!E:E,0))&lt;&gt;INDIRECT("'Full Inventory'!B"&amp;MATCH(VLOOKUP(A1963,'Full Inventory'!F:F,1,0),'Full Inventory'!F:F,0))),"X","_"),"_")</f>
        <v>_</v>
      </c>
      <c r="K1963" t="str">
        <f t="shared" ca="1" si="91"/>
        <v>__X_</v>
      </c>
      <c r="L1963" t="str">
        <f t="shared" ca="1" si="92"/>
        <v/>
      </c>
      <c r="M1963" t="str">
        <f>IFERROR(INDEX(Inventory!A:A,MATCH(Scan!A1963,Inventory!E:E,0)),"")</f>
        <v/>
      </c>
    </row>
    <row r="1964" spans="2:13" x14ac:dyDescent="0.25">
      <c r="B1964" t="str">
        <f>IF(IFERROR(VLOOKUP(TRIM(A1964),Inventory!E:E,1,0),0)=0,"X","_")</f>
        <v>_</v>
      </c>
      <c r="C1964" t="str">
        <f>IF(IFERROR(VLOOKUP(TRIM(A1964),'Full Inventory'!F:F,1,0),0)=0,"X","_")</f>
        <v>_</v>
      </c>
      <c r="D1964" t="str">
        <f t="shared" si="90"/>
        <v>X</v>
      </c>
      <c r="E1964" t="str">
        <f ca="1">IFERROR(IF(AND(B1964&amp;C1964&amp;D1964="___",INDIRECT("Inventory!A"&amp;MATCH(VLOOKUP(A1964,Inventory!E:E,1,0),Inventory!E:E,0))&lt;&gt;INDIRECT("'Full Inventory'!B"&amp;MATCH(VLOOKUP(A1964,'Full Inventory'!F:F,1,0),'Full Inventory'!F:F,0))),"X","_"),"_")</f>
        <v>_</v>
      </c>
      <c r="K1964" t="str">
        <f t="shared" ca="1" si="91"/>
        <v>__X_</v>
      </c>
      <c r="L1964" t="str">
        <f t="shared" ca="1" si="92"/>
        <v/>
      </c>
      <c r="M1964" t="str">
        <f>IFERROR(INDEX(Inventory!A:A,MATCH(Scan!A1964,Inventory!E:E,0)),"")</f>
        <v/>
      </c>
    </row>
    <row r="1965" spans="2:13" x14ac:dyDescent="0.25">
      <c r="B1965" t="str">
        <f>IF(IFERROR(VLOOKUP(TRIM(A1965),Inventory!E:E,1,0),0)=0,"X","_")</f>
        <v>_</v>
      </c>
      <c r="C1965" t="str">
        <f>IF(IFERROR(VLOOKUP(TRIM(A1965),'Full Inventory'!F:F,1,0),0)=0,"X","_")</f>
        <v>_</v>
      </c>
      <c r="D1965" t="str">
        <f t="shared" si="90"/>
        <v>X</v>
      </c>
      <c r="E1965" t="str">
        <f ca="1">IFERROR(IF(AND(B1965&amp;C1965&amp;D1965="___",INDIRECT("Inventory!A"&amp;MATCH(VLOOKUP(A1965,Inventory!E:E,1,0),Inventory!E:E,0))&lt;&gt;INDIRECT("'Full Inventory'!B"&amp;MATCH(VLOOKUP(A1965,'Full Inventory'!F:F,1,0),'Full Inventory'!F:F,0))),"X","_"),"_")</f>
        <v>_</v>
      </c>
      <c r="K1965" t="str">
        <f t="shared" ca="1" si="91"/>
        <v>__X_</v>
      </c>
      <c r="L1965" t="str">
        <f t="shared" ca="1" si="92"/>
        <v/>
      </c>
      <c r="M1965" t="str">
        <f>IFERROR(INDEX(Inventory!A:A,MATCH(Scan!A1965,Inventory!E:E,0)),"")</f>
        <v/>
      </c>
    </row>
    <row r="1966" spans="2:13" x14ac:dyDescent="0.25">
      <c r="B1966" t="str">
        <f>IF(IFERROR(VLOOKUP(TRIM(A1966),Inventory!E:E,1,0),0)=0,"X","_")</f>
        <v>_</v>
      </c>
      <c r="C1966" t="str">
        <f>IF(IFERROR(VLOOKUP(TRIM(A1966),'Full Inventory'!F:F,1,0),0)=0,"X","_")</f>
        <v>_</v>
      </c>
      <c r="D1966" t="str">
        <f t="shared" si="90"/>
        <v>X</v>
      </c>
      <c r="E1966" t="str">
        <f ca="1">IFERROR(IF(AND(B1966&amp;C1966&amp;D1966="___",INDIRECT("Inventory!A"&amp;MATCH(VLOOKUP(A1966,Inventory!E:E,1,0),Inventory!E:E,0))&lt;&gt;INDIRECT("'Full Inventory'!B"&amp;MATCH(VLOOKUP(A1966,'Full Inventory'!F:F,1,0),'Full Inventory'!F:F,0))),"X","_"),"_")</f>
        <v>_</v>
      </c>
      <c r="K1966" t="str">
        <f t="shared" ca="1" si="91"/>
        <v>__X_</v>
      </c>
      <c r="L1966" t="str">
        <f t="shared" ca="1" si="92"/>
        <v/>
      </c>
      <c r="M1966" t="str">
        <f>IFERROR(INDEX(Inventory!A:A,MATCH(Scan!A1966,Inventory!E:E,0)),"")</f>
        <v/>
      </c>
    </row>
    <row r="1967" spans="2:13" x14ac:dyDescent="0.25">
      <c r="B1967" t="str">
        <f>IF(IFERROR(VLOOKUP(TRIM(A1967),Inventory!E:E,1,0),0)=0,"X","_")</f>
        <v>_</v>
      </c>
      <c r="C1967" t="str">
        <f>IF(IFERROR(VLOOKUP(TRIM(A1967),'Full Inventory'!F:F,1,0),0)=0,"X","_")</f>
        <v>_</v>
      </c>
      <c r="D1967" t="str">
        <f t="shared" si="90"/>
        <v>X</v>
      </c>
      <c r="E1967" t="str">
        <f ca="1">IFERROR(IF(AND(B1967&amp;C1967&amp;D1967="___",INDIRECT("Inventory!A"&amp;MATCH(VLOOKUP(A1967,Inventory!E:E,1,0),Inventory!E:E,0))&lt;&gt;INDIRECT("'Full Inventory'!B"&amp;MATCH(VLOOKUP(A1967,'Full Inventory'!F:F,1,0),'Full Inventory'!F:F,0))),"X","_"),"_")</f>
        <v>_</v>
      </c>
      <c r="K1967" t="str">
        <f t="shared" ca="1" si="91"/>
        <v>__X_</v>
      </c>
      <c r="L1967" t="str">
        <f t="shared" ca="1" si="92"/>
        <v/>
      </c>
      <c r="M1967" t="str">
        <f>IFERROR(INDEX(Inventory!A:A,MATCH(Scan!A1967,Inventory!E:E,0)),"")</f>
        <v/>
      </c>
    </row>
    <row r="1968" spans="2:13" x14ac:dyDescent="0.25">
      <c r="B1968" t="str">
        <f>IF(IFERROR(VLOOKUP(TRIM(A1968),Inventory!E:E,1,0),0)=0,"X","_")</f>
        <v>_</v>
      </c>
      <c r="C1968" t="str">
        <f>IF(IFERROR(VLOOKUP(TRIM(A1968),'Full Inventory'!F:F,1,0),0)=0,"X","_")</f>
        <v>_</v>
      </c>
      <c r="D1968" t="str">
        <f t="shared" si="90"/>
        <v>X</v>
      </c>
      <c r="E1968" t="str">
        <f ca="1">IFERROR(IF(AND(B1968&amp;C1968&amp;D1968="___",INDIRECT("Inventory!A"&amp;MATCH(VLOOKUP(A1968,Inventory!E:E,1,0),Inventory!E:E,0))&lt;&gt;INDIRECT("'Full Inventory'!B"&amp;MATCH(VLOOKUP(A1968,'Full Inventory'!F:F,1,0),'Full Inventory'!F:F,0))),"X","_"),"_")</f>
        <v>_</v>
      </c>
      <c r="K1968" t="str">
        <f t="shared" ca="1" si="91"/>
        <v>__X_</v>
      </c>
      <c r="L1968" t="str">
        <f t="shared" ca="1" si="92"/>
        <v/>
      </c>
      <c r="M1968" t="str">
        <f>IFERROR(INDEX(Inventory!A:A,MATCH(Scan!A1968,Inventory!E:E,0)),"")</f>
        <v/>
      </c>
    </row>
    <row r="1969" spans="2:13" x14ac:dyDescent="0.25">
      <c r="B1969" t="str">
        <f>IF(IFERROR(VLOOKUP(TRIM(A1969),Inventory!E:E,1,0),0)=0,"X","_")</f>
        <v>_</v>
      </c>
      <c r="C1969" t="str">
        <f>IF(IFERROR(VLOOKUP(TRIM(A1969),'Full Inventory'!F:F,1,0),0)=0,"X","_")</f>
        <v>_</v>
      </c>
      <c r="D1969" t="str">
        <f t="shared" si="90"/>
        <v>X</v>
      </c>
      <c r="E1969" t="str">
        <f ca="1">IFERROR(IF(AND(B1969&amp;C1969&amp;D1969="___",INDIRECT("Inventory!A"&amp;MATCH(VLOOKUP(A1969,Inventory!E:E,1,0),Inventory!E:E,0))&lt;&gt;INDIRECT("'Full Inventory'!B"&amp;MATCH(VLOOKUP(A1969,'Full Inventory'!F:F,1,0),'Full Inventory'!F:F,0))),"X","_"),"_")</f>
        <v>_</v>
      </c>
      <c r="K1969" t="str">
        <f t="shared" ca="1" si="91"/>
        <v>__X_</v>
      </c>
      <c r="L1969" t="str">
        <f t="shared" ca="1" si="92"/>
        <v/>
      </c>
      <c r="M1969" t="str">
        <f>IFERROR(INDEX(Inventory!A:A,MATCH(Scan!A1969,Inventory!E:E,0)),"")</f>
        <v/>
      </c>
    </row>
    <row r="1970" spans="2:13" x14ac:dyDescent="0.25">
      <c r="B1970" t="str">
        <f>IF(IFERROR(VLOOKUP(TRIM(A1970),Inventory!E:E,1,0),0)=0,"X","_")</f>
        <v>_</v>
      </c>
      <c r="C1970" t="str">
        <f>IF(IFERROR(VLOOKUP(TRIM(A1970),'Full Inventory'!F:F,1,0),0)=0,"X","_")</f>
        <v>_</v>
      </c>
      <c r="D1970" t="str">
        <f t="shared" si="90"/>
        <v>X</v>
      </c>
      <c r="E1970" t="str">
        <f ca="1">IFERROR(IF(AND(B1970&amp;C1970&amp;D1970="___",INDIRECT("Inventory!A"&amp;MATCH(VLOOKUP(A1970,Inventory!E:E,1,0),Inventory!E:E,0))&lt;&gt;INDIRECT("'Full Inventory'!B"&amp;MATCH(VLOOKUP(A1970,'Full Inventory'!F:F,1,0),'Full Inventory'!F:F,0))),"X","_"),"_")</f>
        <v>_</v>
      </c>
      <c r="K1970" t="str">
        <f t="shared" ca="1" si="91"/>
        <v>__X_</v>
      </c>
      <c r="L1970" t="str">
        <f t="shared" ca="1" si="92"/>
        <v/>
      </c>
      <c r="M1970" t="str">
        <f>IFERROR(INDEX(Inventory!A:A,MATCH(Scan!A1970,Inventory!E:E,0)),"")</f>
        <v/>
      </c>
    </row>
    <row r="1971" spans="2:13" x14ac:dyDescent="0.25">
      <c r="B1971" t="str">
        <f>IF(IFERROR(VLOOKUP(TRIM(A1971),Inventory!E:E,1,0),0)=0,"X","_")</f>
        <v>_</v>
      </c>
      <c r="C1971" t="str">
        <f>IF(IFERROR(VLOOKUP(TRIM(A1971),'Full Inventory'!F:F,1,0),0)=0,"X","_")</f>
        <v>_</v>
      </c>
      <c r="D1971" t="str">
        <f t="shared" si="90"/>
        <v>X</v>
      </c>
      <c r="E1971" t="str">
        <f ca="1">IFERROR(IF(AND(B1971&amp;C1971&amp;D1971="___",INDIRECT("Inventory!A"&amp;MATCH(VLOOKUP(A1971,Inventory!E:E,1,0),Inventory!E:E,0))&lt;&gt;INDIRECT("'Full Inventory'!B"&amp;MATCH(VLOOKUP(A1971,'Full Inventory'!F:F,1,0),'Full Inventory'!F:F,0))),"X","_"),"_")</f>
        <v>_</v>
      </c>
      <c r="K1971" t="str">
        <f t="shared" ca="1" si="91"/>
        <v>__X_</v>
      </c>
      <c r="L1971" t="str">
        <f t="shared" ca="1" si="92"/>
        <v/>
      </c>
      <c r="M1971" t="str">
        <f>IFERROR(INDEX(Inventory!A:A,MATCH(Scan!A1971,Inventory!E:E,0)),"")</f>
        <v/>
      </c>
    </row>
    <row r="1972" spans="2:13" x14ac:dyDescent="0.25">
      <c r="B1972" t="str">
        <f>IF(IFERROR(VLOOKUP(TRIM(A1972),Inventory!E:E,1,0),0)=0,"X","_")</f>
        <v>_</v>
      </c>
      <c r="C1972" t="str">
        <f>IF(IFERROR(VLOOKUP(TRIM(A1972),'Full Inventory'!F:F,1,0),0)=0,"X","_")</f>
        <v>_</v>
      </c>
      <c r="D1972" t="str">
        <f t="shared" si="90"/>
        <v>X</v>
      </c>
      <c r="E1972" t="str">
        <f ca="1">IFERROR(IF(AND(B1972&amp;C1972&amp;D1972="___",INDIRECT("Inventory!A"&amp;MATCH(VLOOKUP(A1972,Inventory!E:E,1,0),Inventory!E:E,0))&lt;&gt;INDIRECT("'Full Inventory'!B"&amp;MATCH(VLOOKUP(A1972,'Full Inventory'!F:F,1,0),'Full Inventory'!F:F,0))),"X","_"),"_")</f>
        <v>_</v>
      </c>
      <c r="K1972" t="str">
        <f t="shared" ca="1" si="91"/>
        <v>__X_</v>
      </c>
      <c r="L1972" t="str">
        <f t="shared" ca="1" si="92"/>
        <v/>
      </c>
      <c r="M1972" t="str">
        <f>IFERROR(INDEX(Inventory!A:A,MATCH(Scan!A1972,Inventory!E:E,0)),"")</f>
        <v/>
      </c>
    </row>
    <row r="1973" spans="2:13" x14ac:dyDescent="0.25">
      <c r="B1973" t="str">
        <f>IF(IFERROR(VLOOKUP(TRIM(A1973),Inventory!E:E,1,0),0)=0,"X","_")</f>
        <v>_</v>
      </c>
      <c r="C1973" t="str">
        <f>IF(IFERROR(VLOOKUP(TRIM(A1973),'Full Inventory'!F:F,1,0),0)=0,"X","_")</f>
        <v>_</v>
      </c>
      <c r="D1973" t="str">
        <f t="shared" si="90"/>
        <v>X</v>
      </c>
      <c r="E1973" t="str">
        <f ca="1">IFERROR(IF(AND(B1973&amp;C1973&amp;D1973="___",INDIRECT("Inventory!A"&amp;MATCH(VLOOKUP(A1973,Inventory!E:E,1,0),Inventory!E:E,0))&lt;&gt;INDIRECT("'Full Inventory'!B"&amp;MATCH(VLOOKUP(A1973,'Full Inventory'!F:F,1,0),'Full Inventory'!F:F,0))),"X","_"),"_")</f>
        <v>_</v>
      </c>
      <c r="K1973" t="str">
        <f t="shared" ca="1" si="91"/>
        <v>__X_</v>
      </c>
      <c r="L1973" t="str">
        <f t="shared" ca="1" si="92"/>
        <v/>
      </c>
      <c r="M1973" t="str">
        <f>IFERROR(INDEX(Inventory!A:A,MATCH(Scan!A1973,Inventory!E:E,0)),"")</f>
        <v/>
      </c>
    </row>
    <row r="1974" spans="2:13" x14ac:dyDescent="0.25">
      <c r="B1974" t="str">
        <f>IF(IFERROR(VLOOKUP(TRIM(A1974),Inventory!E:E,1,0),0)=0,"X","_")</f>
        <v>_</v>
      </c>
      <c r="C1974" t="str">
        <f>IF(IFERROR(VLOOKUP(TRIM(A1974),'Full Inventory'!F:F,1,0),0)=0,"X","_")</f>
        <v>_</v>
      </c>
      <c r="D1974" t="str">
        <f t="shared" si="90"/>
        <v>X</v>
      </c>
      <c r="E1974" t="str">
        <f ca="1">IFERROR(IF(AND(B1974&amp;C1974&amp;D1974="___",INDIRECT("Inventory!A"&amp;MATCH(VLOOKUP(A1974,Inventory!E:E,1,0),Inventory!E:E,0))&lt;&gt;INDIRECT("'Full Inventory'!B"&amp;MATCH(VLOOKUP(A1974,'Full Inventory'!F:F,1,0),'Full Inventory'!F:F,0))),"X","_"),"_")</f>
        <v>_</v>
      </c>
      <c r="K1974" t="str">
        <f t="shared" ca="1" si="91"/>
        <v>__X_</v>
      </c>
      <c r="L1974" t="str">
        <f t="shared" ca="1" si="92"/>
        <v/>
      </c>
      <c r="M1974" t="str">
        <f>IFERROR(INDEX(Inventory!A:A,MATCH(Scan!A1974,Inventory!E:E,0)),"")</f>
        <v/>
      </c>
    </row>
    <row r="1975" spans="2:13" x14ac:dyDescent="0.25">
      <c r="B1975" t="str">
        <f>IF(IFERROR(VLOOKUP(TRIM(A1975),Inventory!E:E,1,0),0)=0,"X","_")</f>
        <v>_</v>
      </c>
      <c r="C1975" t="str">
        <f>IF(IFERROR(VLOOKUP(TRIM(A1975),'Full Inventory'!F:F,1,0),0)=0,"X","_")</f>
        <v>_</v>
      </c>
      <c r="D1975" t="str">
        <f t="shared" si="90"/>
        <v>X</v>
      </c>
      <c r="E1975" t="str">
        <f ca="1">IFERROR(IF(AND(B1975&amp;C1975&amp;D1975="___",INDIRECT("Inventory!A"&amp;MATCH(VLOOKUP(A1975,Inventory!E:E,1,0),Inventory!E:E,0))&lt;&gt;INDIRECT("'Full Inventory'!B"&amp;MATCH(VLOOKUP(A1975,'Full Inventory'!F:F,1,0),'Full Inventory'!F:F,0))),"X","_"),"_")</f>
        <v>_</v>
      </c>
      <c r="K1975" t="str">
        <f t="shared" ca="1" si="91"/>
        <v>__X_</v>
      </c>
      <c r="L1975" t="str">
        <f t="shared" ca="1" si="92"/>
        <v/>
      </c>
      <c r="M1975" t="str">
        <f>IFERROR(INDEX(Inventory!A:A,MATCH(Scan!A1975,Inventory!E:E,0)),"")</f>
        <v/>
      </c>
    </row>
    <row r="1976" spans="2:13" x14ac:dyDescent="0.25">
      <c r="B1976" t="str">
        <f>IF(IFERROR(VLOOKUP(TRIM(A1976),Inventory!E:E,1,0),0)=0,"X","_")</f>
        <v>_</v>
      </c>
      <c r="C1976" t="str">
        <f>IF(IFERROR(VLOOKUP(TRIM(A1976),'Full Inventory'!F:F,1,0),0)=0,"X","_")</f>
        <v>_</v>
      </c>
      <c r="D1976" t="str">
        <f t="shared" si="90"/>
        <v>X</v>
      </c>
      <c r="E1976" t="str">
        <f ca="1">IFERROR(IF(AND(B1976&amp;C1976&amp;D1976="___",INDIRECT("Inventory!A"&amp;MATCH(VLOOKUP(A1976,Inventory!E:E,1,0),Inventory!E:E,0))&lt;&gt;INDIRECT("'Full Inventory'!B"&amp;MATCH(VLOOKUP(A1976,'Full Inventory'!F:F,1,0),'Full Inventory'!F:F,0))),"X","_"),"_")</f>
        <v>_</v>
      </c>
      <c r="K1976" t="str">
        <f t="shared" ca="1" si="91"/>
        <v>__X_</v>
      </c>
      <c r="L1976" t="str">
        <f t="shared" ca="1" si="92"/>
        <v/>
      </c>
      <c r="M1976" t="str">
        <f>IFERROR(INDEX(Inventory!A:A,MATCH(Scan!A1976,Inventory!E:E,0)),"")</f>
        <v/>
      </c>
    </row>
    <row r="1977" spans="2:13" x14ac:dyDescent="0.25">
      <c r="B1977" t="str">
        <f>IF(IFERROR(VLOOKUP(TRIM(A1977),Inventory!E:E,1,0),0)=0,"X","_")</f>
        <v>_</v>
      </c>
      <c r="C1977" t="str">
        <f>IF(IFERROR(VLOOKUP(TRIM(A1977),'Full Inventory'!F:F,1,0),0)=0,"X","_")</f>
        <v>_</v>
      </c>
      <c r="D1977" t="str">
        <f t="shared" si="90"/>
        <v>X</v>
      </c>
      <c r="E1977" t="str">
        <f ca="1">IFERROR(IF(AND(B1977&amp;C1977&amp;D1977="___",INDIRECT("Inventory!A"&amp;MATCH(VLOOKUP(A1977,Inventory!E:E,1,0),Inventory!E:E,0))&lt;&gt;INDIRECT("'Full Inventory'!B"&amp;MATCH(VLOOKUP(A1977,'Full Inventory'!F:F,1,0),'Full Inventory'!F:F,0))),"X","_"),"_")</f>
        <v>_</v>
      </c>
      <c r="K1977" t="str">
        <f t="shared" ca="1" si="91"/>
        <v>__X_</v>
      </c>
      <c r="L1977" t="str">
        <f t="shared" ca="1" si="92"/>
        <v/>
      </c>
      <c r="M1977" t="str">
        <f>IFERROR(INDEX(Inventory!A:A,MATCH(Scan!A1977,Inventory!E:E,0)),"")</f>
        <v/>
      </c>
    </row>
    <row r="1978" spans="2:13" x14ac:dyDescent="0.25">
      <c r="B1978" t="str">
        <f>IF(IFERROR(VLOOKUP(TRIM(A1978),Inventory!E:E,1,0),0)=0,"X","_")</f>
        <v>_</v>
      </c>
      <c r="C1978" t="str">
        <f>IF(IFERROR(VLOOKUP(TRIM(A1978),'Full Inventory'!F:F,1,0),0)=0,"X","_")</f>
        <v>_</v>
      </c>
      <c r="D1978" t="str">
        <f t="shared" si="90"/>
        <v>X</v>
      </c>
      <c r="E1978" t="str">
        <f ca="1">IFERROR(IF(AND(B1978&amp;C1978&amp;D1978="___",INDIRECT("Inventory!A"&amp;MATCH(VLOOKUP(A1978,Inventory!E:E,1,0),Inventory!E:E,0))&lt;&gt;INDIRECT("'Full Inventory'!B"&amp;MATCH(VLOOKUP(A1978,'Full Inventory'!F:F,1,0),'Full Inventory'!F:F,0))),"X","_"),"_")</f>
        <v>_</v>
      </c>
      <c r="K1978" t="str">
        <f t="shared" ca="1" si="91"/>
        <v>__X_</v>
      </c>
      <c r="L1978" t="str">
        <f t="shared" ca="1" si="92"/>
        <v/>
      </c>
      <c r="M1978" t="str">
        <f>IFERROR(INDEX(Inventory!A:A,MATCH(Scan!A1978,Inventory!E:E,0)),"")</f>
        <v/>
      </c>
    </row>
    <row r="1979" spans="2:13" x14ac:dyDescent="0.25">
      <c r="B1979" t="str">
        <f>IF(IFERROR(VLOOKUP(TRIM(A1979),Inventory!E:E,1,0),0)=0,"X","_")</f>
        <v>_</v>
      </c>
      <c r="C1979" t="str">
        <f>IF(IFERROR(VLOOKUP(TRIM(A1979),'Full Inventory'!F:F,1,0),0)=0,"X","_")</f>
        <v>_</v>
      </c>
      <c r="D1979" t="str">
        <f t="shared" si="90"/>
        <v>X</v>
      </c>
      <c r="E1979" t="str">
        <f ca="1">IFERROR(IF(AND(B1979&amp;C1979&amp;D1979="___",INDIRECT("Inventory!A"&amp;MATCH(VLOOKUP(A1979,Inventory!E:E,1,0),Inventory!E:E,0))&lt;&gt;INDIRECT("'Full Inventory'!B"&amp;MATCH(VLOOKUP(A1979,'Full Inventory'!F:F,1,0),'Full Inventory'!F:F,0))),"X","_"),"_")</f>
        <v>_</v>
      </c>
      <c r="K1979" t="str">
        <f t="shared" ca="1" si="91"/>
        <v>__X_</v>
      </c>
      <c r="L1979" t="str">
        <f t="shared" ca="1" si="92"/>
        <v/>
      </c>
      <c r="M1979" t="str">
        <f>IFERROR(INDEX(Inventory!A:A,MATCH(Scan!A1979,Inventory!E:E,0)),"")</f>
        <v/>
      </c>
    </row>
    <row r="1980" spans="2:13" x14ac:dyDescent="0.25">
      <c r="B1980" t="str">
        <f>IF(IFERROR(VLOOKUP(TRIM(A1980),Inventory!E:E,1,0),0)=0,"X","_")</f>
        <v>_</v>
      </c>
      <c r="C1980" t="str">
        <f>IF(IFERROR(VLOOKUP(TRIM(A1980),'Full Inventory'!F:F,1,0),0)=0,"X","_")</f>
        <v>_</v>
      </c>
      <c r="D1980" t="str">
        <f t="shared" si="90"/>
        <v>X</v>
      </c>
      <c r="E1980" t="str">
        <f ca="1">IFERROR(IF(AND(B1980&amp;C1980&amp;D1980="___",INDIRECT("Inventory!A"&amp;MATCH(VLOOKUP(A1980,Inventory!E:E,1,0),Inventory!E:E,0))&lt;&gt;INDIRECT("'Full Inventory'!B"&amp;MATCH(VLOOKUP(A1980,'Full Inventory'!F:F,1,0),'Full Inventory'!F:F,0))),"X","_"),"_")</f>
        <v>_</v>
      </c>
      <c r="K1980" t="str">
        <f t="shared" ca="1" si="91"/>
        <v>__X_</v>
      </c>
      <c r="L1980" t="str">
        <f t="shared" ca="1" si="92"/>
        <v/>
      </c>
      <c r="M1980" t="str">
        <f>IFERROR(INDEX(Inventory!A:A,MATCH(Scan!A1980,Inventory!E:E,0)),"")</f>
        <v/>
      </c>
    </row>
    <row r="1981" spans="2:13" x14ac:dyDescent="0.25">
      <c r="B1981" t="str">
        <f>IF(IFERROR(VLOOKUP(TRIM(A1981),Inventory!E:E,1,0),0)=0,"X","_")</f>
        <v>_</v>
      </c>
      <c r="C1981" t="str">
        <f>IF(IFERROR(VLOOKUP(TRIM(A1981),'Full Inventory'!F:F,1,0),0)=0,"X","_")</f>
        <v>_</v>
      </c>
      <c r="D1981" t="str">
        <f t="shared" si="90"/>
        <v>X</v>
      </c>
      <c r="E1981" t="str">
        <f ca="1">IFERROR(IF(AND(B1981&amp;C1981&amp;D1981="___",INDIRECT("Inventory!A"&amp;MATCH(VLOOKUP(A1981,Inventory!E:E,1,0),Inventory!E:E,0))&lt;&gt;INDIRECT("'Full Inventory'!B"&amp;MATCH(VLOOKUP(A1981,'Full Inventory'!F:F,1,0),'Full Inventory'!F:F,0))),"X","_"),"_")</f>
        <v>_</v>
      </c>
      <c r="K1981" t="str">
        <f t="shared" ca="1" si="91"/>
        <v>__X_</v>
      </c>
      <c r="L1981" t="str">
        <f t="shared" ca="1" si="92"/>
        <v/>
      </c>
      <c r="M1981" t="str">
        <f>IFERROR(INDEX(Inventory!A:A,MATCH(Scan!A1981,Inventory!E:E,0)),"")</f>
        <v/>
      </c>
    </row>
    <row r="1982" spans="2:13" x14ac:dyDescent="0.25">
      <c r="B1982" t="str">
        <f>IF(IFERROR(VLOOKUP(TRIM(A1982),Inventory!E:E,1,0),0)=0,"X","_")</f>
        <v>_</v>
      </c>
      <c r="C1982" t="str">
        <f>IF(IFERROR(VLOOKUP(TRIM(A1982),'Full Inventory'!F:F,1,0),0)=0,"X","_")</f>
        <v>_</v>
      </c>
      <c r="D1982" t="str">
        <f t="shared" si="90"/>
        <v>X</v>
      </c>
      <c r="E1982" t="str">
        <f ca="1">IFERROR(IF(AND(B1982&amp;C1982&amp;D1982="___",INDIRECT("Inventory!A"&amp;MATCH(VLOOKUP(A1982,Inventory!E:E,1,0),Inventory!E:E,0))&lt;&gt;INDIRECT("'Full Inventory'!B"&amp;MATCH(VLOOKUP(A1982,'Full Inventory'!F:F,1,0),'Full Inventory'!F:F,0))),"X","_"),"_")</f>
        <v>_</v>
      </c>
      <c r="K1982" t="str">
        <f t="shared" ca="1" si="91"/>
        <v>__X_</v>
      </c>
      <c r="L1982" t="str">
        <f t="shared" ca="1" si="92"/>
        <v/>
      </c>
      <c r="M1982" t="str">
        <f>IFERROR(INDEX(Inventory!A:A,MATCH(Scan!A1982,Inventory!E:E,0)),"")</f>
        <v/>
      </c>
    </row>
    <row r="1983" spans="2:13" x14ac:dyDescent="0.25">
      <c r="B1983" t="str">
        <f>IF(IFERROR(VLOOKUP(TRIM(A1983),Inventory!E:E,1,0),0)=0,"X","_")</f>
        <v>_</v>
      </c>
      <c r="C1983" t="str">
        <f>IF(IFERROR(VLOOKUP(TRIM(A1983),'Full Inventory'!F:F,1,0),0)=0,"X","_")</f>
        <v>_</v>
      </c>
      <c r="D1983" t="str">
        <f t="shared" si="90"/>
        <v>X</v>
      </c>
      <c r="E1983" t="str">
        <f ca="1">IFERROR(IF(AND(B1983&amp;C1983&amp;D1983="___",INDIRECT("Inventory!A"&amp;MATCH(VLOOKUP(A1983,Inventory!E:E,1,0),Inventory!E:E,0))&lt;&gt;INDIRECT("'Full Inventory'!B"&amp;MATCH(VLOOKUP(A1983,'Full Inventory'!F:F,1,0),'Full Inventory'!F:F,0))),"X","_"),"_")</f>
        <v>_</v>
      </c>
      <c r="K1983" t="str">
        <f t="shared" ca="1" si="91"/>
        <v>__X_</v>
      </c>
      <c r="L1983" t="str">
        <f t="shared" ca="1" si="92"/>
        <v/>
      </c>
      <c r="M1983" t="str">
        <f>IFERROR(INDEX(Inventory!A:A,MATCH(Scan!A1983,Inventory!E:E,0)),"")</f>
        <v/>
      </c>
    </row>
    <row r="1984" spans="2:13" x14ac:dyDescent="0.25">
      <c r="B1984" t="str">
        <f>IF(IFERROR(VLOOKUP(TRIM(A1984),Inventory!E:E,1,0),0)=0,"X","_")</f>
        <v>_</v>
      </c>
      <c r="C1984" t="str">
        <f>IF(IFERROR(VLOOKUP(TRIM(A1984),'Full Inventory'!F:F,1,0),0)=0,"X","_")</f>
        <v>_</v>
      </c>
      <c r="D1984" t="str">
        <f t="shared" si="90"/>
        <v>X</v>
      </c>
      <c r="E1984" t="str">
        <f ca="1">IFERROR(IF(AND(B1984&amp;C1984&amp;D1984="___",INDIRECT("Inventory!A"&amp;MATCH(VLOOKUP(A1984,Inventory!E:E,1,0),Inventory!E:E,0))&lt;&gt;INDIRECT("'Full Inventory'!B"&amp;MATCH(VLOOKUP(A1984,'Full Inventory'!F:F,1,0),'Full Inventory'!F:F,0))),"X","_"),"_")</f>
        <v>_</v>
      </c>
      <c r="K1984" t="str">
        <f t="shared" ca="1" si="91"/>
        <v>__X_</v>
      </c>
      <c r="L1984" t="str">
        <f t="shared" ca="1" si="92"/>
        <v/>
      </c>
      <c r="M1984" t="str">
        <f>IFERROR(INDEX(Inventory!A:A,MATCH(Scan!A1984,Inventory!E:E,0)),"")</f>
        <v/>
      </c>
    </row>
    <row r="1985" spans="2:13" x14ac:dyDescent="0.25">
      <c r="B1985" t="str">
        <f>IF(IFERROR(VLOOKUP(TRIM(A1985),Inventory!E:E,1,0),0)=0,"X","_")</f>
        <v>_</v>
      </c>
      <c r="C1985" t="str">
        <f>IF(IFERROR(VLOOKUP(TRIM(A1985),'Full Inventory'!F:F,1,0),0)=0,"X","_")</f>
        <v>_</v>
      </c>
      <c r="D1985" t="str">
        <f t="shared" si="90"/>
        <v>X</v>
      </c>
      <c r="E1985" t="str">
        <f ca="1">IFERROR(IF(AND(B1985&amp;C1985&amp;D1985="___",INDIRECT("Inventory!A"&amp;MATCH(VLOOKUP(A1985,Inventory!E:E,1,0),Inventory!E:E,0))&lt;&gt;INDIRECT("'Full Inventory'!B"&amp;MATCH(VLOOKUP(A1985,'Full Inventory'!F:F,1,0),'Full Inventory'!F:F,0))),"X","_"),"_")</f>
        <v>_</v>
      </c>
      <c r="K1985" t="str">
        <f t="shared" ca="1" si="91"/>
        <v>__X_</v>
      </c>
      <c r="L1985" t="str">
        <f t="shared" ca="1" si="92"/>
        <v/>
      </c>
      <c r="M1985" t="str">
        <f>IFERROR(INDEX(Inventory!A:A,MATCH(Scan!A1985,Inventory!E:E,0)),"")</f>
        <v/>
      </c>
    </row>
    <row r="1986" spans="2:13" x14ac:dyDescent="0.25">
      <c r="B1986" t="str">
        <f>IF(IFERROR(VLOOKUP(TRIM(A1986),Inventory!E:E,1,0),0)=0,"X","_")</f>
        <v>_</v>
      </c>
      <c r="C1986" t="str">
        <f>IF(IFERROR(VLOOKUP(TRIM(A1986),'Full Inventory'!F:F,1,0),0)=0,"X","_")</f>
        <v>_</v>
      </c>
      <c r="D1986" t="str">
        <f t="shared" ref="D1986:D2000" si="93">IF(TRIM(A1986)&lt;&gt;"","_","X")</f>
        <v>X</v>
      </c>
      <c r="E1986" t="str">
        <f ca="1">IFERROR(IF(AND(B1986&amp;C1986&amp;D1986="___",INDIRECT("Inventory!A"&amp;MATCH(VLOOKUP(A1986,Inventory!E:E,1,0),Inventory!E:E,0))&lt;&gt;INDIRECT("'Full Inventory'!B"&amp;MATCH(VLOOKUP(A1986,'Full Inventory'!F:F,1,0),'Full Inventory'!F:F,0))),"X","_"),"_")</f>
        <v>_</v>
      </c>
      <c r="K1986" t="str">
        <f t="shared" ca="1" si="91"/>
        <v>__X_</v>
      </c>
      <c r="L1986" t="str">
        <f t="shared" ca="1" si="92"/>
        <v/>
      </c>
      <c r="M1986" t="str">
        <f>IFERROR(INDEX(Inventory!A:A,MATCH(Scan!A1986,Inventory!E:E,0)),"")</f>
        <v/>
      </c>
    </row>
    <row r="1987" spans="2:13" x14ac:dyDescent="0.25">
      <c r="B1987" t="str">
        <f>IF(IFERROR(VLOOKUP(TRIM(A1987),Inventory!E:E,1,0),0)=0,"X","_")</f>
        <v>_</v>
      </c>
      <c r="C1987" t="str">
        <f>IF(IFERROR(VLOOKUP(TRIM(A1987),'Full Inventory'!F:F,1,0),0)=0,"X","_")</f>
        <v>_</v>
      </c>
      <c r="D1987" t="str">
        <f t="shared" si="93"/>
        <v>X</v>
      </c>
      <c r="E1987" t="str">
        <f ca="1">IFERROR(IF(AND(B1987&amp;C1987&amp;D1987="___",INDIRECT("Inventory!A"&amp;MATCH(VLOOKUP(A1987,Inventory!E:E,1,0),Inventory!E:E,0))&lt;&gt;INDIRECT("'Full Inventory'!B"&amp;MATCH(VLOOKUP(A1987,'Full Inventory'!F:F,1,0),'Full Inventory'!F:F,0))),"X","_"),"_")</f>
        <v>_</v>
      </c>
      <c r="K1987" t="str">
        <f t="shared" ref="K1987:K2000" ca="1" si="94">B1987&amp;C1987&amp;D1987&amp;E1987</f>
        <v>__X_</v>
      </c>
      <c r="L1987" t="str">
        <f t="shared" ref="L1987:L2000" ca="1" si="95">IF(K1987="____","OK",IF(K1987="_X__","NOT IN FULL INVENTORY",IF(K1987="XX__","NOT IN FULL INVENTORY AND INVENTORY",IF(K1987="X___","NOT IN INVENTORY",IF(K1987="___X","DIFFERENT NAMES IN FULL INVENTORY AND INVENTORY","")))))</f>
        <v/>
      </c>
      <c r="M1987" t="str">
        <f>IFERROR(INDEX(Inventory!A:A,MATCH(Scan!A1987,Inventory!E:E,0)),"")</f>
        <v/>
      </c>
    </row>
    <row r="1988" spans="2:13" x14ac:dyDescent="0.25">
      <c r="B1988" t="str">
        <f>IF(IFERROR(VLOOKUP(TRIM(A1988),Inventory!E:E,1,0),0)=0,"X","_")</f>
        <v>_</v>
      </c>
      <c r="C1988" t="str">
        <f>IF(IFERROR(VLOOKUP(TRIM(A1988),'Full Inventory'!F:F,1,0),0)=0,"X","_")</f>
        <v>_</v>
      </c>
      <c r="D1988" t="str">
        <f t="shared" si="93"/>
        <v>X</v>
      </c>
      <c r="E1988" t="str">
        <f ca="1">IFERROR(IF(AND(B1988&amp;C1988&amp;D1988="___",INDIRECT("Inventory!A"&amp;MATCH(VLOOKUP(A1988,Inventory!E:E,1,0),Inventory!E:E,0))&lt;&gt;INDIRECT("'Full Inventory'!B"&amp;MATCH(VLOOKUP(A1988,'Full Inventory'!F:F,1,0),'Full Inventory'!F:F,0))),"X","_"),"_")</f>
        <v>_</v>
      </c>
      <c r="K1988" t="str">
        <f t="shared" ca="1" si="94"/>
        <v>__X_</v>
      </c>
      <c r="L1988" t="str">
        <f t="shared" ca="1" si="95"/>
        <v/>
      </c>
      <c r="M1988" t="str">
        <f>IFERROR(INDEX(Inventory!A:A,MATCH(Scan!A1988,Inventory!E:E,0)),"")</f>
        <v/>
      </c>
    </row>
    <row r="1989" spans="2:13" x14ac:dyDescent="0.25">
      <c r="B1989" t="str">
        <f>IF(IFERROR(VLOOKUP(TRIM(A1989),Inventory!E:E,1,0),0)=0,"X","_")</f>
        <v>_</v>
      </c>
      <c r="C1989" t="str">
        <f>IF(IFERROR(VLOOKUP(TRIM(A1989),'Full Inventory'!F:F,1,0),0)=0,"X","_")</f>
        <v>_</v>
      </c>
      <c r="D1989" t="str">
        <f t="shared" si="93"/>
        <v>X</v>
      </c>
      <c r="E1989" t="str">
        <f ca="1">IFERROR(IF(AND(B1989&amp;C1989&amp;D1989="___",INDIRECT("Inventory!A"&amp;MATCH(VLOOKUP(A1989,Inventory!E:E,1,0),Inventory!E:E,0))&lt;&gt;INDIRECT("'Full Inventory'!B"&amp;MATCH(VLOOKUP(A1989,'Full Inventory'!F:F,1,0),'Full Inventory'!F:F,0))),"X","_"),"_")</f>
        <v>_</v>
      </c>
      <c r="K1989" t="str">
        <f t="shared" ca="1" si="94"/>
        <v>__X_</v>
      </c>
      <c r="L1989" t="str">
        <f t="shared" ca="1" si="95"/>
        <v/>
      </c>
      <c r="M1989" t="str">
        <f>IFERROR(INDEX(Inventory!A:A,MATCH(Scan!A1989,Inventory!E:E,0)),"")</f>
        <v/>
      </c>
    </row>
    <row r="1990" spans="2:13" x14ac:dyDescent="0.25">
      <c r="B1990" t="str">
        <f>IF(IFERROR(VLOOKUP(TRIM(A1990),Inventory!E:E,1,0),0)=0,"X","_")</f>
        <v>_</v>
      </c>
      <c r="C1990" t="str">
        <f>IF(IFERROR(VLOOKUP(TRIM(A1990),'Full Inventory'!F:F,1,0),0)=0,"X","_")</f>
        <v>_</v>
      </c>
      <c r="D1990" t="str">
        <f t="shared" si="93"/>
        <v>X</v>
      </c>
      <c r="E1990" t="str">
        <f ca="1">IFERROR(IF(AND(B1990&amp;C1990&amp;D1990="___",INDIRECT("Inventory!A"&amp;MATCH(VLOOKUP(A1990,Inventory!E:E,1,0),Inventory!E:E,0))&lt;&gt;INDIRECT("'Full Inventory'!B"&amp;MATCH(VLOOKUP(A1990,'Full Inventory'!F:F,1,0),'Full Inventory'!F:F,0))),"X","_"),"_")</f>
        <v>_</v>
      </c>
      <c r="K1990" t="str">
        <f t="shared" ca="1" si="94"/>
        <v>__X_</v>
      </c>
      <c r="L1990" t="str">
        <f t="shared" ca="1" si="95"/>
        <v/>
      </c>
      <c r="M1990" t="str">
        <f>IFERROR(INDEX(Inventory!A:A,MATCH(Scan!A1990,Inventory!E:E,0)),"")</f>
        <v/>
      </c>
    </row>
    <row r="1991" spans="2:13" x14ac:dyDescent="0.25">
      <c r="B1991" t="str">
        <f>IF(IFERROR(VLOOKUP(TRIM(A1991),Inventory!E:E,1,0),0)=0,"X","_")</f>
        <v>_</v>
      </c>
      <c r="C1991" t="str">
        <f>IF(IFERROR(VLOOKUP(TRIM(A1991),'Full Inventory'!F:F,1,0),0)=0,"X","_")</f>
        <v>_</v>
      </c>
      <c r="D1991" t="str">
        <f t="shared" si="93"/>
        <v>X</v>
      </c>
      <c r="E1991" t="str">
        <f ca="1">IFERROR(IF(AND(B1991&amp;C1991&amp;D1991="___",INDIRECT("Inventory!A"&amp;MATCH(VLOOKUP(A1991,Inventory!E:E,1,0),Inventory!E:E,0))&lt;&gt;INDIRECT("'Full Inventory'!B"&amp;MATCH(VLOOKUP(A1991,'Full Inventory'!F:F,1,0),'Full Inventory'!F:F,0))),"X","_"),"_")</f>
        <v>_</v>
      </c>
      <c r="K1991" t="str">
        <f t="shared" ca="1" si="94"/>
        <v>__X_</v>
      </c>
      <c r="L1991" t="str">
        <f t="shared" ca="1" si="95"/>
        <v/>
      </c>
      <c r="M1991" t="str">
        <f>IFERROR(INDEX(Inventory!A:A,MATCH(Scan!A1991,Inventory!E:E,0)),"")</f>
        <v/>
      </c>
    </row>
    <row r="1992" spans="2:13" x14ac:dyDescent="0.25">
      <c r="B1992" t="str">
        <f>IF(IFERROR(VLOOKUP(TRIM(A1992),Inventory!E:E,1,0),0)=0,"X","_")</f>
        <v>_</v>
      </c>
      <c r="C1992" t="str">
        <f>IF(IFERROR(VLOOKUP(TRIM(A1992),'Full Inventory'!F:F,1,0),0)=0,"X","_")</f>
        <v>_</v>
      </c>
      <c r="D1992" t="str">
        <f t="shared" si="93"/>
        <v>X</v>
      </c>
      <c r="E1992" t="str">
        <f ca="1">IFERROR(IF(AND(B1992&amp;C1992&amp;D1992="___",INDIRECT("Inventory!A"&amp;MATCH(VLOOKUP(A1992,Inventory!E:E,1,0),Inventory!E:E,0))&lt;&gt;INDIRECT("'Full Inventory'!B"&amp;MATCH(VLOOKUP(A1992,'Full Inventory'!F:F,1,0),'Full Inventory'!F:F,0))),"X","_"),"_")</f>
        <v>_</v>
      </c>
      <c r="K1992" t="str">
        <f t="shared" ca="1" si="94"/>
        <v>__X_</v>
      </c>
      <c r="L1992" t="str">
        <f t="shared" ca="1" si="95"/>
        <v/>
      </c>
      <c r="M1992" t="str">
        <f>IFERROR(INDEX(Inventory!A:A,MATCH(Scan!A1992,Inventory!E:E,0)),"")</f>
        <v/>
      </c>
    </row>
    <row r="1993" spans="2:13" x14ac:dyDescent="0.25">
      <c r="B1993" t="str">
        <f>IF(IFERROR(VLOOKUP(TRIM(A1993),Inventory!E:E,1,0),0)=0,"X","_")</f>
        <v>_</v>
      </c>
      <c r="C1993" t="str">
        <f>IF(IFERROR(VLOOKUP(TRIM(A1993),'Full Inventory'!F:F,1,0),0)=0,"X","_")</f>
        <v>_</v>
      </c>
      <c r="D1993" t="str">
        <f t="shared" si="93"/>
        <v>X</v>
      </c>
      <c r="E1993" t="str">
        <f ca="1">IFERROR(IF(AND(B1993&amp;C1993&amp;D1993="___",INDIRECT("Inventory!A"&amp;MATCH(VLOOKUP(A1993,Inventory!E:E,1,0),Inventory!E:E,0))&lt;&gt;INDIRECT("'Full Inventory'!B"&amp;MATCH(VLOOKUP(A1993,'Full Inventory'!F:F,1,0),'Full Inventory'!F:F,0))),"X","_"),"_")</f>
        <v>_</v>
      </c>
      <c r="K1993" t="str">
        <f t="shared" ca="1" si="94"/>
        <v>__X_</v>
      </c>
      <c r="L1993" t="str">
        <f t="shared" ca="1" si="95"/>
        <v/>
      </c>
      <c r="M1993" t="str">
        <f>IFERROR(INDEX(Inventory!A:A,MATCH(Scan!A1993,Inventory!E:E,0)),"")</f>
        <v/>
      </c>
    </row>
    <row r="1994" spans="2:13" x14ac:dyDescent="0.25">
      <c r="B1994" t="str">
        <f>IF(IFERROR(VLOOKUP(TRIM(A1994),Inventory!E:E,1,0),0)=0,"X","_")</f>
        <v>_</v>
      </c>
      <c r="C1994" t="str">
        <f>IF(IFERROR(VLOOKUP(TRIM(A1994),'Full Inventory'!F:F,1,0),0)=0,"X","_")</f>
        <v>_</v>
      </c>
      <c r="D1994" t="str">
        <f t="shared" si="93"/>
        <v>X</v>
      </c>
      <c r="E1994" t="str">
        <f ca="1">IFERROR(IF(AND(B1994&amp;C1994&amp;D1994="___",INDIRECT("Inventory!A"&amp;MATCH(VLOOKUP(A1994,Inventory!E:E,1,0),Inventory!E:E,0))&lt;&gt;INDIRECT("'Full Inventory'!B"&amp;MATCH(VLOOKUP(A1994,'Full Inventory'!F:F,1,0),'Full Inventory'!F:F,0))),"X","_"),"_")</f>
        <v>_</v>
      </c>
      <c r="K1994" t="str">
        <f t="shared" ca="1" si="94"/>
        <v>__X_</v>
      </c>
      <c r="L1994" t="str">
        <f t="shared" ca="1" si="95"/>
        <v/>
      </c>
      <c r="M1994" t="str">
        <f>IFERROR(INDEX(Inventory!A:A,MATCH(Scan!A1994,Inventory!E:E,0)),"")</f>
        <v/>
      </c>
    </row>
    <row r="1995" spans="2:13" x14ac:dyDescent="0.25">
      <c r="B1995" t="str">
        <f>IF(IFERROR(VLOOKUP(TRIM(A1995),Inventory!E:E,1,0),0)=0,"X","_")</f>
        <v>_</v>
      </c>
      <c r="C1995" t="str">
        <f>IF(IFERROR(VLOOKUP(TRIM(A1995),'Full Inventory'!F:F,1,0),0)=0,"X","_")</f>
        <v>_</v>
      </c>
      <c r="D1995" t="str">
        <f t="shared" si="93"/>
        <v>X</v>
      </c>
      <c r="E1995" t="str">
        <f ca="1">IFERROR(IF(AND(B1995&amp;C1995&amp;D1995="___",INDIRECT("Inventory!A"&amp;MATCH(VLOOKUP(A1995,Inventory!E:E,1,0),Inventory!E:E,0))&lt;&gt;INDIRECT("'Full Inventory'!B"&amp;MATCH(VLOOKUP(A1995,'Full Inventory'!F:F,1,0),'Full Inventory'!F:F,0))),"X","_"),"_")</f>
        <v>_</v>
      </c>
      <c r="K1995" t="str">
        <f t="shared" ca="1" si="94"/>
        <v>__X_</v>
      </c>
      <c r="L1995" t="str">
        <f t="shared" ca="1" si="95"/>
        <v/>
      </c>
      <c r="M1995" t="str">
        <f>IFERROR(INDEX(Inventory!A:A,MATCH(Scan!A1995,Inventory!E:E,0)),"")</f>
        <v/>
      </c>
    </row>
    <row r="1996" spans="2:13" x14ac:dyDescent="0.25">
      <c r="B1996" t="str">
        <f>IF(IFERROR(VLOOKUP(TRIM(A1996),Inventory!E:E,1,0),0)=0,"X","_")</f>
        <v>_</v>
      </c>
      <c r="C1996" t="str">
        <f>IF(IFERROR(VLOOKUP(TRIM(A1996),'Full Inventory'!F:F,1,0),0)=0,"X","_")</f>
        <v>_</v>
      </c>
      <c r="D1996" t="str">
        <f t="shared" si="93"/>
        <v>X</v>
      </c>
      <c r="E1996" t="str">
        <f ca="1">IFERROR(IF(AND(B1996&amp;C1996&amp;D1996="___",INDIRECT("Inventory!A"&amp;MATCH(VLOOKUP(A1996,Inventory!E:E,1,0),Inventory!E:E,0))&lt;&gt;INDIRECT("'Full Inventory'!B"&amp;MATCH(VLOOKUP(A1996,'Full Inventory'!F:F,1,0),'Full Inventory'!F:F,0))),"X","_"),"_")</f>
        <v>_</v>
      </c>
      <c r="K1996" t="str">
        <f t="shared" ca="1" si="94"/>
        <v>__X_</v>
      </c>
      <c r="L1996" t="str">
        <f t="shared" ca="1" si="95"/>
        <v/>
      </c>
      <c r="M1996" t="str">
        <f>IFERROR(INDEX(Inventory!A:A,MATCH(Scan!A1996,Inventory!E:E,0)),"")</f>
        <v/>
      </c>
    </row>
    <row r="1997" spans="2:13" x14ac:dyDescent="0.25">
      <c r="B1997" t="str">
        <f>IF(IFERROR(VLOOKUP(TRIM(A1997),Inventory!E:E,1,0),0)=0,"X","_")</f>
        <v>_</v>
      </c>
      <c r="C1997" t="str">
        <f>IF(IFERROR(VLOOKUP(TRIM(A1997),'Full Inventory'!F:F,1,0),0)=0,"X","_")</f>
        <v>_</v>
      </c>
      <c r="D1997" t="str">
        <f t="shared" si="93"/>
        <v>X</v>
      </c>
      <c r="E1997" t="str">
        <f ca="1">IFERROR(IF(AND(B1997&amp;C1997&amp;D1997="___",INDIRECT("Inventory!A"&amp;MATCH(VLOOKUP(A1997,Inventory!E:E,1,0),Inventory!E:E,0))&lt;&gt;INDIRECT("'Full Inventory'!B"&amp;MATCH(VLOOKUP(A1997,'Full Inventory'!F:F,1,0),'Full Inventory'!F:F,0))),"X","_"),"_")</f>
        <v>_</v>
      </c>
      <c r="K1997" t="str">
        <f t="shared" ca="1" si="94"/>
        <v>__X_</v>
      </c>
      <c r="L1997" t="str">
        <f t="shared" ca="1" si="95"/>
        <v/>
      </c>
      <c r="M1997" t="str">
        <f>IFERROR(INDEX(Inventory!A:A,MATCH(Scan!A1997,Inventory!E:E,0)),"")</f>
        <v/>
      </c>
    </row>
    <row r="1998" spans="2:13" x14ac:dyDescent="0.25">
      <c r="B1998" t="str">
        <f>IF(IFERROR(VLOOKUP(TRIM(A1998),Inventory!E:E,1,0),0)=0,"X","_")</f>
        <v>_</v>
      </c>
      <c r="C1998" t="str">
        <f>IF(IFERROR(VLOOKUP(TRIM(A1998),'Full Inventory'!F:F,1,0),0)=0,"X","_")</f>
        <v>_</v>
      </c>
      <c r="D1998" t="str">
        <f t="shared" si="93"/>
        <v>X</v>
      </c>
      <c r="E1998" t="str">
        <f ca="1">IFERROR(IF(AND(B1998&amp;C1998&amp;D1998="___",INDIRECT("Inventory!A"&amp;MATCH(VLOOKUP(A1998,Inventory!E:E,1,0),Inventory!E:E,0))&lt;&gt;INDIRECT("'Full Inventory'!B"&amp;MATCH(VLOOKUP(A1998,'Full Inventory'!F:F,1,0),'Full Inventory'!F:F,0))),"X","_"),"_")</f>
        <v>_</v>
      </c>
      <c r="K1998" t="str">
        <f t="shared" ca="1" si="94"/>
        <v>__X_</v>
      </c>
      <c r="L1998" t="str">
        <f t="shared" ca="1" si="95"/>
        <v/>
      </c>
      <c r="M1998" t="str">
        <f>IFERROR(INDEX(Inventory!A:A,MATCH(Scan!A1998,Inventory!E:E,0)),"")</f>
        <v/>
      </c>
    </row>
    <row r="1999" spans="2:13" x14ac:dyDescent="0.25">
      <c r="B1999" t="str">
        <f>IF(IFERROR(VLOOKUP(TRIM(A1999),Inventory!E:E,1,0),0)=0,"X","_")</f>
        <v>_</v>
      </c>
      <c r="C1999" t="str">
        <f>IF(IFERROR(VLOOKUP(TRIM(A1999),'Full Inventory'!F:F,1,0),0)=0,"X","_")</f>
        <v>_</v>
      </c>
      <c r="D1999" t="str">
        <f t="shared" si="93"/>
        <v>X</v>
      </c>
      <c r="E1999" t="str">
        <f ca="1">IFERROR(IF(AND(B1999&amp;C1999&amp;D1999="___",INDIRECT("Inventory!A"&amp;MATCH(VLOOKUP(A1999,Inventory!E:E,1,0),Inventory!E:E,0))&lt;&gt;INDIRECT("'Full Inventory'!B"&amp;MATCH(VLOOKUP(A1999,'Full Inventory'!F:F,1,0),'Full Inventory'!F:F,0))),"X","_"),"_")</f>
        <v>_</v>
      </c>
      <c r="K1999" t="str">
        <f t="shared" ca="1" si="94"/>
        <v>__X_</v>
      </c>
      <c r="L1999" t="str">
        <f t="shared" ca="1" si="95"/>
        <v/>
      </c>
      <c r="M1999" t="str">
        <f>IFERROR(INDEX(Inventory!A:A,MATCH(Scan!A1999,Inventory!E:E,0)),"")</f>
        <v/>
      </c>
    </row>
    <row r="2000" spans="2:13" x14ac:dyDescent="0.25">
      <c r="B2000" t="str">
        <f>IF(IFERROR(VLOOKUP(TRIM(A2000),Inventory!E:E,1,0),0)=0,"X","_")</f>
        <v>_</v>
      </c>
      <c r="C2000" t="str">
        <f>IF(IFERROR(VLOOKUP(TRIM(A2000),'Full Inventory'!F:F,1,0),0)=0,"X","_")</f>
        <v>_</v>
      </c>
      <c r="D2000" t="str">
        <f t="shared" si="93"/>
        <v>X</v>
      </c>
      <c r="E2000" t="str">
        <f ca="1">IFERROR(IF(AND(B2000&amp;C2000&amp;D2000="___",INDIRECT("Inventory!A"&amp;MATCH(VLOOKUP(A2000,Inventory!E:E,1,0),Inventory!E:E,0))&lt;&gt;INDIRECT("'Full Inventory'!B"&amp;MATCH(VLOOKUP(A2000,'Full Inventory'!F:F,1,0),'Full Inventory'!F:F,0))),"X","_"),"_")</f>
        <v>_</v>
      </c>
      <c r="K2000" t="str">
        <f t="shared" ca="1" si="94"/>
        <v>__X_</v>
      </c>
      <c r="L2000" t="str">
        <f t="shared" ca="1" si="95"/>
        <v/>
      </c>
      <c r="M2000" t="str">
        <f>IFERROR(INDEX(Inventory!A:A,MATCH(Scan!A2000,Inventory!E:E,0)),"")</f>
        <v/>
      </c>
    </row>
  </sheetData>
  <conditionalFormatting sqref="A1">
    <cfRule type="duplicateValues" dxfId="6" priority="11"/>
  </conditionalFormatting>
  <conditionalFormatting sqref="A1 A20:A1048576">
    <cfRule type="duplicateValues" dxfId="5" priority="9"/>
  </conditionalFormatting>
  <conditionalFormatting sqref="A2:A19">
    <cfRule type="duplicateValues" dxfId="4" priority="7"/>
  </conditionalFormatting>
  <conditionalFormatting sqref="L2:L2000">
    <cfRule type="beginsWith" dxfId="3" priority="4" operator="beginsWith" text="NOT IN FULL INVENTORY">
      <formula>LEFT(L2,LEN("NOT IN FULL INVENTORY"))="NOT IN FULL INVENTORY"</formula>
    </cfRule>
  </conditionalFormatting>
  <conditionalFormatting sqref="L2:L2000">
    <cfRule type="beginsWith" dxfId="2" priority="3" stopIfTrue="1" operator="beginsWith" text="NOT IN INVENTORY">
      <formula>LEFT(L2,LEN("NOT IN INVENTORY"))="NOT IN INVENTORY"</formula>
    </cfRule>
  </conditionalFormatting>
  <conditionalFormatting sqref="L2:L2000">
    <cfRule type="endsWith" dxfId="1" priority="2" stopIfTrue="1" operator="endsWith" text="AND INVENTORY">
      <formula>RIGHT(L2,LEN("AND INVENTORY"))="AND INVENTORY"</formula>
    </cfRule>
  </conditionalFormatting>
  <conditionalFormatting sqref="L2:L2000">
    <cfRule type="beginsWith" dxfId="0" priority="1" operator="beginsWith" text="OK">
      <formula>LEFT(L2,LEN("OK"))="OK"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3"/>
  <dimension ref="A1:K500"/>
  <sheetViews>
    <sheetView workbookViewId="0">
      <pane ySplit="1" topLeftCell="A20" activePane="bottomLeft" state="frozen"/>
      <selection pane="bottomLeft" activeCell="D28" sqref="D28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style="3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9.42578125" customWidth="1"/>
    <col min="10" max="10" width="14.28515625" bestFit="1" customWidth="1"/>
    <col min="11" max="11" width="22.85546875" customWidth="1"/>
  </cols>
  <sheetData>
    <row r="1" spans="1:11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5" t="s">
        <v>4</v>
      </c>
      <c r="F1" s="1" t="s">
        <v>5</v>
      </c>
      <c r="G1" s="1" t="s">
        <v>6</v>
      </c>
      <c r="H1" s="1" t="s">
        <v>7</v>
      </c>
      <c r="I1" s="7" t="s">
        <v>678</v>
      </c>
      <c r="J1" s="7" t="s">
        <v>227</v>
      </c>
      <c r="K1" s="8" t="str">
        <f>"Not scanned: " &amp;COUNTIF(J:J,"Not scanned")</f>
        <v>Not scanned: 85</v>
      </c>
    </row>
    <row r="2" spans="1:11" s="2" customFormat="1" x14ac:dyDescent="0.25">
      <c r="A2" s="2" t="s">
        <v>9</v>
      </c>
      <c r="B2" s="2" t="s">
        <v>10</v>
      </c>
      <c r="C2" s="2" t="s">
        <v>11</v>
      </c>
      <c r="D2" s="2" t="s">
        <v>11</v>
      </c>
      <c r="E2" s="6" t="s">
        <v>11</v>
      </c>
      <c r="F2" s="2">
        <v>1</v>
      </c>
      <c r="G2" s="2" t="s">
        <v>9</v>
      </c>
      <c r="H2" s="2" t="s">
        <v>11</v>
      </c>
      <c r="I2" s="2" t="str">
        <f t="shared" ref="I2:I65" si="0">IF(OR(E2="",E2="_",LEFT(E2,5)="SPARE"),"NO","YES")</f>
        <v>NO</v>
      </c>
      <c r="J2" s="2" t="str">
        <f>IF(I2="YES",IFERROR(VLOOKUP(E2,Scan!A:A,1,0),"Not scanned"),"")</f>
        <v/>
      </c>
    </row>
    <row r="3" spans="1:11" s="2" customFormat="1" x14ac:dyDescent="0.25">
      <c r="A3" s="2" t="s">
        <v>12</v>
      </c>
      <c r="B3" s="2" t="s">
        <v>13</v>
      </c>
      <c r="C3" s="2" t="s">
        <v>14</v>
      </c>
      <c r="D3" s="2" t="s">
        <v>15</v>
      </c>
      <c r="E3" s="6" t="s">
        <v>686</v>
      </c>
      <c r="F3" s="2">
        <v>1</v>
      </c>
      <c r="G3" s="2" t="s">
        <v>9</v>
      </c>
      <c r="H3" s="2" t="s">
        <v>687</v>
      </c>
      <c r="I3" s="2" t="str">
        <f t="shared" si="0"/>
        <v>YES</v>
      </c>
      <c r="J3" s="2" t="str">
        <f>IF(I3="YES",IFERROR(VLOOKUP(E3,Scan!A:A,1,0),"Not scanned"),"")</f>
        <v>Not scanned</v>
      </c>
    </row>
    <row r="4" spans="1:11" s="2" customFormat="1" x14ac:dyDescent="0.25">
      <c r="A4" s="2" t="s">
        <v>17</v>
      </c>
      <c r="B4" s="2" t="s">
        <v>18</v>
      </c>
      <c r="C4" s="2" t="s">
        <v>14</v>
      </c>
      <c r="D4" s="2" t="s">
        <v>19</v>
      </c>
      <c r="E4" s="6" t="s">
        <v>688</v>
      </c>
      <c r="F4" s="2">
        <v>1</v>
      </c>
      <c r="G4" s="2" t="s">
        <v>11</v>
      </c>
      <c r="H4" s="2" t="s">
        <v>11</v>
      </c>
      <c r="I4" s="2" t="str">
        <f t="shared" si="0"/>
        <v>YES</v>
      </c>
      <c r="J4" s="2" t="str">
        <f>IF(I4="YES",IFERROR(VLOOKUP(E4,Scan!A:A,1,0),"Not scanned"),"")</f>
        <v>Not scanned</v>
      </c>
    </row>
    <row r="5" spans="1:11" s="2" customFormat="1" x14ac:dyDescent="0.25">
      <c r="A5" s="2" t="s">
        <v>17</v>
      </c>
      <c r="B5" s="2" t="s">
        <v>18</v>
      </c>
      <c r="C5" s="2" t="s">
        <v>14</v>
      </c>
      <c r="D5" s="2" t="s">
        <v>19</v>
      </c>
      <c r="E5" s="6" t="s">
        <v>689</v>
      </c>
      <c r="F5" s="2">
        <v>1</v>
      </c>
      <c r="G5" s="2" t="s">
        <v>11</v>
      </c>
      <c r="H5" s="2" t="s">
        <v>11</v>
      </c>
      <c r="I5" s="2" t="str">
        <f t="shared" si="0"/>
        <v>YES</v>
      </c>
      <c r="J5" s="2" t="str">
        <f>IF(I5="YES",IFERROR(VLOOKUP(E5,Scan!A:A,1,0),"Not scanned"),"")</f>
        <v>Not scanned</v>
      </c>
    </row>
    <row r="6" spans="1:11" s="2" customFormat="1" x14ac:dyDescent="0.25">
      <c r="A6" s="2" t="s">
        <v>20</v>
      </c>
      <c r="B6" s="2" t="s">
        <v>18</v>
      </c>
      <c r="C6" s="2" t="s">
        <v>14</v>
      </c>
      <c r="D6" s="2" t="s">
        <v>21</v>
      </c>
      <c r="E6" s="6" t="s">
        <v>690</v>
      </c>
      <c r="F6" s="2">
        <v>1</v>
      </c>
      <c r="G6" s="2" t="s">
        <v>11</v>
      </c>
      <c r="H6" s="2" t="s">
        <v>11</v>
      </c>
      <c r="I6" s="2" t="str">
        <f t="shared" si="0"/>
        <v>YES</v>
      </c>
      <c r="J6" s="2" t="str">
        <f>IF(I6="YES",IFERROR(VLOOKUP(E6,Scan!A:A,1,0),"Not scanned"),"")</f>
        <v>Not scanned</v>
      </c>
    </row>
    <row r="7" spans="1:11" s="2" customFormat="1" x14ac:dyDescent="0.25">
      <c r="A7" s="2" t="s">
        <v>20</v>
      </c>
      <c r="B7" s="2" t="s">
        <v>18</v>
      </c>
      <c r="C7" s="2" t="s">
        <v>14</v>
      </c>
      <c r="D7" s="2" t="s">
        <v>21</v>
      </c>
      <c r="E7" s="6" t="s">
        <v>691</v>
      </c>
      <c r="F7" s="2">
        <v>1</v>
      </c>
      <c r="G7" s="2" t="s">
        <v>11</v>
      </c>
      <c r="H7" s="2" t="s">
        <v>11</v>
      </c>
      <c r="I7" s="2" t="str">
        <f t="shared" si="0"/>
        <v>YES</v>
      </c>
      <c r="J7" s="2" t="str">
        <f>IF(I7="YES",IFERROR(VLOOKUP(E7,Scan!A:A,1,0),"Not scanned"),"")</f>
        <v>Not scanned</v>
      </c>
    </row>
    <row r="8" spans="1:11" s="2" customFormat="1" x14ac:dyDescent="0.25">
      <c r="A8" s="2" t="s">
        <v>12</v>
      </c>
      <c r="B8" s="2" t="s">
        <v>13</v>
      </c>
      <c r="C8" s="2" t="s">
        <v>14</v>
      </c>
      <c r="D8" s="2" t="s">
        <v>15</v>
      </c>
      <c r="E8" s="6" t="s">
        <v>692</v>
      </c>
      <c r="F8" s="2">
        <v>1</v>
      </c>
      <c r="G8" s="2" t="s">
        <v>9</v>
      </c>
      <c r="H8" s="2" t="s">
        <v>693</v>
      </c>
      <c r="I8" s="2" t="str">
        <f t="shared" si="0"/>
        <v>YES</v>
      </c>
      <c r="J8" s="2" t="str">
        <f>IF(I8="YES",IFERROR(VLOOKUP(E8,Scan!A:A,1,0),"Not scanned"),"")</f>
        <v>Not scanned</v>
      </c>
    </row>
    <row r="9" spans="1:11" s="2" customFormat="1" x14ac:dyDescent="0.25">
      <c r="A9" s="2" t="s">
        <v>17</v>
      </c>
      <c r="B9" s="2" t="s">
        <v>18</v>
      </c>
      <c r="C9" s="2" t="s">
        <v>14</v>
      </c>
      <c r="D9" s="2" t="s">
        <v>19</v>
      </c>
      <c r="E9" s="6" t="s">
        <v>694</v>
      </c>
      <c r="F9" s="2">
        <v>1</v>
      </c>
      <c r="G9" s="2" t="s">
        <v>11</v>
      </c>
      <c r="H9" s="2" t="s">
        <v>11</v>
      </c>
      <c r="I9" s="2" t="str">
        <f t="shared" si="0"/>
        <v>YES</v>
      </c>
      <c r="J9" s="2" t="str">
        <f>IF(I9="YES",IFERROR(VLOOKUP(E9,Scan!A:A,1,0),"Not scanned"),"")</f>
        <v>Not scanned</v>
      </c>
    </row>
    <row r="10" spans="1:11" s="2" customFormat="1" x14ac:dyDescent="0.25">
      <c r="A10" s="2" t="s">
        <v>17</v>
      </c>
      <c r="B10" s="2" t="s">
        <v>18</v>
      </c>
      <c r="C10" s="2" t="s">
        <v>14</v>
      </c>
      <c r="D10" s="2" t="s">
        <v>19</v>
      </c>
      <c r="E10" s="6" t="s">
        <v>695</v>
      </c>
      <c r="F10" s="2">
        <v>1</v>
      </c>
      <c r="G10" s="2" t="s">
        <v>11</v>
      </c>
      <c r="H10" s="2" t="s">
        <v>11</v>
      </c>
      <c r="I10" s="2" t="str">
        <f t="shared" si="0"/>
        <v>YES</v>
      </c>
      <c r="J10" s="2" t="str">
        <f>IF(I10="YES",IFERROR(VLOOKUP(E10,Scan!A:A,1,0),"Not scanned"),"")</f>
        <v>Not scanned</v>
      </c>
    </row>
    <row r="11" spans="1:11" s="2" customFormat="1" x14ac:dyDescent="0.25">
      <c r="A11" s="2" t="s">
        <v>20</v>
      </c>
      <c r="B11" s="2" t="s">
        <v>18</v>
      </c>
      <c r="C11" s="2" t="s">
        <v>14</v>
      </c>
      <c r="D11" s="2" t="s">
        <v>21</v>
      </c>
      <c r="E11" s="6" t="s">
        <v>696</v>
      </c>
      <c r="F11" s="2">
        <v>1</v>
      </c>
      <c r="G11" s="2" t="s">
        <v>11</v>
      </c>
      <c r="H11" s="2" t="s">
        <v>11</v>
      </c>
      <c r="I11" s="2" t="str">
        <f t="shared" si="0"/>
        <v>YES</v>
      </c>
      <c r="J11" s="2" t="str">
        <f>IF(I11="YES",IFERROR(VLOOKUP(E11,Scan!A:A,1,0),"Not scanned"),"")</f>
        <v>Not scanned</v>
      </c>
    </row>
    <row r="12" spans="1:11" s="2" customFormat="1" x14ac:dyDescent="0.25">
      <c r="A12" s="2" t="s">
        <v>20</v>
      </c>
      <c r="B12" s="2" t="s">
        <v>18</v>
      </c>
      <c r="C12" s="2" t="s">
        <v>14</v>
      </c>
      <c r="D12" s="2" t="s">
        <v>21</v>
      </c>
      <c r="E12" s="6" t="s">
        <v>697</v>
      </c>
      <c r="F12" s="2">
        <v>1</v>
      </c>
      <c r="G12" s="2" t="s">
        <v>11</v>
      </c>
      <c r="H12" s="2" t="s">
        <v>11</v>
      </c>
      <c r="I12" s="2" t="str">
        <f t="shared" si="0"/>
        <v>YES</v>
      </c>
      <c r="J12" s="2" t="str">
        <f>IF(I12="YES",IFERROR(VLOOKUP(E12,Scan!A:A,1,0),"Not scanned"),"")</f>
        <v>Not scanned</v>
      </c>
    </row>
    <row r="13" spans="1:11" s="2" customFormat="1" x14ac:dyDescent="0.25">
      <c r="A13" s="2" t="s">
        <v>23</v>
      </c>
      <c r="B13" s="2" t="s">
        <v>24</v>
      </c>
      <c r="C13" s="2" t="s">
        <v>25</v>
      </c>
      <c r="D13" s="2" t="s">
        <v>26</v>
      </c>
      <c r="E13" s="6" t="s">
        <v>698</v>
      </c>
      <c r="F13" s="2">
        <v>1</v>
      </c>
      <c r="G13" s="2" t="s">
        <v>9</v>
      </c>
      <c r="H13" s="2" t="s">
        <v>699</v>
      </c>
      <c r="I13" s="2" t="str">
        <f t="shared" si="0"/>
        <v>YES</v>
      </c>
      <c r="J13" s="2" t="str">
        <f>IF(I13="YES",IFERROR(VLOOKUP(E13,Scan!A:A,1,0),"Not scanned"),"")</f>
        <v>FCW2309C022</v>
      </c>
    </row>
    <row r="14" spans="1:11" s="2" customFormat="1" x14ac:dyDescent="0.25">
      <c r="A14" s="2" t="s">
        <v>28</v>
      </c>
      <c r="B14" s="2" t="s">
        <v>18</v>
      </c>
      <c r="C14" s="2" t="s">
        <v>25</v>
      </c>
      <c r="D14" s="2" t="s">
        <v>29</v>
      </c>
      <c r="E14" s="6" t="s">
        <v>700</v>
      </c>
      <c r="F14" s="2">
        <v>1</v>
      </c>
      <c r="G14" s="2" t="s">
        <v>11</v>
      </c>
      <c r="H14" s="2" t="s">
        <v>11</v>
      </c>
      <c r="I14" s="2" t="str">
        <f t="shared" si="0"/>
        <v>YES</v>
      </c>
      <c r="J14" s="2" t="str">
        <f>IF(I14="YES",IFERROR(VLOOKUP(E14,Scan!A:A,1,0),"Not scanned"),"")</f>
        <v>OPM22411STK</v>
      </c>
    </row>
    <row r="15" spans="1:11" s="2" customFormat="1" x14ac:dyDescent="0.25">
      <c r="A15" s="2" t="s">
        <v>28</v>
      </c>
      <c r="B15" s="2" t="s">
        <v>18</v>
      </c>
      <c r="C15" s="2" t="s">
        <v>25</v>
      </c>
      <c r="D15" s="2" t="s">
        <v>29</v>
      </c>
      <c r="E15" s="6" t="s">
        <v>701</v>
      </c>
      <c r="F15" s="2">
        <v>1</v>
      </c>
      <c r="G15" s="2" t="s">
        <v>11</v>
      </c>
      <c r="H15" s="2" t="s">
        <v>11</v>
      </c>
      <c r="I15" s="2" t="str">
        <f t="shared" si="0"/>
        <v>YES</v>
      </c>
      <c r="J15" s="2" t="str">
        <f>IF(I15="YES",IFERROR(VLOOKUP(E15,Scan!A:A,1,0),"Not scanned"),"")</f>
        <v>OPM22411UF7</v>
      </c>
    </row>
    <row r="16" spans="1:11" s="2" customFormat="1" x14ac:dyDescent="0.25">
      <c r="A16" s="2" t="s">
        <v>28</v>
      </c>
      <c r="B16" s="2" t="s">
        <v>18</v>
      </c>
      <c r="C16" s="2" t="s">
        <v>25</v>
      </c>
      <c r="D16" s="2" t="s">
        <v>29</v>
      </c>
      <c r="E16" s="6" t="s">
        <v>702</v>
      </c>
      <c r="F16" s="2">
        <v>1</v>
      </c>
      <c r="G16" s="2" t="s">
        <v>11</v>
      </c>
      <c r="H16" s="2" t="s">
        <v>11</v>
      </c>
      <c r="I16" s="2" t="str">
        <f t="shared" si="0"/>
        <v>YES</v>
      </c>
      <c r="J16" s="2" t="str">
        <f>IF(I16="YES",IFERROR(VLOOKUP(E16,Scan!A:A,1,0),"Not scanned"),"")</f>
        <v>OPM22411SR1</v>
      </c>
    </row>
    <row r="17" spans="1:10" s="2" customFormat="1" x14ac:dyDescent="0.25">
      <c r="A17" s="2" t="s">
        <v>28</v>
      </c>
      <c r="B17" s="2" t="s">
        <v>18</v>
      </c>
      <c r="C17" s="2" t="s">
        <v>25</v>
      </c>
      <c r="D17" s="2" t="s">
        <v>29</v>
      </c>
      <c r="E17" s="6" t="s">
        <v>703</v>
      </c>
      <c r="F17" s="2">
        <v>1</v>
      </c>
      <c r="G17" s="2" t="s">
        <v>11</v>
      </c>
      <c r="H17" s="2" t="s">
        <v>11</v>
      </c>
      <c r="I17" s="2" t="str">
        <f t="shared" si="0"/>
        <v>YES</v>
      </c>
      <c r="J17" s="2" t="str">
        <f>IF(I17="YES",IFERROR(VLOOKUP(E17,Scan!A:A,1,0),"Not scanned"),"")</f>
        <v>OPM22411ST7</v>
      </c>
    </row>
    <row r="18" spans="1:10" s="2" customFormat="1" x14ac:dyDescent="0.25">
      <c r="A18" s="2" t="s">
        <v>28</v>
      </c>
      <c r="B18" s="2" t="s">
        <v>18</v>
      </c>
      <c r="C18" s="2" t="s">
        <v>25</v>
      </c>
      <c r="D18" s="2" t="s">
        <v>29</v>
      </c>
      <c r="E18" s="6" t="s">
        <v>704</v>
      </c>
      <c r="F18" s="2">
        <v>1</v>
      </c>
      <c r="G18" s="2" t="s">
        <v>11</v>
      </c>
      <c r="H18" s="2" t="s">
        <v>11</v>
      </c>
      <c r="I18" s="2" t="str">
        <f t="shared" si="0"/>
        <v>YES</v>
      </c>
      <c r="J18" s="2" t="str">
        <f>IF(I18="YES",IFERROR(VLOOKUP(E18,Scan!A:A,1,0),"Not scanned"),"")</f>
        <v>OPM22411SPR</v>
      </c>
    </row>
    <row r="19" spans="1:10" s="2" customFormat="1" x14ac:dyDescent="0.25">
      <c r="A19" s="2" t="s">
        <v>30</v>
      </c>
      <c r="B19" s="2" t="s">
        <v>18</v>
      </c>
      <c r="C19" s="2" t="s">
        <v>25</v>
      </c>
      <c r="D19" s="2" t="s">
        <v>31</v>
      </c>
      <c r="E19" s="6" t="s">
        <v>705</v>
      </c>
      <c r="F19" s="2">
        <v>1</v>
      </c>
      <c r="G19" s="2" t="s">
        <v>11</v>
      </c>
      <c r="H19" s="2" t="s">
        <v>11</v>
      </c>
      <c r="I19" s="2" t="str">
        <f t="shared" si="0"/>
        <v>YES</v>
      </c>
      <c r="J19" s="2" t="str">
        <f>IF(I19="YES",IFERROR(VLOOKUP(E19,Scan!A:A,1,0),"Not scanned"),"")</f>
        <v>OPM22390B6X</v>
      </c>
    </row>
    <row r="20" spans="1:10" s="2" customFormat="1" x14ac:dyDescent="0.25">
      <c r="A20" s="2" t="s">
        <v>30</v>
      </c>
      <c r="B20" s="2" t="s">
        <v>18</v>
      </c>
      <c r="C20" s="2" t="s">
        <v>25</v>
      </c>
      <c r="D20" s="2" t="s">
        <v>31</v>
      </c>
      <c r="E20" s="6" t="s">
        <v>706</v>
      </c>
      <c r="F20" s="2">
        <v>1</v>
      </c>
      <c r="G20" s="2" t="s">
        <v>11</v>
      </c>
      <c r="H20" s="2" t="s">
        <v>11</v>
      </c>
      <c r="I20" s="2" t="str">
        <f t="shared" si="0"/>
        <v>YES</v>
      </c>
      <c r="J20" s="2" t="str">
        <f>IF(I20="YES",IFERROR(VLOOKUP(E20,Scan!A:A,1,0),"Not scanned"),"")</f>
        <v>OPM22390BGB</v>
      </c>
    </row>
    <row r="21" spans="1:10" s="2" customFormat="1" x14ac:dyDescent="0.25">
      <c r="A21" s="2" t="s">
        <v>30</v>
      </c>
      <c r="B21" s="2" t="s">
        <v>18</v>
      </c>
      <c r="C21" s="2" t="s">
        <v>25</v>
      </c>
      <c r="D21" s="2" t="s">
        <v>31</v>
      </c>
      <c r="E21" s="6" t="s">
        <v>707</v>
      </c>
      <c r="F21" s="2">
        <v>1</v>
      </c>
      <c r="G21" s="2" t="s">
        <v>11</v>
      </c>
      <c r="H21" s="2" t="s">
        <v>11</v>
      </c>
      <c r="I21" s="2" t="str">
        <f t="shared" si="0"/>
        <v>YES</v>
      </c>
      <c r="J21" s="2" t="str">
        <f>IF(I21="YES",IFERROR(VLOOKUP(E21,Scan!A:A,1,0),"Not scanned"),"")</f>
        <v>OPM22390BG3</v>
      </c>
    </row>
    <row r="22" spans="1:10" s="2" customFormat="1" x14ac:dyDescent="0.25">
      <c r="A22" s="2" t="s">
        <v>30</v>
      </c>
      <c r="B22" s="2" t="s">
        <v>18</v>
      </c>
      <c r="C22" s="2" t="s">
        <v>25</v>
      </c>
      <c r="D22" s="2" t="s">
        <v>31</v>
      </c>
      <c r="E22" s="6" t="s">
        <v>708</v>
      </c>
      <c r="F22" s="2">
        <v>1</v>
      </c>
      <c r="G22" s="2" t="s">
        <v>11</v>
      </c>
      <c r="H22" s="2" t="s">
        <v>11</v>
      </c>
      <c r="I22" s="2" t="str">
        <f t="shared" si="0"/>
        <v>YES</v>
      </c>
      <c r="J22" s="2" t="str">
        <f>IF(I22="YES",IFERROR(VLOOKUP(E22,Scan!A:A,1,0),"Not scanned"),"")</f>
        <v>OPM22390B9F</v>
      </c>
    </row>
    <row r="23" spans="1:10" s="2" customFormat="1" x14ac:dyDescent="0.25">
      <c r="A23" s="2" t="s">
        <v>32</v>
      </c>
      <c r="B23" s="2" t="s">
        <v>18</v>
      </c>
      <c r="C23" s="2" t="s">
        <v>25</v>
      </c>
      <c r="D23" s="2" t="s">
        <v>33</v>
      </c>
      <c r="E23" s="6" t="s">
        <v>709</v>
      </c>
      <c r="F23" s="2">
        <v>1</v>
      </c>
      <c r="G23" s="2" t="s">
        <v>11</v>
      </c>
      <c r="H23" s="2" t="s">
        <v>11</v>
      </c>
      <c r="I23" s="2" t="str">
        <f t="shared" si="0"/>
        <v>YES</v>
      </c>
      <c r="J23" s="2" t="str">
        <f>IF(I23="YES",IFERROR(VLOOKUP(E23,Scan!A:A,1,0),"Not scanned"),"")</f>
        <v>AVC230721F1</v>
      </c>
    </row>
    <row r="24" spans="1:10" s="2" customFormat="1" x14ac:dyDescent="0.25">
      <c r="A24" s="2" t="s">
        <v>32</v>
      </c>
      <c r="B24" s="2" t="s">
        <v>18</v>
      </c>
      <c r="C24" s="2" t="s">
        <v>25</v>
      </c>
      <c r="D24" s="2" t="s">
        <v>33</v>
      </c>
      <c r="E24" s="6" t="s">
        <v>710</v>
      </c>
      <c r="F24" s="2">
        <v>1</v>
      </c>
      <c r="G24" s="2" t="s">
        <v>11</v>
      </c>
      <c r="H24" s="2" t="s">
        <v>11</v>
      </c>
      <c r="I24" s="2" t="str">
        <f t="shared" si="0"/>
        <v>YES</v>
      </c>
      <c r="J24" s="2" t="str">
        <f>IF(I24="YES",IFERROR(VLOOKUP(E24,Scan!A:A,1,0),"Not scanned"),"")</f>
        <v>AVC230721F0</v>
      </c>
    </row>
    <row r="25" spans="1:10" s="2" customFormat="1" x14ac:dyDescent="0.25">
      <c r="A25" s="2" t="s">
        <v>32</v>
      </c>
      <c r="B25" s="2" t="s">
        <v>18</v>
      </c>
      <c r="C25" s="2" t="s">
        <v>25</v>
      </c>
      <c r="D25" s="2" t="s">
        <v>33</v>
      </c>
      <c r="E25" s="6" t="s">
        <v>711</v>
      </c>
      <c r="F25" s="2">
        <v>1</v>
      </c>
      <c r="G25" s="2" t="s">
        <v>11</v>
      </c>
      <c r="H25" s="2" t="s">
        <v>11</v>
      </c>
      <c r="I25" s="2" t="str">
        <f t="shared" si="0"/>
        <v>YES</v>
      </c>
      <c r="J25" s="2" t="str">
        <f>IF(I25="YES",IFERROR(VLOOKUP(E25,Scan!A:A,1,0),"Not scanned"),"")</f>
        <v>AVC230721FD</v>
      </c>
    </row>
    <row r="26" spans="1:10" s="2" customFormat="1" x14ac:dyDescent="0.25">
      <c r="A26" s="2" t="s">
        <v>32</v>
      </c>
      <c r="B26" s="2" t="s">
        <v>18</v>
      </c>
      <c r="C26" s="2" t="s">
        <v>25</v>
      </c>
      <c r="D26" s="2" t="s">
        <v>33</v>
      </c>
      <c r="E26" s="6" t="s">
        <v>712</v>
      </c>
      <c r="F26" s="2">
        <v>1</v>
      </c>
      <c r="G26" s="2" t="s">
        <v>11</v>
      </c>
      <c r="H26" s="2" t="s">
        <v>11</v>
      </c>
      <c r="I26" s="2" t="str">
        <f t="shared" si="0"/>
        <v>YES</v>
      </c>
      <c r="J26" s="2" t="str">
        <f>IF(I26="YES",IFERROR(VLOOKUP(E26,Scan!A:A,1,0),"Not scanned"),"")</f>
        <v>AVC230721FS</v>
      </c>
    </row>
    <row r="27" spans="1:10" s="2" customFormat="1" x14ac:dyDescent="0.25">
      <c r="A27" s="2" t="s">
        <v>23</v>
      </c>
      <c r="B27" s="2" t="s">
        <v>24</v>
      </c>
      <c r="C27" s="2" t="s">
        <v>25</v>
      </c>
      <c r="D27" s="2" t="s">
        <v>26</v>
      </c>
      <c r="E27" s="6" t="s">
        <v>713</v>
      </c>
      <c r="F27" s="2">
        <v>1</v>
      </c>
      <c r="G27" s="2" t="s">
        <v>9</v>
      </c>
      <c r="H27" s="2" t="s">
        <v>714</v>
      </c>
      <c r="I27" s="2" t="str">
        <f t="shared" si="0"/>
        <v>YES</v>
      </c>
      <c r="J27" s="2" t="str">
        <f>IF(I27="YES",IFERROR(VLOOKUP(E27,Scan!A:A,1,0),"Not scanned"),"")</f>
        <v>Not scanned</v>
      </c>
    </row>
    <row r="28" spans="1:10" s="2" customFormat="1" x14ac:dyDescent="0.25">
      <c r="A28" s="2" t="s">
        <v>28</v>
      </c>
      <c r="B28" s="2" t="s">
        <v>18</v>
      </c>
      <c r="C28" s="2" t="s">
        <v>25</v>
      </c>
      <c r="D28" s="2" t="s">
        <v>29</v>
      </c>
      <c r="E28" s="6" t="s">
        <v>715</v>
      </c>
      <c r="F28" s="2">
        <v>1</v>
      </c>
      <c r="G28" s="2" t="s">
        <v>11</v>
      </c>
      <c r="H28" s="2" t="s">
        <v>11</v>
      </c>
      <c r="I28" s="2" t="str">
        <f t="shared" si="0"/>
        <v>YES</v>
      </c>
      <c r="J28" s="2" t="str">
        <f>IF(I28="YES",IFERROR(VLOOKUP(E28,Scan!A:A,1,0),"Not scanned"),"")</f>
        <v>Not scanned</v>
      </c>
    </row>
    <row r="29" spans="1:10" s="2" customFormat="1" x14ac:dyDescent="0.25">
      <c r="A29" s="2" t="s">
        <v>28</v>
      </c>
      <c r="B29" s="2" t="s">
        <v>18</v>
      </c>
      <c r="C29" s="2" t="s">
        <v>25</v>
      </c>
      <c r="D29" s="2" t="s">
        <v>29</v>
      </c>
      <c r="E29" s="6" t="s">
        <v>716</v>
      </c>
      <c r="F29" s="2">
        <v>1</v>
      </c>
      <c r="G29" s="2" t="s">
        <v>11</v>
      </c>
      <c r="H29" s="2" t="s">
        <v>11</v>
      </c>
      <c r="I29" s="2" t="str">
        <f t="shared" si="0"/>
        <v>YES</v>
      </c>
      <c r="J29" s="2" t="str">
        <f>IF(I29="YES",IFERROR(VLOOKUP(E29,Scan!A:A,1,0),"Not scanned"),"")</f>
        <v>Not scanned</v>
      </c>
    </row>
    <row r="30" spans="1:10" s="2" customFormat="1" x14ac:dyDescent="0.25">
      <c r="A30" s="2" t="s">
        <v>28</v>
      </c>
      <c r="B30" s="2" t="s">
        <v>18</v>
      </c>
      <c r="C30" s="2" t="s">
        <v>25</v>
      </c>
      <c r="D30" s="2" t="s">
        <v>29</v>
      </c>
      <c r="E30" s="6" t="s">
        <v>717</v>
      </c>
      <c r="F30" s="2">
        <v>1</v>
      </c>
      <c r="G30" s="2" t="s">
        <v>11</v>
      </c>
      <c r="H30" s="2" t="s">
        <v>11</v>
      </c>
      <c r="I30" s="2" t="str">
        <f t="shared" si="0"/>
        <v>YES</v>
      </c>
      <c r="J30" s="2" t="str">
        <f>IF(I30="YES",IFERROR(VLOOKUP(E30,Scan!A:A,1,0),"Not scanned"),"")</f>
        <v>Not scanned</v>
      </c>
    </row>
    <row r="31" spans="1:10" s="2" customFormat="1" x14ac:dyDescent="0.25">
      <c r="A31" s="2" t="s">
        <v>28</v>
      </c>
      <c r="B31" s="2" t="s">
        <v>18</v>
      </c>
      <c r="C31" s="2" t="s">
        <v>25</v>
      </c>
      <c r="D31" s="2" t="s">
        <v>29</v>
      </c>
      <c r="E31" s="6" t="s">
        <v>718</v>
      </c>
      <c r="F31" s="2">
        <v>1</v>
      </c>
      <c r="G31" s="2" t="s">
        <v>11</v>
      </c>
      <c r="H31" s="2" t="s">
        <v>11</v>
      </c>
      <c r="I31" s="2" t="str">
        <f t="shared" si="0"/>
        <v>YES</v>
      </c>
      <c r="J31" s="2" t="str">
        <f>IF(I31="YES",IFERROR(VLOOKUP(E31,Scan!A:A,1,0),"Not scanned"),"")</f>
        <v>Not scanned</v>
      </c>
    </row>
    <row r="32" spans="1:10" s="2" customFormat="1" x14ac:dyDescent="0.25">
      <c r="A32" s="2" t="s">
        <v>28</v>
      </c>
      <c r="B32" s="2" t="s">
        <v>18</v>
      </c>
      <c r="C32" s="2" t="s">
        <v>25</v>
      </c>
      <c r="D32" s="2" t="s">
        <v>29</v>
      </c>
      <c r="E32" s="6" t="s">
        <v>719</v>
      </c>
      <c r="F32" s="2">
        <v>1</v>
      </c>
      <c r="G32" s="2" t="s">
        <v>11</v>
      </c>
      <c r="H32" s="2" t="s">
        <v>11</v>
      </c>
      <c r="I32" s="2" t="str">
        <f t="shared" si="0"/>
        <v>YES</v>
      </c>
      <c r="J32" s="2" t="str">
        <f>IF(I32="YES",IFERROR(VLOOKUP(E32,Scan!A:A,1,0),"Not scanned"),"")</f>
        <v>Not scanned</v>
      </c>
    </row>
    <row r="33" spans="1:10" s="2" customFormat="1" x14ac:dyDescent="0.25">
      <c r="A33" s="2" t="s">
        <v>30</v>
      </c>
      <c r="B33" s="2" t="s">
        <v>18</v>
      </c>
      <c r="C33" s="2" t="s">
        <v>25</v>
      </c>
      <c r="D33" s="2" t="s">
        <v>31</v>
      </c>
      <c r="E33" s="6" t="s">
        <v>720</v>
      </c>
      <c r="F33" s="2">
        <v>1</v>
      </c>
      <c r="G33" s="2" t="s">
        <v>11</v>
      </c>
      <c r="H33" s="2" t="s">
        <v>11</v>
      </c>
      <c r="I33" s="2" t="str">
        <f t="shared" si="0"/>
        <v>YES</v>
      </c>
      <c r="J33" s="2" t="str">
        <f>IF(I33="YES",IFERROR(VLOOKUP(E33,Scan!A:A,1,0),"Not scanned"),"")</f>
        <v>Not scanned</v>
      </c>
    </row>
    <row r="34" spans="1:10" s="2" customFormat="1" x14ac:dyDescent="0.25">
      <c r="A34" s="2" t="s">
        <v>30</v>
      </c>
      <c r="B34" s="2" t="s">
        <v>18</v>
      </c>
      <c r="C34" s="2" t="s">
        <v>25</v>
      </c>
      <c r="D34" s="2" t="s">
        <v>31</v>
      </c>
      <c r="E34" s="6" t="s">
        <v>721</v>
      </c>
      <c r="F34" s="2">
        <v>1</v>
      </c>
      <c r="G34" s="2" t="s">
        <v>11</v>
      </c>
      <c r="H34" s="2" t="s">
        <v>11</v>
      </c>
      <c r="I34" s="2" t="str">
        <f t="shared" si="0"/>
        <v>YES</v>
      </c>
      <c r="J34" s="2" t="str">
        <f>IF(I34="YES",IFERROR(VLOOKUP(E34,Scan!A:A,1,0),"Not scanned"),"")</f>
        <v>Not scanned</v>
      </c>
    </row>
    <row r="35" spans="1:10" s="2" customFormat="1" x14ac:dyDescent="0.25">
      <c r="A35" s="2" t="s">
        <v>30</v>
      </c>
      <c r="B35" s="2" t="s">
        <v>18</v>
      </c>
      <c r="C35" s="2" t="s">
        <v>25</v>
      </c>
      <c r="D35" s="2" t="s">
        <v>31</v>
      </c>
      <c r="E35" s="6" t="s">
        <v>722</v>
      </c>
      <c r="F35" s="2">
        <v>1</v>
      </c>
      <c r="G35" s="2" t="s">
        <v>11</v>
      </c>
      <c r="H35" s="2" t="s">
        <v>11</v>
      </c>
      <c r="I35" s="2" t="str">
        <f t="shared" si="0"/>
        <v>YES</v>
      </c>
      <c r="J35" s="2" t="str">
        <f>IF(I35="YES",IFERROR(VLOOKUP(E35,Scan!A:A,1,0),"Not scanned"),"")</f>
        <v>Not scanned</v>
      </c>
    </row>
    <row r="36" spans="1:10" s="2" customFormat="1" x14ac:dyDescent="0.25">
      <c r="A36" s="2" t="s">
        <v>30</v>
      </c>
      <c r="B36" s="2" t="s">
        <v>18</v>
      </c>
      <c r="C36" s="2" t="s">
        <v>25</v>
      </c>
      <c r="D36" s="2" t="s">
        <v>31</v>
      </c>
      <c r="E36" s="6" t="s">
        <v>723</v>
      </c>
      <c r="F36" s="2">
        <v>1</v>
      </c>
      <c r="G36" s="2" t="s">
        <v>11</v>
      </c>
      <c r="H36" s="2" t="s">
        <v>11</v>
      </c>
      <c r="I36" s="2" t="str">
        <f t="shared" si="0"/>
        <v>YES</v>
      </c>
      <c r="J36" s="2" t="str">
        <f>IF(I36="YES",IFERROR(VLOOKUP(E36,Scan!A:A,1,0),"Not scanned"),"")</f>
        <v>Not scanned</v>
      </c>
    </row>
    <row r="37" spans="1:10" s="2" customFormat="1" x14ac:dyDescent="0.25">
      <c r="A37" s="2" t="s">
        <v>32</v>
      </c>
      <c r="B37" s="2" t="s">
        <v>18</v>
      </c>
      <c r="C37" s="2" t="s">
        <v>25</v>
      </c>
      <c r="D37" s="2" t="s">
        <v>33</v>
      </c>
      <c r="E37" s="6" t="s">
        <v>724</v>
      </c>
      <c r="F37" s="2">
        <v>1</v>
      </c>
      <c r="G37" s="2" t="s">
        <v>11</v>
      </c>
      <c r="H37" s="2" t="s">
        <v>11</v>
      </c>
      <c r="I37" s="2" t="str">
        <f t="shared" si="0"/>
        <v>YES</v>
      </c>
      <c r="J37" s="2" t="str">
        <f>IF(I37="YES",IFERROR(VLOOKUP(E37,Scan!A:A,1,0),"Not scanned"),"")</f>
        <v>Not scanned</v>
      </c>
    </row>
    <row r="38" spans="1:10" s="2" customFormat="1" x14ac:dyDescent="0.25">
      <c r="A38" s="2" t="s">
        <v>32</v>
      </c>
      <c r="B38" s="2" t="s">
        <v>18</v>
      </c>
      <c r="C38" s="2" t="s">
        <v>25</v>
      </c>
      <c r="D38" s="2" t="s">
        <v>33</v>
      </c>
      <c r="E38" s="6" t="s">
        <v>725</v>
      </c>
      <c r="F38" s="2">
        <v>1</v>
      </c>
      <c r="G38" s="2" t="s">
        <v>11</v>
      </c>
      <c r="H38" s="2" t="s">
        <v>11</v>
      </c>
      <c r="I38" s="2" t="str">
        <f t="shared" si="0"/>
        <v>YES</v>
      </c>
      <c r="J38" s="2" t="str">
        <f>IF(I38="YES",IFERROR(VLOOKUP(E38,Scan!A:A,1,0),"Not scanned"),"")</f>
        <v>Not scanned</v>
      </c>
    </row>
    <row r="39" spans="1:10" s="2" customFormat="1" x14ac:dyDescent="0.25">
      <c r="A39" s="2" t="s">
        <v>32</v>
      </c>
      <c r="B39" s="2" t="s">
        <v>18</v>
      </c>
      <c r="C39" s="2" t="s">
        <v>25</v>
      </c>
      <c r="D39" s="2" t="s">
        <v>33</v>
      </c>
      <c r="E39" s="6" t="s">
        <v>726</v>
      </c>
      <c r="F39" s="2">
        <v>1</v>
      </c>
      <c r="G39" s="2" t="s">
        <v>11</v>
      </c>
      <c r="H39" s="2" t="s">
        <v>11</v>
      </c>
      <c r="I39" s="2" t="str">
        <f t="shared" si="0"/>
        <v>YES</v>
      </c>
      <c r="J39" s="2" t="str">
        <f>IF(I39="YES",IFERROR(VLOOKUP(E39,Scan!A:A,1,0),"Not scanned"),"")</f>
        <v>Not scanned</v>
      </c>
    </row>
    <row r="40" spans="1:10" s="2" customFormat="1" x14ac:dyDescent="0.25">
      <c r="A40" s="2" t="s">
        <v>32</v>
      </c>
      <c r="B40" s="2" t="s">
        <v>18</v>
      </c>
      <c r="C40" s="2" t="s">
        <v>25</v>
      </c>
      <c r="D40" s="2" t="s">
        <v>33</v>
      </c>
      <c r="E40" s="6" t="s">
        <v>727</v>
      </c>
      <c r="F40" s="2">
        <v>1</v>
      </c>
      <c r="G40" s="2" t="s">
        <v>11</v>
      </c>
      <c r="H40" s="2" t="s">
        <v>11</v>
      </c>
      <c r="I40" s="2" t="str">
        <f t="shared" si="0"/>
        <v>YES</v>
      </c>
      <c r="J40" s="2" t="str">
        <f>IF(I40="YES",IFERROR(VLOOKUP(E40,Scan!A:A,1,0),"Not scanned"),"")</f>
        <v>Not scanned</v>
      </c>
    </row>
    <row r="41" spans="1:10" s="2" customFormat="1" x14ac:dyDescent="0.25">
      <c r="A41" s="2" t="s">
        <v>35</v>
      </c>
      <c r="B41" s="2" t="s">
        <v>10</v>
      </c>
      <c r="C41" s="2" t="s">
        <v>11</v>
      </c>
      <c r="D41" s="2" t="s">
        <v>11</v>
      </c>
      <c r="E41" s="6" t="s">
        <v>11</v>
      </c>
      <c r="F41" s="2">
        <v>1</v>
      </c>
      <c r="G41" s="2" t="s">
        <v>35</v>
      </c>
      <c r="H41" s="2" t="s">
        <v>11</v>
      </c>
      <c r="I41" s="2" t="str">
        <f t="shared" si="0"/>
        <v>NO</v>
      </c>
      <c r="J41" s="2" t="str">
        <f>IF(I41="YES",IFERROR(VLOOKUP(E41,Scan!A:A,1,0),"Not scanned"),"")</f>
        <v/>
      </c>
    </row>
    <row r="42" spans="1:10" s="2" customFormat="1" x14ac:dyDescent="0.25">
      <c r="A42" s="2" t="s">
        <v>12</v>
      </c>
      <c r="B42" s="2" t="s">
        <v>13</v>
      </c>
      <c r="C42" s="2" t="s">
        <v>14</v>
      </c>
      <c r="D42" s="2" t="s">
        <v>15</v>
      </c>
      <c r="E42" s="6" t="s">
        <v>728</v>
      </c>
      <c r="F42" s="2">
        <v>1</v>
      </c>
      <c r="G42" s="2" t="s">
        <v>35</v>
      </c>
      <c r="H42" s="2" t="s">
        <v>729</v>
      </c>
      <c r="I42" s="2" t="str">
        <f t="shared" si="0"/>
        <v>YES</v>
      </c>
      <c r="J42" s="2" t="str">
        <f>IF(I42="YES",IFERROR(VLOOKUP(E42,Scan!A:A,1,0),"Not scanned"),"")</f>
        <v>Not scanned</v>
      </c>
    </row>
    <row r="43" spans="1:10" s="2" customFormat="1" x14ac:dyDescent="0.25">
      <c r="A43" s="2" t="s">
        <v>17</v>
      </c>
      <c r="B43" s="2" t="s">
        <v>18</v>
      </c>
      <c r="C43" s="2" t="s">
        <v>14</v>
      </c>
      <c r="D43" s="2" t="s">
        <v>19</v>
      </c>
      <c r="E43" s="6" t="s">
        <v>730</v>
      </c>
      <c r="F43" s="2">
        <v>1</v>
      </c>
      <c r="G43" s="2" t="s">
        <v>11</v>
      </c>
      <c r="H43" s="2" t="s">
        <v>11</v>
      </c>
      <c r="I43" s="2" t="str">
        <f t="shared" si="0"/>
        <v>YES</v>
      </c>
      <c r="J43" s="2" t="str">
        <f>IF(I43="YES",IFERROR(VLOOKUP(E43,Scan!A:A,1,0),"Not scanned"),"")</f>
        <v>Not scanned</v>
      </c>
    </row>
    <row r="44" spans="1:10" s="2" customFormat="1" x14ac:dyDescent="0.25">
      <c r="A44" s="2" t="s">
        <v>17</v>
      </c>
      <c r="B44" s="2" t="s">
        <v>18</v>
      </c>
      <c r="C44" s="2" t="s">
        <v>14</v>
      </c>
      <c r="D44" s="2" t="s">
        <v>19</v>
      </c>
      <c r="E44" s="6" t="s">
        <v>731</v>
      </c>
      <c r="F44" s="2">
        <v>1</v>
      </c>
      <c r="G44" s="2" t="s">
        <v>11</v>
      </c>
      <c r="H44" s="2" t="s">
        <v>11</v>
      </c>
      <c r="I44" s="2" t="str">
        <f t="shared" si="0"/>
        <v>YES</v>
      </c>
      <c r="J44" s="2" t="str">
        <f>IF(I44="YES",IFERROR(VLOOKUP(E44,Scan!A:A,1,0),"Not scanned"),"")</f>
        <v>Not scanned</v>
      </c>
    </row>
    <row r="45" spans="1:10" s="2" customFormat="1" x14ac:dyDescent="0.25">
      <c r="A45" s="2" t="s">
        <v>20</v>
      </c>
      <c r="B45" s="2" t="s">
        <v>18</v>
      </c>
      <c r="C45" s="2" t="s">
        <v>14</v>
      </c>
      <c r="D45" s="2" t="s">
        <v>21</v>
      </c>
      <c r="E45" s="6" t="s">
        <v>732</v>
      </c>
      <c r="F45" s="2">
        <v>1</v>
      </c>
      <c r="G45" s="2" t="s">
        <v>11</v>
      </c>
      <c r="H45" s="2" t="s">
        <v>11</v>
      </c>
      <c r="I45" s="2" t="str">
        <f t="shared" si="0"/>
        <v>YES</v>
      </c>
      <c r="J45" s="2" t="str">
        <f>IF(I45="YES",IFERROR(VLOOKUP(E45,Scan!A:A,1,0),"Not scanned"),"")</f>
        <v>Not scanned</v>
      </c>
    </row>
    <row r="46" spans="1:10" s="2" customFormat="1" x14ac:dyDescent="0.25">
      <c r="A46" s="2" t="s">
        <v>20</v>
      </c>
      <c r="B46" s="2" t="s">
        <v>18</v>
      </c>
      <c r="C46" s="2" t="s">
        <v>14</v>
      </c>
      <c r="D46" s="2" t="s">
        <v>21</v>
      </c>
      <c r="E46" s="6" t="s">
        <v>733</v>
      </c>
      <c r="F46" s="2">
        <v>1</v>
      </c>
      <c r="G46" s="2" t="s">
        <v>11</v>
      </c>
      <c r="H46" s="2" t="s">
        <v>11</v>
      </c>
      <c r="I46" s="2" t="str">
        <f t="shared" si="0"/>
        <v>YES</v>
      </c>
      <c r="J46" s="2" t="str">
        <f>IF(I46="YES",IFERROR(VLOOKUP(E46,Scan!A:A,1,0),"Not scanned"),"")</f>
        <v>Not scanned</v>
      </c>
    </row>
    <row r="47" spans="1:10" s="2" customFormat="1" x14ac:dyDescent="0.25">
      <c r="A47" s="2" t="s">
        <v>12</v>
      </c>
      <c r="B47" s="2" t="s">
        <v>13</v>
      </c>
      <c r="C47" s="2" t="s">
        <v>14</v>
      </c>
      <c r="D47" s="2" t="s">
        <v>15</v>
      </c>
      <c r="E47" s="6" t="s">
        <v>734</v>
      </c>
      <c r="F47" s="2">
        <v>1</v>
      </c>
      <c r="G47" s="2" t="s">
        <v>35</v>
      </c>
      <c r="H47" s="2" t="s">
        <v>735</v>
      </c>
      <c r="I47" s="2" t="str">
        <f t="shared" si="0"/>
        <v>NO</v>
      </c>
      <c r="J47" s="2" t="str">
        <f>IF(I47="YES",IFERROR(VLOOKUP(E47,Scan!A:A,1,0),"Not scanned"),"")</f>
        <v/>
      </c>
    </row>
    <row r="48" spans="1:10" s="2" customFormat="1" x14ac:dyDescent="0.25">
      <c r="A48" s="2" t="s">
        <v>17</v>
      </c>
      <c r="B48" s="2" t="s">
        <v>18</v>
      </c>
      <c r="C48" s="2" t="s">
        <v>14</v>
      </c>
      <c r="D48" s="2" t="s">
        <v>19</v>
      </c>
      <c r="E48" s="6" t="s">
        <v>736</v>
      </c>
      <c r="F48" s="2">
        <v>1</v>
      </c>
      <c r="G48" s="2" t="s">
        <v>11</v>
      </c>
      <c r="H48" s="2" t="s">
        <v>11</v>
      </c>
      <c r="I48" s="2" t="str">
        <f t="shared" si="0"/>
        <v>YES</v>
      </c>
      <c r="J48" s="2" t="str">
        <f>IF(I48="YES",IFERROR(VLOOKUP(E48,Scan!A:A,1,0),"Not scanned"),"")</f>
        <v>Not scanned</v>
      </c>
    </row>
    <row r="49" spans="1:10" s="2" customFormat="1" x14ac:dyDescent="0.25">
      <c r="A49" s="2" t="s">
        <v>17</v>
      </c>
      <c r="B49" s="2" t="s">
        <v>18</v>
      </c>
      <c r="C49" s="2" t="s">
        <v>14</v>
      </c>
      <c r="D49" s="2" t="s">
        <v>19</v>
      </c>
      <c r="E49" s="6" t="s">
        <v>737</v>
      </c>
      <c r="F49" s="2">
        <v>1</v>
      </c>
      <c r="G49" s="2" t="s">
        <v>11</v>
      </c>
      <c r="H49" s="2" t="s">
        <v>11</v>
      </c>
      <c r="I49" s="2" t="str">
        <f t="shared" si="0"/>
        <v>YES</v>
      </c>
      <c r="J49" s="2" t="str">
        <f>IF(I49="YES",IFERROR(VLOOKUP(E49,Scan!A:A,1,0),"Not scanned"),"")</f>
        <v>Not scanned</v>
      </c>
    </row>
    <row r="50" spans="1:10" s="2" customFormat="1" x14ac:dyDescent="0.25">
      <c r="A50" s="2" t="s">
        <v>20</v>
      </c>
      <c r="B50" s="2" t="s">
        <v>18</v>
      </c>
      <c r="C50" s="2" t="s">
        <v>14</v>
      </c>
      <c r="D50" s="2" t="s">
        <v>21</v>
      </c>
      <c r="E50" s="6" t="s">
        <v>738</v>
      </c>
      <c r="F50" s="2">
        <v>1</v>
      </c>
      <c r="G50" s="2" t="s">
        <v>11</v>
      </c>
      <c r="H50" s="2" t="s">
        <v>11</v>
      </c>
      <c r="I50" s="2" t="str">
        <f t="shared" si="0"/>
        <v>YES</v>
      </c>
      <c r="J50" s="2" t="str">
        <f>IF(I50="YES",IFERROR(VLOOKUP(E50,Scan!A:A,1,0),"Not scanned"),"")</f>
        <v>Not scanned</v>
      </c>
    </row>
    <row r="51" spans="1:10" s="2" customFormat="1" x14ac:dyDescent="0.25">
      <c r="A51" s="2" t="s">
        <v>20</v>
      </c>
      <c r="B51" s="2" t="s">
        <v>18</v>
      </c>
      <c r="C51" s="2" t="s">
        <v>14</v>
      </c>
      <c r="D51" s="2" t="s">
        <v>21</v>
      </c>
      <c r="E51" s="6" t="s">
        <v>739</v>
      </c>
      <c r="F51" s="2">
        <v>1</v>
      </c>
      <c r="G51" s="2" t="s">
        <v>11</v>
      </c>
      <c r="H51" s="2" t="s">
        <v>11</v>
      </c>
      <c r="I51" s="2" t="str">
        <f t="shared" si="0"/>
        <v>YES</v>
      </c>
      <c r="J51" s="2" t="str">
        <f>IF(I51="YES",IFERROR(VLOOKUP(E51,Scan!A:A,1,0),"Not scanned"),"")</f>
        <v>Not scanned</v>
      </c>
    </row>
    <row r="52" spans="1:10" s="2" customFormat="1" x14ac:dyDescent="0.25">
      <c r="A52" s="2" t="s">
        <v>38</v>
      </c>
      <c r="B52" s="2" t="s">
        <v>39</v>
      </c>
      <c r="C52" s="2" t="s">
        <v>14</v>
      </c>
      <c r="D52" s="2" t="s">
        <v>40</v>
      </c>
      <c r="E52" s="6" t="s">
        <v>740</v>
      </c>
      <c r="F52" s="2">
        <v>1</v>
      </c>
      <c r="G52" s="2" t="s">
        <v>741</v>
      </c>
      <c r="H52" s="2" t="s">
        <v>11</v>
      </c>
      <c r="I52" s="2" t="str">
        <f t="shared" si="0"/>
        <v>YES</v>
      </c>
      <c r="J52" s="2" t="str">
        <f>IF(I52="YES",IFERROR(VLOOKUP(E52,Scan!A:A,1,0),"Not scanned"),"")</f>
        <v>Not scanned</v>
      </c>
    </row>
    <row r="53" spans="1:10" s="2" customFormat="1" x14ac:dyDescent="0.25">
      <c r="A53" s="2" t="s">
        <v>38</v>
      </c>
      <c r="B53" s="2" t="s">
        <v>39</v>
      </c>
      <c r="C53" s="2" t="s">
        <v>14</v>
      </c>
      <c r="D53" s="2" t="s">
        <v>40</v>
      </c>
      <c r="E53" s="6" t="s">
        <v>742</v>
      </c>
      <c r="F53" s="2">
        <v>1</v>
      </c>
      <c r="G53" s="2" t="s">
        <v>743</v>
      </c>
      <c r="H53" s="2" t="s">
        <v>11</v>
      </c>
      <c r="I53" s="2" t="str">
        <f t="shared" si="0"/>
        <v>YES</v>
      </c>
      <c r="J53" s="2" t="str">
        <f>IF(I53="YES",IFERROR(VLOOKUP(E53,Scan!A:A,1,0),"Not scanned"),"")</f>
        <v>Not scanned</v>
      </c>
    </row>
    <row r="54" spans="1:10" s="2" customFormat="1" x14ac:dyDescent="0.25">
      <c r="A54" s="2" t="s">
        <v>41</v>
      </c>
      <c r="B54" s="2" t="s">
        <v>42</v>
      </c>
      <c r="C54" s="2" t="s">
        <v>14</v>
      </c>
      <c r="D54" s="2" t="s">
        <v>43</v>
      </c>
      <c r="E54" s="6" t="s">
        <v>744</v>
      </c>
      <c r="F54" s="2">
        <v>1</v>
      </c>
      <c r="G54" s="2" t="s">
        <v>35</v>
      </c>
      <c r="H54" s="2" t="s">
        <v>745</v>
      </c>
      <c r="I54" s="2" t="str">
        <f t="shared" si="0"/>
        <v>YES</v>
      </c>
      <c r="J54" s="2" t="str">
        <f>IF(I54="YES",IFERROR(VLOOKUP(E54,Scan!A:A,1,0),"Not scanned"),"")</f>
        <v>Not scanned</v>
      </c>
    </row>
    <row r="55" spans="1:10" s="2" customFormat="1" x14ac:dyDescent="0.25">
      <c r="A55" s="2" t="s">
        <v>45</v>
      </c>
      <c r="B55" s="2" t="s">
        <v>42</v>
      </c>
      <c r="C55" s="2" t="s">
        <v>14</v>
      </c>
      <c r="D55" s="2" t="s">
        <v>46</v>
      </c>
      <c r="E55" s="6" t="s">
        <v>746</v>
      </c>
      <c r="F55" s="2">
        <v>1</v>
      </c>
      <c r="G55" s="2" t="s">
        <v>11</v>
      </c>
      <c r="H55" s="2" t="s">
        <v>11</v>
      </c>
      <c r="I55" s="2" t="str">
        <f t="shared" si="0"/>
        <v>YES</v>
      </c>
      <c r="J55" s="2" t="str">
        <f>IF(I55="YES",IFERROR(VLOOKUP(E55,Scan!A:A,1,0),"Not scanned"),"")</f>
        <v>Not scanned</v>
      </c>
    </row>
    <row r="56" spans="1:10" s="2" customFormat="1" x14ac:dyDescent="0.25">
      <c r="A56" s="2" t="s">
        <v>45</v>
      </c>
      <c r="B56" s="2" t="s">
        <v>42</v>
      </c>
      <c r="C56" s="2" t="s">
        <v>14</v>
      </c>
      <c r="D56" s="2" t="s">
        <v>46</v>
      </c>
      <c r="E56" s="6" t="s">
        <v>747</v>
      </c>
      <c r="F56" s="2">
        <v>1</v>
      </c>
      <c r="G56" s="2" t="s">
        <v>11</v>
      </c>
      <c r="H56" s="2" t="s">
        <v>11</v>
      </c>
      <c r="I56" s="2" t="str">
        <f t="shared" si="0"/>
        <v>YES</v>
      </c>
      <c r="J56" s="2" t="str">
        <f>IF(I56="YES",IFERROR(VLOOKUP(E56,Scan!A:A,1,0),"Not scanned"),"")</f>
        <v>Not scanned</v>
      </c>
    </row>
    <row r="57" spans="1:10" s="2" customFormat="1" x14ac:dyDescent="0.25">
      <c r="A57" s="2" t="s">
        <v>47</v>
      </c>
      <c r="B57" s="2" t="s">
        <v>39</v>
      </c>
      <c r="C57" s="2" t="s">
        <v>14</v>
      </c>
      <c r="D57" s="2" t="s">
        <v>48</v>
      </c>
      <c r="E57" s="6" t="s">
        <v>748</v>
      </c>
      <c r="F57" s="2">
        <v>1</v>
      </c>
      <c r="G57" s="2" t="s">
        <v>749</v>
      </c>
      <c r="H57" s="2" t="s">
        <v>11</v>
      </c>
      <c r="I57" s="2" t="str">
        <f t="shared" si="0"/>
        <v>YES</v>
      </c>
      <c r="J57" s="2" t="str">
        <f>IF(I57="YES",IFERROR(VLOOKUP(E57,Scan!A:A,1,0),"Not scanned"),"")</f>
        <v>Not scanned</v>
      </c>
    </row>
    <row r="58" spans="1:10" s="2" customFormat="1" x14ac:dyDescent="0.25">
      <c r="A58" s="2" t="s">
        <v>47</v>
      </c>
      <c r="B58" s="2" t="s">
        <v>39</v>
      </c>
      <c r="C58" s="2" t="s">
        <v>14</v>
      </c>
      <c r="D58" s="2" t="s">
        <v>48</v>
      </c>
      <c r="E58" s="6" t="s">
        <v>750</v>
      </c>
      <c r="F58" s="2">
        <v>1</v>
      </c>
      <c r="G58" s="2" t="s">
        <v>751</v>
      </c>
      <c r="H58" s="2" t="s">
        <v>11</v>
      </c>
      <c r="I58" s="2" t="str">
        <f t="shared" si="0"/>
        <v>YES</v>
      </c>
      <c r="J58" s="2" t="str">
        <f>IF(I58="YES",IFERROR(VLOOKUP(E58,Scan!A:A,1,0),"Not scanned"),"")</f>
        <v>Not scanned</v>
      </c>
    </row>
    <row r="59" spans="1:10" s="2" customFormat="1" x14ac:dyDescent="0.25">
      <c r="A59" s="2" t="s">
        <v>47</v>
      </c>
      <c r="B59" s="2" t="s">
        <v>39</v>
      </c>
      <c r="C59" s="2" t="s">
        <v>14</v>
      </c>
      <c r="D59" s="2" t="s">
        <v>48</v>
      </c>
      <c r="E59" s="6" t="s">
        <v>752</v>
      </c>
      <c r="F59" s="2">
        <v>1</v>
      </c>
      <c r="G59" s="2" t="s">
        <v>753</v>
      </c>
      <c r="H59" s="2" t="s">
        <v>11</v>
      </c>
      <c r="I59" s="2" t="str">
        <f t="shared" si="0"/>
        <v>YES</v>
      </c>
      <c r="J59" s="2" t="str">
        <f>IF(I59="YES",IFERROR(VLOOKUP(E59,Scan!A:A,1,0),"Not scanned"),"")</f>
        <v>Not scanned</v>
      </c>
    </row>
    <row r="60" spans="1:10" s="2" customFormat="1" x14ac:dyDescent="0.25">
      <c r="A60" s="2" t="s">
        <v>47</v>
      </c>
      <c r="B60" s="2" t="s">
        <v>39</v>
      </c>
      <c r="C60" s="2" t="s">
        <v>14</v>
      </c>
      <c r="D60" s="2" t="s">
        <v>48</v>
      </c>
      <c r="E60" s="6" t="s">
        <v>754</v>
      </c>
      <c r="F60" s="2">
        <v>1</v>
      </c>
      <c r="G60" s="2" t="s">
        <v>755</v>
      </c>
      <c r="H60" s="2" t="s">
        <v>11</v>
      </c>
      <c r="I60" s="2" t="str">
        <f t="shared" si="0"/>
        <v>YES</v>
      </c>
      <c r="J60" s="2" t="str">
        <f>IF(I60="YES",IFERROR(VLOOKUP(E60,Scan!A:A,1,0),"Not scanned"),"")</f>
        <v>Not scanned</v>
      </c>
    </row>
    <row r="61" spans="1:10" s="2" customFormat="1" x14ac:dyDescent="0.25">
      <c r="A61" s="2" t="s">
        <v>47</v>
      </c>
      <c r="B61" s="2" t="s">
        <v>39</v>
      </c>
      <c r="C61" s="2" t="s">
        <v>14</v>
      </c>
      <c r="D61" s="2" t="s">
        <v>48</v>
      </c>
      <c r="E61" s="6" t="s">
        <v>756</v>
      </c>
      <c r="F61" s="2">
        <v>1</v>
      </c>
      <c r="G61" s="2" t="s">
        <v>757</v>
      </c>
      <c r="H61" s="2" t="s">
        <v>11</v>
      </c>
      <c r="I61" s="2" t="str">
        <f t="shared" si="0"/>
        <v>YES</v>
      </c>
      <c r="J61" s="2" t="str">
        <f>IF(I61="YES",IFERROR(VLOOKUP(E61,Scan!A:A,1,0),"Not scanned"),"")</f>
        <v>Not scanned</v>
      </c>
    </row>
    <row r="62" spans="1:10" s="2" customFormat="1" x14ac:dyDescent="0.25">
      <c r="A62" s="2" t="s">
        <v>47</v>
      </c>
      <c r="B62" s="2" t="s">
        <v>39</v>
      </c>
      <c r="C62" s="2" t="s">
        <v>14</v>
      </c>
      <c r="D62" s="2" t="s">
        <v>48</v>
      </c>
      <c r="E62" s="6" t="s">
        <v>758</v>
      </c>
      <c r="F62" s="2">
        <v>1</v>
      </c>
      <c r="G62" s="2" t="s">
        <v>759</v>
      </c>
      <c r="H62" s="2" t="s">
        <v>11</v>
      </c>
      <c r="I62" s="2" t="str">
        <f t="shared" si="0"/>
        <v>YES</v>
      </c>
      <c r="J62" s="2" t="str">
        <f>IF(I62="YES",IFERROR(VLOOKUP(E62,Scan!A:A,1,0),"Not scanned"),"")</f>
        <v>Not scanned</v>
      </c>
    </row>
    <row r="63" spans="1:10" s="2" customFormat="1" x14ac:dyDescent="0.25">
      <c r="A63" s="2" t="s">
        <v>47</v>
      </c>
      <c r="B63" s="2" t="s">
        <v>39</v>
      </c>
      <c r="C63" s="2" t="s">
        <v>14</v>
      </c>
      <c r="D63" s="2" t="s">
        <v>48</v>
      </c>
      <c r="E63" s="6" t="s">
        <v>760</v>
      </c>
      <c r="F63" s="2">
        <v>1</v>
      </c>
      <c r="G63" s="2" t="s">
        <v>761</v>
      </c>
      <c r="H63" s="2" t="s">
        <v>11</v>
      </c>
      <c r="I63" s="2" t="str">
        <f t="shared" si="0"/>
        <v>YES</v>
      </c>
      <c r="J63" s="2" t="str">
        <f>IF(I63="YES",IFERROR(VLOOKUP(E63,Scan!A:A,1,0),"Not scanned"),"")</f>
        <v>Not scanned</v>
      </c>
    </row>
    <row r="64" spans="1:10" s="2" customFormat="1" x14ac:dyDescent="0.25">
      <c r="A64" s="2" t="s">
        <v>47</v>
      </c>
      <c r="B64" s="2" t="s">
        <v>39</v>
      </c>
      <c r="C64" s="2" t="s">
        <v>14</v>
      </c>
      <c r="D64" s="2" t="s">
        <v>48</v>
      </c>
      <c r="E64" s="6" t="s">
        <v>762</v>
      </c>
      <c r="F64" s="2">
        <v>1</v>
      </c>
      <c r="G64" s="2" t="s">
        <v>763</v>
      </c>
      <c r="H64" s="2" t="s">
        <v>11</v>
      </c>
      <c r="I64" s="2" t="str">
        <f t="shared" si="0"/>
        <v>YES</v>
      </c>
      <c r="J64" s="2" t="str">
        <f>IF(I64="YES",IFERROR(VLOOKUP(E64,Scan!A:A,1,0),"Not scanned"),"")</f>
        <v>Not scanned</v>
      </c>
    </row>
    <row r="65" spans="1:10" s="2" customFormat="1" x14ac:dyDescent="0.25">
      <c r="A65" s="2" t="s">
        <v>47</v>
      </c>
      <c r="B65" s="2" t="s">
        <v>39</v>
      </c>
      <c r="C65" s="2" t="s">
        <v>14</v>
      </c>
      <c r="D65" s="2" t="s">
        <v>48</v>
      </c>
      <c r="E65" s="6" t="s">
        <v>764</v>
      </c>
      <c r="F65" s="2">
        <v>1</v>
      </c>
      <c r="G65" s="2" t="s">
        <v>765</v>
      </c>
      <c r="H65" s="2" t="s">
        <v>11</v>
      </c>
      <c r="I65" s="2" t="str">
        <f t="shared" si="0"/>
        <v>YES</v>
      </c>
      <c r="J65" s="2" t="str">
        <f>IF(I65="YES",IFERROR(VLOOKUP(E65,Scan!A:A,1,0),"Not scanned"),"")</f>
        <v>Not scanned</v>
      </c>
    </row>
    <row r="66" spans="1:10" s="2" customFormat="1" x14ac:dyDescent="0.25">
      <c r="A66" s="2" t="s">
        <v>47</v>
      </c>
      <c r="B66" s="2" t="s">
        <v>39</v>
      </c>
      <c r="C66" s="2" t="s">
        <v>14</v>
      </c>
      <c r="D66" s="2" t="s">
        <v>48</v>
      </c>
      <c r="E66" s="6" t="s">
        <v>766</v>
      </c>
      <c r="F66" s="2">
        <v>1</v>
      </c>
      <c r="G66" s="2" t="s">
        <v>767</v>
      </c>
      <c r="H66" s="2" t="s">
        <v>11</v>
      </c>
      <c r="I66" s="2" t="str">
        <f t="shared" ref="I66:I109" si="1">IF(OR(E66="",E66="_",LEFT(E66,5)="SPARE"),"NO","YES")</f>
        <v>YES</v>
      </c>
      <c r="J66" s="2" t="str">
        <f>IF(I66="YES",IFERROR(VLOOKUP(E66,Scan!A:A,1,0),"Not scanned"),"")</f>
        <v>Not scanned</v>
      </c>
    </row>
    <row r="67" spans="1:10" s="2" customFormat="1" x14ac:dyDescent="0.25">
      <c r="A67" s="2" t="s">
        <v>47</v>
      </c>
      <c r="B67" s="2" t="s">
        <v>39</v>
      </c>
      <c r="C67" s="2" t="s">
        <v>14</v>
      </c>
      <c r="D67" s="2" t="s">
        <v>48</v>
      </c>
      <c r="E67" s="6" t="s">
        <v>768</v>
      </c>
      <c r="F67" s="2">
        <v>1</v>
      </c>
      <c r="G67" s="2" t="s">
        <v>769</v>
      </c>
      <c r="H67" s="2" t="s">
        <v>11</v>
      </c>
      <c r="I67" s="2" t="str">
        <f t="shared" si="1"/>
        <v>YES</v>
      </c>
      <c r="J67" s="2" t="str">
        <f>IF(I67="YES",IFERROR(VLOOKUP(E67,Scan!A:A,1,0),"Not scanned"),"")</f>
        <v>Not scanned</v>
      </c>
    </row>
    <row r="68" spans="1:10" s="2" customFormat="1" x14ac:dyDescent="0.25">
      <c r="A68" s="2" t="s">
        <v>47</v>
      </c>
      <c r="B68" s="2" t="s">
        <v>39</v>
      </c>
      <c r="C68" s="2" t="s">
        <v>14</v>
      </c>
      <c r="D68" s="2" t="s">
        <v>48</v>
      </c>
      <c r="E68" s="6" t="s">
        <v>770</v>
      </c>
      <c r="F68" s="2">
        <v>1</v>
      </c>
      <c r="G68" s="2" t="s">
        <v>771</v>
      </c>
      <c r="H68" s="2" t="s">
        <v>11</v>
      </c>
      <c r="I68" s="2" t="str">
        <f t="shared" si="1"/>
        <v>YES</v>
      </c>
      <c r="J68" s="2" t="str">
        <f>IF(I68="YES",IFERROR(VLOOKUP(E68,Scan!A:A,1,0),"Not scanned"),"")</f>
        <v>Not scanned</v>
      </c>
    </row>
    <row r="69" spans="1:10" s="2" customFormat="1" x14ac:dyDescent="0.25">
      <c r="A69" s="2" t="s">
        <v>49</v>
      </c>
      <c r="B69" s="2" t="s">
        <v>18</v>
      </c>
      <c r="C69" s="2" t="s">
        <v>14</v>
      </c>
      <c r="D69" s="2" t="s">
        <v>50</v>
      </c>
      <c r="E69" s="6" t="s">
        <v>772</v>
      </c>
      <c r="F69" s="2">
        <v>1</v>
      </c>
      <c r="G69" s="2" t="s">
        <v>11</v>
      </c>
      <c r="H69" s="2" t="s">
        <v>11</v>
      </c>
      <c r="I69" s="2" t="str">
        <f t="shared" si="1"/>
        <v>YES</v>
      </c>
      <c r="J69" s="2" t="str">
        <f>IF(I69="YES",IFERROR(VLOOKUP(E69,Scan!A:A,1,0),"Not scanned"),"")</f>
        <v>Not scanned</v>
      </c>
    </row>
    <row r="70" spans="1:10" s="2" customFormat="1" x14ac:dyDescent="0.25">
      <c r="A70" s="2" t="s">
        <v>49</v>
      </c>
      <c r="B70" s="2" t="s">
        <v>18</v>
      </c>
      <c r="C70" s="2" t="s">
        <v>14</v>
      </c>
      <c r="D70" s="2" t="s">
        <v>50</v>
      </c>
      <c r="E70" s="6" t="s">
        <v>773</v>
      </c>
      <c r="F70" s="2">
        <v>1</v>
      </c>
      <c r="G70" s="2" t="s">
        <v>11</v>
      </c>
      <c r="H70" s="2" t="s">
        <v>11</v>
      </c>
      <c r="I70" s="2" t="str">
        <f t="shared" si="1"/>
        <v>YES</v>
      </c>
      <c r="J70" s="2" t="str">
        <f>IF(I70="YES",IFERROR(VLOOKUP(E70,Scan!A:A,1,0),"Not scanned"),"")</f>
        <v>Not scanned</v>
      </c>
    </row>
    <row r="71" spans="1:10" s="2" customFormat="1" x14ac:dyDescent="0.25">
      <c r="A71" s="2" t="s">
        <v>49</v>
      </c>
      <c r="B71" s="2" t="s">
        <v>18</v>
      </c>
      <c r="C71" s="2" t="s">
        <v>14</v>
      </c>
      <c r="D71" s="2" t="s">
        <v>50</v>
      </c>
      <c r="E71" s="6" t="s">
        <v>774</v>
      </c>
      <c r="F71" s="2">
        <v>1</v>
      </c>
      <c r="G71" s="2" t="s">
        <v>11</v>
      </c>
      <c r="H71" s="2" t="s">
        <v>11</v>
      </c>
      <c r="I71" s="2" t="str">
        <f t="shared" si="1"/>
        <v>YES</v>
      </c>
      <c r="J71" s="2" t="str">
        <f>IF(I71="YES",IFERROR(VLOOKUP(E71,Scan!A:A,1,0),"Not scanned"),"")</f>
        <v>Not scanned</v>
      </c>
    </row>
    <row r="72" spans="1:10" s="2" customFormat="1" x14ac:dyDescent="0.25">
      <c r="A72" s="2" t="s">
        <v>49</v>
      </c>
      <c r="B72" s="2" t="s">
        <v>18</v>
      </c>
      <c r="C72" s="2" t="s">
        <v>14</v>
      </c>
      <c r="D72" s="2" t="s">
        <v>50</v>
      </c>
      <c r="E72" s="6" t="s">
        <v>775</v>
      </c>
      <c r="F72" s="2">
        <v>1</v>
      </c>
      <c r="G72" s="2" t="s">
        <v>11</v>
      </c>
      <c r="H72" s="2" t="s">
        <v>11</v>
      </c>
      <c r="I72" s="2" t="str">
        <f t="shared" si="1"/>
        <v>YES</v>
      </c>
      <c r="J72" s="2" t="str">
        <f>IF(I72="YES",IFERROR(VLOOKUP(E72,Scan!A:A,1,0),"Not scanned"),"")</f>
        <v>Not scanned</v>
      </c>
    </row>
    <row r="73" spans="1:10" s="2" customFormat="1" x14ac:dyDescent="0.25">
      <c r="A73" s="2" t="s">
        <v>49</v>
      </c>
      <c r="B73" s="2" t="s">
        <v>18</v>
      </c>
      <c r="C73" s="2" t="s">
        <v>14</v>
      </c>
      <c r="D73" s="2" t="s">
        <v>50</v>
      </c>
      <c r="E73" s="6" t="s">
        <v>776</v>
      </c>
      <c r="F73" s="2">
        <v>1</v>
      </c>
      <c r="G73" s="2" t="s">
        <v>11</v>
      </c>
      <c r="H73" s="2" t="s">
        <v>11</v>
      </c>
      <c r="I73" s="2" t="str">
        <f t="shared" si="1"/>
        <v>YES</v>
      </c>
      <c r="J73" s="2" t="str">
        <f>IF(I73="YES",IFERROR(VLOOKUP(E73,Scan!A:A,1,0),"Not scanned"),"")</f>
        <v>Not scanned</v>
      </c>
    </row>
    <row r="74" spans="1:10" s="2" customFormat="1" x14ac:dyDescent="0.25">
      <c r="A74" s="2" t="s">
        <v>49</v>
      </c>
      <c r="B74" s="2" t="s">
        <v>18</v>
      </c>
      <c r="C74" s="2" t="s">
        <v>14</v>
      </c>
      <c r="D74" s="2" t="s">
        <v>50</v>
      </c>
      <c r="E74" s="6" t="s">
        <v>777</v>
      </c>
      <c r="F74" s="2">
        <v>1</v>
      </c>
      <c r="G74" s="2" t="s">
        <v>11</v>
      </c>
      <c r="H74" s="2" t="s">
        <v>11</v>
      </c>
      <c r="I74" s="2" t="str">
        <f t="shared" si="1"/>
        <v>YES</v>
      </c>
      <c r="J74" s="2" t="str">
        <f>IF(I74="YES",IFERROR(VLOOKUP(E74,Scan!A:A,1,0),"Not scanned"),"")</f>
        <v>Not scanned</v>
      </c>
    </row>
    <row r="75" spans="1:10" s="2" customFormat="1" x14ac:dyDescent="0.25">
      <c r="A75" s="2" t="s">
        <v>49</v>
      </c>
      <c r="B75" s="2" t="s">
        <v>18</v>
      </c>
      <c r="C75" s="2" t="s">
        <v>14</v>
      </c>
      <c r="D75" s="2" t="s">
        <v>50</v>
      </c>
      <c r="E75" s="6" t="s">
        <v>778</v>
      </c>
      <c r="F75" s="2">
        <v>1</v>
      </c>
      <c r="G75" s="2" t="s">
        <v>11</v>
      </c>
      <c r="H75" s="2" t="s">
        <v>11</v>
      </c>
      <c r="I75" s="2" t="str">
        <f t="shared" si="1"/>
        <v>YES</v>
      </c>
      <c r="J75" s="2" t="str">
        <f>IF(I75="YES",IFERROR(VLOOKUP(E75,Scan!A:A,1,0),"Not scanned"),"")</f>
        <v>Not scanned</v>
      </c>
    </row>
    <row r="76" spans="1:10" s="2" customFormat="1" x14ac:dyDescent="0.25">
      <c r="A76" s="2" t="s">
        <v>49</v>
      </c>
      <c r="B76" s="2" t="s">
        <v>18</v>
      </c>
      <c r="C76" s="2" t="s">
        <v>14</v>
      </c>
      <c r="D76" s="2" t="s">
        <v>50</v>
      </c>
      <c r="E76" s="6" t="s">
        <v>779</v>
      </c>
      <c r="F76" s="2">
        <v>1</v>
      </c>
      <c r="G76" s="2" t="s">
        <v>11</v>
      </c>
      <c r="H76" s="2" t="s">
        <v>11</v>
      </c>
      <c r="I76" s="2" t="str">
        <f t="shared" si="1"/>
        <v>YES</v>
      </c>
      <c r="J76" s="2" t="str">
        <f>IF(I76="YES",IFERROR(VLOOKUP(E76,Scan!A:A,1,0),"Not scanned"),"")</f>
        <v>Not scanned</v>
      </c>
    </row>
    <row r="77" spans="1:10" s="2" customFormat="1" x14ac:dyDescent="0.25">
      <c r="A77" s="2" t="s">
        <v>51</v>
      </c>
      <c r="B77" s="2" t="s">
        <v>10</v>
      </c>
      <c r="C77" s="2" t="s">
        <v>11</v>
      </c>
      <c r="D77" s="2" t="s">
        <v>11</v>
      </c>
      <c r="E77" s="6" t="s">
        <v>11</v>
      </c>
      <c r="F77" s="2">
        <v>1</v>
      </c>
      <c r="G77" s="2" t="s">
        <v>51</v>
      </c>
      <c r="H77" s="2" t="s">
        <v>11</v>
      </c>
      <c r="I77" s="2" t="str">
        <f t="shared" si="1"/>
        <v>NO</v>
      </c>
      <c r="J77" s="2" t="str">
        <f>IF(I77="YES",IFERROR(VLOOKUP(E77,Scan!A:A,1,0),"Not scanned"),"")</f>
        <v/>
      </c>
    </row>
    <row r="78" spans="1:10" s="2" customFormat="1" x14ac:dyDescent="0.25">
      <c r="A78" s="2" t="s">
        <v>52</v>
      </c>
      <c r="B78" s="2" t="s">
        <v>53</v>
      </c>
      <c r="C78" s="2" t="s">
        <v>54</v>
      </c>
      <c r="D78" s="2" t="s">
        <v>55</v>
      </c>
      <c r="E78" s="6" t="s">
        <v>780</v>
      </c>
      <c r="F78" s="2">
        <v>1</v>
      </c>
      <c r="G78" s="2" t="s">
        <v>51</v>
      </c>
      <c r="H78" s="2" t="s">
        <v>781</v>
      </c>
      <c r="I78" s="2" t="str">
        <f t="shared" si="1"/>
        <v>YES</v>
      </c>
      <c r="J78" s="2" t="str">
        <f>IF(I78="YES",IFERROR(VLOOKUP(E78,Scan!A:A,1,0),"Not scanned"),"")</f>
        <v>Not scanned</v>
      </c>
    </row>
    <row r="79" spans="1:10" s="2" customFormat="1" x14ac:dyDescent="0.25">
      <c r="A79" s="2" t="s">
        <v>57</v>
      </c>
      <c r="B79" s="2" t="s">
        <v>58</v>
      </c>
      <c r="C79" s="2" t="s">
        <v>14</v>
      </c>
      <c r="D79" s="2" t="s">
        <v>59</v>
      </c>
      <c r="E79" s="6" t="s">
        <v>782</v>
      </c>
      <c r="F79" s="2">
        <v>1</v>
      </c>
      <c r="G79" s="2" t="s">
        <v>51</v>
      </c>
      <c r="H79" s="2" t="s">
        <v>783</v>
      </c>
      <c r="I79" s="2" t="str">
        <f t="shared" si="1"/>
        <v>YES</v>
      </c>
      <c r="J79" s="2" t="str">
        <f>IF(I79="YES",IFERROR(VLOOKUP(E79,Scan!A:A,1,0),"Not scanned"),"")</f>
        <v>Not scanned</v>
      </c>
    </row>
    <row r="80" spans="1:10" s="2" customFormat="1" x14ac:dyDescent="0.25">
      <c r="A80" s="2" t="s">
        <v>784</v>
      </c>
      <c r="B80" s="2" t="s">
        <v>62</v>
      </c>
      <c r="C80" s="2" t="s">
        <v>11</v>
      </c>
      <c r="D80" s="2" t="s">
        <v>11</v>
      </c>
      <c r="E80" s="6" t="s">
        <v>11</v>
      </c>
      <c r="F80" s="2">
        <v>1</v>
      </c>
      <c r="G80" s="2" t="s">
        <v>784</v>
      </c>
      <c r="H80" s="2" t="s">
        <v>11</v>
      </c>
      <c r="I80" s="2" t="str">
        <f t="shared" si="1"/>
        <v>NO</v>
      </c>
      <c r="J80" s="2" t="str">
        <f>IF(I80="YES",IFERROR(VLOOKUP(E80,Scan!A:A,1,0),"Not scanned"),"")</f>
        <v/>
      </c>
    </row>
    <row r="81" spans="1:10" s="2" customFormat="1" x14ac:dyDescent="0.25">
      <c r="A81" s="2" t="s">
        <v>63</v>
      </c>
      <c r="B81" s="2" t="s">
        <v>64</v>
      </c>
      <c r="C81" s="2" t="s">
        <v>65</v>
      </c>
      <c r="D81" s="2" t="s">
        <v>66</v>
      </c>
      <c r="E81" s="6" t="s">
        <v>785</v>
      </c>
      <c r="F81" s="2">
        <v>1</v>
      </c>
      <c r="G81" s="2" t="s">
        <v>11</v>
      </c>
      <c r="H81" s="2" t="s">
        <v>786</v>
      </c>
      <c r="I81" s="2" t="str">
        <f t="shared" si="1"/>
        <v>YES</v>
      </c>
      <c r="J81" s="2" t="str">
        <f>IF(I81="YES",IFERROR(VLOOKUP(E81,Scan!A:A,1,0),"Not scanned"),"")</f>
        <v>Not scanned</v>
      </c>
    </row>
    <row r="82" spans="1:10" s="2" customFormat="1" x14ac:dyDescent="0.25">
      <c r="A82" s="2" t="s">
        <v>68</v>
      </c>
      <c r="B82" s="2" t="s">
        <v>69</v>
      </c>
      <c r="C82" s="2" t="s">
        <v>65</v>
      </c>
      <c r="D82" s="2" t="s">
        <v>70</v>
      </c>
      <c r="E82" s="6" t="s">
        <v>787</v>
      </c>
      <c r="F82" s="2">
        <v>1</v>
      </c>
      <c r="G82" s="2" t="s">
        <v>11</v>
      </c>
      <c r="H82" s="2" t="s">
        <v>788</v>
      </c>
      <c r="I82" s="2" t="str">
        <f t="shared" si="1"/>
        <v>YES</v>
      </c>
      <c r="J82" s="2" t="str">
        <f>IF(I82="YES",IFERROR(VLOOKUP(E82,Scan!A:A,1,0),"Not scanned"),"")</f>
        <v>Not scanned</v>
      </c>
    </row>
    <row r="83" spans="1:10" s="2" customFormat="1" x14ac:dyDescent="0.25">
      <c r="A83" s="2" t="s">
        <v>68</v>
      </c>
      <c r="B83" s="2" t="s">
        <v>69</v>
      </c>
      <c r="C83" s="2" t="s">
        <v>65</v>
      </c>
      <c r="D83" s="2" t="s">
        <v>70</v>
      </c>
      <c r="E83" s="6" t="s">
        <v>789</v>
      </c>
      <c r="F83" s="2">
        <v>1</v>
      </c>
      <c r="G83" s="2" t="s">
        <v>11</v>
      </c>
      <c r="H83" s="2" t="s">
        <v>790</v>
      </c>
      <c r="I83" s="2" t="str">
        <f t="shared" si="1"/>
        <v>YES</v>
      </c>
      <c r="J83" s="2" t="str">
        <f>IF(I83="YES",IFERROR(VLOOKUP(E83,Scan!A:A,1,0),"Not scanned"),"")</f>
        <v>Not scanned</v>
      </c>
    </row>
    <row r="84" spans="1:10" s="2" customFormat="1" x14ac:dyDescent="0.25">
      <c r="A84" s="2" t="s">
        <v>63</v>
      </c>
      <c r="B84" s="2" t="s">
        <v>64</v>
      </c>
      <c r="C84" s="2" t="s">
        <v>65</v>
      </c>
      <c r="D84" s="2" t="s">
        <v>66</v>
      </c>
      <c r="E84" s="6" t="s">
        <v>791</v>
      </c>
      <c r="F84" s="2">
        <v>1</v>
      </c>
      <c r="G84" s="2" t="s">
        <v>11</v>
      </c>
      <c r="H84" s="2" t="s">
        <v>792</v>
      </c>
      <c r="I84" s="2" t="str">
        <f t="shared" si="1"/>
        <v>YES</v>
      </c>
      <c r="J84" s="2" t="str">
        <f>IF(I84="YES",IFERROR(VLOOKUP(E84,Scan!A:A,1,0),"Not scanned"),"")</f>
        <v>Not scanned</v>
      </c>
    </row>
    <row r="85" spans="1:10" s="2" customFormat="1" x14ac:dyDescent="0.25">
      <c r="A85" s="2" t="s">
        <v>68</v>
      </c>
      <c r="B85" s="2" t="s">
        <v>69</v>
      </c>
      <c r="C85" s="2" t="s">
        <v>65</v>
      </c>
      <c r="D85" s="2" t="s">
        <v>70</v>
      </c>
      <c r="E85" s="6" t="s">
        <v>793</v>
      </c>
      <c r="F85" s="2">
        <v>1</v>
      </c>
      <c r="G85" s="2" t="s">
        <v>11</v>
      </c>
      <c r="H85" s="2" t="s">
        <v>794</v>
      </c>
      <c r="I85" s="2" t="str">
        <f t="shared" si="1"/>
        <v>YES</v>
      </c>
      <c r="J85" s="2" t="str">
        <f>IF(I85="YES",IFERROR(VLOOKUP(E85,Scan!A:A,1,0),"Not scanned"),"")</f>
        <v>Not scanned</v>
      </c>
    </row>
    <row r="86" spans="1:10" s="2" customFormat="1" x14ac:dyDescent="0.25">
      <c r="A86" s="2" t="s">
        <v>68</v>
      </c>
      <c r="B86" s="2" t="s">
        <v>69</v>
      </c>
      <c r="C86" s="2" t="s">
        <v>65</v>
      </c>
      <c r="D86" s="2" t="s">
        <v>70</v>
      </c>
      <c r="E86" s="6" t="s">
        <v>795</v>
      </c>
      <c r="F86" s="2">
        <v>1</v>
      </c>
      <c r="G86" s="2" t="s">
        <v>11</v>
      </c>
      <c r="H86" s="2" t="s">
        <v>796</v>
      </c>
      <c r="I86" s="2" t="str">
        <f t="shared" si="1"/>
        <v>YES</v>
      </c>
      <c r="J86" s="2" t="str">
        <f>IF(I86="YES",IFERROR(VLOOKUP(E86,Scan!A:A,1,0),"Not scanned"),"")</f>
        <v>Not scanned</v>
      </c>
    </row>
    <row r="87" spans="1:10" s="2" customFormat="1" x14ac:dyDescent="0.25">
      <c r="A87" s="2" t="s">
        <v>797</v>
      </c>
      <c r="B87" s="2" t="s">
        <v>77</v>
      </c>
      <c r="C87" s="2" t="s">
        <v>11</v>
      </c>
      <c r="D87" s="2" t="s">
        <v>11</v>
      </c>
      <c r="E87" s="6" t="s">
        <v>11</v>
      </c>
      <c r="F87" s="2">
        <v>1</v>
      </c>
      <c r="G87" s="2" t="s">
        <v>797</v>
      </c>
      <c r="H87" s="2" t="s">
        <v>11</v>
      </c>
      <c r="I87" s="2" t="str">
        <f t="shared" si="1"/>
        <v>NO</v>
      </c>
      <c r="J87" s="2" t="str">
        <f>IF(I87="YES",IFERROR(VLOOKUP(E87,Scan!A:A,1,0),"Not scanned"),"")</f>
        <v/>
      </c>
    </row>
    <row r="88" spans="1:10" s="2" customFormat="1" x14ac:dyDescent="0.25">
      <c r="A88" s="2" t="s">
        <v>63</v>
      </c>
      <c r="B88" s="2" t="s">
        <v>64</v>
      </c>
      <c r="C88" s="2" t="s">
        <v>65</v>
      </c>
      <c r="D88" s="2" t="s">
        <v>66</v>
      </c>
      <c r="E88" s="6" t="s">
        <v>798</v>
      </c>
      <c r="F88" s="2">
        <v>1</v>
      </c>
      <c r="G88" s="2" t="s">
        <v>11</v>
      </c>
      <c r="H88" s="2" t="s">
        <v>799</v>
      </c>
      <c r="I88" s="2" t="str">
        <f t="shared" si="1"/>
        <v>YES</v>
      </c>
      <c r="J88" s="2" t="str">
        <f>IF(I88="YES",IFERROR(VLOOKUP(E88,Scan!A:A,1,0),"Not scanned"),"")</f>
        <v>Not scanned</v>
      </c>
    </row>
    <row r="89" spans="1:10" s="2" customFormat="1" x14ac:dyDescent="0.25">
      <c r="A89" s="2" t="s">
        <v>68</v>
      </c>
      <c r="B89" s="2" t="s">
        <v>69</v>
      </c>
      <c r="C89" s="2" t="s">
        <v>65</v>
      </c>
      <c r="D89" s="2" t="s">
        <v>70</v>
      </c>
      <c r="E89" s="6" t="s">
        <v>800</v>
      </c>
      <c r="F89" s="2">
        <v>1</v>
      </c>
      <c r="G89" s="2" t="s">
        <v>11</v>
      </c>
      <c r="H89" s="2" t="s">
        <v>801</v>
      </c>
      <c r="I89" s="2" t="str">
        <f t="shared" si="1"/>
        <v>YES</v>
      </c>
      <c r="J89" s="2" t="str">
        <f>IF(I89="YES",IFERROR(VLOOKUP(E89,Scan!A:A,1,0),"Not scanned"),"")</f>
        <v>Not scanned</v>
      </c>
    </row>
    <row r="90" spans="1:10" s="2" customFormat="1" x14ac:dyDescent="0.25">
      <c r="A90" s="2" t="s">
        <v>68</v>
      </c>
      <c r="B90" s="2" t="s">
        <v>69</v>
      </c>
      <c r="C90" s="2" t="s">
        <v>65</v>
      </c>
      <c r="D90" s="2" t="s">
        <v>70</v>
      </c>
      <c r="E90" s="6" t="s">
        <v>802</v>
      </c>
      <c r="F90" s="2">
        <v>1</v>
      </c>
      <c r="G90" s="2" t="s">
        <v>11</v>
      </c>
      <c r="H90" s="2" t="s">
        <v>803</v>
      </c>
      <c r="I90" s="2" t="str">
        <f t="shared" si="1"/>
        <v>YES</v>
      </c>
      <c r="J90" s="2" t="str">
        <f>IF(I90="YES",IFERROR(VLOOKUP(E90,Scan!A:A,1,0),"Not scanned"),"")</f>
        <v>Not scanned</v>
      </c>
    </row>
    <row r="91" spans="1:10" s="2" customFormat="1" x14ac:dyDescent="0.25">
      <c r="A91" s="2" t="s">
        <v>63</v>
      </c>
      <c r="B91" s="2" t="s">
        <v>64</v>
      </c>
      <c r="C91" s="2" t="s">
        <v>65</v>
      </c>
      <c r="D91" s="2" t="s">
        <v>66</v>
      </c>
      <c r="E91" s="6" t="s">
        <v>804</v>
      </c>
      <c r="F91" s="2">
        <v>1</v>
      </c>
      <c r="G91" s="2" t="s">
        <v>11</v>
      </c>
      <c r="H91" s="2" t="s">
        <v>805</v>
      </c>
      <c r="I91" s="2" t="str">
        <f t="shared" si="1"/>
        <v>YES</v>
      </c>
      <c r="J91" s="2" t="str">
        <f>IF(I91="YES",IFERROR(VLOOKUP(E91,Scan!A:A,1,0),"Not scanned"),"")</f>
        <v>Not scanned</v>
      </c>
    </row>
    <row r="92" spans="1:10" s="2" customFormat="1" x14ac:dyDescent="0.25">
      <c r="A92" s="2" t="s">
        <v>68</v>
      </c>
      <c r="B92" s="2" t="s">
        <v>69</v>
      </c>
      <c r="C92" s="2" t="s">
        <v>65</v>
      </c>
      <c r="D92" s="2" t="s">
        <v>70</v>
      </c>
      <c r="E92" s="6" t="s">
        <v>806</v>
      </c>
      <c r="F92" s="2">
        <v>1</v>
      </c>
      <c r="G92" s="2" t="s">
        <v>11</v>
      </c>
      <c r="H92" s="2" t="s">
        <v>807</v>
      </c>
      <c r="I92" s="2" t="str">
        <f t="shared" si="1"/>
        <v>YES</v>
      </c>
      <c r="J92" s="2" t="str">
        <f>IF(I92="YES",IFERROR(VLOOKUP(E92,Scan!A:A,1,0),"Not scanned"),"")</f>
        <v>Not scanned</v>
      </c>
    </row>
    <row r="93" spans="1:10" s="2" customFormat="1" x14ac:dyDescent="0.25">
      <c r="A93" s="2" t="s">
        <v>68</v>
      </c>
      <c r="B93" s="2" t="s">
        <v>69</v>
      </c>
      <c r="C93" s="2" t="s">
        <v>65</v>
      </c>
      <c r="D93" s="2" t="s">
        <v>70</v>
      </c>
      <c r="E93" s="6" t="s">
        <v>808</v>
      </c>
      <c r="F93" s="2">
        <v>1</v>
      </c>
      <c r="G93" s="2" t="s">
        <v>11</v>
      </c>
      <c r="H93" s="2" t="s">
        <v>809</v>
      </c>
      <c r="I93" s="2" t="str">
        <f t="shared" si="1"/>
        <v>YES</v>
      </c>
      <c r="J93" s="2" t="str">
        <f>IF(I93="YES",IFERROR(VLOOKUP(E93,Scan!A:A,1,0),"Not scanned"),"")</f>
        <v>Not scanned</v>
      </c>
    </row>
    <row r="94" spans="1:10" s="2" customFormat="1" x14ac:dyDescent="0.25">
      <c r="A94" s="2" t="s">
        <v>810</v>
      </c>
      <c r="B94" s="2" t="s">
        <v>85</v>
      </c>
      <c r="C94" s="2" t="s">
        <v>11</v>
      </c>
      <c r="D94" s="2" t="s">
        <v>11</v>
      </c>
      <c r="E94" s="6" t="s">
        <v>11</v>
      </c>
      <c r="F94" s="2">
        <v>1</v>
      </c>
      <c r="G94" s="2" t="s">
        <v>810</v>
      </c>
      <c r="H94" s="2" t="s">
        <v>11</v>
      </c>
      <c r="I94" s="2" t="str">
        <f t="shared" si="1"/>
        <v>NO</v>
      </c>
      <c r="J94" s="2" t="str">
        <f>IF(I94="YES",IFERROR(VLOOKUP(E94,Scan!A:A,1,0),"Not scanned"),"")</f>
        <v/>
      </c>
    </row>
    <row r="95" spans="1:10" s="2" customFormat="1" x14ac:dyDescent="0.25">
      <c r="A95" s="2" t="s">
        <v>63</v>
      </c>
      <c r="B95" s="2" t="s">
        <v>64</v>
      </c>
      <c r="C95" s="2" t="s">
        <v>65</v>
      </c>
      <c r="D95" s="2" t="s">
        <v>66</v>
      </c>
      <c r="E95" s="6" t="s">
        <v>811</v>
      </c>
      <c r="F95" s="2">
        <v>1</v>
      </c>
      <c r="G95" s="2" t="s">
        <v>11</v>
      </c>
      <c r="H95" s="2" t="s">
        <v>812</v>
      </c>
      <c r="I95" s="2" t="str">
        <f t="shared" si="1"/>
        <v>YES</v>
      </c>
      <c r="J95" s="2" t="str">
        <f>IF(I95="YES",IFERROR(VLOOKUP(E95,Scan!A:A,1,0),"Not scanned"),"")</f>
        <v>Not scanned</v>
      </c>
    </row>
    <row r="96" spans="1:10" s="2" customFormat="1" x14ac:dyDescent="0.25">
      <c r="A96" s="2" t="s">
        <v>68</v>
      </c>
      <c r="B96" s="2" t="s">
        <v>69</v>
      </c>
      <c r="C96" s="2" t="s">
        <v>65</v>
      </c>
      <c r="D96" s="2" t="s">
        <v>70</v>
      </c>
      <c r="E96" s="6" t="s">
        <v>813</v>
      </c>
      <c r="F96" s="2">
        <v>1</v>
      </c>
      <c r="G96" s="2" t="s">
        <v>11</v>
      </c>
      <c r="H96" s="2" t="s">
        <v>814</v>
      </c>
      <c r="I96" s="2" t="str">
        <f t="shared" si="1"/>
        <v>YES</v>
      </c>
      <c r="J96" s="2" t="str">
        <f>IF(I96="YES",IFERROR(VLOOKUP(E96,Scan!A:A,1,0),"Not scanned"),"")</f>
        <v>Not scanned</v>
      </c>
    </row>
    <row r="97" spans="1:10" s="2" customFormat="1" x14ac:dyDescent="0.25">
      <c r="A97" s="2" t="s">
        <v>68</v>
      </c>
      <c r="B97" s="2" t="s">
        <v>69</v>
      </c>
      <c r="C97" s="2" t="s">
        <v>65</v>
      </c>
      <c r="D97" s="2" t="s">
        <v>70</v>
      </c>
      <c r="E97" s="6" t="s">
        <v>815</v>
      </c>
      <c r="F97" s="2">
        <v>1</v>
      </c>
      <c r="G97" s="2" t="s">
        <v>11</v>
      </c>
      <c r="H97" s="2" t="s">
        <v>816</v>
      </c>
      <c r="I97" s="2" t="str">
        <f t="shared" si="1"/>
        <v>YES</v>
      </c>
      <c r="J97" s="2" t="str">
        <f>IF(I97="YES",IFERROR(VLOOKUP(E97,Scan!A:A,1,0),"Not scanned"),"")</f>
        <v>Not scanned</v>
      </c>
    </row>
    <row r="98" spans="1:10" s="2" customFormat="1" x14ac:dyDescent="0.25">
      <c r="A98" s="2" t="s">
        <v>63</v>
      </c>
      <c r="B98" s="2" t="s">
        <v>64</v>
      </c>
      <c r="C98" s="2" t="s">
        <v>65</v>
      </c>
      <c r="D98" s="2" t="s">
        <v>66</v>
      </c>
      <c r="E98" s="6" t="s">
        <v>817</v>
      </c>
      <c r="F98" s="2">
        <v>1</v>
      </c>
      <c r="G98" s="2" t="s">
        <v>11</v>
      </c>
      <c r="H98" s="2" t="s">
        <v>818</v>
      </c>
      <c r="I98" s="2" t="str">
        <f t="shared" si="1"/>
        <v>YES</v>
      </c>
      <c r="J98" s="2" t="str">
        <f>IF(I98="YES",IFERROR(VLOOKUP(E98,Scan!A:A,1,0),"Not scanned"),"")</f>
        <v>Not scanned</v>
      </c>
    </row>
    <row r="99" spans="1:10" s="2" customFormat="1" x14ac:dyDescent="0.25">
      <c r="A99" s="2" t="s">
        <v>68</v>
      </c>
      <c r="B99" s="2" t="s">
        <v>69</v>
      </c>
      <c r="C99" s="2" t="s">
        <v>65</v>
      </c>
      <c r="D99" s="2" t="s">
        <v>70</v>
      </c>
      <c r="E99" s="6" t="s">
        <v>819</v>
      </c>
      <c r="F99" s="2">
        <v>1</v>
      </c>
      <c r="G99" s="2" t="s">
        <v>11</v>
      </c>
      <c r="H99" s="2" t="s">
        <v>820</v>
      </c>
      <c r="I99" s="2" t="str">
        <f t="shared" si="1"/>
        <v>YES</v>
      </c>
      <c r="J99" s="2" t="str">
        <f>IF(I99="YES",IFERROR(VLOOKUP(E99,Scan!A:A,1,0),"Not scanned"),"")</f>
        <v>Not scanned</v>
      </c>
    </row>
    <row r="100" spans="1:10" s="2" customFormat="1" x14ac:dyDescent="0.25">
      <c r="A100" s="2" t="s">
        <v>68</v>
      </c>
      <c r="B100" s="2" t="s">
        <v>69</v>
      </c>
      <c r="C100" s="2" t="s">
        <v>65</v>
      </c>
      <c r="D100" s="2" t="s">
        <v>70</v>
      </c>
      <c r="E100" s="6" t="s">
        <v>821</v>
      </c>
      <c r="F100" s="2">
        <v>1</v>
      </c>
      <c r="G100" s="2" t="s">
        <v>11</v>
      </c>
      <c r="H100" s="2" t="s">
        <v>822</v>
      </c>
      <c r="I100" s="2" t="str">
        <f t="shared" si="1"/>
        <v>YES</v>
      </c>
      <c r="J100" s="2" t="str">
        <f>IF(I100="YES",IFERROR(VLOOKUP(E100,Scan!A:A,1,0),"Not scanned"),"")</f>
        <v>Not scanned</v>
      </c>
    </row>
    <row r="101" spans="1:10" s="2" customFormat="1" x14ac:dyDescent="0.25">
      <c r="A101" s="2" t="s">
        <v>823</v>
      </c>
      <c r="B101" s="2" t="s">
        <v>93</v>
      </c>
      <c r="C101" s="2" t="s">
        <v>11</v>
      </c>
      <c r="D101" s="2" t="s">
        <v>11</v>
      </c>
      <c r="E101" s="6" t="s">
        <v>11</v>
      </c>
      <c r="F101" s="2">
        <v>1</v>
      </c>
      <c r="G101" s="2" t="s">
        <v>823</v>
      </c>
      <c r="H101" s="2" t="s">
        <v>11</v>
      </c>
      <c r="I101" s="2" t="str">
        <f t="shared" si="1"/>
        <v>NO</v>
      </c>
      <c r="J101" s="2" t="str">
        <f>IF(I101="YES",IFERROR(VLOOKUP(E101,Scan!A:A,1,0),"Not scanned"),"")</f>
        <v/>
      </c>
    </row>
    <row r="102" spans="1:10" s="2" customFormat="1" x14ac:dyDescent="0.25">
      <c r="A102" s="2" t="s">
        <v>63</v>
      </c>
      <c r="B102" s="2" t="s">
        <v>64</v>
      </c>
      <c r="C102" s="2" t="s">
        <v>65</v>
      </c>
      <c r="D102" s="2" t="s">
        <v>66</v>
      </c>
      <c r="E102" s="6" t="s">
        <v>824</v>
      </c>
      <c r="F102" s="2">
        <v>1</v>
      </c>
      <c r="G102" s="2" t="s">
        <v>11</v>
      </c>
      <c r="H102" s="2" t="s">
        <v>825</v>
      </c>
      <c r="I102" s="2" t="str">
        <f t="shared" si="1"/>
        <v>YES</v>
      </c>
      <c r="J102" s="2" t="str">
        <f>IF(I102="YES",IFERROR(VLOOKUP(E102,Scan!A:A,1,0),"Not scanned"),"")</f>
        <v>Not scanned</v>
      </c>
    </row>
    <row r="103" spans="1:10" s="2" customFormat="1" x14ac:dyDescent="0.25">
      <c r="A103" s="2" t="s">
        <v>219</v>
      </c>
      <c r="B103" s="2" t="s">
        <v>69</v>
      </c>
      <c r="C103" s="2" t="s">
        <v>65</v>
      </c>
      <c r="D103" s="2" t="s">
        <v>220</v>
      </c>
      <c r="E103" s="6" t="s">
        <v>826</v>
      </c>
      <c r="F103" s="2">
        <v>1</v>
      </c>
      <c r="G103" s="2" t="s">
        <v>11</v>
      </c>
      <c r="H103" s="2" t="s">
        <v>827</v>
      </c>
      <c r="I103" s="2" t="str">
        <f t="shared" si="1"/>
        <v>YES</v>
      </c>
      <c r="J103" s="2" t="str">
        <f>IF(I103="YES",IFERROR(VLOOKUP(E103,Scan!A:A,1,0),"Not scanned"),"")</f>
        <v>Not scanned</v>
      </c>
    </row>
    <row r="104" spans="1:10" s="2" customFormat="1" x14ac:dyDescent="0.25">
      <c r="A104" s="2" t="s">
        <v>219</v>
      </c>
      <c r="B104" s="2" t="s">
        <v>69</v>
      </c>
      <c r="C104" s="2" t="s">
        <v>65</v>
      </c>
      <c r="D104" s="2" t="s">
        <v>220</v>
      </c>
      <c r="E104" s="6" t="s">
        <v>828</v>
      </c>
      <c r="F104" s="2">
        <v>1</v>
      </c>
      <c r="G104" s="2" t="s">
        <v>11</v>
      </c>
      <c r="H104" s="2" t="s">
        <v>829</v>
      </c>
      <c r="I104" s="2" t="str">
        <f t="shared" si="1"/>
        <v>YES</v>
      </c>
      <c r="J104" s="2" t="str">
        <f>IF(I104="YES",IFERROR(VLOOKUP(E104,Scan!A:A,1,0),"Not scanned"),"")</f>
        <v>Not scanned</v>
      </c>
    </row>
    <row r="105" spans="1:10" s="2" customFormat="1" x14ac:dyDescent="0.25">
      <c r="A105" s="2" t="s">
        <v>830</v>
      </c>
      <c r="B105" s="2" t="s">
        <v>98</v>
      </c>
      <c r="C105" s="2" t="s">
        <v>11</v>
      </c>
      <c r="D105" s="2" t="s">
        <v>11</v>
      </c>
      <c r="E105" s="6" t="s">
        <v>11</v>
      </c>
      <c r="F105" s="2">
        <v>1</v>
      </c>
      <c r="G105" s="2" t="s">
        <v>830</v>
      </c>
      <c r="H105" s="2" t="s">
        <v>11</v>
      </c>
      <c r="I105" s="2" t="str">
        <f t="shared" si="1"/>
        <v>NO</v>
      </c>
      <c r="J105" s="2" t="str">
        <f>IF(I105="YES",IFERROR(VLOOKUP(E105,Scan!A:A,1,0),"Not scanned"),"")</f>
        <v/>
      </c>
    </row>
    <row r="106" spans="1:10" s="2" customFormat="1" x14ac:dyDescent="0.25">
      <c r="A106" s="2" t="s">
        <v>63</v>
      </c>
      <c r="B106" s="2" t="s">
        <v>64</v>
      </c>
      <c r="C106" s="2" t="s">
        <v>65</v>
      </c>
      <c r="D106" s="2" t="s">
        <v>66</v>
      </c>
      <c r="E106" s="6" t="s">
        <v>831</v>
      </c>
      <c r="F106" s="2">
        <v>1</v>
      </c>
      <c r="G106" s="2" t="s">
        <v>11</v>
      </c>
      <c r="H106" s="2" t="s">
        <v>832</v>
      </c>
      <c r="I106" s="2" t="str">
        <f t="shared" si="1"/>
        <v>YES</v>
      </c>
      <c r="J106" s="2" t="str">
        <f>IF(I106="YES",IFERROR(VLOOKUP(E106,Scan!A:A,1,0),"Not scanned"),"")</f>
        <v>Not scanned</v>
      </c>
    </row>
    <row r="107" spans="1:10" s="2" customFormat="1" x14ac:dyDescent="0.25">
      <c r="A107" s="2" t="s">
        <v>68</v>
      </c>
      <c r="B107" s="2" t="s">
        <v>69</v>
      </c>
      <c r="C107" s="2" t="s">
        <v>65</v>
      </c>
      <c r="D107" s="2" t="s">
        <v>70</v>
      </c>
      <c r="E107" s="6" t="s">
        <v>833</v>
      </c>
      <c r="F107" s="2">
        <v>1</v>
      </c>
      <c r="G107" s="2" t="s">
        <v>11</v>
      </c>
      <c r="H107" s="2" t="s">
        <v>834</v>
      </c>
      <c r="I107" s="2" t="str">
        <f t="shared" si="1"/>
        <v>YES</v>
      </c>
      <c r="J107" s="2" t="str">
        <f>IF(I107="YES",IFERROR(VLOOKUP(E107,Scan!A:A,1,0),"Not scanned"),"")</f>
        <v>Not scanned</v>
      </c>
    </row>
    <row r="108" spans="1:10" s="2" customFormat="1" x14ac:dyDescent="0.25">
      <c r="A108" s="2" t="s">
        <v>68</v>
      </c>
      <c r="B108" s="2" t="s">
        <v>69</v>
      </c>
      <c r="C108" s="2" t="s">
        <v>65</v>
      </c>
      <c r="D108" s="2" t="s">
        <v>70</v>
      </c>
      <c r="E108" s="6" t="s">
        <v>835</v>
      </c>
      <c r="F108" s="2">
        <v>1</v>
      </c>
      <c r="G108" s="2" t="s">
        <v>11</v>
      </c>
      <c r="H108" s="2" t="s">
        <v>836</v>
      </c>
      <c r="I108" s="2" t="str">
        <f t="shared" si="1"/>
        <v>YES</v>
      </c>
      <c r="J108" s="2" t="str">
        <f>IF(I108="YES",IFERROR(VLOOKUP(E108,Scan!A:A,1,0),"Not scanned"),"")</f>
        <v>Not scanned</v>
      </c>
    </row>
    <row r="109" spans="1:10" s="2" customFormat="1" x14ac:dyDescent="0.25">
      <c r="A109" s="2" t="s">
        <v>219</v>
      </c>
      <c r="B109" s="2" t="s">
        <v>69</v>
      </c>
      <c r="C109" s="2" t="s">
        <v>65</v>
      </c>
      <c r="D109" s="2" t="s">
        <v>220</v>
      </c>
      <c r="E109" s="6" t="s">
        <v>837</v>
      </c>
      <c r="F109" s="2">
        <v>1</v>
      </c>
      <c r="G109" s="2" t="s">
        <v>11</v>
      </c>
      <c r="H109" s="2" t="s">
        <v>838</v>
      </c>
      <c r="I109" s="2" t="str">
        <f t="shared" si="1"/>
        <v>YES</v>
      </c>
      <c r="J109" s="2" t="str">
        <f>IF(I109="YES",IFERROR(VLOOKUP(E109,Scan!A:A,1,0),"Not scanned"),"")</f>
        <v>Not scanned</v>
      </c>
    </row>
    <row r="110" spans="1:10" s="2" customFormat="1" x14ac:dyDescent="0.25">
      <c r="E110" s="6"/>
      <c r="I110" s="2" t="str">
        <f t="shared" ref="I67:I130" si="2">IF(OR(E110="",E110="_",LEFT(E110,5)="SPARE"),"NO","YES")</f>
        <v>NO</v>
      </c>
      <c r="J110" s="2" t="str">
        <f>IF(I110="YES",IFERROR(VLOOKUP(E110,Scan!A:A,1,0),"Not scanned"),"")</f>
        <v/>
      </c>
    </row>
    <row r="111" spans="1:10" s="2" customFormat="1" x14ac:dyDescent="0.25">
      <c r="E111" s="6"/>
      <c r="I111" s="2" t="str">
        <f t="shared" si="2"/>
        <v>NO</v>
      </c>
      <c r="J111" s="2" t="str">
        <f>IF(I111="YES",IFERROR(VLOOKUP(E111,Scan!A:A,1,0),"Not scanned"),"")</f>
        <v/>
      </c>
    </row>
    <row r="112" spans="1:10" s="2" customFormat="1" x14ac:dyDescent="0.25">
      <c r="E112" s="6"/>
      <c r="I112" s="2" t="str">
        <f t="shared" si="2"/>
        <v>NO</v>
      </c>
      <c r="J112" s="2" t="str">
        <f>IF(I112="YES",IFERROR(VLOOKUP(E112,Scan!A:A,1,0),"Not scanned"),"")</f>
        <v/>
      </c>
    </row>
    <row r="113" spans="5:10" s="2" customFormat="1" x14ac:dyDescent="0.25">
      <c r="E113" s="6"/>
      <c r="I113" s="2" t="str">
        <f t="shared" si="2"/>
        <v>NO</v>
      </c>
      <c r="J113" s="2" t="str">
        <f>IF(I113="YES",IFERROR(VLOOKUP(E113,Scan!A:A,1,0),"Not scanned"),"")</f>
        <v/>
      </c>
    </row>
    <row r="114" spans="5:10" s="2" customFormat="1" x14ac:dyDescent="0.25">
      <c r="E114" s="6"/>
      <c r="I114" s="2" t="str">
        <f t="shared" si="2"/>
        <v>NO</v>
      </c>
      <c r="J114" s="2" t="str">
        <f>IF(I114="YES",IFERROR(VLOOKUP(E114,Scan!A:A,1,0),"Not scanned"),"")</f>
        <v/>
      </c>
    </row>
    <row r="115" spans="5:10" s="2" customFormat="1" x14ac:dyDescent="0.25">
      <c r="E115" s="6"/>
      <c r="I115" s="2" t="str">
        <f t="shared" si="2"/>
        <v>NO</v>
      </c>
      <c r="J115" s="2" t="str">
        <f>IF(I115="YES",IFERROR(VLOOKUP(E115,Scan!A:A,1,0),"Not scanned"),"")</f>
        <v/>
      </c>
    </row>
    <row r="116" spans="5:10" s="2" customFormat="1" x14ac:dyDescent="0.25">
      <c r="E116" s="6"/>
      <c r="I116" s="2" t="str">
        <f t="shared" si="2"/>
        <v>NO</v>
      </c>
      <c r="J116" s="2" t="str">
        <f>IF(I116="YES",IFERROR(VLOOKUP(E116,Scan!A:A,1,0),"Not scanned"),"")</f>
        <v/>
      </c>
    </row>
    <row r="117" spans="5:10" s="2" customFormat="1" x14ac:dyDescent="0.25">
      <c r="E117" s="6"/>
      <c r="I117" s="2" t="str">
        <f t="shared" si="2"/>
        <v>NO</v>
      </c>
      <c r="J117" s="2" t="str">
        <f>IF(I117="YES",IFERROR(VLOOKUP(E117,Scan!A:A,1,0),"Not scanned"),"")</f>
        <v/>
      </c>
    </row>
    <row r="118" spans="5:10" s="2" customFormat="1" x14ac:dyDescent="0.25">
      <c r="E118" s="6"/>
      <c r="I118" s="2" t="str">
        <f t="shared" si="2"/>
        <v>NO</v>
      </c>
      <c r="J118" s="2" t="str">
        <f>IF(I118="YES",IFERROR(VLOOKUP(E118,Scan!A:A,1,0),"Not scanned"),"")</f>
        <v/>
      </c>
    </row>
    <row r="119" spans="5:10" s="2" customFormat="1" x14ac:dyDescent="0.25">
      <c r="E119" s="6"/>
      <c r="I119" s="2" t="str">
        <f t="shared" si="2"/>
        <v>NO</v>
      </c>
      <c r="J119" s="2" t="str">
        <f>IF(I119="YES",IFERROR(VLOOKUP(E119,Scan!A:A,1,0),"Not scanned"),"")</f>
        <v/>
      </c>
    </row>
    <row r="120" spans="5:10" s="2" customFormat="1" x14ac:dyDescent="0.25">
      <c r="E120" s="6"/>
      <c r="I120" s="2" t="str">
        <f t="shared" si="2"/>
        <v>NO</v>
      </c>
      <c r="J120" s="2" t="str">
        <f>IF(I120="YES",IFERROR(VLOOKUP(E120,Scan!A:A,1,0),"Not scanned"),"")</f>
        <v/>
      </c>
    </row>
    <row r="121" spans="5:10" s="2" customFormat="1" x14ac:dyDescent="0.25">
      <c r="E121" s="6"/>
      <c r="I121" s="2" t="str">
        <f t="shared" si="2"/>
        <v>NO</v>
      </c>
      <c r="J121" s="2" t="str">
        <f>IF(I121="YES",IFERROR(VLOOKUP(E121,Scan!A:A,1,0),"Not scanned"),"")</f>
        <v/>
      </c>
    </row>
    <row r="122" spans="5:10" s="2" customFormat="1" x14ac:dyDescent="0.25">
      <c r="E122" s="6"/>
      <c r="I122" s="2" t="str">
        <f t="shared" si="2"/>
        <v>NO</v>
      </c>
      <c r="J122" s="2" t="str">
        <f>IF(I122="YES",IFERROR(VLOOKUP(E122,Scan!A:A,1,0),"Not scanned"),"")</f>
        <v/>
      </c>
    </row>
    <row r="123" spans="5:10" s="2" customFormat="1" x14ac:dyDescent="0.25">
      <c r="E123" s="6"/>
      <c r="I123" s="2" t="str">
        <f t="shared" si="2"/>
        <v>NO</v>
      </c>
      <c r="J123" s="2" t="str">
        <f>IF(I123="YES",IFERROR(VLOOKUP(E123,Scan!A:A,1,0),"Not scanned"),"")</f>
        <v/>
      </c>
    </row>
    <row r="124" spans="5:10" s="2" customFormat="1" x14ac:dyDescent="0.25">
      <c r="E124" s="6"/>
      <c r="I124" s="2" t="str">
        <f t="shared" si="2"/>
        <v>NO</v>
      </c>
      <c r="J124" s="2" t="str">
        <f>IF(I124="YES",IFERROR(VLOOKUP(E124,Scan!A:A,1,0),"Not scanned"),"")</f>
        <v/>
      </c>
    </row>
    <row r="125" spans="5:10" s="2" customFormat="1" x14ac:dyDescent="0.25">
      <c r="E125" s="6"/>
      <c r="I125" s="2" t="str">
        <f t="shared" si="2"/>
        <v>NO</v>
      </c>
      <c r="J125" s="2" t="str">
        <f>IF(I125="YES",IFERROR(VLOOKUP(E125,Scan!A:A,1,0),"Not scanned"),"")</f>
        <v/>
      </c>
    </row>
    <row r="126" spans="5:10" s="2" customFormat="1" x14ac:dyDescent="0.25">
      <c r="E126" s="6"/>
      <c r="I126" s="2" t="str">
        <f t="shared" si="2"/>
        <v>NO</v>
      </c>
      <c r="J126" s="2" t="str">
        <f>IF(I126="YES",IFERROR(VLOOKUP(E126,Scan!A:A,1,0),"Not scanned"),"")</f>
        <v/>
      </c>
    </row>
    <row r="127" spans="5:10" s="2" customFormat="1" x14ac:dyDescent="0.25">
      <c r="E127" s="6"/>
      <c r="I127" s="2" t="str">
        <f t="shared" si="2"/>
        <v>NO</v>
      </c>
      <c r="J127" s="2" t="str">
        <f>IF(I127="YES",IFERROR(VLOOKUP(E127,Scan!A:A,1,0),"Not scanned"),"")</f>
        <v/>
      </c>
    </row>
    <row r="128" spans="5:10" s="2" customFormat="1" x14ac:dyDescent="0.25">
      <c r="E128" s="6"/>
      <c r="I128" s="2" t="str">
        <f t="shared" si="2"/>
        <v>NO</v>
      </c>
      <c r="J128" s="2" t="str">
        <f>IF(I128="YES",IFERROR(VLOOKUP(E128,Scan!A:A,1,0),"Not scanned"),"")</f>
        <v/>
      </c>
    </row>
    <row r="129" spans="5:10" s="2" customFormat="1" x14ac:dyDescent="0.25">
      <c r="E129" s="6"/>
      <c r="I129" s="2" t="str">
        <f t="shared" si="2"/>
        <v>NO</v>
      </c>
      <c r="J129" s="2" t="str">
        <f>IF(I129="YES",IFERROR(VLOOKUP(E129,Scan!A:A,1,0),"Not scanned"),"")</f>
        <v/>
      </c>
    </row>
    <row r="130" spans="5:10" s="2" customFormat="1" x14ac:dyDescent="0.25">
      <c r="E130" s="6"/>
      <c r="I130" s="2" t="str">
        <f t="shared" si="2"/>
        <v>NO</v>
      </c>
      <c r="J130" s="2" t="str">
        <f>IF(I130="YES",IFERROR(VLOOKUP(E130,Scan!A:A,1,0),"Not scanned"),"")</f>
        <v/>
      </c>
    </row>
    <row r="131" spans="5:10" s="2" customFormat="1" x14ac:dyDescent="0.25">
      <c r="E131" s="6"/>
      <c r="I131" s="2" t="str">
        <f t="shared" ref="I131:I194" si="3">IF(OR(E131="",E131="_",LEFT(E131,5)="SPARE"),"NO","YES")</f>
        <v>NO</v>
      </c>
      <c r="J131" s="2" t="str">
        <f>IF(I131="YES",IFERROR(VLOOKUP(E131,Scan!A:A,1,0),"Not scanned"),"")</f>
        <v/>
      </c>
    </row>
    <row r="132" spans="5:10" s="2" customFormat="1" x14ac:dyDescent="0.25">
      <c r="E132" s="6"/>
      <c r="I132" s="2" t="str">
        <f t="shared" si="3"/>
        <v>NO</v>
      </c>
      <c r="J132" s="2" t="str">
        <f>IF(I132="YES",IFERROR(VLOOKUP(E132,Scan!A:A,1,0),"Not scanned"),"")</f>
        <v/>
      </c>
    </row>
    <row r="133" spans="5:10" s="2" customFormat="1" x14ac:dyDescent="0.25">
      <c r="E133" s="6"/>
      <c r="I133" s="2" t="str">
        <f t="shared" si="3"/>
        <v>NO</v>
      </c>
      <c r="J133" s="2" t="str">
        <f>IF(I133="YES",IFERROR(VLOOKUP(E133,Scan!A:A,1,0),"Not scanned"),"")</f>
        <v/>
      </c>
    </row>
    <row r="134" spans="5:10" s="2" customFormat="1" x14ac:dyDescent="0.25">
      <c r="E134" s="6"/>
      <c r="I134" s="2" t="str">
        <f t="shared" si="3"/>
        <v>NO</v>
      </c>
      <c r="J134" s="2" t="str">
        <f>IF(I134="YES",IFERROR(VLOOKUP(E134,Scan!A:A,1,0),"Not scanned"),"")</f>
        <v/>
      </c>
    </row>
    <row r="135" spans="5:10" s="2" customFormat="1" x14ac:dyDescent="0.25">
      <c r="E135" s="6"/>
      <c r="I135" s="2" t="str">
        <f t="shared" si="3"/>
        <v>NO</v>
      </c>
      <c r="J135" s="2" t="str">
        <f>IF(I135="YES",IFERROR(VLOOKUP(E135,Scan!A:A,1,0),"Not scanned"),"")</f>
        <v/>
      </c>
    </row>
    <row r="136" spans="5:10" s="2" customFormat="1" x14ac:dyDescent="0.25">
      <c r="E136" s="6"/>
      <c r="I136" s="2" t="str">
        <f t="shared" si="3"/>
        <v>NO</v>
      </c>
      <c r="J136" s="2" t="str">
        <f>IF(I136="YES",IFERROR(VLOOKUP(E136,Scan!A:A,1,0),"Not scanned"),"")</f>
        <v/>
      </c>
    </row>
    <row r="137" spans="5:10" s="2" customFormat="1" x14ac:dyDescent="0.25">
      <c r="E137" s="6"/>
      <c r="I137" s="2" t="str">
        <f t="shared" si="3"/>
        <v>NO</v>
      </c>
      <c r="J137" s="2" t="str">
        <f>IF(I137="YES",IFERROR(VLOOKUP(E137,Scan!A:A,1,0),"Not scanned"),"")</f>
        <v/>
      </c>
    </row>
    <row r="138" spans="5:10" s="2" customFormat="1" x14ac:dyDescent="0.25">
      <c r="E138" s="6"/>
      <c r="I138" s="2" t="str">
        <f t="shared" si="3"/>
        <v>NO</v>
      </c>
      <c r="J138" s="2" t="str">
        <f>IF(I138="YES",IFERROR(VLOOKUP(E138,Scan!A:A,1,0),"Not scanned"),"")</f>
        <v/>
      </c>
    </row>
    <row r="139" spans="5:10" s="2" customFormat="1" x14ac:dyDescent="0.25">
      <c r="E139" s="6"/>
      <c r="I139" s="2" t="str">
        <f t="shared" si="3"/>
        <v>NO</v>
      </c>
      <c r="J139" s="2" t="str">
        <f>IF(I139="YES",IFERROR(VLOOKUP(E139,Scan!A:A,1,0),"Not scanned"),"")</f>
        <v/>
      </c>
    </row>
    <row r="140" spans="5:10" s="2" customFormat="1" x14ac:dyDescent="0.25">
      <c r="E140" s="6"/>
      <c r="I140" s="2" t="str">
        <f t="shared" si="3"/>
        <v>NO</v>
      </c>
      <c r="J140" s="2" t="str">
        <f>IF(I140="YES",IFERROR(VLOOKUP(E140,Scan!A:A,1,0),"Not scanned"),"")</f>
        <v/>
      </c>
    </row>
    <row r="141" spans="5:10" s="2" customFormat="1" x14ac:dyDescent="0.25">
      <c r="E141" s="6"/>
      <c r="I141" s="2" t="str">
        <f t="shared" si="3"/>
        <v>NO</v>
      </c>
      <c r="J141" s="2" t="str">
        <f>IF(I141="YES",IFERROR(VLOOKUP(E141,Scan!A:A,1,0),"Not scanned"),"")</f>
        <v/>
      </c>
    </row>
    <row r="142" spans="5:10" s="2" customFormat="1" x14ac:dyDescent="0.25">
      <c r="E142" s="6"/>
      <c r="I142" s="2" t="str">
        <f t="shared" si="3"/>
        <v>NO</v>
      </c>
      <c r="J142" s="2" t="str">
        <f>IF(I142="YES",IFERROR(VLOOKUP(E142,Scan!A:A,1,0),"Not scanned"),"")</f>
        <v/>
      </c>
    </row>
    <row r="143" spans="5:10" s="2" customFormat="1" x14ac:dyDescent="0.25">
      <c r="E143" s="6"/>
      <c r="I143" s="2" t="str">
        <f t="shared" si="3"/>
        <v>NO</v>
      </c>
      <c r="J143" s="2" t="str">
        <f>IF(I143="YES",IFERROR(VLOOKUP(E143,Scan!A:A,1,0),"Not scanned"),"")</f>
        <v/>
      </c>
    </row>
    <row r="144" spans="5:10" s="2" customFormat="1" x14ac:dyDescent="0.25">
      <c r="E144" s="6"/>
      <c r="I144" s="2" t="str">
        <f t="shared" si="3"/>
        <v>NO</v>
      </c>
      <c r="J144" s="2" t="str">
        <f>IF(I144="YES",IFERROR(VLOOKUP(E144,Scan!A:A,1,0),"Not scanned"),"")</f>
        <v/>
      </c>
    </row>
    <row r="145" spans="5:10" s="2" customFormat="1" x14ac:dyDescent="0.25">
      <c r="E145" s="6"/>
      <c r="I145" s="2" t="str">
        <f t="shared" si="3"/>
        <v>NO</v>
      </c>
      <c r="J145" s="2" t="str">
        <f>IF(I145="YES",IFERROR(VLOOKUP(E145,Scan!A:A,1,0),"Not scanned"),"")</f>
        <v/>
      </c>
    </row>
    <row r="146" spans="5:10" s="2" customFormat="1" x14ac:dyDescent="0.25">
      <c r="E146" s="6"/>
      <c r="I146" s="2" t="str">
        <f t="shared" si="3"/>
        <v>NO</v>
      </c>
      <c r="J146" s="2" t="str">
        <f>IF(I146="YES",IFERROR(VLOOKUP(E146,Scan!A:A,1,0),"Not scanned"),"")</f>
        <v/>
      </c>
    </row>
    <row r="147" spans="5:10" s="2" customFormat="1" x14ac:dyDescent="0.25">
      <c r="E147" s="6"/>
      <c r="I147" s="2" t="str">
        <f t="shared" si="3"/>
        <v>NO</v>
      </c>
      <c r="J147" s="2" t="str">
        <f>IF(I147="YES",IFERROR(VLOOKUP(E147,Scan!A:A,1,0),"Not scanned"),"")</f>
        <v/>
      </c>
    </row>
    <row r="148" spans="5:10" s="2" customFormat="1" x14ac:dyDescent="0.25">
      <c r="E148" s="6"/>
      <c r="I148" s="2" t="str">
        <f t="shared" si="3"/>
        <v>NO</v>
      </c>
      <c r="J148" s="2" t="str">
        <f>IF(I148="YES",IFERROR(VLOOKUP(E148,Scan!A:A,1,0),"Not scanned"),"")</f>
        <v/>
      </c>
    </row>
    <row r="149" spans="5:10" s="2" customFormat="1" x14ac:dyDescent="0.25">
      <c r="E149" s="6"/>
      <c r="I149" s="2" t="str">
        <f t="shared" si="3"/>
        <v>NO</v>
      </c>
      <c r="J149" s="2" t="str">
        <f>IF(I149="YES",IFERROR(VLOOKUP(E149,Scan!A:A,1,0),"Not scanned"),"")</f>
        <v/>
      </c>
    </row>
    <row r="150" spans="5:10" s="2" customFormat="1" x14ac:dyDescent="0.25">
      <c r="E150" s="6"/>
      <c r="I150" s="2" t="str">
        <f t="shared" si="3"/>
        <v>NO</v>
      </c>
      <c r="J150" s="2" t="str">
        <f>IF(I150="YES",IFERROR(VLOOKUP(E150,Scan!A:A,1,0),"Not scanned"),"")</f>
        <v/>
      </c>
    </row>
    <row r="151" spans="5:10" s="2" customFormat="1" x14ac:dyDescent="0.25">
      <c r="E151" s="6"/>
      <c r="I151" s="2" t="str">
        <f t="shared" si="3"/>
        <v>NO</v>
      </c>
      <c r="J151" s="2" t="str">
        <f>IF(I151="YES",IFERROR(VLOOKUP(E151,Scan!A:A,1,0),"Not scanned"),"")</f>
        <v/>
      </c>
    </row>
    <row r="152" spans="5:10" s="2" customFormat="1" x14ac:dyDescent="0.25">
      <c r="E152" s="6"/>
      <c r="I152" s="2" t="str">
        <f t="shared" si="3"/>
        <v>NO</v>
      </c>
      <c r="J152" s="2" t="str">
        <f>IF(I152="YES",IFERROR(VLOOKUP(E152,Scan!A:A,1,0),"Not scanned"),"")</f>
        <v/>
      </c>
    </row>
    <row r="153" spans="5:10" s="2" customFormat="1" x14ac:dyDescent="0.25">
      <c r="E153" s="6"/>
      <c r="I153" s="2" t="str">
        <f t="shared" si="3"/>
        <v>NO</v>
      </c>
      <c r="J153" s="2" t="str">
        <f>IF(I153="YES",IFERROR(VLOOKUP(E153,Scan!A:A,1,0),"Not scanned"),"")</f>
        <v/>
      </c>
    </row>
    <row r="154" spans="5:10" s="2" customFormat="1" x14ac:dyDescent="0.25">
      <c r="E154" s="6"/>
      <c r="I154" s="2" t="str">
        <f t="shared" si="3"/>
        <v>NO</v>
      </c>
      <c r="J154" s="2" t="str">
        <f>IF(I154="YES",IFERROR(VLOOKUP(E154,Scan!A:A,1,0),"Not scanned"),"")</f>
        <v/>
      </c>
    </row>
    <row r="155" spans="5:10" s="2" customFormat="1" x14ac:dyDescent="0.25">
      <c r="E155" s="6"/>
      <c r="I155" s="2" t="str">
        <f t="shared" si="3"/>
        <v>NO</v>
      </c>
      <c r="J155" s="2" t="str">
        <f>IF(I155="YES",IFERROR(VLOOKUP(E155,Scan!A:A,1,0),"Not scanned"),"")</f>
        <v/>
      </c>
    </row>
    <row r="156" spans="5:10" s="2" customFormat="1" x14ac:dyDescent="0.25">
      <c r="E156" s="6"/>
      <c r="I156" s="2" t="str">
        <f t="shared" si="3"/>
        <v>NO</v>
      </c>
      <c r="J156" s="2" t="str">
        <f>IF(I156="YES",IFERROR(VLOOKUP(E156,Scan!A:A,1,0),"Not scanned"),"")</f>
        <v/>
      </c>
    </row>
    <row r="157" spans="5:10" s="2" customFormat="1" x14ac:dyDescent="0.25">
      <c r="E157" s="6"/>
      <c r="I157" s="2" t="str">
        <f t="shared" si="3"/>
        <v>NO</v>
      </c>
      <c r="J157" s="2" t="str">
        <f>IF(I157="YES",IFERROR(VLOOKUP(E157,Scan!A:A,1,0),"Not scanned"),"")</f>
        <v/>
      </c>
    </row>
    <row r="158" spans="5:10" s="2" customFormat="1" x14ac:dyDescent="0.25">
      <c r="E158" s="6"/>
      <c r="I158" s="2" t="str">
        <f t="shared" si="3"/>
        <v>NO</v>
      </c>
      <c r="J158" s="2" t="str">
        <f>IF(I158="YES",IFERROR(VLOOKUP(E158,Scan!A:A,1,0),"Not scanned"),"")</f>
        <v/>
      </c>
    </row>
    <row r="159" spans="5:10" s="2" customFormat="1" x14ac:dyDescent="0.25">
      <c r="E159" s="6"/>
      <c r="I159" s="2" t="str">
        <f t="shared" si="3"/>
        <v>NO</v>
      </c>
      <c r="J159" s="2" t="str">
        <f>IF(I159="YES",IFERROR(VLOOKUP(E159,Scan!A:A,1,0),"Not scanned"),"")</f>
        <v/>
      </c>
    </row>
    <row r="160" spans="5:10" s="2" customFormat="1" x14ac:dyDescent="0.25">
      <c r="E160" s="6"/>
      <c r="I160" s="2" t="str">
        <f t="shared" si="3"/>
        <v>NO</v>
      </c>
      <c r="J160" s="2" t="str">
        <f>IF(I160="YES",IFERROR(VLOOKUP(E160,Scan!A:A,1,0),"Not scanned"),"")</f>
        <v/>
      </c>
    </row>
    <row r="161" spans="5:10" s="2" customFormat="1" x14ac:dyDescent="0.25">
      <c r="E161" s="6"/>
      <c r="I161" s="2" t="str">
        <f t="shared" si="3"/>
        <v>NO</v>
      </c>
      <c r="J161" s="2" t="str">
        <f>IF(I161="YES",IFERROR(VLOOKUP(E161,Scan!A:A,1,0),"Not scanned"),"")</f>
        <v/>
      </c>
    </row>
    <row r="162" spans="5:10" s="2" customFormat="1" x14ac:dyDescent="0.25">
      <c r="E162" s="6"/>
      <c r="I162" s="2" t="str">
        <f t="shared" si="3"/>
        <v>NO</v>
      </c>
      <c r="J162" s="2" t="str">
        <f>IF(I162="YES",IFERROR(VLOOKUP(E162,Scan!A:A,1,0),"Not scanned"),"")</f>
        <v/>
      </c>
    </row>
    <row r="163" spans="5:10" s="2" customFormat="1" x14ac:dyDescent="0.25">
      <c r="E163" s="6"/>
      <c r="I163" s="2" t="str">
        <f t="shared" si="3"/>
        <v>NO</v>
      </c>
      <c r="J163" s="2" t="str">
        <f>IF(I163="YES",IFERROR(VLOOKUP(E163,Scan!A:A,1,0),"Not scanned"),"")</f>
        <v/>
      </c>
    </row>
    <row r="164" spans="5:10" s="2" customFormat="1" x14ac:dyDescent="0.25">
      <c r="E164" s="6"/>
      <c r="I164" s="2" t="str">
        <f t="shared" si="3"/>
        <v>NO</v>
      </c>
      <c r="J164" s="2" t="str">
        <f>IF(I164="YES",IFERROR(VLOOKUP(E164,Scan!A:A,1,0),"Not scanned"),"")</f>
        <v/>
      </c>
    </row>
    <row r="165" spans="5:10" s="2" customFormat="1" x14ac:dyDescent="0.25">
      <c r="E165" s="6"/>
      <c r="I165" s="2" t="str">
        <f t="shared" si="3"/>
        <v>NO</v>
      </c>
      <c r="J165" s="2" t="str">
        <f>IF(I165="YES",IFERROR(VLOOKUP(E165,Scan!A:A,1,0),"Not scanned"),"")</f>
        <v/>
      </c>
    </row>
    <row r="166" spans="5:10" s="2" customFormat="1" x14ac:dyDescent="0.25">
      <c r="E166" s="6"/>
      <c r="I166" s="2" t="str">
        <f t="shared" si="3"/>
        <v>NO</v>
      </c>
      <c r="J166" s="2" t="str">
        <f>IF(I166="YES",IFERROR(VLOOKUP(E166,Scan!A:A,1,0),"Not scanned"),"")</f>
        <v/>
      </c>
    </row>
    <row r="167" spans="5:10" s="2" customFormat="1" x14ac:dyDescent="0.25">
      <c r="E167" s="6"/>
      <c r="I167" s="2" t="str">
        <f t="shared" si="3"/>
        <v>NO</v>
      </c>
      <c r="J167" s="2" t="str">
        <f>IF(I167="YES",IFERROR(VLOOKUP(E167,Scan!A:A,1,0),"Not scanned"),"")</f>
        <v/>
      </c>
    </row>
    <row r="168" spans="5:10" s="2" customFormat="1" x14ac:dyDescent="0.25">
      <c r="E168" s="6"/>
      <c r="I168" s="2" t="str">
        <f t="shared" si="3"/>
        <v>NO</v>
      </c>
      <c r="J168" s="2" t="str">
        <f>IF(I168="YES",IFERROR(VLOOKUP(E168,Scan!A:A,1,0),"Not scanned"),"")</f>
        <v/>
      </c>
    </row>
    <row r="169" spans="5:10" s="2" customFormat="1" x14ac:dyDescent="0.25">
      <c r="E169" s="6"/>
      <c r="I169" s="2" t="str">
        <f t="shared" si="3"/>
        <v>NO</v>
      </c>
      <c r="J169" s="2" t="str">
        <f>IF(I169="YES",IFERROR(VLOOKUP(E169,Scan!A:A,1,0),"Not scanned"),"")</f>
        <v/>
      </c>
    </row>
    <row r="170" spans="5:10" s="2" customFormat="1" x14ac:dyDescent="0.25">
      <c r="E170" s="6"/>
      <c r="I170" s="2" t="str">
        <f t="shared" si="3"/>
        <v>NO</v>
      </c>
      <c r="J170" s="2" t="str">
        <f>IF(I170="YES",IFERROR(VLOOKUP(E170,Scan!A:A,1,0),"Not scanned"),"")</f>
        <v/>
      </c>
    </row>
    <row r="171" spans="5:10" s="2" customFormat="1" x14ac:dyDescent="0.25">
      <c r="E171" s="6"/>
      <c r="I171" s="2" t="str">
        <f t="shared" si="3"/>
        <v>NO</v>
      </c>
      <c r="J171" s="2" t="str">
        <f>IF(I171="YES",IFERROR(VLOOKUP(E171,Scan!A:A,1,0),"Not scanned"),"")</f>
        <v/>
      </c>
    </row>
    <row r="172" spans="5:10" s="2" customFormat="1" x14ac:dyDescent="0.25">
      <c r="E172" s="6"/>
      <c r="I172" s="2" t="str">
        <f t="shared" si="3"/>
        <v>NO</v>
      </c>
      <c r="J172" s="2" t="str">
        <f>IF(I172="YES",IFERROR(VLOOKUP(E172,Scan!A:A,1,0),"Not scanned"),"")</f>
        <v/>
      </c>
    </row>
    <row r="173" spans="5:10" s="2" customFormat="1" x14ac:dyDescent="0.25">
      <c r="E173" s="6"/>
      <c r="I173" s="2" t="str">
        <f t="shared" si="3"/>
        <v>NO</v>
      </c>
      <c r="J173" s="2" t="str">
        <f>IF(I173="YES",IFERROR(VLOOKUP(E173,Scan!A:A,1,0),"Not scanned"),"")</f>
        <v/>
      </c>
    </row>
    <row r="174" spans="5:10" s="2" customFormat="1" x14ac:dyDescent="0.25">
      <c r="E174" s="6"/>
      <c r="I174" s="2" t="str">
        <f t="shared" si="3"/>
        <v>NO</v>
      </c>
      <c r="J174" s="2" t="str">
        <f>IF(I174="YES",IFERROR(VLOOKUP(E174,Scan!A:A,1,0),"Not scanned"),"")</f>
        <v/>
      </c>
    </row>
    <row r="175" spans="5:10" s="2" customFormat="1" x14ac:dyDescent="0.25">
      <c r="E175" s="6"/>
      <c r="I175" s="2" t="str">
        <f t="shared" si="3"/>
        <v>NO</v>
      </c>
      <c r="J175" s="2" t="str">
        <f>IF(I175="YES",IFERROR(VLOOKUP(E175,Scan!A:A,1,0),"Not scanned"),"")</f>
        <v/>
      </c>
    </row>
    <row r="176" spans="5:10" s="2" customFormat="1" x14ac:dyDescent="0.25">
      <c r="E176" s="6"/>
      <c r="I176" s="2" t="str">
        <f t="shared" si="3"/>
        <v>NO</v>
      </c>
      <c r="J176" s="2" t="str">
        <f>IF(I176="YES",IFERROR(VLOOKUP(E176,Scan!A:A,1,0),"Not scanned"),"")</f>
        <v/>
      </c>
    </row>
    <row r="177" spans="5:10" s="2" customFormat="1" x14ac:dyDescent="0.25">
      <c r="E177" s="6"/>
      <c r="I177" s="2" t="str">
        <f t="shared" si="3"/>
        <v>NO</v>
      </c>
      <c r="J177" s="2" t="str">
        <f>IF(I177="YES",IFERROR(VLOOKUP(E177,Scan!A:A,1,0),"Not scanned"),"")</f>
        <v/>
      </c>
    </row>
    <row r="178" spans="5:10" s="2" customFormat="1" x14ac:dyDescent="0.25">
      <c r="E178" s="6"/>
      <c r="I178" s="2" t="str">
        <f t="shared" si="3"/>
        <v>NO</v>
      </c>
      <c r="J178" s="2" t="str">
        <f>IF(I178="YES",IFERROR(VLOOKUP(E178,Scan!A:A,1,0),"Not scanned"),"")</f>
        <v/>
      </c>
    </row>
    <row r="179" spans="5:10" s="2" customFormat="1" x14ac:dyDescent="0.25">
      <c r="E179" s="6"/>
      <c r="I179" s="2" t="str">
        <f t="shared" si="3"/>
        <v>NO</v>
      </c>
      <c r="J179" s="2" t="str">
        <f>IF(I179="YES",IFERROR(VLOOKUP(E179,Scan!A:A,1,0),"Not scanned"),"")</f>
        <v/>
      </c>
    </row>
    <row r="180" spans="5:10" s="2" customFormat="1" x14ac:dyDescent="0.25">
      <c r="E180" s="6"/>
      <c r="I180" s="2" t="str">
        <f t="shared" si="3"/>
        <v>NO</v>
      </c>
      <c r="J180" s="2" t="str">
        <f>IF(I180="YES",IFERROR(VLOOKUP(E180,Scan!A:A,1,0),"Not scanned"),"")</f>
        <v/>
      </c>
    </row>
    <row r="181" spans="5:10" s="2" customFormat="1" x14ac:dyDescent="0.25">
      <c r="E181" s="6"/>
      <c r="I181" s="2" t="str">
        <f t="shared" si="3"/>
        <v>NO</v>
      </c>
      <c r="J181" s="2" t="str">
        <f>IF(I181="YES",IFERROR(VLOOKUP(E181,Scan!A:A,1,0),"Not scanned"),"")</f>
        <v/>
      </c>
    </row>
    <row r="182" spans="5:10" s="2" customFormat="1" x14ac:dyDescent="0.25">
      <c r="E182" s="6"/>
      <c r="I182" s="2" t="str">
        <f t="shared" si="3"/>
        <v>NO</v>
      </c>
      <c r="J182" s="2" t="str">
        <f>IF(I182="YES",IFERROR(VLOOKUP(E182,Scan!A:A,1,0),"Not scanned"),"")</f>
        <v/>
      </c>
    </row>
    <row r="183" spans="5:10" s="2" customFormat="1" x14ac:dyDescent="0.25">
      <c r="E183" s="6"/>
      <c r="I183" s="2" t="str">
        <f t="shared" si="3"/>
        <v>NO</v>
      </c>
      <c r="J183" s="2" t="str">
        <f>IF(I183="YES",IFERROR(VLOOKUP(E183,Scan!A:A,1,0),"Not scanned"),"")</f>
        <v/>
      </c>
    </row>
    <row r="184" spans="5:10" s="2" customFormat="1" x14ac:dyDescent="0.25">
      <c r="E184" s="6"/>
      <c r="I184" s="2" t="str">
        <f t="shared" si="3"/>
        <v>NO</v>
      </c>
      <c r="J184" s="2" t="str">
        <f>IF(I184="YES",IFERROR(VLOOKUP(E184,Scan!A:A,1,0),"Not scanned"),"")</f>
        <v/>
      </c>
    </row>
    <row r="185" spans="5:10" x14ac:dyDescent="0.25">
      <c r="I185" s="2" t="str">
        <f t="shared" si="3"/>
        <v>NO</v>
      </c>
      <c r="J185" s="2" t="str">
        <f>IF(I185="YES",IFERROR(VLOOKUP(E185,Scan!A:A,1,0),"Not scanned"),"")</f>
        <v/>
      </c>
    </row>
    <row r="186" spans="5:10" x14ac:dyDescent="0.25">
      <c r="I186" s="2" t="str">
        <f t="shared" si="3"/>
        <v>NO</v>
      </c>
      <c r="J186" s="2" t="str">
        <f>IF(I186="YES",IFERROR(VLOOKUP(E186,Scan!A:A,1,0),"Not scanned"),"")</f>
        <v/>
      </c>
    </row>
    <row r="187" spans="5:10" x14ac:dyDescent="0.25">
      <c r="I187" s="2" t="str">
        <f t="shared" si="3"/>
        <v>NO</v>
      </c>
      <c r="J187" s="2" t="str">
        <f>IF(I187="YES",IFERROR(VLOOKUP(E187,Scan!A:A,1,0),"Not scanned"),"")</f>
        <v/>
      </c>
    </row>
    <row r="188" spans="5:10" x14ac:dyDescent="0.25">
      <c r="I188" s="2" t="str">
        <f t="shared" si="3"/>
        <v>NO</v>
      </c>
      <c r="J188" s="2" t="str">
        <f>IF(I188="YES",IFERROR(VLOOKUP(E188,Scan!A:A,1,0),"Not scanned"),"")</f>
        <v/>
      </c>
    </row>
    <row r="189" spans="5:10" x14ac:dyDescent="0.25">
      <c r="I189" s="2" t="str">
        <f t="shared" si="3"/>
        <v>NO</v>
      </c>
      <c r="J189" s="2" t="str">
        <f>IF(I189="YES",IFERROR(VLOOKUP(E189,Scan!A:A,1,0),"Not scanned"),"")</f>
        <v/>
      </c>
    </row>
    <row r="190" spans="5:10" x14ac:dyDescent="0.25">
      <c r="I190" s="2" t="str">
        <f t="shared" si="3"/>
        <v>NO</v>
      </c>
      <c r="J190" s="2" t="str">
        <f>IF(I190="YES",IFERROR(VLOOKUP(E190,Scan!A:A,1,0),"Not scanned"),"")</f>
        <v/>
      </c>
    </row>
    <row r="191" spans="5:10" x14ac:dyDescent="0.25">
      <c r="I191" s="2" t="str">
        <f t="shared" si="3"/>
        <v>NO</v>
      </c>
      <c r="J191" s="2" t="str">
        <f>IF(I191="YES",IFERROR(VLOOKUP(E191,Scan!A:A,1,0),"Not scanned"),"")</f>
        <v/>
      </c>
    </row>
    <row r="192" spans="5:10" x14ac:dyDescent="0.25">
      <c r="I192" s="2" t="str">
        <f t="shared" si="3"/>
        <v>NO</v>
      </c>
      <c r="J192" s="2" t="str">
        <f>IF(I192="YES",IFERROR(VLOOKUP(E192,Scan!A:A,1,0),"Not scanned"),"")</f>
        <v/>
      </c>
    </row>
    <row r="193" spans="9:10" x14ac:dyDescent="0.25">
      <c r="I193" s="2" t="str">
        <f t="shared" si="3"/>
        <v>NO</v>
      </c>
      <c r="J193" s="2" t="str">
        <f>IF(I193="YES",IFERROR(VLOOKUP(E193,Scan!A:A,1,0),"Not scanned"),"")</f>
        <v/>
      </c>
    </row>
    <row r="194" spans="9:10" x14ac:dyDescent="0.25">
      <c r="I194" s="2" t="str">
        <f t="shared" si="3"/>
        <v>NO</v>
      </c>
      <c r="J194" s="2" t="str">
        <f>IF(I194="YES",IFERROR(VLOOKUP(E194,Scan!A:A,1,0),"Not scanned"),"")</f>
        <v/>
      </c>
    </row>
    <row r="195" spans="9:10" x14ac:dyDescent="0.25">
      <c r="I195" s="2" t="str">
        <f t="shared" ref="I195:I258" si="4">IF(OR(E195="",E195="_",LEFT(E195,5)="SPARE"),"NO","YES")</f>
        <v>NO</v>
      </c>
      <c r="J195" s="2" t="str">
        <f>IF(I195="YES",IFERROR(VLOOKUP(E195,Scan!A:A,1,0),"Not scanned"),"")</f>
        <v/>
      </c>
    </row>
    <row r="196" spans="9:10" x14ac:dyDescent="0.25">
      <c r="I196" s="2" t="str">
        <f t="shared" si="4"/>
        <v>NO</v>
      </c>
      <c r="J196" s="2" t="str">
        <f>IF(I196="YES",IFERROR(VLOOKUP(E196,Scan!A:A,1,0),"Not scanned"),"")</f>
        <v/>
      </c>
    </row>
    <row r="197" spans="9:10" x14ac:dyDescent="0.25">
      <c r="I197" s="2" t="str">
        <f t="shared" si="4"/>
        <v>NO</v>
      </c>
      <c r="J197" s="2" t="str">
        <f>IF(I197="YES",IFERROR(VLOOKUP(E197,Scan!A:A,1,0),"Not scanned"),"")</f>
        <v/>
      </c>
    </row>
    <row r="198" spans="9:10" x14ac:dyDescent="0.25">
      <c r="I198" s="2" t="str">
        <f t="shared" si="4"/>
        <v>NO</v>
      </c>
      <c r="J198" s="2" t="str">
        <f>IF(I198="YES",IFERROR(VLOOKUP(E198,Scan!A:A,1,0),"Not scanned"),"")</f>
        <v/>
      </c>
    </row>
    <row r="199" spans="9:10" x14ac:dyDescent="0.25">
      <c r="I199" s="2" t="str">
        <f t="shared" si="4"/>
        <v>NO</v>
      </c>
      <c r="J199" s="2" t="str">
        <f>IF(I199="YES",IFERROR(VLOOKUP(E199,Scan!A:A,1,0),"Not scanned"),"")</f>
        <v/>
      </c>
    </row>
    <row r="200" spans="9:10" x14ac:dyDescent="0.25">
      <c r="I200" s="2" t="str">
        <f t="shared" si="4"/>
        <v>NO</v>
      </c>
      <c r="J200" s="2" t="str">
        <f>IF(I200="YES",IFERROR(VLOOKUP(E200,Scan!A:A,1,0),"Not scanned"),"")</f>
        <v/>
      </c>
    </row>
    <row r="201" spans="9:10" x14ac:dyDescent="0.25">
      <c r="I201" s="2" t="str">
        <f t="shared" si="4"/>
        <v>NO</v>
      </c>
      <c r="J201" s="2" t="str">
        <f>IF(I201="YES",IFERROR(VLOOKUP(E201,Scan!A:A,1,0),"Not scanned"),"")</f>
        <v/>
      </c>
    </row>
    <row r="202" spans="9:10" x14ac:dyDescent="0.25">
      <c r="I202" s="2" t="str">
        <f t="shared" si="4"/>
        <v>NO</v>
      </c>
      <c r="J202" s="2" t="str">
        <f>IF(I202="YES",IFERROR(VLOOKUP(E202,Scan!A:A,1,0),"Not scanned"),"")</f>
        <v/>
      </c>
    </row>
    <row r="203" spans="9:10" x14ac:dyDescent="0.25">
      <c r="I203" s="2" t="str">
        <f t="shared" si="4"/>
        <v>NO</v>
      </c>
      <c r="J203" s="2" t="str">
        <f>IF(I203="YES",IFERROR(VLOOKUP(E203,Scan!A:A,1,0),"Not scanned"),"")</f>
        <v/>
      </c>
    </row>
    <row r="204" spans="9:10" x14ac:dyDescent="0.25">
      <c r="I204" s="2" t="str">
        <f t="shared" si="4"/>
        <v>NO</v>
      </c>
      <c r="J204" s="2" t="str">
        <f>IF(I204="YES",IFERROR(VLOOKUP(E204,Scan!A:A,1,0),"Not scanned"),"")</f>
        <v/>
      </c>
    </row>
    <row r="205" spans="9:10" x14ac:dyDescent="0.25">
      <c r="I205" s="2" t="str">
        <f t="shared" si="4"/>
        <v>NO</v>
      </c>
      <c r="J205" s="2" t="str">
        <f>IF(I205="YES",IFERROR(VLOOKUP(E205,Scan!A:A,1,0),"Not scanned"),"")</f>
        <v/>
      </c>
    </row>
    <row r="206" spans="9:10" x14ac:dyDescent="0.25">
      <c r="I206" s="2" t="str">
        <f t="shared" si="4"/>
        <v>NO</v>
      </c>
      <c r="J206" s="2" t="str">
        <f>IF(I206="YES",IFERROR(VLOOKUP(E206,Scan!A:A,1,0),"Not scanned"),"")</f>
        <v/>
      </c>
    </row>
    <row r="207" spans="9:10" x14ac:dyDescent="0.25">
      <c r="I207" s="2" t="str">
        <f t="shared" si="4"/>
        <v>NO</v>
      </c>
      <c r="J207" s="2" t="str">
        <f>IF(I207="YES",IFERROR(VLOOKUP(E207,Scan!A:A,1,0),"Not scanned"),"")</f>
        <v/>
      </c>
    </row>
    <row r="208" spans="9:10" x14ac:dyDescent="0.25">
      <c r="I208" s="2" t="str">
        <f t="shared" si="4"/>
        <v>NO</v>
      </c>
      <c r="J208" s="2" t="str">
        <f>IF(I208="YES",IFERROR(VLOOKUP(E208,Scan!A:A,1,0),"Not scanned"),"")</f>
        <v/>
      </c>
    </row>
    <row r="209" spans="9:10" x14ac:dyDescent="0.25">
      <c r="I209" s="2" t="str">
        <f t="shared" si="4"/>
        <v>NO</v>
      </c>
      <c r="J209" s="2" t="str">
        <f>IF(I209="YES",IFERROR(VLOOKUP(E209,Scan!A:A,1,0),"Not scanned"),"")</f>
        <v/>
      </c>
    </row>
    <row r="210" spans="9:10" x14ac:dyDescent="0.25">
      <c r="I210" s="2" t="str">
        <f t="shared" si="4"/>
        <v>NO</v>
      </c>
      <c r="J210" s="2" t="str">
        <f>IF(I210="YES",IFERROR(VLOOKUP(E210,Scan!A:A,1,0),"Not scanned"),"")</f>
        <v/>
      </c>
    </row>
    <row r="211" spans="9:10" x14ac:dyDescent="0.25">
      <c r="I211" s="2" t="str">
        <f t="shared" si="4"/>
        <v>NO</v>
      </c>
      <c r="J211" s="2" t="str">
        <f>IF(I211="YES",IFERROR(VLOOKUP(E211,Scan!A:A,1,0),"Not scanned"),"")</f>
        <v/>
      </c>
    </row>
    <row r="212" spans="9:10" x14ac:dyDescent="0.25">
      <c r="I212" s="2" t="str">
        <f t="shared" si="4"/>
        <v>NO</v>
      </c>
      <c r="J212" s="2" t="str">
        <f>IF(I212="YES",IFERROR(VLOOKUP(E212,Scan!A:A,1,0),"Not scanned"),"")</f>
        <v/>
      </c>
    </row>
    <row r="213" spans="9:10" x14ac:dyDescent="0.25">
      <c r="I213" s="2" t="str">
        <f t="shared" si="4"/>
        <v>NO</v>
      </c>
      <c r="J213" s="2" t="str">
        <f>IF(I213="YES",IFERROR(VLOOKUP(E213,Scan!A:A,1,0),"Not scanned"),"")</f>
        <v/>
      </c>
    </row>
    <row r="214" spans="9:10" x14ac:dyDescent="0.25">
      <c r="I214" s="2" t="str">
        <f t="shared" si="4"/>
        <v>NO</v>
      </c>
      <c r="J214" s="2" t="str">
        <f>IF(I214="YES",IFERROR(VLOOKUP(E214,Scan!A:A,1,0),"Not scanned"),"")</f>
        <v/>
      </c>
    </row>
    <row r="215" spans="9:10" x14ac:dyDescent="0.25">
      <c r="I215" s="2" t="str">
        <f t="shared" si="4"/>
        <v>NO</v>
      </c>
      <c r="J215" s="2" t="str">
        <f>IF(I215="YES",IFERROR(VLOOKUP(E215,Scan!A:A,1,0),"Not scanned"),"")</f>
        <v/>
      </c>
    </row>
    <row r="216" spans="9:10" x14ac:dyDescent="0.25">
      <c r="I216" s="2" t="str">
        <f t="shared" si="4"/>
        <v>NO</v>
      </c>
      <c r="J216" s="2" t="str">
        <f>IF(I216="YES",IFERROR(VLOOKUP(E216,Scan!A:A,1,0),"Not scanned"),"")</f>
        <v/>
      </c>
    </row>
    <row r="217" spans="9:10" x14ac:dyDescent="0.25">
      <c r="I217" s="2" t="str">
        <f t="shared" si="4"/>
        <v>NO</v>
      </c>
      <c r="J217" s="2" t="str">
        <f>IF(I217="YES",IFERROR(VLOOKUP(E217,Scan!A:A,1,0),"Not scanned"),"")</f>
        <v/>
      </c>
    </row>
    <row r="218" spans="9:10" x14ac:dyDescent="0.25">
      <c r="I218" s="2" t="str">
        <f t="shared" si="4"/>
        <v>NO</v>
      </c>
      <c r="J218" s="2" t="str">
        <f>IF(I218="YES",IFERROR(VLOOKUP(E218,Scan!A:A,1,0),"Not scanned"),"")</f>
        <v/>
      </c>
    </row>
    <row r="219" spans="9:10" x14ac:dyDescent="0.25">
      <c r="I219" s="2" t="str">
        <f t="shared" si="4"/>
        <v>NO</v>
      </c>
      <c r="J219" s="2" t="str">
        <f>IF(I219="YES",IFERROR(VLOOKUP(E219,Scan!A:A,1,0),"Not scanned"),"")</f>
        <v/>
      </c>
    </row>
    <row r="220" spans="9:10" x14ac:dyDescent="0.25">
      <c r="I220" s="2" t="str">
        <f t="shared" si="4"/>
        <v>NO</v>
      </c>
      <c r="J220" s="2" t="str">
        <f>IF(I220="YES",IFERROR(VLOOKUP(E220,Scan!A:A,1,0),"Not scanned"),"")</f>
        <v/>
      </c>
    </row>
    <row r="221" spans="9:10" x14ac:dyDescent="0.25">
      <c r="I221" s="2" t="str">
        <f t="shared" si="4"/>
        <v>NO</v>
      </c>
      <c r="J221" s="2" t="str">
        <f>IF(I221="YES",IFERROR(VLOOKUP(E221,Scan!A:A,1,0),"Not scanned"),"")</f>
        <v/>
      </c>
    </row>
    <row r="222" spans="9:10" x14ac:dyDescent="0.25">
      <c r="I222" s="2" t="str">
        <f t="shared" si="4"/>
        <v>NO</v>
      </c>
      <c r="J222" s="2" t="str">
        <f>IF(I222="YES",IFERROR(VLOOKUP(E222,Scan!A:A,1,0),"Not scanned"),"")</f>
        <v/>
      </c>
    </row>
    <row r="223" spans="9:10" x14ac:dyDescent="0.25">
      <c r="I223" s="2" t="str">
        <f t="shared" si="4"/>
        <v>NO</v>
      </c>
      <c r="J223" s="2" t="str">
        <f>IF(I223="YES",IFERROR(VLOOKUP(E223,Scan!A:A,1,0),"Not scanned"),"")</f>
        <v/>
      </c>
    </row>
    <row r="224" spans="9:10" x14ac:dyDescent="0.25">
      <c r="I224" s="2" t="str">
        <f t="shared" si="4"/>
        <v>NO</v>
      </c>
      <c r="J224" s="2" t="str">
        <f>IF(I224="YES",IFERROR(VLOOKUP(E224,Scan!A:A,1,0),"Not scanned"),"")</f>
        <v/>
      </c>
    </row>
    <row r="225" spans="9:10" x14ac:dyDescent="0.25">
      <c r="I225" s="2" t="str">
        <f t="shared" si="4"/>
        <v>NO</v>
      </c>
      <c r="J225" s="2" t="str">
        <f>IF(I225="YES",IFERROR(VLOOKUP(E225,Scan!A:A,1,0),"Not scanned"),"")</f>
        <v/>
      </c>
    </row>
    <row r="226" spans="9:10" x14ac:dyDescent="0.25">
      <c r="I226" s="2" t="str">
        <f t="shared" si="4"/>
        <v>NO</v>
      </c>
      <c r="J226" s="2" t="str">
        <f>IF(I226="YES",IFERROR(VLOOKUP(E226,Scan!A:A,1,0),"Not scanned"),"")</f>
        <v/>
      </c>
    </row>
    <row r="227" spans="9:10" x14ac:dyDescent="0.25">
      <c r="I227" s="2" t="str">
        <f t="shared" si="4"/>
        <v>NO</v>
      </c>
      <c r="J227" s="2" t="str">
        <f>IF(I227="YES",IFERROR(VLOOKUP(E227,Scan!A:A,1,0),"Not scanned"),"")</f>
        <v/>
      </c>
    </row>
    <row r="228" spans="9:10" x14ac:dyDescent="0.25">
      <c r="I228" s="2" t="str">
        <f t="shared" si="4"/>
        <v>NO</v>
      </c>
      <c r="J228" s="2" t="str">
        <f>IF(I228="YES",IFERROR(VLOOKUP(E228,Scan!A:A,1,0),"Not scanned"),"")</f>
        <v/>
      </c>
    </row>
    <row r="229" spans="9:10" x14ac:dyDescent="0.25">
      <c r="I229" s="2" t="str">
        <f t="shared" si="4"/>
        <v>NO</v>
      </c>
      <c r="J229" s="2" t="str">
        <f>IF(I229="YES",IFERROR(VLOOKUP(E229,Scan!A:A,1,0),"Not scanned"),"")</f>
        <v/>
      </c>
    </row>
    <row r="230" spans="9:10" x14ac:dyDescent="0.25">
      <c r="I230" s="2" t="str">
        <f t="shared" si="4"/>
        <v>NO</v>
      </c>
      <c r="J230" s="2" t="str">
        <f>IF(I230="YES",IFERROR(VLOOKUP(E230,Scan!A:A,1,0),"Not scanned"),"")</f>
        <v/>
      </c>
    </row>
    <row r="231" spans="9:10" x14ac:dyDescent="0.25">
      <c r="I231" s="2" t="str">
        <f t="shared" si="4"/>
        <v>NO</v>
      </c>
      <c r="J231" s="2" t="str">
        <f>IF(I231="YES",IFERROR(VLOOKUP(E231,Scan!A:A,1,0),"Not scanned"),"")</f>
        <v/>
      </c>
    </row>
    <row r="232" spans="9:10" x14ac:dyDescent="0.25">
      <c r="I232" s="2" t="str">
        <f t="shared" si="4"/>
        <v>NO</v>
      </c>
      <c r="J232" s="2" t="str">
        <f>IF(I232="YES",IFERROR(VLOOKUP(E232,Scan!A:A,1,0),"Not scanned"),"")</f>
        <v/>
      </c>
    </row>
    <row r="233" spans="9:10" x14ac:dyDescent="0.25">
      <c r="I233" s="2" t="str">
        <f t="shared" si="4"/>
        <v>NO</v>
      </c>
      <c r="J233" s="2" t="str">
        <f>IF(I233="YES",IFERROR(VLOOKUP(E233,Scan!A:A,1,0),"Not scanned"),"")</f>
        <v/>
      </c>
    </row>
    <row r="234" spans="9:10" x14ac:dyDescent="0.25">
      <c r="I234" s="2" t="str">
        <f t="shared" si="4"/>
        <v>NO</v>
      </c>
      <c r="J234" s="2" t="str">
        <f>IF(I234="YES",IFERROR(VLOOKUP(E234,Scan!A:A,1,0),"Not scanned"),"")</f>
        <v/>
      </c>
    </row>
    <row r="235" spans="9:10" x14ac:dyDescent="0.25">
      <c r="I235" s="2" t="str">
        <f t="shared" si="4"/>
        <v>NO</v>
      </c>
      <c r="J235" s="2" t="str">
        <f>IF(I235="YES",IFERROR(VLOOKUP(E235,Scan!A:A,1,0),"Not scanned"),"")</f>
        <v/>
      </c>
    </row>
    <row r="236" spans="9:10" x14ac:dyDescent="0.25">
      <c r="I236" s="2" t="str">
        <f t="shared" si="4"/>
        <v>NO</v>
      </c>
      <c r="J236" s="2" t="str">
        <f>IF(I236="YES",IFERROR(VLOOKUP(E236,Scan!A:A,1,0),"Not scanned"),"")</f>
        <v/>
      </c>
    </row>
    <row r="237" spans="9:10" x14ac:dyDescent="0.25">
      <c r="I237" s="2" t="str">
        <f t="shared" si="4"/>
        <v>NO</v>
      </c>
      <c r="J237" s="2" t="str">
        <f>IF(I237="YES",IFERROR(VLOOKUP(E237,Scan!A:A,1,0),"Not scanned"),"")</f>
        <v/>
      </c>
    </row>
    <row r="238" spans="9:10" x14ac:dyDescent="0.25">
      <c r="I238" s="2" t="str">
        <f t="shared" si="4"/>
        <v>NO</v>
      </c>
      <c r="J238" s="2" t="str">
        <f>IF(I238="YES",IFERROR(VLOOKUP(E238,Scan!A:A,1,0),"Not scanned"),"")</f>
        <v/>
      </c>
    </row>
    <row r="239" spans="9:10" x14ac:dyDescent="0.25">
      <c r="I239" s="2" t="str">
        <f t="shared" si="4"/>
        <v>NO</v>
      </c>
      <c r="J239" s="2" t="str">
        <f>IF(I239="YES",IFERROR(VLOOKUP(E239,Scan!A:A,1,0),"Not scanned"),"")</f>
        <v/>
      </c>
    </row>
    <row r="240" spans="9:10" x14ac:dyDescent="0.25">
      <c r="I240" s="2" t="str">
        <f t="shared" si="4"/>
        <v>NO</v>
      </c>
      <c r="J240" s="2" t="str">
        <f>IF(I240="YES",IFERROR(VLOOKUP(E240,Scan!A:A,1,0),"Not scanned"),"")</f>
        <v/>
      </c>
    </row>
    <row r="241" spans="9:10" x14ac:dyDescent="0.25">
      <c r="I241" s="2" t="str">
        <f t="shared" si="4"/>
        <v>NO</v>
      </c>
      <c r="J241" s="2" t="str">
        <f>IF(I241="YES",IFERROR(VLOOKUP(E241,Scan!A:A,1,0),"Not scanned"),"")</f>
        <v/>
      </c>
    </row>
    <row r="242" spans="9:10" x14ac:dyDescent="0.25">
      <c r="I242" s="2" t="str">
        <f t="shared" si="4"/>
        <v>NO</v>
      </c>
      <c r="J242" s="2" t="str">
        <f>IF(I242="YES",IFERROR(VLOOKUP(E242,Scan!A:A,1,0),"Not scanned"),"")</f>
        <v/>
      </c>
    </row>
    <row r="243" spans="9:10" x14ac:dyDescent="0.25">
      <c r="I243" s="2" t="str">
        <f t="shared" si="4"/>
        <v>NO</v>
      </c>
      <c r="J243" s="2" t="str">
        <f>IF(I243="YES",IFERROR(VLOOKUP(E243,Scan!A:A,1,0),"Not scanned"),"")</f>
        <v/>
      </c>
    </row>
    <row r="244" spans="9:10" x14ac:dyDescent="0.25">
      <c r="I244" s="2" t="str">
        <f t="shared" si="4"/>
        <v>NO</v>
      </c>
      <c r="J244" s="2" t="str">
        <f>IF(I244="YES",IFERROR(VLOOKUP(E244,Scan!A:A,1,0),"Not scanned"),"")</f>
        <v/>
      </c>
    </row>
    <row r="245" spans="9:10" x14ac:dyDescent="0.25">
      <c r="I245" s="2" t="str">
        <f t="shared" si="4"/>
        <v>NO</v>
      </c>
      <c r="J245" s="2" t="str">
        <f>IF(I245="YES",IFERROR(VLOOKUP(E245,Scan!A:A,1,0),"Not scanned"),"")</f>
        <v/>
      </c>
    </row>
    <row r="246" spans="9:10" x14ac:dyDescent="0.25">
      <c r="I246" s="2" t="str">
        <f t="shared" si="4"/>
        <v>NO</v>
      </c>
      <c r="J246" s="2" t="str">
        <f>IF(I246="YES",IFERROR(VLOOKUP(E246,Scan!A:A,1,0),"Not scanned"),"")</f>
        <v/>
      </c>
    </row>
    <row r="247" spans="9:10" x14ac:dyDescent="0.25">
      <c r="I247" s="2" t="str">
        <f t="shared" si="4"/>
        <v>NO</v>
      </c>
      <c r="J247" s="2" t="str">
        <f>IF(I247="YES",IFERROR(VLOOKUP(E247,Scan!A:A,1,0),"Not scanned"),"")</f>
        <v/>
      </c>
    </row>
    <row r="248" spans="9:10" x14ac:dyDescent="0.25">
      <c r="I248" s="2" t="str">
        <f t="shared" si="4"/>
        <v>NO</v>
      </c>
      <c r="J248" s="2" t="str">
        <f>IF(I248="YES",IFERROR(VLOOKUP(E248,Scan!A:A,1,0),"Not scanned"),"")</f>
        <v/>
      </c>
    </row>
    <row r="249" spans="9:10" x14ac:dyDescent="0.25">
      <c r="I249" s="2" t="str">
        <f t="shared" si="4"/>
        <v>NO</v>
      </c>
      <c r="J249" s="2" t="str">
        <f>IF(I249="YES",IFERROR(VLOOKUP(E249,Scan!A:A,1,0),"Not scanned"),"")</f>
        <v/>
      </c>
    </row>
    <row r="250" spans="9:10" x14ac:dyDescent="0.25">
      <c r="I250" s="2" t="str">
        <f t="shared" si="4"/>
        <v>NO</v>
      </c>
      <c r="J250" s="2" t="str">
        <f>IF(I250="YES",IFERROR(VLOOKUP(E250,Scan!A:A,1,0),"Not scanned"),"")</f>
        <v/>
      </c>
    </row>
    <row r="251" spans="9:10" x14ac:dyDescent="0.25">
      <c r="I251" s="2" t="str">
        <f t="shared" si="4"/>
        <v>NO</v>
      </c>
      <c r="J251" s="2" t="str">
        <f>IF(I251="YES",IFERROR(VLOOKUP(E251,Scan!A:A,1,0),"Not scanned"),"")</f>
        <v/>
      </c>
    </row>
    <row r="252" spans="9:10" x14ac:dyDescent="0.25">
      <c r="I252" s="2" t="str">
        <f t="shared" si="4"/>
        <v>NO</v>
      </c>
      <c r="J252" s="2" t="str">
        <f>IF(I252="YES",IFERROR(VLOOKUP(E252,Scan!A:A,1,0),"Not scanned"),"")</f>
        <v/>
      </c>
    </row>
    <row r="253" spans="9:10" x14ac:dyDescent="0.25">
      <c r="I253" s="2" t="str">
        <f t="shared" si="4"/>
        <v>NO</v>
      </c>
      <c r="J253" s="2" t="str">
        <f>IF(I253="YES",IFERROR(VLOOKUP(E253,Scan!A:A,1,0),"Not scanned"),"")</f>
        <v/>
      </c>
    </row>
    <row r="254" spans="9:10" x14ac:dyDescent="0.25">
      <c r="I254" s="2" t="str">
        <f t="shared" si="4"/>
        <v>NO</v>
      </c>
      <c r="J254" s="2" t="str">
        <f>IF(I254="YES",IFERROR(VLOOKUP(E254,Scan!A:A,1,0),"Not scanned"),"")</f>
        <v/>
      </c>
    </row>
    <row r="255" spans="9:10" x14ac:dyDescent="0.25">
      <c r="I255" s="2" t="str">
        <f t="shared" si="4"/>
        <v>NO</v>
      </c>
      <c r="J255" s="2" t="str">
        <f>IF(I255="YES",IFERROR(VLOOKUP(E255,Scan!A:A,1,0),"Not scanned"),"")</f>
        <v/>
      </c>
    </row>
    <row r="256" spans="9:10" x14ac:dyDescent="0.25">
      <c r="I256" s="2" t="str">
        <f t="shared" si="4"/>
        <v>NO</v>
      </c>
      <c r="J256" s="2" t="str">
        <f>IF(I256="YES",IFERROR(VLOOKUP(E256,Scan!A:A,1,0),"Not scanned"),"")</f>
        <v/>
      </c>
    </row>
    <row r="257" spans="9:10" x14ac:dyDescent="0.25">
      <c r="I257" s="2" t="str">
        <f t="shared" si="4"/>
        <v>NO</v>
      </c>
      <c r="J257" s="2" t="str">
        <f>IF(I257="YES",IFERROR(VLOOKUP(E257,Scan!A:A,1,0),"Not scanned"),"")</f>
        <v/>
      </c>
    </row>
    <row r="258" spans="9:10" x14ac:dyDescent="0.25">
      <c r="I258" s="2" t="str">
        <f t="shared" si="4"/>
        <v>NO</v>
      </c>
      <c r="J258" s="2" t="str">
        <f>IF(I258="YES",IFERROR(VLOOKUP(E258,Scan!A:A,1,0),"Not scanned"),"")</f>
        <v/>
      </c>
    </row>
    <row r="259" spans="9:10" x14ac:dyDescent="0.25">
      <c r="I259" s="2" t="str">
        <f t="shared" ref="I259:I322" si="5">IF(OR(E259="",E259="_",LEFT(E259,5)="SPARE"),"NO","YES")</f>
        <v>NO</v>
      </c>
      <c r="J259" s="2" t="str">
        <f>IF(I259="YES",IFERROR(VLOOKUP(E259,Scan!A:A,1,0),"Not scanned"),"")</f>
        <v/>
      </c>
    </row>
    <row r="260" spans="9:10" x14ac:dyDescent="0.25">
      <c r="I260" s="2" t="str">
        <f t="shared" si="5"/>
        <v>NO</v>
      </c>
      <c r="J260" s="2" t="str">
        <f>IF(I260="YES",IFERROR(VLOOKUP(E260,Scan!A:A,1,0),"Not scanned"),"")</f>
        <v/>
      </c>
    </row>
    <row r="261" spans="9:10" x14ac:dyDescent="0.25">
      <c r="I261" s="2" t="str">
        <f t="shared" si="5"/>
        <v>NO</v>
      </c>
      <c r="J261" s="2" t="str">
        <f>IF(I261="YES",IFERROR(VLOOKUP(E261,Scan!A:A,1,0),"Not scanned"),"")</f>
        <v/>
      </c>
    </row>
    <row r="262" spans="9:10" x14ac:dyDescent="0.25">
      <c r="I262" s="2" t="str">
        <f t="shared" si="5"/>
        <v>NO</v>
      </c>
      <c r="J262" s="2" t="str">
        <f>IF(I262="YES",IFERROR(VLOOKUP(E262,Scan!A:A,1,0),"Not scanned"),"")</f>
        <v/>
      </c>
    </row>
    <row r="263" spans="9:10" x14ac:dyDescent="0.25">
      <c r="I263" s="2" t="str">
        <f t="shared" si="5"/>
        <v>NO</v>
      </c>
      <c r="J263" s="2" t="str">
        <f>IF(I263="YES",IFERROR(VLOOKUP(E263,Scan!A:A,1,0),"Not scanned"),"")</f>
        <v/>
      </c>
    </row>
    <row r="264" spans="9:10" x14ac:dyDescent="0.25">
      <c r="I264" s="2" t="str">
        <f t="shared" si="5"/>
        <v>NO</v>
      </c>
      <c r="J264" s="2" t="str">
        <f>IF(I264="YES",IFERROR(VLOOKUP(E264,Scan!A:A,1,0),"Not scanned"),"")</f>
        <v/>
      </c>
    </row>
    <row r="265" spans="9:10" x14ac:dyDescent="0.25">
      <c r="I265" s="2" t="str">
        <f t="shared" si="5"/>
        <v>NO</v>
      </c>
      <c r="J265" s="2" t="str">
        <f>IF(I265="YES",IFERROR(VLOOKUP(E265,Scan!A:A,1,0),"Not scanned"),"")</f>
        <v/>
      </c>
    </row>
    <row r="266" spans="9:10" x14ac:dyDescent="0.25">
      <c r="I266" s="2" t="str">
        <f t="shared" si="5"/>
        <v>NO</v>
      </c>
      <c r="J266" s="2" t="str">
        <f>IF(I266="YES",IFERROR(VLOOKUP(E266,Scan!A:A,1,0),"Not scanned"),"")</f>
        <v/>
      </c>
    </row>
    <row r="267" spans="9:10" x14ac:dyDescent="0.25">
      <c r="I267" s="2" t="str">
        <f t="shared" si="5"/>
        <v>NO</v>
      </c>
      <c r="J267" s="2" t="str">
        <f>IF(I267="YES",IFERROR(VLOOKUP(E267,Scan!A:A,1,0),"Not scanned"),"")</f>
        <v/>
      </c>
    </row>
    <row r="268" spans="9:10" x14ac:dyDescent="0.25">
      <c r="I268" s="2" t="str">
        <f t="shared" si="5"/>
        <v>NO</v>
      </c>
      <c r="J268" s="2" t="str">
        <f>IF(I268="YES",IFERROR(VLOOKUP(E268,Scan!A:A,1,0),"Not scanned"),"")</f>
        <v/>
      </c>
    </row>
    <row r="269" spans="9:10" x14ac:dyDescent="0.25">
      <c r="I269" s="2" t="str">
        <f t="shared" si="5"/>
        <v>NO</v>
      </c>
      <c r="J269" s="2" t="str">
        <f>IF(I269="YES",IFERROR(VLOOKUP(E269,Scan!A:A,1,0),"Not scanned"),"")</f>
        <v/>
      </c>
    </row>
    <row r="270" spans="9:10" x14ac:dyDescent="0.25">
      <c r="I270" s="2" t="str">
        <f t="shared" si="5"/>
        <v>NO</v>
      </c>
      <c r="J270" s="2" t="str">
        <f>IF(I270="YES",IFERROR(VLOOKUP(E270,Scan!A:A,1,0),"Not scanned"),"")</f>
        <v/>
      </c>
    </row>
    <row r="271" spans="9:10" x14ac:dyDescent="0.25">
      <c r="I271" s="2" t="str">
        <f t="shared" si="5"/>
        <v>NO</v>
      </c>
      <c r="J271" s="2" t="str">
        <f>IF(I271="YES",IFERROR(VLOOKUP(E271,Scan!A:A,1,0),"Not scanned"),"")</f>
        <v/>
      </c>
    </row>
    <row r="272" spans="9:10" x14ac:dyDescent="0.25">
      <c r="I272" s="2" t="str">
        <f t="shared" si="5"/>
        <v>NO</v>
      </c>
      <c r="J272" s="2" t="str">
        <f>IF(I272="YES",IFERROR(VLOOKUP(E272,Scan!A:A,1,0),"Not scanned"),"")</f>
        <v/>
      </c>
    </row>
    <row r="273" spans="9:10" x14ac:dyDescent="0.25">
      <c r="I273" s="2" t="str">
        <f t="shared" si="5"/>
        <v>NO</v>
      </c>
      <c r="J273" s="2" t="str">
        <f>IF(I273="YES",IFERROR(VLOOKUP(E273,Scan!A:A,1,0),"Not scanned"),"")</f>
        <v/>
      </c>
    </row>
    <row r="274" spans="9:10" x14ac:dyDescent="0.25">
      <c r="I274" s="2" t="str">
        <f t="shared" si="5"/>
        <v>NO</v>
      </c>
      <c r="J274" s="2" t="str">
        <f>IF(I274="YES",IFERROR(VLOOKUP(E274,Scan!A:A,1,0),"Not scanned"),"")</f>
        <v/>
      </c>
    </row>
    <row r="275" spans="9:10" x14ac:dyDescent="0.25">
      <c r="I275" s="2" t="str">
        <f t="shared" si="5"/>
        <v>NO</v>
      </c>
      <c r="J275" s="2" t="str">
        <f>IF(I275="YES",IFERROR(VLOOKUP(E275,Scan!A:A,1,0),"Not scanned"),"")</f>
        <v/>
      </c>
    </row>
    <row r="276" spans="9:10" x14ac:dyDescent="0.25">
      <c r="I276" s="2" t="str">
        <f t="shared" si="5"/>
        <v>NO</v>
      </c>
      <c r="J276" s="2" t="str">
        <f>IF(I276="YES",IFERROR(VLOOKUP(E276,Scan!A:A,1,0),"Not scanned"),"")</f>
        <v/>
      </c>
    </row>
    <row r="277" spans="9:10" x14ac:dyDescent="0.25">
      <c r="I277" s="2" t="str">
        <f t="shared" si="5"/>
        <v>NO</v>
      </c>
      <c r="J277" s="2" t="str">
        <f>IF(I277="YES",IFERROR(VLOOKUP(E277,Scan!A:A,1,0),"Not scanned"),"")</f>
        <v/>
      </c>
    </row>
    <row r="278" spans="9:10" x14ac:dyDescent="0.25">
      <c r="I278" s="2" t="str">
        <f t="shared" si="5"/>
        <v>NO</v>
      </c>
      <c r="J278" s="2" t="str">
        <f>IF(I278="YES",IFERROR(VLOOKUP(E278,Scan!A:A,1,0),"Not scanned"),"")</f>
        <v/>
      </c>
    </row>
    <row r="279" spans="9:10" x14ac:dyDescent="0.25">
      <c r="I279" s="2" t="str">
        <f t="shared" si="5"/>
        <v>NO</v>
      </c>
      <c r="J279" s="2" t="str">
        <f>IF(I279="YES",IFERROR(VLOOKUP(E279,Scan!A:A,1,0),"Not scanned"),"")</f>
        <v/>
      </c>
    </row>
    <row r="280" spans="9:10" x14ac:dyDescent="0.25">
      <c r="I280" s="2" t="str">
        <f t="shared" si="5"/>
        <v>NO</v>
      </c>
      <c r="J280" s="2" t="str">
        <f>IF(I280="YES",IFERROR(VLOOKUP(E280,Scan!A:A,1,0),"Not scanned"),"")</f>
        <v/>
      </c>
    </row>
    <row r="281" spans="9:10" x14ac:dyDescent="0.25">
      <c r="I281" s="2" t="str">
        <f t="shared" si="5"/>
        <v>NO</v>
      </c>
      <c r="J281" s="2" t="str">
        <f>IF(I281="YES",IFERROR(VLOOKUP(E281,Scan!A:A,1,0),"Not scanned"),"")</f>
        <v/>
      </c>
    </row>
    <row r="282" spans="9:10" x14ac:dyDescent="0.25">
      <c r="I282" s="2" t="str">
        <f t="shared" si="5"/>
        <v>NO</v>
      </c>
      <c r="J282" s="2" t="str">
        <f>IF(I282="YES",IFERROR(VLOOKUP(E282,Scan!A:A,1,0),"Not scanned"),"")</f>
        <v/>
      </c>
    </row>
    <row r="283" spans="9:10" x14ac:dyDescent="0.25">
      <c r="I283" s="2" t="str">
        <f t="shared" si="5"/>
        <v>NO</v>
      </c>
      <c r="J283" s="2" t="str">
        <f>IF(I283="YES",IFERROR(VLOOKUP(E283,Scan!A:A,1,0),"Not scanned"),"")</f>
        <v/>
      </c>
    </row>
    <row r="284" spans="9:10" x14ac:dyDescent="0.25">
      <c r="I284" s="2" t="str">
        <f t="shared" si="5"/>
        <v>NO</v>
      </c>
      <c r="J284" s="2" t="str">
        <f>IF(I284="YES",IFERROR(VLOOKUP(E284,Scan!A:A,1,0),"Not scanned"),"")</f>
        <v/>
      </c>
    </row>
    <row r="285" spans="9:10" x14ac:dyDescent="0.25">
      <c r="I285" s="2" t="str">
        <f t="shared" si="5"/>
        <v>NO</v>
      </c>
      <c r="J285" s="2" t="str">
        <f>IF(I285="YES",IFERROR(VLOOKUP(E285,Scan!A:A,1,0),"Not scanned"),"")</f>
        <v/>
      </c>
    </row>
    <row r="286" spans="9:10" x14ac:dyDescent="0.25">
      <c r="I286" s="2" t="str">
        <f t="shared" si="5"/>
        <v>NO</v>
      </c>
      <c r="J286" s="2" t="str">
        <f>IF(I286="YES",IFERROR(VLOOKUP(E286,Scan!A:A,1,0),"Not scanned"),"")</f>
        <v/>
      </c>
    </row>
    <row r="287" spans="9:10" x14ac:dyDescent="0.25">
      <c r="I287" s="2" t="str">
        <f t="shared" si="5"/>
        <v>NO</v>
      </c>
      <c r="J287" s="2" t="str">
        <f>IF(I287="YES",IFERROR(VLOOKUP(E287,Scan!A:A,1,0),"Not scanned"),"")</f>
        <v/>
      </c>
    </row>
    <row r="288" spans="9:10" x14ac:dyDescent="0.25">
      <c r="I288" s="2" t="str">
        <f t="shared" si="5"/>
        <v>NO</v>
      </c>
      <c r="J288" s="2" t="str">
        <f>IF(I288="YES",IFERROR(VLOOKUP(E288,Scan!A:A,1,0),"Not scanned"),"")</f>
        <v/>
      </c>
    </row>
    <row r="289" spans="9:10" x14ac:dyDescent="0.25">
      <c r="I289" s="2" t="str">
        <f t="shared" si="5"/>
        <v>NO</v>
      </c>
      <c r="J289" s="2" t="str">
        <f>IF(I289="YES",IFERROR(VLOOKUP(E289,Scan!A:A,1,0),"Not scanned"),"")</f>
        <v/>
      </c>
    </row>
    <row r="290" spans="9:10" x14ac:dyDescent="0.25">
      <c r="I290" s="2" t="str">
        <f t="shared" si="5"/>
        <v>NO</v>
      </c>
      <c r="J290" s="2" t="str">
        <f>IF(I290="YES",IFERROR(VLOOKUP(E290,Scan!A:A,1,0),"Not scanned"),"")</f>
        <v/>
      </c>
    </row>
    <row r="291" spans="9:10" x14ac:dyDescent="0.25">
      <c r="I291" s="2" t="str">
        <f t="shared" si="5"/>
        <v>NO</v>
      </c>
      <c r="J291" s="2" t="str">
        <f>IF(I291="YES",IFERROR(VLOOKUP(E291,Scan!A:A,1,0),"Not scanned"),"")</f>
        <v/>
      </c>
    </row>
    <row r="292" spans="9:10" x14ac:dyDescent="0.25">
      <c r="I292" s="2" t="str">
        <f t="shared" si="5"/>
        <v>NO</v>
      </c>
      <c r="J292" s="2" t="str">
        <f>IF(I292="YES",IFERROR(VLOOKUP(E292,Scan!A:A,1,0),"Not scanned"),"")</f>
        <v/>
      </c>
    </row>
    <row r="293" spans="9:10" x14ac:dyDescent="0.25">
      <c r="I293" s="2" t="str">
        <f t="shared" si="5"/>
        <v>NO</v>
      </c>
      <c r="J293" s="2" t="str">
        <f>IF(I293="YES",IFERROR(VLOOKUP(E293,Scan!A:A,1,0),"Not scanned"),"")</f>
        <v/>
      </c>
    </row>
    <row r="294" spans="9:10" x14ac:dyDescent="0.25">
      <c r="I294" s="2" t="str">
        <f t="shared" si="5"/>
        <v>NO</v>
      </c>
      <c r="J294" s="2" t="str">
        <f>IF(I294="YES",IFERROR(VLOOKUP(E294,Scan!A:A,1,0),"Not scanned"),"")</f>
        <v/>
      </c>
    </row>
    <row r="295" spans="9:10" x14ac:dyDescent="0.25">
      <c r="I295" s="2" t="str">
        <f t="shared" si="5"/>
        <v>NO</v>
      </c>
      <c r="J295" s="2" t="str">
        <f>IF(I295="YES",IFERROR(VLOOKUP(E295,Scan!A:A,1,0),"Not scanned"),"")</f>
        <v/>
      </c>
    </row>
    <row r="296" spans="9:10" x14ac:dyDescent="0.25">
      <c r="I296" s="2" t="str">
        <f t="shared" si="5"/>
        <v>NO</v>
      </c>
      <c r="J296" s="2" t="str">
        <f>IF(I296="YES",IFERROR(VLOOKUP(E296,Scan!A:A,1,0),"Not scanned"),"")</f>
        <v/>
      </c>
    </row>
    <row r="297" spans="9:10" x14ac:dyDescent="0.25">
      <c r="I297" s="2" t="str">
        <f t="shared" si="5"/>
        <v>NO</v>
      </c>
      <c r="J297" s="2" t="str">
        <f>IF(I297="YES",IFERROR(VLOOKUP(E297,Scan!A:A,1,0),"Not scanned"),"")</f>
        <v/>
      </c>
    </row>
    <row r="298" spans="9:10" x14ac:dyDescent="0.25">
      <c r="I298" s="2" t="str">
        <f t="shared" si="5"/>
        <v>NO</v>
      </c>
      <c r="J298" s="2" t="str">
        <f>IF(I298="YES",IFERROR(VLOOKUP(E298,Scan!A:A,1,0),"Not scanned"),"")</f>
        <v/>
      </c>
    </row>
    <row r="299" spans="9:10" x14ac:dyDescent="0.25">
      <c r="I299" s="2" t="str">
        <f t="shared" si="5"/>
        <v>NO</v>
      </c>
      <c r="J299" s="2" t="str">
        <f>IF(I299="YES",IFERROR(VLOOKUP(E299,Scan!A:A,1,0),"Not scanned"),"")</f>
        <v/>
      </c>
    </row>
    <row r="300" spans="9:10" x14ac:dyDescent="0.25">
      <c r="I300" s="2" t="str">
        <f t="shared" si="5"/>
        <v>NO</v>
      </c>
      <c r="J300" s="2" t="str">
        <f>IF(I300="YES",IFERROR(VLOOKUP(E300,Scan!A:A,1,0),"Not scanned"),"")</f>
        <v/>
      </c>
    </row>
    <row r="301" spans="9:10" x14ac:dyDescent="0.25">
      <c r="I301" s="2" t="str">
        <f t="shared" si="5"/>
        <v>NO</v>
      </c>
      <c r="J301" s="2" t="str">
        <f>IF(I301="YES",IFERROR(VLOOKUP(E301,Scan!A:A,1,0),"Not scanned"),"")</f>
        <v/>
      </c>
    </row>
    <row r="302" spans="9:10" x14ac:dyDescent="0.25">
      <c r="I302" s="2" t="str">
        <f t="shared" si="5"/>
        <v>NO</v>
      </c>
      <c r="J302" s="2" t="str">
        <f>IF(I302="YES",IFERROR(VLOOKUP(E302,Scan!A:A,1,0),"Not scanned"),"")</f>
        <v/>
      </c>
    </row>
    <row r="303" spans="9:10" x14ac:dyDescent="0.25">
      <c r="I303" s="2" t="str">
        <f t="shared" si="5"/>
        <v>NO</v>
      </c>
      <c r="J303" s="2" t="str">
        <f>IF(I303="YES",IFERROR(VLOOKUP(E303,Scan!A:A,1,0),"Not scanned"),"")</f>
        <v/>
      </c>
    </row>
    <row r="304" spans="9:10" x14ac:dyDescent="0.25">
      <c r="I304" s="2" t="str">
        <f t="shared" si="5"/>
        <v>NO</v>
      </c>
      <c r="J304" s="2" t="str">
        <f>IF(I304="YES",IFERROR(VLOOKUP(E304,Scan!A:A,1,0),"Not scanned"),"")</f>
        <v/>
      </c>
    </row>
    <row r="305" spans="9:10" x14ac:dyDescent="0.25">
      <c r="I305" s="2" t="str">
        <f t="shared" si="5"/>
        <v>NO</v>
      </c>
      <c r="J305" s="2" t="str">
        <f>IF(I305="YES",IFERROR(VLOOKUP(E305,Scan!A:A,1,0),"Not scanned"),"")</f>
        <v/>
      </c>
    </row>
    <row r="306" spans="9:10" x14ac:dyDescent="0.25">
      <c r="I306" s="2" t="str">
        <f t="shared" si="5"/>
        <v>NO</v>
      </c>
      <c r="J306" s="2" t="str">
        <f>IF(I306="YES",IFERROR(VLOOKUP(E306,Scan!A:A,1,0),"Not scanned"),"")</f>
        <v/>
      </c>
    </row>
    <row r="307" spans="9:10" x14ac:dyDescent="0.25">
      <c r="I307" s="2" t="str">
        <f t="shared" si="5"/>
        <v>NO</v>
      </c>
      <c r="J307" s="2" t="str">
        <f>IF(I307="YES",IFERROR(VLOOKUP(E307,Scan!A:A,1,0),"Not scanned"),"")</f>
        <v/>
      </c>
    </row>
    <row r="308" spans="9:10" x14ac:dyDescent="0.25">
      <c r="I308" s="2" t="str">
        <f t="shared" si="5"/>
        <v>NO</v>
      </c>
      <c r="J308" s="2" t="str">
        <f>IF(I308="YES",IFERROR(VLOOKUP(E308,Scan!A:A,1,0),"Not scanned"),"")</f>
        <v/>
      </c>
    </row>
    <row r="309" spans="9:10" x14ac:dyDescent="0.25">
      <c r="I309" s="2" t="str">
        <f t="shared" si="5"/>
        <v>NO</v>
      </c>
      <c r="J309" s="2" t="str">
        <f>IF(I309="YES",IFERROR(VLOOKUP(E309,Scan!A:A,1,0),"Not scanned"),"")</f>
        <v/>
      </c>
    </row>
    <row r="310" spans="9:10" x14ac:dyDescent="0.25">
      <c r="I310" s="2" t="str">
        <f t="shared" si="5"/>
        <v>NO</v>
      </c>
      <c r="J310" s="2" t="str">
        <f>IF(I310="YES",IFERROR(VLOOKUP(E310,Scan!A:A,1,0),"Not scanned"),"")</f>
        <v/>
      </c>
    </row>
    <row r="311" spans="9:10" x14ac:dyDescent="0.25">
      <c r="I311" s="2" t="str">
        <f t="shared" si="5"/>
        <v>NO</v>
      </c>
      <c r="J311" s="2" t="str">
        <f>IF(I311="YES",IFERROR(VLOOKUP(E311,Scan!A:A,1,0),"Not scanned"),"")</f>
        <v/>
      </c>
    </row>
    <row r="312" spans="9:10" x14ac:dyDescent="0.25">
      <c r="I312" s="2" t="str">
        <f t="shared" si="5"/>
        <v>NO</v>
      </c>
      <c r="J312" s="2" t="str">
        <f>IF(I312="YES",IFERROR(VLOOKUP(E312,Scan!A:A,1,0),"Not scanned"),"")</f>
        <v/>
      </c>
    </row>
    <row r="313" spans="9:10" x14ac:dyDescent="0.25">
      <c r="I313" s="2" t="str">
        <f t="shared" si="5"/>
        <v>NO</v>
      </c>
      <c r="J313" s="2" t="str">
        <f>IF(I313="YES",IFERROR(VLOOKUP(E313,Scan!A:A,1,0),"Not scanned"),"")</f>
        <v/>
      </c>
    </row>
    <row r="314" spans="9:10" x14ac:dyDescent="0.25">
      <c r="I314" s="2" t="str">
        <f t="shared" si="5"/>
        <v>NO</v>
      </c>
      <c r="J314" s="2" t="str">
        <f>IF(I314="YES",IFERROR(VLOOKUP(E314,Scan!A:A,1,0),"Not scanned"),"")</f>
        <v/>
      </c>
    </row>
    <row r="315" spans="9:10" x14ac:dyDescent="0.25">
      <c r="I315" s="2" t="str">
        <f t="shared" si="5"/>
        <v>NO</v>
      </c>
      <c r="J315" s="2" t="str">
        <f>IF(I315="YES",IFERROR(VLOOKUP(E315,Scan!A:A,1,0),"Not scanned"),"")</f>
        <v/>
      </c>
    </row>
    <row r="316" spans="9:10" x14ac:dyDescent="0.25">
      <c r="I316" s="2" t="str">
        <f t="shared" si="5"/>
        <v>NO</v>
      </c>
      <c r="J316" s="2" t="str">
        <f>IF(I316="YES",IFERROR(VLOOKUP(E316,Scan!A:A,1,0),"Not scanned"),"")</f>
        <v/>
      </c>
    </row>
    <row r="317" spans="9:10" x14ac:dyDescent="0.25">
      <c r="I317" s="2" t="str">
        <f t="shared" si="5"/>
        <v>NO</v>
      </c>
      <c r="J317" s="2" t="str">
        <f>IF(I317="YES",IFERROR(VLOOKUP(E317,Scan!A:A,1,0),"Not scanned"),"")</f>
        <v/>
      </c>
    </row>
    <row r="318" spans="9:10" x14ac:dyDescent="0.25">
      <c r="I318" s="2" t="str">
        <f t="shared" si="5"/>
        <v>NO</v>
      </c>
      <c r="J318" s="2" t="str">
        <f>IF(I318="YES",IFERROR(VLOOKUP(E318,Scan!A:A,1,0),"Not scanned"),"")</f>
        <v/>
      </c>
    </row>
    <row r="319" spans="9:10" x14ac:dyDescent="0.25">
      <c r="I319" s="2" t="str">
        <f t="shared" si="5"/>
        <v>NO</v>
      </c>
      <c r="J319" s="2" t="str">
        <f>IF(I319="YES",IFERROR(VLOOKUP(E319,Scan!A:A,1,0),"Not scanned"),"")</f>
        <v/>
      </c>
    </row>
    <row r="320" spans="9:10" x14ac:dyDescent="0.25">
      <c r="I320" s="2" t="str">
        <f t="shared" si="5"/>
        <v>NO</v>
      </c>
      <c r="J320" s="2" t="str">
        <f>IF(I320="YES",IFERROR(VLOOKUP(E320,Scan!A:A,1,0),"Not scanned"),"")</f>
        <v/>
      </c>
    </row>
    <row r="321" spans="9:10" x14ac:dyDescent="0.25">
      <c r="I321" s="2" t="str">
        <f t="shared" si="5"/>
        <v>NO</v>
      </c>
      <c r="J321" s="2" t="str">
        <f>IF(I321="YES",IFERROR(VLOOKUP(E321,Scan!A:A,1,0),"Not scanned"),"")</f>
        <v/>
      </c>
    </row>
    <row r="322" spans="9:10" x14ac:dyDescent="0.25">
      <c r="I322" s="2" t="str">
        <f t="shared" si="5"/>
        <v>NO</v>
      </c>
      <c r="J322" s="2" t="str">
        <f>IF(I322="YES",IFERROR(VLOOKUP(E322,Scan!A:A,1,0),"Not scanned"),"")</f>
        <v/>
      </c>
    </row>
    <row r="323" spans="9:10" x14ac:dyDescent="0.25">
      <c r="I323" s="2" t="str">
        <f t="shared" ref="I323:I386" si="6">IF(OR(E323="",E323="_",LEFT(E323,5)="SPARE"),"NO","YES")</f>
        <v>NO</v>
      </c>
      <c r="J323" s="2" t="str">
        <f>IF(I323="YES",IFERROR(VLOOKUP(E323,Scan!A:A,1,0),"Not scanned"),"")</f>
        <v/>
      </c>
    </row>
    <row r="324" spans="9:10" x14ac:dyDescent="0.25">
      <c r="I324" s="2" t="str">
        <f t="shared" si="6"/>
        <v>NO</v>
      </c>
      <c r="J324" s="2" t="str">
        <f>IF(I324="YES",IFERROR(VLOOKUP(E324,Scan!A:A,1,0),"Not scanned"),"")</f>
        <v/>
      </c>
    </row>
    <row r="325" spans="9:10" x14ac:dyDescent="0.25">
      <c r="I325" s="2" t="str">
        <f t="shared" si="6"/>
        <v>NO</v>
      </c>
      <c r="J325" s="2" t="str">
        <f>IF(I325="YES",IFERROR(VLOOKUP(E325,Scan!A:A,1,0),"Not scanned"),"")</f>
        <v/>
      </c>
    </row>
    <row r="326" spans="9:10" x14ac:dyDescent="0.25">
      <c r="I326" s="2" t="str">
        <f t="shared" si="6"/>
        <v>NO</v>
      </c>
      <c r="J326" s="2" t="str">
        <f>IF(I326="YES",IFERROR(VLOOKUP(E326,Scan!A:A,1,0),"Not scanned"),"")</f>
        <v/>
      </c>
    </row>
    <row r="327" spans="9:10" x14ac:dyDescent="0.25">
      <c r="I327" s="2" t="str">
        <f t="shared" si="6"/>
        <v>NO</v>
      </c>
      <c r="J327" s="2" t="str">
        <f>IF(I327="YES",IFERROR(VLOOKUP(E327,Scan!A:A,1,0),"Not scanned"),"")</f>
        <v/>
      </c>
    </row>
    <row r="328" spans="9:10" x14ac:dyDescent="0.25">
      <c r="I328" s="2" t="str">
        <f t="shared" si="6"/>
        <v>NO</v>
      </c>
      <c r="J328" s="2" t="str">
        <f>IF(I328="YES",IFERROR(VLOOKUP(E328,Scan!A:A,1,0),"Not scanned"),"")</f>
        <v/>
      </c>
    </row>
    <row r="329" spans="9:10" x14ac:dyDescent="0.25">
      <c r="I329" s="2" t="str">
        <f t="shared" si="6"/>
        <v>NO</v>
      </c>
      <c r="J329" s="2" t="str">
        <f>IF(I329="YES",IFERROR(VLOOKUP(E329,Scan!A:A,1,0),"Not scanned"),"")</f>
        <v/>
      </c>
    </row>
    <row r="330" spans="9:10" x14ac:dyDescent="0.25">
      <c r="I330" s="2" t="str">
        <f t="shared" si="6"/>
        <v>NO</v>
      </c>
      <c r="J330" s="2" t="str">
        <f>IF(I330="YES",IFERROR(VLOOKUP(E330,Scan!A:A,1,0),"Not scanned"),"")</f>
        <v/>
      </c>
    </row>
    <row r="331" spans="9:10" x14ac:dyDescent="0.25">
      <c r="I331" s="2" t="str">
        <f t="shared" si="6"/>
        <v>NO</v>
      </c>
      <c r="J331" s="2" t="str">
        <f>IF(I331="YES",IFERROR(VLOOKUP(E331,Scan!A:A,1,0),"Not scanned"),"")</f>
        <v/>
      </c>
    </row>
    <row r="332" spans="9:10" x14ac:dyDescent="0.25">
      <c r="I332" s="2" t="str">
        <f t="shared" si="6"/>
        <v>NO</v>
      </c>
      <c r="J332" s="2" t="str">
        <f>IF(I332="YES",IFERROR(VLOOKUP(E332,Scan!A:A,1,0),"Not scanned"),"")</f>
        <v/>
      </c>
    </row>
    <row r="333" spans="9:10" x14ac:dyDescent="0.25">
      <c r="I333" s="2" t="str">
        <f t="shared" si="6"/>
        <v>NO</v>
      </c>
      <c r="J333" s="2" t="str">
        <f>IF(I333="YES",IFERROR(VLOOKUP(E333,Scan!A:A,1,0),"Not scanned"),"")</f>
        <v/>
      </c>
    </row>
    <row r="334" spans="9:10" x14ac:dyDescent="0.25">
      <c r="I334" s="2" t="str">
        <f t="shared" si="6"/>
        <v>NO</v>
      </c>
      <c r="J334" s="2" t="str">
        <f>IF(I334="YES",IFERROR(VLOOKUP(E334,Scan!A:A,1,0),"Not scanned"),"")</f>
        <v/>
      </c>
    </row>
    <row r="335" spans="9:10" x14ac:dyDescent="0.25">
      <c r="I335" s="2" t="str">
        <f t="shared" si="6"/>
        <v>NO</v>
      </c>
      <c r="J335" s="2" t="str">
        <f>IF(I335="YES",IFERROR(VLOOKUP(E335,Scan!A:A,1,0),"Not scanned"),"")</f>
        <v/>
      </c>
    </row>
    <row r="336" spans="9:10" x14ac:dyDescent="0.25">
      <c r="I336" s="2" t="str">
        <f t="shared" si="6"/>
        <v>NO</v>
      </c>
      <c r="J336" s="2" t="str">
        <f>IF(I336="YES",IFERROR(VLOOKUP(E336,Scan!A:A,1,0),"Not scanned"),"")</f>
        <v/>
      </c>
    </row>
    <row r="337" spans="9:10" x14ac:dyDescent="0.25">
      <c r="I337" s="2" t="str">
        <f t="shared" si="6"/>
        <v>NO</v>
      </c>
      <c r="J337" s="2" t="str">
        <f>IF(I337="YES",IFERROR(VLOOKUP(E337,Scan!A:A,1,0),"Not scanned"),"")</f>
        <v/>
      </c>
    </row>
    <row r="338" spans="9:10" x14ac:dyDescent="0.25">
      <c r="I338" s="2" t="str">
        <f t="shared" si="6"/>
        <v>NO</v>
      </c>
      <c r="J338" s="2" t="str">
        <f>IF(I338="YES",IFERROR(VLOOKUP(E338,Scan!A:A,1,0),"Not scanned"),"")</f>
        <v/>
      </c>
    </row>
    <row r="339" spans="9:10" x14ac:dyDescent="0.25">
      <c r="I339" s="2" t="str">
        <f t="shared" si="6"/>
        <v>NO</v>
      </c>
      <c r="J339" s="2" t="str">
        <f>IF(I339="YES",IFERROR(VLOOKUP(E339,Scan!A:A,1,0),"Not scanned"),"")</f>
        <v/>
      </c>
    </row>
    <row r="340" spans="9:10" x14ac:dyDescent="0.25">
      <c r="I340" s="2" t="str">
        <f t="shared" si="6"/>
        <v>NO</v>
      </c>
      <c r="J340" s="2" t="str">
        <f>IF(I340="YES",IFERROR(VLOOKUP(E340,Scan!A:A,1,0),"Not scanned"),"")</f>
        <v/>
      </c>
    </row>
    <row r="341" spans="9:10" x14ac:dyDescent="0.25">
      <c r="I341" s="2" t="str">
        <f t="shared" si="6"/>
        <v>NO</v>
      </c>
      <c r="J341" s="2" t="str">
        <f>IF(I341="YES",IFERROR(VLOOKUP(E341,Scan!A:A,1,0),"Not scanned"),"")</f>
        <v/>
      </c>
    </row>
    <row r="342" spans="9:10" x14ac:dyDescent="0.25">
      <c r="I342" s="2" t="str">
        <f t="shared" si="6"/>
        <v>NO</v>
      </c>
      <c r="J342" s="2" t="str">
        <f>IF(I342="YES",IFERROR(VLOOKUP(E342,Scan!A:A,1,0),"Not scanned"),"")</f>
        <v/>
      </c>
    </row>
    <row r="343" spans="9:10" x14ac:dyDescent="0.25">
      <c r="I343" s="2" t="str">
        <f t="shared" si="6"/>
        <v>NO</v>
      </c>
      <c r="J343" s="2" t="str">
        <f>IF(I343="YES",IFERROR(VLOOKUP(E343,Scan!A:A,1,0),"Not scanned"),"")</f>
        <v/>
      </c>
    </row>
    <row r="344" spans="9:10" x14ac:dyDescent="0.25">
      <c r="I344" s="2" t="str">
        <f t="shared" si="6"/>
        <v>NO</v>
      </c>
      <c r="J344" s="2" t="str">
        <f>IF(I344="YES",IFERROR(VLOOKUP(E344,Scan!A:A,1,0),"Not scanned"),"")</f>
        <v/>
      </c>
    </row>
    <row r="345" spans="9:10" x14ac:dyDescent="0.25">
      <c r="I345" s="2" t="str">
        <f t="shared" si="6"/>
        <v>NO</v>
      </c>
      <c r="J345" s="2" t="str">
        <f>IF(I345="YES",IFERROR(VLOOKUP(E345,Scan!A:A,1,0),"Not scanned"),"")</f>
        <v/>
      </c>
    </row>
    <row r="346" spans="9:10" x14ac:dyDescent="0.25">
      <c r="I346" s="2" t="str">
        <f t="shared" si="6"/>
        <v>NO</v>
      </c>
      <c r="J346" s="2" t="str">
        <f>IF(I346="YES",IFERROR(VLOOKUP(E346,Scan!A:A,1,0),"Not scanned"),"")</f>
        <v/>
      </c>
    </row>
    <row r="347" spans="9:10" x14ac:dyDescent="0.25">
      <c r="I347" s="2" t="str">
        <f t="shared" si="6"/>
        <v>NO</v>
      </c>
      <c r="J347" s="2" t="str">
        <f>IF(I347="YES",IFERROR(VLOOKUP(E347,Scan!A:A,1,0),"Not scanned"),"")</f>
        <v/>
      </c>
    </row>
    <row r="348" spans="9:10" x14ac:dyDescent="0.25">
      <c r="I348" s="2" t="str">
        <f t="shared" si="6"/>
        <v>NO</v>
      </c>
      <c r="J348" s="2" t="str">
        <f>IF(I348="YES",IFERROR(VLOOKUP(E348,Scan!A:A,1,0),"Not scanned"),"")</f>
        <v/>
      </c>
    </row>
    <row r="349" spans="9:10" x14ac:dyDescent="0.25">
      <c r="I349" s="2" t="str">
        <f t="shared" si="6"/>
        <v>NO</v>
      </c>
      <c r="J349" s="2" t="str">
        <f>IF(I349="YES",IFERROR(VLOOKUP(E349,Scan!A:A,1,0),"Not scanned"),"")</f>
        <v/>
      </c>
    </row>
    <row r="350" spans="9:10" x14ac:dyDescent="0.25">
      <c r="I350" s="2" t="str">
        <f t="shared" si="6"/>
        <v>NO</v>
      </c>
      <c r="J350" s="2" t="str">
        <f>IF(I350="YES",IFERROR(VLOOKUP(E350,Scan!A:A,1,0),"Not scanned"),"")</f>
        <v/>
      </c>
    </row>
    <row r="351" spans="9:10" x14ac:dyDescent="0.25">
      <c r="I351" s="2" t="str">
        <f t="shared" si="6"/>
        <v>NO</v>
      </c>
      <c r="J351" s="2" t="str">
        <f>IF(I351="YES",IFERROR(VLOOKUP(E351,Scan!A:A,1,0),"Not scanned"),"")</f>
        <v/>
      </c>
    </row>
    <row r="352" spans="9:10" x14ac:dyDescent="0.25">
      <c r="I352" s="2" t="str">
        <f t="shared" si="6"/>
        <v>NO</v>
      </c>
      <c r="J352" s="2" t="str">
        <f>IF(I352="YES",IFERROR(VLOOKUP(E352,Scan!A:A,1,0),"Not scanned"),"")</f>
        <v/>
      </c>
    </row>
    <row r="353" spans="9:10" x14ac:dyDescent="0.25">
      <c r="I353" s="2" t="str">
        <f t="shared" si="6"/>
        <v>NO</v>
      </c>
      <c r="J353" s="2" t="str">
        <f>IF(I353="YES",IFERROR(VLOOKUP(E353,Scan!A:A,1,0),"Not scanned"),"")</f>
        <v/>
      </c>
    </row>
    <row r="354" spans="9:10" x14ac:dyDescent="0.25">
      <c r="I354" s="2" t="str">
        <f t="shared" si="6"/>
        <v>NO</v>
      </c>
      <c r="J354" s="2" t="str">
        <f>IF(I354="YES",IFERROR(VLOOKUP(E354,Scan!A:A,1,0),"Not scanned"),"")</f>
        <v/>
      </c>
    </row>
    <row r="355" spans="9:10" x14ac:dyDescent="0.25">
      <c r="I355" s="2" t="str">
        <f t="shared" si="6"/>
        <v>NO</v>
      </c>
      <c r="J355" s="2" t="str">
        <f>IF(I355="YES",IFERROR(VLOOKUP(E355,Scan!A:A,1,0),"Not scanned"),"")</f>
        <v/>
      </c>
    </row>
    <row r="356" spans="9:10" x14ac:dyDescent="0.25">
      <c r="I356" s="2" t="str">
        <f t="shared" si="6"/>
        <v>NO</v>
      </c>
      <c r="J356" s="2" t="str">
        <f>IF(I356="YES",IFERROR(VLOOKUP(E356,Scan!A:A,1,0),"Not scanned"),"")</f>
        <v/>
      </c>
    </row>
    <row r="357" spans="9:10" x14ac:dyDescent="0.25">
      <c r="I357" s="2" t="str">
        <f t="shared" si="6"/>
        <v>NO</v>
      </c>
      <c r="J357" s="2" t="str">
        <f>IF(I357="YES",IFERROR(VLOOKUP(E357,Scan!A:A,1,0),"Not scanned"),"")</f>
        <v/>
      </c>
    </row>
    <row r="358" spans="9:10" x14ac:dyDescent="0.25">
      <c r="I358" s="2" t="str">
        <f t="shared" si="6"/>
        <v>NO</v>
      </c>
      <c r="J358" s="2" t="str">
        <f>IF(I358="YES",IFERROR(VLOOKUP(E358,Scan!A:A,1,0),"Not scanned"),"")</f>
        <v/>
      </c>
    </row>
    <row r="359" spans="9:10" x14ac:dyDescent="0.25">
      <c r="I359" s="2" t="str">
        <f t="shared" si="6"/>
        <v>NO</v>
      </c>
      <c r="J359" s="2" t="str">
        <f>IF(I359="YES",IFERROR(VLOOKUP(E359,Scan!A:A,1,0),"Not scanned"),"")</f>
        <v/>
      </c>
    </row>
    <row r="360" spans="9:10" x14ac:dyDescent="0.25">
      <c r="I360" s="2" t="str">
        <f t="shared" si="6"/>
        <v>NO</v>
      </c>
      <c r="J360" s="2" t="str">
        <f>IF(I360="YES",IFERROR(VLOOKUP(E360,Scan!A:A,1,0),"Not scanned"),"")</f>
        <v/>
      </c>
    </row>
    <row r="361" spans="9:10" x14ac:dyDescent="0.25">
      <c r="I361" s="2" t="str">
        <f t="shared" si="6"/>
        <v>NO</v>
      </c>
      <c r="J361" s="2" t="str">
        <f>IF(I361="YES",IFERROR(VLOOKUP(E361,Scan!A:A,1,0),"Not scanned"),"")</f>
        <v/>
      </c>
    </row>
    <row r="362" spans="9:10" x14ac:dyDescent="0.25">
      <c r="I362" s="2" t="str">
        <f t="shared" si="6"/>
        <v>NO</v>
      </c>
      <c r="J362" s="2" t="str">
        <f>IF(I362="YES",IFERROR(VLOOKUP(E362,Scan!A:A,1,0),"Not scanned"),"")</f>
        <v/>
      </c>
    </row>
    <row r="363" spans="9:10" x14ac:dyDescent="0.25">
      <c r="I363" s="2" t="str">
        <f t="shared" si="6"/>
        <v>NO</v>
      </c>
      <c r="J363" s="2" t="str">
        <f>IF(I363="YES",IFERROR(VLOOKUP(E363,Scan!A:A,1,0),"Not scanned"),"")</f>
        <v/>
      </c>
    </row>
    <row r="364" spans="9:10" x14ac:dyDescent="0.25">
      <c r="I364" s="2" t="str">
        <f t="shared" si="6"/>
        <v>NO</v>
      </c>
      <c r="J364" s="2" t="str">
        <f>IF(I364="YES",IFERROR(VLOOKUP(E364,Scan!A:A,1,0),"Not scanned"),"")</f>
        <v/>
      </c>
    </row>
    <row r="365" spans="9:10" x14ac:dyDescent="0.25">
      <c r="I365" s="2" t="str">
        <f t="shared" si="6"/>
        <v>NO</v>
      </c>
      <c r="J365" s="2" t="str">
        <f>IF(I365="YES",IFERROR(VLOOKUP(E365,Scan!A:A,1,0),"Not scanned"),"")</f>
        <v/>
      </c>
    </row>
    <row r="366" spans="9:10" x14ac:dyDescent="0.25">
      <c r="I366" s="2" t="str">
        <f t="shared" si="6"/>
        <v>NO</v>
      </c>
      <c r="J366" s="2" t="str">
        <f>IF(I366="YES",IFERROR(VLOOKUP(E366,Scan!A:A,1,0),"Not scanned"),"")</f>
        <v/>
      </c>
    </row>
    <row r="367" spans="9:10" x14ac:dyDescent="0.25">
      <c r="I367" s="2" t="str">
        <f t="shared" si="6"/>
        <v>NO</v>
      </c>
      <c r="J367" s="2" t="str">
        <f>IF(I367="YES",IFERROR(VLOOKUP(E367,Scan!A:A,1,0),"Not scanned"),"")</f>
        <v/>
      </c>
    </row>
    <row r="368" spans="9:10" x14ac:dyDescent="0.25">
      <c r="I368" s="2" t="str">
        <f t="shared" si="6"/>
        <v>NO</v>
      </c>
      <c r="J368" s="2" t="str">
        <f>IF(I368="YES",IFERROR(VLOOKUP(E368,Scan!A:A,1,0),"Not scanned"),"")</f>
        <v/>
      </c>
    </row>
    <row r="369" spans="9:10" x14ac:dyDescent="0.25">
      <c r="I369" s="2" t="str">
        <f t="shared" si="6"/>
        <v>NO</v>
      </c>
      <c r="J369" s="2" t="str">
        <f>IF(I369="YES",IFERROR(VLOOKUP(E369,Scan!A:A,1,0),"Not scanned"),"")</f>
        <v/>
      </c>
    </row>
    <row r="370" spans="9:10" x14ac:dyDescent="0.25">
      <c r="I370" s="2" t="str">
        <f t="shared" si="6"/>
        <v>NO</v>
      </c>
      <c r="J370" s="2" t="str">
        <f>IF(I370="YES",IFERROR(VLOOKUP(E370,Scan!A:A,1,0),"Not scanned"),"")</f>
        <v/>
      </c>
    </row>
    <row r="371" spans="9:10" x14ac:dyDescent="0.25">
      <c r="I371" s="2" t="str">
        <f t="shared" si="6"/>
        <v>NO</v>
      </c>
      <c r="J371" s="2" t="str">
        <f>IF(I371="YES",IFERROR(VLOOKUP(E371,Scan!A:A,1,0),"Not scanned"),"")</f>
        <v/>
      </c>
    </row>
    <row r="372" spans="9:10" x14ac:dyDescent="0.25">
      <c r="I372" s="2" t="str">
        <f t="shared" si="6"/>
        <v>NO</v>
      </c>
      <c r="J372" s="2" t="str">
        <f>IF(I372="YES",IFERROR(VLOOKUP(E372,Scan!A:A,1,0),"Not scanned"),"")</f>
        <v/>
      </c>
    </row>
    <row r="373" spans="9:10" x14ac:dyDescent="0.25">
      <c r="I373" s="2" t="str">
        <f t="shared" si="6"/>
        <v>NO</v>
      </c>
      <c r="J373" s="2" t="str">
        <f>IF(I373="YES",IFERROR(VLOOKUP(E373,Scan!A:A,1,0),"Not scanned"),"")</f>
        <v/>
      </c>
    </row>
    <row r="374" spans="9:10" x14ac:dyDescent="0.25">
      <c r="I374" s="2" t="str">
        <f t="shared" si="6"/>
        <v>NO</v>
      </c>
      <c r="J374" s="2" t="str">
        <f>IF(I374="YES",IFERROR(VLOOKUP(E374,Scan!A:A,1,0),"Not scanned"),"")</f>
        <v/>
      </c>
    </row>
    <row r="375" spans="9:10" x14ac:dyDescent="0.25">
      <c r="I375" s="2" t="str">
        <f t="shared" si="6"/>
        <v>NO</v>
      </c>
      <c r="J375" s="2" t="str">
        <f>IF(I375="YES",IFERROR(VLOOKUP(E375,Scan!A:A,1,0),"Not scanned"),"")</f>
        <v/>
      </c>
    </row>
    <row r="376" spans="9:10" x14ac:dyDescent="0.25">
      <c r="I376" s="2" t="str">
        <f t="shared" si="6"/>
        <v>NO</v>
      </c>
      <c r="J376" s="2" t="str">
        <f>IF(I376="YES",IFERROR(VLOOKUP(E376,Scan!A:A,1,0),"Not scanned"),"")</f>
        <v/>
      </c>
    </row>
    <row r="377" spans="9:10" x14ac:dyDescent="0.25">
      <c r="I377" s="2" t="str">
        <f t="shared" si="6"/>
        <v>NO</v>
      </c>
      <c r="J377" s="2" t="str">
        <f>IF(I377="YES",IFERROR(VLOOKUP(E377,Scan!A:A,1,0),"Not scanned"),"")</f>
        <v/>
      </c>
    </row>
    <row r="378" spans="9:10" x14ac:dyDescent="0.25">
      <c r="I378" s="2" t="str">
        <f t="shared" si="6"/>
        <v>NO</v>
      </c>
      <c r="J378" s="2" t="str">
        <f>IF(I378="YES",IFERROR(VLOOKUP(E378,Scan!A:A,1,0),"Not scanned"),"")</f>
        <v/>
      </c>
    </row>
    <row r="379" spans="9:10" x14ac:dyDescent="0.25">
      <c r="I379" s="2" t="str">
        <f t="shared" si="6"/>
        <v>NO</v>
      </c>
      <c r="J379" s="2" t="str">
        <f>IF(I379="YES",IFERROR(VLOOKUP(E379,Scan!A:A,1,0),"Not scanned"),"")</f>
        <v/>
      </c>
    </row>
    <row r="380" spans="9:10" x14ac:dyDescent="0.25">
      <c r="I380" s="2" t="str">
        <f t="shared" si="6"/>
        <v>NO</v>
      </c>
      <c r="J380" s="2" t="str">
        <f>IF(I380="YES",IFERROR(VLOOKUP(E380,Scan!A:A,1,0),"Not scanned"),"")</f>
        <v/>
      </c>
    </row>
    <row r="381" spans="9:10" x14ac:dyDescent="0.25">
      <c r="I381" s="2" t="str">
        <f t="shared" si="6"/>
        <v>NO</v>
      </c>
      <c r="J381" s="2" t="str">
        <f>IF(I381="YES",IFERROR(VLOOKUP(E381,Scan!A:A,1,0),"Not scanned"),"")</f>
        <v/>
      </c>
    </row>
    <row r="382" spans="9:10" x14ac:dyDescent="0.25">
      <c r="I382" s="2" t="str">
        <f t="shared" si="6"/>
        <v>NO</v>
      </c>
      <c r="J382" s="2" t="str">
        <f>IF(I382="YES",IFERROR(VLOOKUP(E382,Scan!A:A,1,0),"Not scanned"),"")</f>
        <v/>
      </c>
    </row>
    <row r="383" spans="9:10" x14ac:dyDescent="0.25">
      <c r="I383" s="2" t="str">
        <f t="shared" si="6"/>
        <v>NO</v>
      </c>
      <c r="J383" s="2" t="str">
        <f>IF(I383="YES",IFERROR(VLOOKUP(E383,Scan!A:A,1,0),"Not scanned"),"")</f>
        <v/>
      </c>
    </row>
    <row r="384" spans="9:10" x14ac:dyDescent="0.25">
      <c r="I384" s="2" t="str">
        <f t="shared" si="6"/>
        <v>NO</v>
      </c>
      <c r="J384" s="2" t="str">
        <f>IF(I384="YES",IFERROR(VLOOKUP(E384,Scan!A:A,1,0),"Not scanned"),"")</f>
        <v/>
      </c>
    </row>
    <row r="385" spans="9:10" x14ac:dyDescent="0.25">
      <c r="I385" s="2" t="str">
        <f t="shared" si="6"/>
        <v>NO</v>
      </c>
      <c r="J385" s="2" t="str">
        <f>IF(I385="YES",IFERROR(VLOOKUP(E385,Scan!A:A,1,0),"Not scanned"),"")</f>
        <v/>
      </c>
    </row>
    <row r="386" spans="9:10" x14ac:dyDescent="0.25">
      <c r="I386" s="2" t="str">
        <f t="shared" si="6"/>
        <v>NO</v>
      </c>
      <c r="J386" s="2" t="str">
        <f>IF(I386="YES",IFERROR(VLOOKUP(E386,Scan!A:A,1,0),"Not scanned"),"")</f>
        <v/>
      </c>
    </row>
    <row r="387" spans="9:10" x14ac:dyDescent="0.25">
      <c r="I387" s="2" t="str">
        <f t="shared" ref="I387:I450" si="7">IF(OR(E387="",E387="_",LEFT(E387,5)="SPARE"),"NO","YES")</f>
        <v>NO</v>
      </c>
      <c r="J387" s="2" t="str">
        <f>IF(I387="YES",IFERROR(VLOOKUP(E387,Scan!A:A,1,0),"Not scanned"),"")</f>
        <v/>
      </c>
    </row>
    <row r="388" spans="9:10" x14ac:dyDescent="0.25">
      <c r="I388" s="2" t="str">
        <f t="shared" si="7"/>
        <v>NO</v>
      </c>
      <c r="J388" s="2" t="str">
        <f>IF(I388="YES",IFERROR(VLOOKUP(E388,Scan!A:A,1,0),"Not scanned"),"")</f>
        <v/>
      </c>
    </row>
    <row r="389" spans="9:10" x14ac:dyDescent="0.25">
      <c r="I389" s="2" t="str">
        <f t="shared" si="7"/>
        <v>NO</v>
      </c>
      <c r="J389" s="2" t="str">
        <f>IF(I389="YES",IFERROR(VLOOKUP(E389,Scan!A:A,1,0),"Not scanned"),"")</f>
        <v/>
      </c>
    </row>
    <row r="390" spans="9:10" x14ac:dyDescent="0.25">
      <c r="I390" s="2" t="str">
        <f t="shared" si="7"/>
        <v>NO</v>
      </c>
      <c r="J390" s="2" t="str">
        <f>IF(I390="YES",IFERROR(VLOOKUP(E390,Scan!A:A,1,0),"Not scanned"),"")</f>
        <v/>
      </c>
    </row>
    <row r="391" spans="9:10" x14ac:dyDescent="0.25">
      <c r="I391" s="2" t="str">
        <f t="shared" si="7"/>
        <v>NO</v>
      </c>
      <c r="J391" s="2" t="str">
        <f>IF(I391="YES",IFERROR(VLOOKUP(E391,Scan!A:A,1,0),"Not scanned"),"")</f>
        <v/>
      </c>
    </row>
    <row r="392" spans="9:10" x14ac:dyDescent="0.25">
      <c r="I392" s="2" t="str">
        <f t="shared" si="7"/>
        <v>NO</v>
      </c>
      <c r="J392" s="2" t="str">
        <f>IF(I392="YES",IFERROR(VLOOKUP(E392,Scan!A:A,1,0),"Not scanned"),"")</f>
        <v/>
      </c>
    </row>
    <row r="393" spans="9:10" x14ac:dyDescent="0.25">
      <c r="I393" s="2" t="str">
        <f t="shared" si="7"/>
        <v>NO</v>
      </c>
      <c r="J393" s="2" t="str">
        <f>IF(I393="YES",IFERROR(VLOOKUP(E393,Scan!A:A,1,0),"Not scanned"),"")</f>
        <v/>
      </c>
    </row>
    <row r="394" spans="9:10" x14ac:dyDescent="0.25">
      <c r="I394" s="2" t="str">
        <f t="shared" si="7"/>
        <v>NO</v>
      </c>
      <c r="J394" s="2" t="str">
        <f>IF(I394="YES",IFERROR(VLOOKUP(E394,Scan!A:A,1,0),"Not scanned"),"")</f>
        <v/>
      </c>
    </row>
    <row r="395" spans="9:10" x14ac:dyDescent="0.25">
      <c r="I395" s="2" t="str">
        <f t="shared" si="7"/>
        <v>NO</v>
      </c>
      <c r="J395" s="2" t="str">
        <f>IF(I395="YES",IFERROR(VLOOKUP(E395,Scan!A:A,1,0),"Not scanned"),"")</f>
        <v/>
      </c>
    </row>
    <row r="396" spans="9:10" x14ac:dyDescent="0.25">
      <c r="I396" s="2" t="str">
        <f t="shared" si="7"/>
        <v>NO</v>
      </c>
      <c r="J396" s="2" t="str">
        <f>IF(I396="YES",IFERROR(VLOOKUP(E396,Scan!A:A,1,0),"Not scanned"),"")</f>
        <v/>
      </c>
    </row>
    <row r="397" spans="9:10" x14ac:dyDescent="0.25">
      <c r="I397" s="2" t="str">
        <f t="shared" si="7"/>
        <v>NO</v>
      </c>
      <c r="J397" s="2" t="str">
        <f>IF(I397="YES",IFERROR(VLOOKUP(E397,Scan!A:A,1,0),"Not scanned"),"")</f>
        <v/>
      </c>
    </row>
    <row r="398" spans="9:10" x14ac:dyDescent="0.25">
      <c r="I398" s="2" t="str">
        <f t="shared" si="7"/>
        <v>NO</v>
      </c>
      <c r="J398" s="2" t="str">
        <f>IF(I398="YES",IFERROR(VLOOKUP(E398,Scan!A:A,1,0),"Not scanned"),"")</f>
        <v/>
      </c>
    </row>
    <row r="399" spans="9:10" x14ac:dyDescent="0.25">
      <c r="I399" s="2" t="str">
        <f t="shared" si="7"/>
        <v>NO</v>
      </c>
      <c r="J399" s="2" t="str">
        <f>IF(I399="YES",IFERROR(VLOOKUP(E399,Scan!A:A,1,0),"Not scanned"),"")</f>
        <v/>
      </c>
    </row>
    <row r="400" spans="9:10" x14ac:dyDescent="0.25">
      <c r="I400" s="2" t="str">
        <f t="shared" si="7"/>
        <v>NO</v>
      </c>
      <c r="J400" s="2" t="str">
        <f>IF(I400="YES",IFERROR(VLOOKUP(E400,Scan!A:A,1,0),"Not scanned"),"")</f>
        <v/>
      </c>
    </row>
    <row r="401" spans="9:10" x14ac:dyDescent="0.25">
      <c r="I401" s="2" t="str">
        <f t="shared" si="7"/>
        <v>NO</v>
      </c>
      <c r="J401" s="2" t="str">
        <f>IF(I401="YES",IFERROR(VLOOKUP(E401,Scan!A:A,1,0),"Not scanned"),"")</f>
        <v/>
      </c>
    </row>
    <row r="402" spans="9:10" x14ac:dyDescent="0.25">
      <c r="I402" s="2" t="str">
        <f t="shared" si="7"/>
        <v>NO</v>
      </c>
      <c r="J402" s="2" t="str">
        <f>IF(I402="YES",IFERROR(VLOOKUP(E402,Scan!A:A,1,0),"Not scanned"),"")</f>
        <v/>
      </c>
    </row>
    <row r="403" spans="9:10" x14ac:dyDescent="0.25">
      <c r="I403" s="2" t="str">
        <f t="shared" si="7"/>
        <v>NO</v>
      </c>
      <c r="J403" s="2" t="str">
        <f>IF(I403="YES",IFERROR(VLOOKUP(E403,Scan!A:A,1,0),"Not scanned"),"")</f>
        <v/>
      </c>
    </row>
    <row r="404" spans="9:10" x14ac:dyDescent="0.25">
      <c r="I404" s="2" t="str">
        <f t="shared" si="7"/>
        <v>NO</v>
      </c>
      <c r="J404" s="2" t="str">
        <f>IF(I404="YES",IFERROR(VLOOKUP(E404,Scan!A:A,1,0),"Not scanned"),"")</f>
        <v/>
      </c>
    </row>
    <row r="405" spans="9:10" x14ac:dyDescent="0.25">
      <c r="I405" s="2" t="str">
        <f t="shared" si="7"/>
        <v>NO</v>
      </c>
      <c r="J405" s="2" t="str">
        <f>IF(I405="YES",IFERROR(VLOOKUP(E405,Scan!A:A,1,0),"Not scanned"),"")</f>
        <v/>
      </c>
    </row>
    <row r="406" spans="9:10" x14ac:dyDescent="0.25">
      <c r="I406" s="2" t="str">
        <f t="shared" si="7"/>
        <v>NO</v>
      </c>
      <c r="J406" s="2" t="str">
        <f>IF(I406="YES",IFERROR(VLOOKUP(E406,Scan!A:A,1,0),"Not scanned"),"")</f>
        <v/>
      </c>
    </row>
    <row r="407" spans="9:10" x14ac:dyDescent="0.25">
      <c r="I407" s="2" t="str">
        <f t="shared" si="7"/>
        <v>NO</v>
      </c>
      <c r="J407" s="2" t="str">
        <f>IF(I407="YES",IFERROR(VLOOKUP(E407,Scan!A:A,1,0),"Not scanned"),"")</f>
        <v/>
      </c>
    </row>
    <row r="408" spans="9:10" x14ac:dyDescent="0.25">
      <c r="I408" s="2" t="str">
        <f t="shared" si="7"/>
        <v>NO</v>
      </c>
      <c r="J408" s="2" t="str">
        <f>IF(I408="YES",IFERROR(VLOOKUP(E408,Scan!A:A,1,0),"Not scanned"),"")</f>
        <v/>
      </c>
    </row>
    <row r="409" spans="9:10" x14ac:dyDescent="0.25">
      <c r="I409" s="2" t="str">
        <f t="shared" si="7"/>
        <v>NO</v>
      </c>
      <c r="J409" s="2" t="str">
        <f>IF(I409="YES",IFERROR(VLOOKUP(E409,Scan!A:A,1,0),"Not scanned"),"")</f>
        <v/>
      </c>
    </row>
    <row r="410" spans="9:10" x14ac:dyDescent="0.25">
      <c r="I410" s="2" t="str">
        <f t="shared" si="7"/>
        <v>NO</v>
      </c>
      <c r="J410" s="2" t="str">
        <f>IF(I410="YES",IFERROR(VLOOKUP(E410,Scan!A:A,1,0),"Not scanned"),"")</f>
        <v/>
      </c>
    </row>
    <row r="411" spans="9:10" x14ac:dyDescent="0.25">
      <c r="I411" s="2" t="str">
        <f t="shared" si="7"/>
        <v>NO</v>
      </c>
      <c r="J411" s="2" t="str">
        <f>IF(I411="YES",IFERROR(VLOOKUP(E411,Scan!A:A,1,0),"Not scanned"),"")</f>
        <v/>
      </c>
    </row>
    <row r="412" spans="9:10" x14ac:dyDescent="0.25">
      <c r="I412" s="2" t="str">
        <f t="shared" si="7"/>
        <v>NO</v>
      </c>
      <c r="J412" s="2" t="str">
        <f>IF(I412="YES",IFERROR(VLOOKUP(E412,Scan!A:A,1,0),"Not scanned"),"")</f>
        <v/>
      </c>
    </row>
    <row r="413" spans="9:10" x14ac:dyDescent="0.25">
      <c r="I413" s="2" t="str">
        <f t="shared" si="7"/>
        <v>NO</v>
      </c>
      <c r="J413" s="2" t="str">
        <f>IF(I413="YES",IFERROR(VLOOKUP(E413,Scan!A:A,1,0),"Not scanned"),"")</f>
        <v/>
      </c>
    </row>
    <row r="414" spans="9:10" x14ac:dyDescent="0.25">
      <c r="I414" s="2" t="str">
        <f t="shared" si="7"/>
        <v>NO</v>
      </c>
      <c r="J414" s="2" t="str">
        <f>IF(I414="YES",IFERROR(VLOOKUP(E414,Scan!A:A,1,0),"Not scanned"),"")</f>
        <v/>
      </c>
    </row>
    <row r="415" spans="9:10" x14ac:dyDescent="0.25">
      <c r="I415" s="2" t="str">
        <f t="shared" si="7"/>
        <v>NO</v>
      </c>
      <c r="J415" s="2" t="str">
        <f>IF(I415="YES",IFERROR(VLOOKUP(E415,Scan!A:A,1,0),"Not scanned"),"")</f>
        <v/>
      </c>
    </row>
    <row r="416" spans="9:10" x14ac:dyDescent="0.25">
      <c r="I416" s="2" t="str">
        <f t="shared" si="7"/>
        <v>NO</v>
      </c>
      <c r="J416" s="2" t="str">
        <f>IF(I416="YES",IFERROR(VLOOKUP(E416,Scan!A:A,1,0),"Not scanned"),"")</f>
        <v/>
      </c>
    </row>
    <row r="417" spans="9:10" x14ac:dyDescent="0.25">
      <c r="I417" s="2" t="str">
        <f t="shared" si="7"/>
        <v>NO</v>
      </c>
      <c r="J417" s="2" t="str">
        <f>IF(I417="YES",IFERROR(VLOOKUP(E417,Scan!A:A,1,0),"Not scanned"),"")</f>
        <v/>
      </c>
    </row>
    <row r="418" spans="9:10" x14ac:dyDescent="0.25">
      <c r="I418" s="2" t="str">
        <f t="shared" si="7"/>
        <v>NO</v>
      </c>
      <c r="J418" s="2" t="str">
        <f>IF(I418="YES",IFERROR(VLOOKUP(E418,Scan!A:A,1,0),"Not scanned"),"")</f>
        <v/>
      </c>
    </row>
    <row r="419" spans="9:10" x14ac:dyDescent="0.25">
      <c r="I419" s="2" t="str">
        <f t="shared" si="7"/>
        <v>NO</v>
      </c>
      <c r="J419" s="2" t="str">
        <f>IF(I419="YES",IFERROR(VLOOKUP(E419,Scan!A:A,1,0),"Not scanned"),"")</f>
        <v/>
      </c>
    </row>
    <row r="420" spans="9:10" x14ac:dyDescent="0.25">
      <c r="I420" s="2" t="str">
        <f t="shared" si="7"/>
        <v>NO</v>
      </c>
      <c r="J420" s="2" t="str">
        <f>IF(I420="YES",IFERROR(VLOOKUP(E420,Scan!A:A,1,0),"Not scanned"),"")</f>
        <v/>
      </c>
    </row>
    <row r="421" spans="9:10" x14ac:dyDescent="0.25">
      <c r="I421" s="2" t="str">
        <f t="shared" si="7"/>
        <v>NO</v>
      </c>
      <c r="J421" s="2" t="str">
        <f>IF(I421="YES",IFERROR(VLOOKUP(E421,Scan!A:A,1,0),"Not scanned"),"")</f>
        <v/>
      </c>
    </row>
    <row r="422" spans="9:10" x14ac:dyDescent="0.25">
      <c r="I422" s="2" t="str">
        <f t="shared" si="7"/>
        <v>NO</v>
      </c>
      <c r="J422" s="2" t="str">
        <f>IF(I422="YES",IFERROR(VLOOKUP(E422,Scan!A:A,1,0),"Not scanned"),"")</f>
        <v/>
      </c>
    </row>
    <row r="423" spans="9:10" x14ac:dyDescent="0.25">
      <c r="I423" s="2" t="str">
        <f t="shared" si="7"/>
        <v>NO</v>
      </c>
      <c r="J423" s="2" t="str">
        <f>IF(I423="YES",IFERROR(VLOOKUP(E423,Scan!A:A,1,0),"Not scanned"),"")</f>
        <v/>
      </c>
    </row>
    <row r="424" spans="9:10" x14ac:dyDescent="0.25">
      <c r="I424" s="2" t="str">
        <f t="shared" si="7"/>
        <v>NO</v>
      </c>
      <c r="J424" s="2" t="str">
        <f>IF(I424="YES",IFERROR(VLOOKUP(E424,Scan!A:A,1,0),"Not scanned"),"")</f>
        <v/>
      </c>
    </row>
    <row r="425" spans="9:10" x14ac:dyDescent="0.25">
      <c r="I425" s="2" t="str">
        <f t="shared" si="7"/>
        <v>NO</v>
      </c>
      <c r="J425" s="2" t="str">
        <f>IF(I425="YES",IFERROR(VLOOKUP(E425,Scan!A:A,1,0),"Not scanned"),"")</f>
        <v/>
      </c>
    </row>
    <row r="426" spans="9:10" x14ac:dyDescent="0.25">
      <c r="I426" s="2" t="str">
        <f t="shared" si="7"/>
        <v>NO</v>
      </c>
      <c r="J426" s="2" t="str">
        <f>IF(I426="YES",IFERROR(VLOOKUP(E426,Scan!A:A,1,0),"Not scanned"),"")</f>
        <v/>
      </c>
    </row>
    <row r="427" spans="9:10" x14ac:dyDescent="0.25">
      <c r="I427" s="2" t="str">
        <f t="shared" si="7"/>
        <v>NO</v>
      </c>
      <c r="J427" s="2" t="str">
        <f>IF(I427="YES",IFERROR(VLOOKUP(E427,Scan!A:A,1,0),"Not scanned"),"")</f>
        <v/>
      </c>
    </row>
    <row r="428" spans="9:10" x14ac:dyDescent="0.25">
      <c r="I428" s="2" t="str">
        <f t="shared" si="7"/>
        <v>NO</v>
      </c>
      <c r="J428" s="2" t="str">
        <f>IF(I428="YES",IFERROR(VLOOKUP(E428,Scan!A:A,1,0),"Not scanned"),"")</f>
        <v/>
      </c>
    </row>
    <row r="429" spans="9:10" x14ac:dyDescent="0.25">
      <c r="I429" s="2" t="str">
        <f t="shared" si="7"/>
        <v>NO</v>
      </c>
      <c r="J429" s="2" t="str">
        <f>IF(I429="YES",IFERROR(VLOOKUP(E429,Scan!A:A,1,0),"Not scanned"),"")</f>
        <v/>
      </c>
    </row>
    <row r="430" spans="9:10" x14ac:dyDescent="0.25">
      <c r="I430" s="2" t="str">
        <f t="shared" si="7"/>
        <v>NO</v>
      </c>
      <c r="J430" s="2" t="str">
        <f>IF(I430="YES",IFERROR(VLOOKUP(E430,Scan!A:A,1,0),"Not scanned"),"")</f>
        <v/>
      </c>
    </row>
    <row r="431" spans="9:10" x14ac:dyDescent="0.25">
      <c r="I431" s="2" t="str">
        <f t="shared" si="7"/>
        <v>NO</v>
      </c>
      <c r="J431" s="2" t="str">
        <f>IF(I431="YES",IFERROR(VLOOKUP(E431,Scan!A:A,1,0),"Not scanned"),"")</f>
        <v/>
      </c>
    </row>
    <row r="432" spans="9:10" x14ac:dyDescent="0.25">
      <c r="I432" s="2" t="str">
        <f t="shared" si="7"/>
        <v>NO</v>
      </c>
      <c r="J432" s="2" t="str">
        <f>IF(I432="YES",IFERROR(VLOOKUP(E432,Scan!A:A,1,0),"Not scanned"),"")</f>
        <v/>
      </c>
    </row>
    <row r="433" spans="9:10" x14ac:dyDescent="0.25">
      <c r="I433" s="2" t="str">
        <f t="shared" si="7"/>
        <v>NO</v>
      </c>
      <c r="J433" s="2" t="str">
        <f>IF(I433="YES",IFERROR(VLOOKUP(E433,Scan!A:A,1,0),"Not scanned"),"")</f>
        <v/>
      </c>
    </row>
    <row r="434" spans="9:10" x14ac:dyDescent="0.25">
      <c r="I434" s="2" t="str">
        <f t="shared" si="7"/>
        <v>NO</v>
      </c>
      <c r="J434" s="2" t="str">
        <f>IF(I434="YES",IFERROR(VLOOKUP(E434,Scan!A:A,1,0),"Not scanned"),"")</f>
        <v/>
      </c>
    </row>
    <row r="435" spans="9:10" x14ac:dyDescent="0.25">
      <c r="I435" s="2" t="str">
        <f t="shared" si="7"/>
        <v>NO</v>
      </c>
      <c r="J435" s="2" t="str">
        <f>IF(I435="YES",IFERROR(VLOOKUP(E435,Scan!A:A,1,0),"Not scanned"),"")</f>
        <v/>
      </c>
    </row>
    <row r="436" spans="9:10" x14ac:dyDescent="0.25">
      <c r="I436" s="2" t="str">
        <f t="shared" si="7"/>
        <v>NO</v>
      </c>
      <c r="J436" s="2" t="str">
        <f>IF(I436="YES",IFERROR(VLOOKUP(E436,Scan!A:A,1,0),"Not scanned"),"")</f>
        <v/>
      </c>
    </row>
    <row r="437" spans="9:10" x14ac:dyDescent="0.25">
      <c r="I437" s="2" t="str">
        <f t="shared" si="7"/>
        <v>NO</v>
      </c>
      <c r="J437" s="2" t="str">
        <f>IF(I437="YES",IFERROR(VLOOKUP(E437,Scan!A:A,1,0),"Not scanned"),"")</f>
        <v/>
      </c>
    </row>
    <row r="438" spans="9:10" x14ac:dyDescent="0.25">
      <c r="I438" s="2" t="str">
        <f t="shared" si="7"/>
        <v>NO</v>
      </c>
      <c r="J438" s="2" t="str">
        <f>IF(I438="YES",IFERROR(VLOOKUP(E438,Scan!A:A,1,0),"Not scanned"),"")</f>
        <v/>
      </c>
    </row>
    <row r="439" spans="9:10" x14ac:dyDescent="0.25">
      <c r="I439" s="2" t="str">
        <f t="shared" si="7"/>
        <v>NO</v>
      </c>
      <c r="J439" s="2" t="str">
        <f>IF(I439="YES",IFERROR(VLOOKUP(E439,Scan!A:A,1,0),"Not scanned"),"")</f>
        <v/>
      </c>
    </row>
    <row r="440" spans="9:10" x14ac:dyDescent="0.25">
      <c r="I440" s="2" t="str">
        <f t="shared" si="7"/>
        <v>NO</v>
      </c>
      <c r="J440" s="2" t="str">
        <f>IF(I440="YES",IFERROR(VLOOKUP(E440,Scan!A:A,1,0),"Not scanned"),"")</f>
        <v/>
      </c>
    </row>
    <row r="441" spans="9:10" x14ac:dyDescent="0.25">
      <c r="I441" s="2" t="str">
        <f t="shared" si="7"/>
        <v>NO</v>
      </c>
      <c r="J441" s="2" t="str">
        <f>IF(I441="YES",IFERROR(VLOOKUP(E441,Scan!A:A,1,0),"Not scanned"),"")</f>
        <v/>
      </c>
    </row>
    <row r="442" spans="9:10" x14ac:dyDescent="0.25">
      <c r="I442" s="2" t="str">
        <f t="shared" si="7"/>
        <v>NO</v>
      </c>
      <c r="J442" s="2" t="str">
        <f>IF(I442="YES",IFERROR(VLOOKUP(E442,Scan!A:A,1,0),"Not scanned"),"")</f>
        <v/>
      </c>
    </row>
    <row r="443" spans="9:10" x14ac:dyDescent="0.25">
      <c r="I443" s="2" t="str">
        <f t="shared" si="7"/>
        <v>NO</v>
      </c>
      <c r="J443" s="2" t="str">
        <f>IF(I443="YES",IFERROR(VLOOKUP(E443,Scan!A:A,1,0),"Not scanned"),"")</f>
        <v/>
      </c>
    </row>
    <row r="444" spans="9:10" x14ac:dyDescent="0.25">
      <c r="I444" s="2" t="str">
        <f t="shared" si="7"/>
        <v>NO</v>
      </c>
      <c r="J444" s="2" t="str">
        <f>IF(I444="YES",IFERROR(VLOOKUP(E444,Scan!A:A,1,0),"Not scanned"),"")</f>
        <v/>
      </c>
    </row>
    <row r="445" spans="9:10" x14ac:dyDescent="0.25">
      <c r="I445" s="2" t="str">
        <f t="shared" si="7"/>
        <v>NO</v>
      </c>
      <c r="J445" s="2" t="str">
        <f>IF(I445="YES",IFERROR(VLOOKUP(E445,Scan!A:A,1,0),"Not scanned"),"")</f>
        <v/>
      </c>
    </row>
    <row r="446" spans="9:10" x14ac:dyDescent="0.25">
      <c r="I446" s="2" t="str">
        <f t="shared" si="7"/>
        <v>NO</v>
      </c>
      <c r="J446" s="2" t="str">
        <f>IF(I446="YES",IFERROR(VLOOKUP(E446,Scan!A:A,1,0),"Not scanned"),"")</f>
        <v/>
      </c>
    </row>
    <row r="447" spans="9:10" x14ac:dyDescent="0.25">
      <c r="I447" s="2" t="str">
        <f t="shared" si="7"/>
        <v>NO</v>
      </c>
      <c r="J447" s="2" t="str">
        <f>IF(I447="YES",IFERROR(VLOOKUP(E447,Scan!A:A,1,0),"Not scanned"),"")</f>
        <v/>
      </c>
    </row>
    <row r="448" spans="9:10" x14ac:dyDescent="0.25">
      <c r="I448" s="2" t="str">
        <f t="shared" si="7"/>
        <v>NO</v>
      </c>
      <c r="J448" s="2" t="str">
        <f>IF(I448="YES",IFERROR(VLOOKUP(E448,Scan!A:A,1,0),"Not scanned"),"")</f>
        <v/>
      </c>
    </row>
    <row r="449" spans="9:10" x14ac:dyDescent="0.25">
      <c r="I449" s="2" t="str">
        <f t="shared" si="7"/>
        <v>NO</v>
      </c>
      <c r="J449" s="2" t="str">
        <f>IF(I449="YES",IFERROR(VLOOKUP(E449,Scan!A:A,1,0),"Not scanned"),"")</f>
        <v/>
      </c>
    </row>
    <row r="450" spans="9:10" x14ac:dyDescent="0.25">
      <c r="I450" s="2" t="str">
        <f t="shared" si="7"/>
        <v>NO</v>
      </c>
      <c r="J450" s="2" t="str">
        <f>IF(I450="YES",IFERROR(VLOOKUP(E450,Scan!A:A,1,0),"Not scanned"),"")</f>
        <v/>
      </c>
    </row>
    <row r="451" spans="9:10" x14ac:dyDescent="0.25">
      <c r="I451" s="2" t="str">
        <f t="shared" ref="I451:I500" si="8">IF(OR(E451="",E451="_",LEFT(E451,5)="SPARE"),"NO","YES")</f>
        <v>NO</v>
      </c>
      <c r="J451" s="2" t="str">
        <f>IF(I451="YES",IFERROR(VLOOKUP(E451,Scan!A:A,1,0),"Not scanned"),"")</f>
        <v/>
      </c>
    </row>
    <row r="452" spans="9:10" x14ac:dyDescent="0.25">
      <c r="I452" s="2" t="str">
        <f t="shared" si="8"/>
        <v>NO</v>
      </c>
      <c r="J452" s="2" t="str">
        <f>IF(I452="YES",IFERROR(VLOOKUP(E452,Scan!A:A,1,0),"Not scanned"),"")</f>
        <v/>
      </c>
    </row>
    <row r="453" spans="9:10" x14ac:dyDescent="0.25">
      <c r="I453" s="2" t="str">
        <f t="shared" si="8"/>
        <v>NO</v>
      </c>
      <c r="J453" s="2" t="str">
        <f>IF(I453="YES",IFERROR(VLOOKUP(E453,Scan!A:A,1,0),"Not scanned"),"")</f>
        <v/>
      </c>
    </row>
    <row r="454" spans="9:10" x14ac:dyDescent="0.25">
      <c r="I454" s="2" t="str">
        <f t="shared" si="8"/>
        <v>NO</v>
      </c>
      <c r="J454" s="2" t="str">
        <f>IF(I454="YES",IFERROR(VLOOKUP(E454,Scan!A:A,1,0),"Not scanned"),"")</f>
        <v/>
      </c>
    </row>
    <row r="455" spans="9:10" x14ac:dyDescent="0.25">
      <c r="I455" s="2" t="str">
        <f t="shared" si="8"/>
        <v>NO</v>
      </c>
      <c r="J455" s="2" t="str">
        <f>IF(I455="YES",IFERROR(VLOOKUP(E455,Scan!A:A,1,0),"Not scanned"),"")</f>
        <v/>
      </c>
    </row>
    <row r="456" spans="9:10" x14ac:dyDescent="0.25">
      <c r="I456" s="2" t="str">
        <f t="shared" si="8"/>
        <v>NO</v>
      </c>
      <c r="J456" s="2" t="str">
        <f>IF(I456="YES",IFERROR(VLOOKUP(E456,Scan!A:A,1,0),"Not scanned"),"")</f>
        <v/>
      </c>
    </row>
    <row r="457" spans="9:10" x14ac:dyDescent="0.25">
      <c r="I457" s="2" t="str">
        <f t="shared" si="8"/>
        <v>NO</v>
      </c>
      <c r="J457" s="2" t="str">
        <f>IF(I457="YES",IFERROR(VLOOKUP(E457,Scan!A:A,1,0),"Not scanned"),"")</f>
        <v/>
      </c>
    </row>
    <row r="458" spans="9:10" x14ac:dyDescent="0.25">
      <c r="I458" s="2" t="str">
        <f t="shared" si="8"/>
        <v>NO</v>
      </c>
      <c r="J458" s="2" t="str">
        <f>IF(I458="YES",IFERROR(VLOOKUP(E458,Scan!A:A,1,0),"Not scanned"),"")</f>
        <v/>
      </c>
    </row>
    <row r="459" spans="9:10" x14ac:dyDescent="0.25">
      <c r="I459" s="2" t="str">
        <f t="shared" si="8"/>
        <v>NO</v>
      </c>
      <c r="J459" s="2" t="str">
        <f>IF(I459="YES",IFERROR(VLOOKUP(E459,Scan!A:A,1,0),"Not scanned"),"")</f>
        <v/>
      </c>
    </row>
    <row r="460" spans="9:10" x14ac:dyDescent="0.25">
      <c r="I460" s="2" t="str">
        <f t="shared" si="8"/>
        <v>NO</v>
      </c>
      <c r="J460" s="2" t="str">
        <f>IF(I460="YES",IFERROR(VLOOKUP(E460,Scan!A:A,1,0),"Not scanned"),"")</f>
        <v/>
      </c>
    </row>
    <row r="461" spans="9:10" x14ac:dyDescent="0.25">
      <c r="I461" s="2" t="str">
        <f t="shared" si="8"/>
        <v>NO</v>
      </c>
      <c r="J461" s="2" t="str">
        <f>IF(I461="YES",IFERROR(VLOOKUP(E461,Scan!A:A,1,0),"Not scanned"),"")</f>
        <v/>
      </c>
    </row>
    <row r="462" spans="9:10" x14ac:dyDescent="0.25">
      <c r="I462" s="2" t="str">
        <f t="shared" si="8"/>
        <v>NO</v>
      </c>
      <c r="J462" s="2" t="str">
        <f>IF(I462="YES",IFERROR(VLOOKUP(E462,Scan!A:A,1,0),"Not scanned"),"")</f>
        <v/>
      </c>
    </row>
    <row r="463" spans="9:10" x14ac:dyDescent="0.25">
      <c r="I463" s="2" t="str">
        <f t="shared" si="8"/>
        <v>NO</v>
      </c>
      <c r="J463" s="2" t="str">
        <f>IF(I463="YES",IFERROR(VLOOKUP(E463,Scan!A:A,1,0),"Not scanned"),"")</f>
        <v/>
      </c>
    </row>
    <row r="464" spans="9:10" x14ac:dyDescent="0.25">
      <c r="I464" s="2" t="str">
        <f t="shared" si="8"/>
        <v>NO</v>
      </c>
      <c r="J464" s="2" t="str">
        <f>IF(I464="YES",IFERROR(VLOOKUP(E464,Scan!A:A,1,0),"Not scanned"),"")</f>
        <v/>
      </c>
    </row>
    <row r="465" spans="9:10" x14ac:dyDescent="0.25">
      <c r="I465" s="2" t="str">
        <f t="shared" si="8"/>
        <v>NO</v>
      </c>
      <c r="J465" s="2" t="str">
        <f>IF(I465="YES",IFERROR(VLOOKUP(E465,Scan!A:A,1,0),"Not scanned"),"")</f>
        <v/>
      </c>
    </row>
    <row r="466" spans="9:10" x14ac:dyDescent="0.25">
      <c r="I466" s="2" t="str">
        <f t="shared" si="8"/>
        <v>NO</v>
      </c>
      <c r="J466" s="2" t="str">
        <f>IF(I466="YES",IFERROR(VLOOKUP(E466,Scan!A:A,1,0),"Not scanned"),"")</f>
        <v/>
      </c>
    </row>
    <row r="467" spans="9:10" x14ac:dyDescent="0.25">
      <c r="I467" s="2" t="str">
        <f t="shared" si="8"/>
        <v>NO</v>
      </c>
      <c r="J467" s="2" t="str">
        <f>IF(I467="YES",IFERROR(VLOOKUP(E467,Scan!A:A,1,0),"Not scanned"),"")</f>
        <v/>
      </c>
    </row>
    <row r="468" spans="9:10" x14ac:dyDescent="0.25">
      <c r="I468" s="2" t="str">
        <f t="shared" si="8"/>
        <v>NO</v>
      </c>
      <c r="J468" s="2" t="str">
        <f>IF(I468="YES",IFERROR(VLOOKUP(E468,Scan!A:A,1,0),"Not scanned"),"")</f>
        <v/>
      </c>
    </row>
    <row r="469" spans="9:10" x14ac:dyDescent="0.25">
      <c r="I469" s="2" t="str">
        <f t="shared" si="8"/>
        <v>NO</v>
      </c>
      <c r="J469" s="2" t="str">
        <f>IF(I469="YES",IFERROR(VLOOKUP(E469,Scan!A:A,1,0),"Not scanned"),"")</f>
        <v/>
      </c>
    </row>
    <row r="470" spans="9:10" x14ac:dyDescent="0.25">
      <c r="I470" s="2" t="str">
        <f t="shared" si="8"/>
        <v>NO</v>
      </c>
      <c r="J470" s="2" t="str">
        <f>IF(I470="YES",IFERROR(VLOOKUP(E470,Scan!A:A,1,0),"Not scanned"),"")</f>
        <v/>
      </c>
    </row>
    <row r="471" spans="9:10" x14ac:dyDescent="0.25">
      <c r="I471" s="2" t="str">
        <f t="shared" si="8"/>
        <v>NO</v>
      </c>
      <c r="J471" s="2" t="str">
        <f>IF(I471="YES",IFERROR(VLOOKUP(E471,Scan!A:A,1,0),"Not scanned"),"")</f>
        <v/>
      </c>
    </row>
    <row r="472" spans="9:10" x14ac:dyDescent="0.25">
      <c r="I472" s="2" t="str">
        <f t="shared" si="8"/>
        <v>NO</v>
      </c>
      <c r="J472" s="2" t="str">
        <f>IF(I472="YES",IFERROR(VLOOKUP(E472,Scan!A:A,1,0),"Not scanned"),"")</f>
        <v/>
      </c>
    </row>
    <row r="473" spans="9:10" x14ac:dyDescent="0.25">
      <c r="I473" s="2" t="str">
        <f t="shared" si="8"/>
        <v>NO</v>
      </c>
      <c r="J473" s="2" t="str">
        <f>IF(I473="YES",IFERROR(VLOOKUP(E473,Scan!A:A,1,0),"Not scanned"),"")</f>
        <v/>
      </c>
    </row>
    <row r="474" spans="9:10" x14ac:dyDescent="0.25">
      <c r="I474" s="2" t="str">
        <f t="shared" si="8"/>
        <v>NO</v>
      </c>
      <c r="J474" s="2" t="str">
        <f>IF(I474="YES",IFERROR(VLOOKUP(E474,Scan!A:A,1,0),"Not scanned"),"")</f>
        <v/>
      </c>
    </row>
    <row r="475" spans="9:10" x14ac:dyDescent="0.25">
      <c r="I475" s="2" t="str">
        <f t="shared" si="8"/>
        <v>NO</v>
      </c>
      <c r="J475" s="2" t="str">
        <f>IF(I475="YES",IFERROR(VLOOKUP(E475,Scan!A:A,1,0),"Not scanned"),"")</f>
        <v/>
      </c>
    </row>
    <row r="476" spans="9:10" x14ac:dyDescent="0.25">
      <c r="I476" s="2" t="str">
        <f t="shared" si="8"/>
        <v>NO</v>
      </c>
      <c r="J476" s="2" t="str">
        <f>IF(I476="YES",IFERROR(VLOOKUP(E476,Scan!A:A,1,0),"Not scanned"),"")</f>
        <v/>
      </c>
    </row>
    <row r="477" spans="9:10" x14ac:dyDescent="0.25">
      <c r="I477" s="2" t="str">
        <f t="shared" si="8"/>
        <v>NO</v>
      </c>
      <c r="J477" s="2" t="str">
        <f>IF(I477="YES",IFERROR(VLOOKUP(E477,Scan!A:A,1,0),"Not scanned"),"")</f>
        <v/>
      </c>
    </row>
    <row r="478" spans="9:10" x14ac:dyDescent="0.25">
      <c r="I478" s="2" t="str">
        <f t="shared" si="8"/>
        <v>NO</v>
      </c>
      <c r="J478" s="2" t="str">
        <f>IF(I478="YES",IFERROR(VLOOKUP(E478,Scan!A:A,1,0),"Not scanned"),"")</f>
        <v/>
      </c>
    </row>
    <row r="479" spans="9:10" x14ac:dyDescent="0.25">
      <c r="I479" s="2" t="str">
        <f t="shared" si="8"/>
        <v>NO</v>
      </c>
      <c r="J479" s="2" t="str">
        <f>IF(I479="YES",IFERROR(VLOOKUP(E479,Scan!A:A,1,0),"Not scanned"),"")</f>
        <v/>
      </c>
    </row>
    <row r="480" spans="9:10" x14ac:dyDescent="0.25">
      <c r="I480" s="2" t="str">
        <f t="shared" si="8"/>
        <v>NO</v>
      </c>
      <c r="J480" s="2" t="str">
        <f>IF(I480="YES",IFERROR(VLOOKUP(E480,Scan!A:A,1,0),"Not scanned"),"")</f>
        <v/>
      </c>
    </row>
    <row r="481" spans="9:10" x14ac:dyDescent="0.25">
      <c r="I481" s="2" t="str">
        <f t="shared" si="8"/>
        <v>NO</v>
      </c>
      <c r="J481" s="2" t="str">
        <f>IF(I481="YES",IFERROR(VLOOKUP(E481,Scan!A:A,1,0),"Not scanned"),"")</f>
        <v/>
      </c>
    </row>
    <row r="482" spans="9:10" x14ac:dyDescent="0.25">
      <c r="I482" s="2" t="str">
        <f t="shared" si="8"/>
        <v>NO</v>
      </c>
      <c r="J482" s="2" t="str">
        <f>IF(I482="YES",IFERROR(VLOOKUP(E482,Scan!A:A,1,0),"Not scanned"),"")</f>
        <v/>
      </c>
    </row>
    <row r="483" spans="9:10" x14ac:dyDescent="0.25">
      <c r="I483" s="2" t="str">
        <f t="shared" si="8"/>
        <v>NO</v>
      </c>
      <c r="J483" s="2" t="str">
        <f>IF(I483="YES",IFERROR(VLOOKUP(E483,Scan!A:A,1,0),"Not scanned"),"")</f>
        <v/>
      </c>
    </row>
    <row r="484" spans="9:10" x14ac:dyDescent="0.25">
      <c r="I484" s="2" t="str">
        <f t="shared" si="8"/>
        <v>NO</v>
      </c>
      <c r="J484" s="2" t="str">
        <f>IF(I484="YES",IFERROR(VLOOKUP(E484,Scan!A:A,1,0),"Not scanned"),"")</f>
        <v/>
      </c>
    </row>
    <row r="485" spans="9:10" x14ac:dyDescent="0.25">
      <c r="I485" s="2" t="str">
        <f t="shared" si="8"/>
        <v>NO</v>
      </c>
      <c r="J485" s="2" t="str">
        <f>IF(I485="YES",IFERROR(VLOOKUP(E485,Scan!A:A,1,0),"Not scanned"),"")</f>
        <v/>
      </c>
    </row>
    <row r="486" spans="9:10" x14ac:dyDescent="0.25">
      <c r="I486" s="2" t="str">
        <f t="shared" si="8"/>
        <v>NO</v>
      </c>
      <c r="J486" s="2" t="str">
        <f>IF(I486="YES",IFERROR(VLOOKUP(E486,Scan!A:A,1,0),"Not scanned"),"")</f>
        <v/>
      </c>
    </row>
    <row r="487" spans="9:10" x14ac:dyDescent="0.25">
      <c r="I487" s="2" t="str">
        <f t="shared" si="8"/>
        <v>NO</v>
      </c>
      <c r="J487" s="2" t="str">
        <f>IF(I487="YES",IFERROR(VLOOKUP(E487,Scan!A:A,1,0),"Not scanned"),"")</f>
        <v/>
      </c>
    </row>
    <row r="488" spans="9:10" x14ac:dyDescent="0.25">
      <c r="I488" s="2" t="str">
        <f t="shared" si="8"/>
        <v>NO</v>
      </c>
      <c r="J488" s="2" t="str">
        <f>IF(I488="YES",IFERROR(VLOOKUP(E488,Scan!A:A,1,0),"Not scanned"),"")</f>
        <v/>
      </c>
    </row>
    <row r="489" spans="9:10" x14ac:dyDescent="0.25">
      <c r="I489" s="2" t="str">
        <f t="shared" si="8"/>
        <v>NO</v>
      </c>
      <c r="J489" s="2" t="str">
        <f>IF(I489="YES",IFERROR(VLOOKUP(E489,Scan!A:A,1,0),"Not scanned"),"")</f>
        <v/>
      </c>
    </row>
    <row r="490" spans="9:10" x14ac:dyDescent="0.25">
      <c r="I490" s="2" t="str">
        <f t="shared" si="8"/>
        <v>NO</v>
      </c>
      <c r="J490" s="2" t="str">
        <f>IF(I490="YES",IFERROR(VLOOKUP(E490,Scan!A:A,1,0),"Not scanned"),"")</f>
        <v/>
      </c>
    </row>
    <row r="491" spans="9:10" x14ac:dyDescent="0.25">
      <c r="I491" s="2" t="str">
        <f t="shared" si="8"/>
        <v>NO</v>
      </c>
      <c r="J491" s="2" t="str">
        <f>IF(I491="YES",IFERROR(VLOOKUP(E491,Scan!A:A,1,0),"Not scanned"),"")</f>
        <v/>
      </c>
    </row>
    <row r="492" spans="9:10" x14ac:dyDescent="0.25">
      <c r="I492" s="2" t="str">
        <f t="shared" si="8"/>
        <v>NO</v>
      </c>
      <c r="J492" s="2" t="str">
        <f>IF(I492="YES",IFERROR(VLOOKUP(E492,Scan!A:A,1,0),"Not scanned"),"")</f>
        <v/>
      </c>
    </row>
    <row r="493" spans="9:10" x14ac:dyDescent="0.25">
      <c r="I493" s="2" t="str">
        <f t="shared" si="8"/>
        <v>NO</v>
      </c>
      <c r="J493" s="2" t="str">
        <f>IF(I493="YES",IFERROR(VLOOKUP(E493,Scan!A:A,1,0),"Not scanned"),"")</f>
        <v/>
      </c>
    </row>
    <row r="494" spans="9:10" x14ac:dyDescent="0.25">
      <c r="I494" s="2" t="str">
        <f t="shared" si="8"/>
        <v>NO</v>
      </c>
      <c r="J494" s="2" t="str">
        <f>IF(I494="YES",IFERROR(VLOOKUP(E494,Scan!A:A,1,0),"Not scanned"),"")</f>
        <v/>
      </c>
    </row>
    <row r="495" spans="9:10" x14ac:dyDescent="0.25">
      <c r="I495" s="2" t="str">
        <f t="shared" si="8"/>
        <v>NO</v>
      </c>
      <c r="J495" s="2" t="str">
        <f>IF(I495="YES",IFERROR(VLOOKUP(E495,Scan!A:A,1,0),"Not scanned"),"")</f>
        <v/>
      </c>
    </row>
    <row r="496" spans="9:10" x14ac:dyDescent="0.25">
      <c r="I496" s="2" t="str">
        <f t="shared" si="8"/>
        <v>NO</v>
      </c>
      <c r="J496" s="2" t="str">
        <f>IF(I496="YES",IFERROR(VLOOKUP(E496,Scan!A:A,1,0),"Not scanned"),"")</f>
        <v/>
      </c>
    </row>
    <row r="497" spans="9:10" x14ac:dyDescent="0.25">
      <c r="I497" s="2" t="str">
        <f t="shared" si="8"/>
        <v>NO</v>
      </c>
      <c r="J497" s="2" t="str">
        <f>IF(I497="YES",IFERROR(VLOOKUP(E497,Scan!A:A,1,0),"Not scanned"),"")</f>
        <v/>
      </c>
    </row>
    <row r="498" spans="9:10" x14ac:dyDescent="0.25">
      <c r="I498" s="2" t="str">
        <f t="shared" si="8"/>
        <v>NO</v>
      </c>
      <c r="J498" s="2" t="str">
        <f>IF(I498="YES",IFERROR(VLOOKUP(E498,Scan!A:A,1,0),"Not scanned"),"")</f>
        <v/>
      </c>
    </row>
    <row r="499" spans="9:10" x14ac:dyDescent="0.25">
      <c r="I499" s="2" t="str">
        <f t="shared" si="8"/>
        <v>NO</v>
      </c>
      <c r="J499" s="2" t="str">
        <f>IF(I499="YES",IFERROR(VLOOKUP(E499,Scan!A:A,1,0),"Not scanned"),"")</f>
        <v/>
      </c>
    </row>
    <row r="500" spans="9:10" x14ac:dyDescent="0.25">
      <c r="I500" s="2" t="str">
        <f t="shared" si="8"/>
        <v>NO</v>
      </c>
      <c r="J500" s="2" t="str">
        <f>IF(I500="YES",IFERROR(VLOOKUP(E500,Scan!A:A,1,0),"Not scanned"),"")</f>
        <v/>
      </c>
    </row>
  </sheetData>
  <autoFilter ref="A1:K500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2"/>
  <dimension ref="A1:J2123"/>
  <sheetViews>
    <sheetView tabSelected="1" workbookViewId="0">
      <pane ySplit="1" topLeftCell="A294" activePane="bottomLeft" state="frozen"/>
      <selection pane="bottomLeft" activeCell="E422" sqref="E422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6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10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5" t="s">
        <v>4</v>
      </c>
      <c r="G1" s="1" t="s">
        <v>5</v>
      </c>
      <c r="H1" s="1" t="s">
        <v>6</v>
      </c>
      <c r="I1" s="1" t="s">
        <v>7</v>
      </c>
      <c r="J1" s="7" t="s">
        <v>678</v>
      </c>
    </row>
    <row r="2" spans="1:10" x14ac:dyDescent="0.25">
      <c r="A2" s="2" t="s">
        <v>110</v>
      </c>
      <c r="B2" s="2" t="s">
        <v>9</v>
      </c>
      <c r="C2" s="2" t="s">
        <v>10</v>
      </c>
      <c r="D2" s="2" t="s">
        <v>11</v>
      </c>
      <c r="E2" s="2" t="s">
        <v>11</v>
      </c>
      <c r="F2" s="6" t="s">
        <v>11</v>
      </c>
      <c r="G2" s="2">
        <v>1</v>
      </c>
      <c r="H2" s="2" t="s">
        <v>9</v>
      </c>
      <c r="I2" s="2" t="s">
        <v>11</v>
      </c>
      <c r="J2" s="2" t="str">
        <f>IF(OR(F2="",F2="_",LEFT(F2,5)="SPARE"),"NO","YES")</f>
        <v>NO</v>
      </c>
    </row>
    <row r="3" spans="1:10" x14ac:dyDescent="0.25">
      <c r="A3" s="2" t="s">
        <v>110</v>
      </c>
      <c r="B3" s="2" t="s">
        <v>12</v>
      </c>
      <c r="C3" s="2" t="s">
        <v>13</v>
      </c>
      <c r="D3" s="2" t="s">
        <v>14</v>
      </c>
      <c r="E3" s="2" t="s">
        <v>15</v>
      </c>
      <c r="F3" s="6" t="s">
        <v>111</v>
      </c>
      <c r="G3" s="2">
        <v>1</v>
      </c>
      <c r="H3" s="2" t="s">
        <v>9</v>
      </c>
      <c r="I3" s="2" t="s">
        <v>16</v>
      </c>
      <c r="J3" s="2" t="str">
        <f t="shared" ref="J3:J66" si="0">IF(OR(F3="",F3="_",LEFT(F3,5)="SPARE"),"NO","YES")</f>
        <v>YES</v>
      </c>
    </row>
    <row r="4" spans="1:10" x14ac:dyDescent="0.25">
      <c r="A4" s="2" t="s">
        <v>110</v>
      </c>
      <c r="B4" s="2" t="s">
        <v>17</v>
      </c>
      <c r="C4" s="2" t="s">
        <v>18</v>
      </c>
      <c r="D4" s="2" t="s">
        <v>14</v>
      </c>
      <c r="E4" s="2" t="s">
        <v>19</v>
      </c>
      <c r="F4" s="6" t="s">
        <v>112</v>
      </c>
      <c r="G4" s="2">
        <v>1</v>
      </c>
      <c r="H4" s="2" t="s">
        <v>11</v>
      </c>
      <c r="I4" s="2" t="s">
        <v>11</v>
      </c>
      <c r="J4" s="2" t="str">
        <f t="shared" si="0"/>
        <v>YES</v>
      </c>
    </row>
    <row r="5" spans="1:10" x14ac:dyDescent="0.25">
      <c r="A5" s="2" t="s">
        <v>110</v>
      </c>
      <c r="B5" s="2" t="s">
        <v>17</v>
      </c>
      <c r="C5" s="2" t="s">
        <v>18</v>
      </c>
      <c r="D5" s="2" t="s">
        <v>14</v>
      </c>
      <c r="E5" s="2" t="s">
        <v>19</v>
      </c>
      <c r="F5" s="6" t="s">
        <v>113</v>
      </c>
      <c r="G5" s="2">
        <v>1</v>
      </c>
      <c r="H5" s="2" t="s">
        <v>11</v>
      </c>
      <c r="I5" s="2" t="s">
        <v>11</v>
      </c>
      <c r="J5" s="2" t="str">
        <f t="shared" si="0"/>
        <v>YES</v>
      </c>
    </row>
    <row r="6" spans="1:10" x14ac:dyDescent="0.25">
      <c r="A6" s="2" t="s">
        <v>110</v>
      </c>
      <c r="B6" s="2" t="s">
        <v>20</v>
      </c>
      <c r="C6" s="2" t="s">
        <v>18</v>
      </c>
      <c r="D6" s="2" t="s">
        <v>14</v>
      </c>
      <c r="E6" s="2" t="s">
        <v>21</v>
      </c>
      <c r="F6" s="6" t="s">
        <v>114</v>
      </c>
      <c r="G6" s="2">
        <v>1</v>
      </c>
      <c r="H6" s="2" t="s">
        <v>11</v>
      </c>
      <c r="I6" s="2" t="s">
        <v>11</v>
      </c>
      <c r="J6" s="2" t="str">
        <f t="shared" si="0"/>
        <v>YES</v>
      </c>
    </row>
    <row r="7" spans="1:10" x14ac:dyDescent="0.25">
      <c r="A7" s="2" t="s">
        <v>110</v>
      </c>
      <c r="B7" s="2" t="s">
        <v>20</v>
      </c>
      <c r="C7" s="2" t="s">
        <v>18</v>
      </c>
      <c r="D7" s="2" t="s">
        <v>14</v>
      </c>
      <c r="E7" s="2" t="s">
        <v>21</v>
      </c>
      <c r="F7" s="6" t="s">
        <v>115</v>
      </c>
      <c r="G7" s="2">
        <v>1</v>
      </c>
      <c r="H7" s="2" t="s">
        <v>11</v>
      </c>
      <c r="I7" s="2" t="s">
        <v>11</v>
      </c>
      <c r="J7" s="2" t="str">
        <f t="shared" si="0"/>
        <v>YES</v>
      </c>
    </row>
    <row r="8" spans="1:10" x14ac:dyDescent="0.25">
      <c r="A8" s="2" t="s">
        <v>110</v>
      </c>
      <c r="B8" s="2" t="s">
        <v>12</v>
      </c>
      <c r="C8" s="2" t="s">
        <v>13</v>
      </c>
      <c r="D8" s="2" t="s">
        <v>14</v>
      </c>
      <c r="E8" s="2" t="s">
        <v>15</v>
      </c>
      <c r="F8" s="6" t="s">
        <v>116</v>
      </c>
      <c r="G8" s="2">
        <v>1</v>
      </c>
      <c r="H8" s="2" t="s">
        <v>9</v>
      </c>
      <c r="I8" s="2" t="s">
        <v>22</v>
      </c>
      <c r="J8" s="2" t="str">
        <f t="shared" si="0"/>
        <v>YES</v>
      </c>
    </row>
    <row r="9" spans="1:10" x14ac:dyDescent="0.25">
      <c r="A9" s="2" t="s">
        <v>110</v>
      </c>
      <c r="B9" s="2" t="s">
        <v>17</v>
      </c>
      <c r="C9" s="2" t="s">
        <v>18</v>
      </c>
      <c r="D9" s="2" t="s">
        <v>14</v>
      </c>
      <c r="E9" s="2" t="s">
        <v>19</v>
      </c>
      <c r="F9" s="6" t="s">
        <v>117</v>
      </c>
      <c r="G9" s="2">
        <v>1</v>
      </c>
      <c r="H9" s="2" t="s">
        <v>11</v>
      </c>
      <c r="I9" s="2" t="s">
        <v>11</v>
      </c>
      <c r="J9" s="2" t="str">
        <f t="shared" si="0"/>
        <v>YES</v>
      </c>
    </row>
    <row r="10" spans="1:10" x14ac:dyDescent="0.25">
      <c r="A10" s="2" t="s">
        <v>110</v>
      </c>
      <c r="B10" s="2" t="s">
        <v>17</v>
      </c>
      <c r="C10" s="2" t="s">
        <v>18</v>
      </c>
      <c r="D10" s="2" t="s">
        <v>14</v>
      </c>
      <c r="E10" s="2" t="s">
        <v>19</v>
      </c>
      <c r="F10" s="6" t="s">
        <v>118</v>
      </c>
      <c r="G10" s="2">
        <v>1</v>
      </c>
      <c r="H10" s="2" t="s">
        <v>11</v>
      </c>
      <c r="I10" s="2" t="s">
        <v>11</v>
      </c>
      <c r="J10" s="2" t="str">
        <f t="shared" si="0"/>
        <v>YES</v>
      </c>
    </row>
    <row r="11" spans="1:10" x14ac:dyDescent="0.25">
      <c r="A11" s="2" t="s">
        <v>110</v>
      </c>
      <c r="B11" s="2" t="s">
        <v>20</v>
      </c>
      <c r="C11" s="2" t="s">
        <v>18</v>
      </c>
      <c r="D11" s="2" t="s">
        <v>14</v>
      </c>
      <c r="E11" s="2" t="s">
        <v>21</v>
      </c>
      <c r="F11" s="6" t="s">
        <v>119</v>
      </c>
      <c r="G11" s="2">
        <v>1</v>
      </c>
      <c r="H11" s="2" t="s">
        <v>11</v>
      </c>
      <c r="I11" s="2" t="s">
        <v>11</v>
      </c>
      <c r="J11" s="2" t="str">
        <f t="shared" si="0"/>
        <v>YES</v>
      </c>
    </row>
    <row r="12" spans="1:10" x14ac:dyDescent="0.25">
      <c r="A12" s="2" t="s">
        <v>110</v>
      </c>
      <c r="B12" s="2" t="s">
        <v>20</v>
      </c>
      <c r="C12" s="2" t="s">
        <v>18</v>
      </c>
      <c r="D12" s="2" t="s">
        <v>14</v>
      </c>
      <c r="E12" s="2" t="s">
        <v>21</v>
      </c>
      <c r="F12" s="6" t="s">
        <v>120</v>
      </c>
      <c r="G12" s="2">
        <v>1</v>
      </c>
      <c r="H12" s="2" t="s">
        <v>11</v>
      </c>
      <c r="I12" s="2" t="s">
        <v>11</v>
      </c>
      <c r="J12" s="2" t="str">
        <f t="shared" si="0"/>
        <v>YES</v>
      </c>
    </row>
    <row r="13" spans="1:10" x14ac:dyDescent="0.25">
      <c r="A13" s="2" t="s">
        <v>110</v>
      </c>
      <c r="B13" s="2" t="s">
        <v>23</v>
      </c>
      <c r="C13" s="2" t="s">
        <v>24</v>
      </c>
      <c r="D13" s="2" t="s">
        <v>25</v>
      </c>
      <c r="E13" s="2" t="s">
        <v>26</v>
      </c>
      <c r="F13" s="6" t="s">
        <v>121</v>
      </c>
      <c r="G13" s="2">
        <v>1</v>
      </c>
      <c r="H13" s="2" t="s">
        <v>9</v>
      </c>
      <c r="I13" s="2" t="s">
        <v>27</v>
      </c>
      <c r="J13" s="2" t="str">
        <f t="shared" si="0"/>
        <v>YES</v>
      </c>
    </row>
    <row r="14" spans="1:10" x14ac:dyDescent="0.25">
      <c r="A14" s="2" t="s">
        <v>110</v>
      </c>
      <c r="B14" s="2" t="s">
        <v>28</v>
      </c>
      <c r="C14" s="2" t="s">
        <v>18</v>
      </c>
      <c r="D14" s="2" t="s">
        <v>25</v>
      </c>
      <c r="E14" s="2" t="s">
        <v>29</v>
      </c>
      <c r="F14" s="6" t="s">
        <v>122</v>
      </c>
      <c r="G14" s="2">
        <v>1</v>
      </c>
      <c r="H14" s="2" t="s">
        <v>11</v>
      </c>
      <c r="I14" s="2" t="s">
        <v>11</v>
      </c>
      <c r="J14" s="2" t="str">
        <f t="shared" si="0"/>
        <v>YES</v>
      </c>
    </row>
    <row r="15" spans="1:10" x14ac:dyDescent="0.25">
      <c r="A15" s="2" t="s">
        <v>110</v>
      </c>
      <c r="B15" s="2" t="s">
        <v>28</v>
      </c>
      <c r="C15" s="2" t="s">
        <v>18</v>
      </c>
      <c r="D15" s="2" t="s">
        <v>25</v>
      </c>
      <c r="E15" s="2" t="s">
        <v>29</v>
      </c>
      <c r="F15" s="6" t="s">
        <v>123</v>
      </c>
      <c r="G15" s="2">
        <v>1</v>
      </c>
      <c r="H15" s="2" t="s">
        <v>11</v>
      </c>
      <c r="I15" s="2" t="s">
        <v>11</v>
      </c>
      <c r="J15" s="2" t="str">
        <f t="shared" si="0"/>
        <v>YES</v>
      </c>
    </row>
    <row r="16" spans="1:10" x14ac:dyDescent="0.25">
      <c r="A16" s="2" t="s">
        <v>110</v>
      </c>
      <c r="B16" s="2" t="s">
        <v>28</v>
      </c>
      <c r="C16" s="2" t="s">
        <v>18</v>
      </c>
      <c r="D16" s="2" t="s">
        <v>25</v>
      </c>
      <c r="E16" s="2" t="s">
        <v>29</v>
      </c>
      <c r="F16" s="6" t="s">
        <v>124</v>
      </c>
      <c r="G16" s="2">
        <v>1</v>
      </c>
      <c r="H16" s="2" t="s">
        <v>11</v>
      </c>
      <c r="I16" s="2" t="s">
        <v>11</v>
      </c>
      <c r="J16" s="2" t="str">
        <f t="shared" si="0"/>
        <v>YES</v>
      </c>
    </row>
    <row r="17" spans="1:10" x14ac:dyDescent="0.25">
      <c r="A17" s="2" t="s">
        <v>110</v>
      </c>
      <c r="B17" s="2" t="s">
        <v>28</v>
      </c>
      <c r="C17" s="2" t="s">
        <v>18</v>
      </c>
      <c r="D17" s="2" t="s">
        <v>25</v>
      </c>
      <c r="E17" s="2" t="s">
        <v>29</v>
      </c>
      <c r="F17" s="6" t="s">
        <v>125</v>
      </c>
      <c r="G17" s="2">
        <v>1</v>
      </c>
      <c r="H17" s="2" t="s">
        <v>11</v>
      </c>
      <c r="I17" s="2" t="s">
        <v>11</v>
      </c>
      <c r="J17" s="2" t="str">
        <f t="shared" si="0"/>
        <v>YES</v>
      </c>
    </row>
    <row r="18" spans="1:10" x14ac:dyDescent="0.25">
      <c r="A18" s="2" t="s">
        <v>110</v>
      </c>
      <c r="B18" s="2" t="s">
        <v>28</v>
      </c>
      <c r="C18" s="2" t="s">
        <v>18</v>
      </c>
      <c r="D18" s="2" t="s">
        <v>25</v>
      </c>
      <c r="E18" s="2" t="s">
        <v>29</v>
      </c>
      <c r="F18" s="6" t="s">
        <v>126</v>
      </c>
      <c r="G18" s="2">
        <v>1</v>
      </c>
      <c r="H18" s="2" t="s">
        <v>11</v>
      </c>
      <c r="I18" s="2" t="s">
        <v>11</v>
      </c>
      <c r="J18" s="2" t="str">
        <f t="shared" si="0"/>
        <v>YES</v>
      </c>
    </row>
    <row r="19" spans="1:10" x14ac:dyDescent="0.25">
      <c r="A19" s="2" t="s">
        <v>110</v>
      </c>
      <c r="B19" s="2" t="s">
        <v>30</v>
      </c>
      <c r="C19" s="2" t="s">
        <v>18</v>
      </c>
      <c r="D19" s="2" t="s">
        <v>25</v>
      </c>
      <c r="E19" s="2" t="s">
        <v>31</v>
      </c>
      <c r="F19" s="6" t="s">
        <v>127</v>
      </c>
      <c r="G19" s="2">
        <v>1</v>
      </c>
      <c r="H19" s="2" t="s">
        <v>11</v>
      </c>
      <c r="I19" s="2" t="s">
        <v>11</v>
      </c>
      <c r="J19" s="2" t="str">
        <f t="shared" si="0"/>
        <v>YES</v>
      </c>
    </row>
    <row r="20" spans="1:10" x14ac:dyDescent="0.25">
      <c r="A20" s="2" t="s">
        <v>110</v>
      </c>
      <c r="B20" s="2" t="s">
        <v>30</v>
      </c>
      <c r="C20" s="2" t="s">
        <v>18</v>
      </c>
      <c r="D20" s="2" t="s">
        <v>25</v>
      </c>
      <c r="E20" s="2" t="s">
        <v>31</v>
      </c>
      <c r="F20" s="6" t="s">
        <v>128</v>
      </c>
      <c r="G20" s="2">
        <v>1</v>
      </c>
      <c r="H20" s="2" t="s">
        <v>11</v>
      </c>
      <c r="I20" s="2" t="s">
        <v>11</v>
      </c>
      <c r="J20" s="2" t="str">
        <f t="shared" si="0"/>
        <v>YES</v>
      </c>
    </row>
    <row r="21" spans="1:10" x14ac:dyDescent="0.25">
      <c r="A21" s="2" t="s">
        <v>110</v>
      </c>
      <c r="B21" s="2" t="s">
        <v>30</v>
      </c>
      <c r="C21" s="2" t="s">
        <v>18</v>
      </c>
      <c r="D21" s="2" t="s">
        <v>25</v>
      </c>
      <c r="E21" s="2" t="s">
        <v>31</v>
      </c>
      <c r="F21" s="6" t="s">
        <v>129</v>
      </c>
      <c r="G21" s="2">
        <v>1</v>
      </c>
      <c r="H21" s="2" t="s">
        <v>11</v>
      </c>
      <c r="I21" s="2" t="s">
        <v>11</v>
      </c>
      <c r="J21" s="2" t="str">
        <f t="shared" si="0"/>
        <v>YES</v>
      </c>
    </row>
    <row r="22" spans="1:10" x14ac:dyDescent="0.25">
      <c r="A22" s="2" t="s">
        <v>110</v>
      </c>
      <c r="B22" s="2" t="s">
        <v>30</v>
      </c>
      <c r="C22" s="2" t="s">
        <v>18</v>
      </c>
      <c r="D22" s="2" t="s">
        <v>25</v>
      </c>
      <c r="E22" s="2" t="s">
        <v>31</v>
      </c>
      <c r="F22" s="6" t="s">
        <v>130</v>
      </c>
      <c r="G22" s="2">
        <v>1</v>
      </c>
      <c r="H22" s="2" t="s">
        <v>11</v>
      </c>
      <c r="I22" s="2" t="s">
        <v>11</v>
      </c>
      <c r="J22" s="2" t="str">
        <f t="shared" si="0"/>
        <v>YES</v>
      </c>
    </row>
    <row r="23" spans="1:10" x14ac:dyDescent="0.25">
      <c r="A23" s="2" t="s">
        <v>110</v>
      </c>
      <c r="B23" s="2" t="s">
        <v>32</v>
      </c>
      <c r="C23" s="2" t="s">
        <v>18</v>
      </c>
      <c r="D23" s="2" t="s">
        <v>25</v>
      </c>
      <c r="E23" s="2" t="s">
        <v>33</v>
      </c>
      <c r="F23" s="6" t="s">
        <v>131</v>
      </c>
      <c r="G23" s="2">
        <v>1</v>
      </c>
      <c r="H23" s="2" t="s">
        <v>11</v>
      </c>
      <c r="I23" s="2" t="s">
        <v>11</v>
      </c>
      <c r="J23" s="2" t="str">
        <f t="shared" si="0"/>
        <v>YES</v>
      </c>
    </row>
    <row r="24" spans="1:10" x14ac:dyDescent="0.25">
      <c r="A24" s="2" t="s">
        <v>110</v>
      </c>
      <c r="B24" s="2" t="s">
        <v>32</v>
      </c>
      <c r="C24" s="2" t="s">
        <v>18</v>
      </c>
      <c r="D24" s="2" t="s">
        <v>25</v>
      </c>
      <c r="E24" s="2" t="s">
        <v>33</v>
      </c>
      <c r="F24" s="6" t="s">
        <v>132</v>
      </c>
      <c r="G24" s="2">
        <v>1</v>
      </c>
      <c r="H24" s="2" t="s">
        <v>11</v>
      </c>
      <c r="I24" s="2" t="s">
        <v>11</v>
      </c>
      <c r="J24" s="2" t="str">
        <f t="shared" si="0"/>
        <v>YES</v>
      </c>
    </row>
    <row r="25" spans="1:10" x14ac:dyDescent="0.25">
      <c r="A25" s="2" t="s">
        <v>110</v>
      </c>
      <c r="B25" s="2" t="s">
        <v>32</v>
      </c>
      <c r="C25" s="2" t="s">
        <v>18</v>
      </c>
      <c r="D25" s="2" t="s">
        <v>25</v>
      </c>
      <c r="E25" s="2" t="s">
        <v>33</v>
      </c>
      <c r="F25" s="6" t="s">
        <v>133</v>
      </c>
      <c r="G25" s="2">
        <v>1</v>
      </c>
      <c r="H25" s="2" t="s">
        <v>11</v>
      </c>
      <c r="I25" s="2" t="s">
        <v>11</v>
      </c>
      <c r="J25" s="2" t="str">
        <f t="shared" si="0"/>
        <v>YES</v>
      </c>
    </row>
    <row r="26" spans="1:10" x14ac:dyDescent="0.25">
      <c r="A26" s="2" t="s">
        <v>110</v>
      </c>
      <c r="B26" s="2" t="s">
        <v>32</v>
      </c>
      <c r="C26" s="2" t="s">
        <v>18</v>
      </c>
      <c r="D26" s="2" t="s">
        <v>25</v>
      </c>
      <c r="E26" s="2" t="s">
        <v>33</v>
      </c>
      <c r="F26" s="6" t="s">
        <v>134</v>
      </c>
      <c r="G26" s="2">
        <v>1</v>
      </c>
      <c r="H26" s="2" t="s">
        <v>11</v>
      </c>
      <c r="I26" s="2" t="s">
        <v>11</v>
      </c>
      <c r="J26" s="2" t="str">
        <f t="shared" si="0"/>
        <v>YES</v>
      </c>
    </row>
    <row r="27" spans="1:10" x14ac:dyDescent="0.25">
      <c r="A27" s="2" t="s">
        <v>110</v>
      </c>
      <c r="B27" s="2" t="s">
        <v>23</v>
      </c>
      <c r="C27" s="2" t="s">
        <v>24</v>
      </c>
      <c r="D27" s="2" t="s">
        <v>25</v>
      </c>
      <c r="E27" s="2" t="s">
        <v>26</v>
      </c>
      <c r="F27" s="6" t="s">
        <v>135</v>
      </c>
      <c r="G27" s="2">
        <v>1</v>
      </c>
      <c r="H27" s="2" t="s">
        <v>9</v>
      </c>
      <c r="I27" s="2" t="s">
        <v>34</v>
      </c>
      <c r="J27" s="2" t="str">
        <f t="shared" si="0"/>
        <v>YES</v>
      </c>
    </row>
    <row r="28" spans="1:10" x14ac:dyDescent="0.25">
      <c r="A28" s="2" t="s">
        <v>110</v>
      </c>
      <c r="B28" s="2" t="s">
        <v>28</v>
      </c>
      <c r="C28" s="2" t="s">
        <v>18</v>
      </c>
      <c r="D28" s="2" t="s">
        <v>25</v>
      </c>
      <c r="E28" s="2" t="s">
        <v>29</v>
      </c>
      <c r="F28" s="6" t="s">
        <v>136</v>
      </c>
      <c r="G28" s="2">
        <v>1</v>
      </c>
      <c r="H28" s="2" t="s">
        <v>11</v>
      </c>
      <c r="I28" s="2" t="s">
        <v>11</v>
      </c>
      <c r="J28" s="2" t="str">
        <f t="shared" si="0"/>
        <v>YES</v>
      </c>
    </row>
    <row r="29" spans="1:10" x14ac:dyDescent="0.25">
      <c r="A29" s="2" t="s">
        <v>110</v>
      </c>
      <c r="B29" s="2" t="s">
        <v>28</v>
      </c>
      <c r="C29" s="2" t="s">
        <v>18</v>
      </c>
      <c r="D29" s="2" t="s">
        <v>25</v>
      </c>
      <c r="E29" s="2" t="s">
        <v>29</v>
      </c>
      <c r="F29" s="6" t="s">
        <v>137</v>
      </c>
      <c r="G29" s="2">
        <v>1</v>
      </c>
      <c r="H29" s="2" t="s">
        <v>11</v>
      </c>
      <c r="I29" s="2" t="s">
        <v>11</v>
      </c>
      <c r="J29" s="2" t="str">
        <f t="shared" si="0"/>
        <v>YES</v>
      </c>
    </row>
    <row r="30" spans="1:10" x14ac:dyDescent="0.25">
      <c r="A30" s="2" t="s">
        <v>110</v>
      </c>
      <c r="B30" s="2" t="s">
        <v>28</v>
      </c>
      <c r="C30" s="2" t="s">
        <v>18</v>
      </c>
      <c r="D30" s="2" t="s">
        <v>25</v>
      </c>
      <c r="E30" s="2" t="s">
        <v>29</v>
      </c>
      <c r="F30" s="6" t="s">
        <v>138</v>
      </c>
      <c r="G30" s="2">
        <v>1</v>
      </c>
      <c r="H30" s="2" t="s">
        <v>11</v>
      </c>
      <c r="I30" s="2" t="s">
        <v>11</v>
      </c>
      <c r="J30" s="2" t="str">
        <f t="shared" si="0"/>
        <v>YES</v>
      </c>
    </row>
    <row r="31" spans="1:10" x14ac:dyDescent="0.25">
      <c r="A31" s="2" t="s">
        <v>110</v>
      </c>
      <c r="B31" s="2" t="s">
        <v>28</v>
      </c>
      <c r="C31" s="2" t="s">
        <v>18</v>
      </c>
      <c r="D31" s="2" t="s">
        <v>25</v>
      </c>
      <c r="E31" s="2" t="s">
        <v>29</v>
      </c>
      <c r="F31" s="6" t="s">
        <v>139</v>
      </c>
      <c r="G31" s="2">
        <v>1</v>
      </c>
      <c r="H31" s="2" t="s">
        <v>11</v>
      </c>
      <c r="I31" s="2" t="s">
        <v>11</v>
      </c>
      <c r="J31" s="2" t="str">
        <f t="shared" si="0"/>
        <v>YES</v>
      </c>
    </row>
    <row r="32" spans="1:10" x14ac:dyDescent="0.25">
      <c r="A32" s="2" t="s">
        <v>110</v>
      </c>
      <c r="B32" s="2" t="s">
        <v>28</v>
      </c>
      <c r="C32" s="2" t="s">
        <v>18</v>
      </c>
      <c r="D32" s="2" t="s">
        <v>25</v>
      </c>
      <c r="E32" s="2" t="s">
        <v>29</v>
      </c>
      <c r="F32" s="6" t="s">
        <v>140</v>
      </c>
      <c r="G32" s="2">
        <v>1</v>
      </c>
      <c r="H32" s="2" t="s">
        <v>11</v>
      </c>
      <c r="I32" s="2" t="s">
        <v>11</v>
      </c>
      <c r="J32" s="2" t="str">
        <f t="shared" si="0"/>
        <v>YES</v>
      </c>
    </row>
    <row r="33" spans="1:10" x14ac:dyDescent="0.25">
      <c r="A33" s="2" t="s">
        <v>110</v>
      </c>
      <c r="B33" s="2" t="s">
        <v>30</v>
      </c>
      <c r="C33" s="2" t="s">
        <v>18</v>
      </c>
      <c r="D33" s="2" t="s">
        <v>25</v>
      </c>
      <c r="E33" s="2" t="s">
        <v>31</v>
      </c>
      <c r="F33" s="6" t="s">
        <v>141</v>
      </c>
      <c r="G33" s="2">
        <v>1</v>
      </c>
      <c r="H33" s="2" t="s">
        <v>11</v>
      </c>
      <c r="I33" s="2" t="s">
        <v>11</v>
      </c>
      <c r="J33" s="2" t="str">
        <f t="shared" si="0"/>
        <v>YES</v>
      </c>
    </row>
    <row r="34" spans="1:10" x14ac:dyDescent="0.25">
      <c r="A34" s="2" t="s">
        <v>110</v>
      </c>
      <c r="B34" s="2" t="s">
        <v>30</v>
      </c>
      <c r="C34" s="2" t="s">
        <v>18</v>
      </c>
      <c r="D34" s="2" t="s">
        <v>25</v>
      </c>
      <c r="E34" s="2" t="s">
        <v>31</v>
      </c>
      <c r="F34" s="6" t="s">
        <v>142</v>
      </c>
      <c r="G34" s="2">
        <v>1</v>
      </c>
      <c r="H34" s="2" t="s">
        <v>11</v>
      </c>
      <c r="I34" s="2" t="s">
        <v>11</v>
      </c>
      <c r="J34" s="2" t="str">
        <f t="shared" si="0"/>
        <v>YES</v>
      </c>
    </row>
    <row r="35" spans="1:10" x14ac:dyDescent="0.25">
      <c r="A35" s="2" t="s">
        <v>110</v>
      </c>
      <c r="B35" s="2" t="s">
        <v>30</v>
      </c>
      <c r="C35" s="2" t="s">
        <v>18</v>
      </c>
      <c r="D35" s="2" t="s">
        <v>25</v>
      </c>
      <c r="E35" s="2" t="s">
        <v>31</v>
      </c>
      <c r="F35" s="6" t="s">
        <v>143</v>
      </c>
      <c r="G35" s="2">
        <v>1</v>
      </c>
      <c r="H35" s="2" t="s">
        <v>11</v>
      </c>
      <c r="I35" s="2" t="s">
        <v>11</v>
      </c>
      <c r="J35" s="2" t="str">
        <f t="shared" si="0"/>
        <v>YES</v>
      </c>
    </row>
    <row r="36" spans="1:10" x14ac:dyDescent="0.25">
      <c r="A36" s="2" t="s">
        <v>110</v>
      </c>
      <c r="B36" s="2" t="s">
        <v>30</v>
      </c>
      <c r="C36" s="2" t="s">
        <v>18</v>
      </c>
      <c r="D36" s="2" t="s">
        <v>25</v>
      </c>
      <c r="E36" s="2" t="s">
        <v>31</v>
      </c>
      <c r="F36" s="6" t="s">
        <v>144</v>
      </c>
      <c r="G36" s="2">
        <v>1</v>
      </c>
      <c r="H36" s="2" t="s">
        <v>11</v>
      </c>
      <c r="I36" s="2" t="s">
        <v>11</v>
      </c>
      <c r="J36" s="2" t="str">
        <f t="shared" si="0"/>
        <v>YES</v>
      </c>
    </row>
    <row r="37" spans="1:10" x14ac:dyDescent="0.25">
      <c r="A37" s="2" t="s">
        <v>110</v>
      </c>
      <c r="B37" s="2" t="s">
        <v>32</v>
      </c>
      <c r="C37" s="2" t="s">
        <v>18</v>
      </c>
      <c r="D37" s="2" t="s">
        <v>25</v>
      </c>
      <c r="E37" s="2" t="s">
        <v>33</v>
      </c>
      <c r="F37" s="6" t="s">
        <v>145</v>
      </c>
      <c r="G37" s="2">
        <v>1</v>
      </c>
      <c r="H37" s="2" t="s">
        <v>11</v>
      </c>
      <c r="I37" s="2" t="s">
        <v>11</v>
      </c>
      <c r="J37" s="2" t="str">
        <f t="shared" si="0"/>
        <v>YES</v>
      </c>
    </row>
    <row r="38" spans="1:10" x14ac:dyDescent="0.25">
      <c r="A38" s="2" t="s">
        <v>110</v>
      </c>
      <c r="B38" s="2" t="s">
        <v>32</v>
      </c>
      <c r="C38" s="2" t="s">
        <v>18</v>
      </c>
      <c r="D38" s="2" t="s">
        <v>25</v>
      </c>
      <c r="E38" s="2" t="s">
        <v>33</v>
      </c>
      <c r="F38" s="6" t="s">
        <v>146</v>
      </c>
      <c r="G38" s="2">
        <v>1</v>
      </c>
      <c r="H38" s="2" t="s">
        <v>11</v>
      </c>
      <c r="I38" s="2" t="s">
        <v>11</v>
      </c>
      <c r="J38" s="2" t="str">
        <f t="shared" si="0"/>
        <v>YES</v>
      </c>
    </row>
    <row r="39" spans="1:10" x14ac:dyDescent="0.25">
      <c r="A39" s="2" t="s">
        <v>110</v>
      </c>
      <c r="B39" s="2" t="s">
        <v>32</v>
      </c>
      <c r="C39" s="2" t="s">
        <v>18</v>
      </c>
      <c r="D39" s="2" t="s">
        <v>25</v>
      </c>
      <c r="E39" s="2" t="s">
        <v>33</v>
      </c>
      <c r="F39" s="6" t="s">
        <v>147</v>
      </c>
      <c r="G39" s="2">
        <v>1</v>
      </c>
      <c r="H39" s="2" t="s">
        <v>11</v>
      </c>
      <c r="I39" s="2" t="s">
        <v>11</v>
      </c>
      <c r="J39" s="2" t="str">
        <f t="shared" si="0"/>
        <v>YES</v>
      </c>
    </row>
    <row r="40" spans="1:10" x14ac:dyDescent="0.25">
      <c r="A40" s="2" t="s">
        <v>110</v>
      </c>
      <c r="B40" s="2" t="s">
        <v>32</v>
      </c>
      <c r="C40" s="2" t="s">
        <v>18</v>
      </c>
      <c r="D40" s="2" t="s">
        <v>25</v>
      </c>
      <c r="E40" s="2" t="s">
        <v>33</v>
      </c>
      <c r="F40" s="6" t="s">
        <v>148</v>
      </c>
      <c r="G40" s="2">
        <v>1</v>
      </c>
      <c r="H40" s="2" t="s">
        <v>11</v>
      </c>
      <c r="I40" s="2" t="s">
        <v>11</v>
      </c>
      <c r="J40" s="2" t="str">
        <f t="shared" si="0"/>
        <v>YES</v>
      </c>
    </row>
    <row r="41" spans="1:10" x14ac:dyDescent="0.25">
      <c r="A41" s="2" t="s">
        <v>110</v>
      </c>
      <c r="B41" s="2" t="s">
        <v>35</v>
      </c>
      <c r="C41" s="2" t="s">
        <v>10</v>
      </c>
      <c r="D41" s="2" t="s">
        <v>11</v>
      </c>
      <c r="E41" s="2" t="s">
        <v>11</v>
      </c>
      <c r="F41" s="6" t="s">
        <v>11</v>
      </c>
      <c r="G41" s="2">
        <v>1</v>
      </c>
      <c r="H41" s="2" t="s">
        <v>35</v>
      </c>
      <c r="I41" s="2" t="s">
        <v>11</v>
      </c>
      <c r="J41" s="2" t="str">
        <f t="shared" si="0"/>
        <v>NO</v>
      </c>
    </row>
    <row r="42" spans="1:10" x14ac:dyDescent="0.25">
      <c r="A42" s="2" t="s">
        <v>110</v>
      </c>
      <c r="B42" s="2" t="s">
        <v>12</v>
      </c>
      <c r="C42" s="2" t="s">
        <v>13</v>
      </c>
      <c r="D42" s="2" t="s">
        <v>14</v>
      </c>
      <c r="E42" s="2" t="s">
        <v>15</v>
      </c>
      <c r="F42" s="6" t="s">
        <v>149</v>
      </c>
      <c r="G42" s="2">
        <v>1</v>
      </c>
      <c r="H42" s="2" t="s">
        <v>35</v>
      </c>
      <c r="I42" s="2" t="s">
        <v>36</v>
      </c>
      <c r="J42" s="2" t="str">
        <f t="shared" si="0"/>
        <v>YES</v>
      </c>
    </row>
    <row r="43" spans="1:10" x14ac:dyDescent="0.25">
      <c r="A43" s="2" t="s">
        <v>110</v>
      </c>
      <c r="B43" s="2" t="s">
        <v>17</v>
      </c>
      <c r="C43" s="2" t="s">
        <v>18</v>
      </c>
      <c r="D43" s="2" t="s">
        <v>14</v>
      </c>
      <c r="E43" s="2" t="s">
        <v>19</v>
      </c>
      <c r="F43" s="6" t="s">
        <v>150</v>
      </c>
      <c r="G43" s="2">
        <v>1</v>
      </c>
      <c r="H43" s="2" t="s">
        <v>11</v>
      </c>
      <c r="I43" s="2" t="s">
        <v>11</v>
      </c>
      <c r="J43" s="2" t="str">
        <f t="shared" si="0"/>
        <v>YES</v>
      </c>
    </row>
    <row r="44" spans="1:10" x14ac:dyDescent="0.25">
      <c r="A44" s="2" t="s">
        <v>110</v>
      </c>
      <c r="B44" s="2" t="s">
        <v>17</v>
      </c>
      <c r="C44" s="2" t="s">
        <v>18</v>
      </c>
      <c r="D44" s="2" t="s">
        <v>14</v>
      </c>
      <c r="E44" s="2" t="s">
        <v>19</v>
      </c>
      <c r="F44" s="6" t="s">
        <v>151</v>
      </c>
      <c r="G44" s="2">
        <v>1</v>
      </c>
      <c r="H44" s="2" t="s">
        <v>11</v>
      </c>
      <c r="I44" s="2" t="s">
        <v>11</v>
      </c>
      <c r="J44" s="2" t="str">
        <f t="shared" si="0"/>
        <v>YES</v>
      </c>
    </row>
    <row r="45" spans="1:10" x14ac:dyDescent="0.25">
      <c r="A45" s="2" t="s">
        <v>110</v>
      </c>
      <c r="B45" s="2" t="s">
        <v>20</v>
      </c>
      <c r="C45" s="2" t="s">
        <v>18</v>
      </c>
      <c r="D45" s="2" t="s">
        <v>14</v>
      </c>
      <c r="E45" s="2" t="s">
        <v>21</v>
      </c>
      <c r="F45" s="6" t="s">
        <v>152</v>
      </c>
      <c r="G45" s="2">
        <v>1</v>
      </c>
      <c r="H45" s="2" t="s">
        <v>11</v>
      </c>
      <c r="I45" s="2" t="s">
        <v>11</v>
      </c>
      <c r="J45" s="2" t="str">
        <f t="shared" si="0"/>
        <v>YES</v>
      </c>
    </row>
    <row r="46" spans="1:10" x14ac:dyDescent="0.25">
      <c r="A46" s="2" t="s">
        <v>110</v>
      </c>
      <c r="B46" s="2" t="s">
        <v>20</v>
      </c>
      <c r="C46" s="2" t="s">
        <v>18</v>
      </c>
      <c r="D46" s="2" t="s">
        <v>14</v>
      </c>
      <c r="E46" s="2" t="s">
        <v>21</v>
      </c>
      <c r="F46" s="6" t="s">
        <v>153</v>
      </c>
      <c r="G46" s="2">
        <v>1</v>
      </c>
      <c r="H46" s="2" t="s">
        <v>11</v>
      </c>
      <c r="I46" s="2" t="s">
        <v>11</v>
      </c>
      <c r="J46" s="2" t="str">
        <f t="shared" si="0"/>
        <v>YES</v>
      </c>
    </row>
    <row r="47" spans="1:10" x14ac:dyDescent="0.25">
      <c r="A47" s="2" t="s">
        <v>110</v>
      </c>
      <c r="B47" s="2" t="s">
        <v>12</v>
      </c>
      <c r="C47" s="2" t="s">
        <v>13</v>
      </c>
      <c r="D47" s="2" t="s">
        <v>14</v>
      </c>
      <c r="E47" s="2" t="s">
        <v>15</v>
      </c>
      <c r="F47" s="6" t="s">
        <v>154</v>
      </c>
      <c r="G47" s="2">
        <v>1</v>
      </c>
      <c r="H47" s="2" t="s">
        <v>35</v>
      </c>
      <c r="I47" s="2" t="s">
        <v>37</v>
      </c>
      <c r="J47" s="2" t="str">
        <f t="shared" si="0"/>
        <v>YES</v>
      </c>
    </row>
    <row r="48" spans="1:10" x14ac:dyDescent="0.25">
      <c r="A48" s="2" t="s">
        <v>110</v>
      </c>
      <c r="B48" s="2" t="s">
        <v>17</v>
      </c>
      <c r="C48" s="2" t="s">
        <v>18</v>
      </c>
      <c r="D48" s="2" t="s">
        <v>14</v>
      </c>
      <c r="E48" s="2" t="s">
        <v>19</v>
      </c>
      <c r="F48" s="6" t="s">
        <v>155</v>
      </c>
      <c r="G48" s="2">
        <v>1</v>
      </c>
      <c r="H48" s="2" t="s">
        <v>11</v>
      </c>
      <c r="I48" s="2" t="s">
        <v>11</v>
      </c>
      <c r="J48" s="2" t="str">
        <f t="shared" si="0"/>
        <v>YES</v>
      </c>
    </row>
    <row r="49" spans="1:10" x14ac:dyDescent="0.25">
      <c r="A49" s="2" t="s">
        <v>110</v>
      </c>
      <c r="B49" s="2" t="s">
        <v>17</v>
      </c>
      <c r="C49" s="2" t="s">
        <v>18</v>
      </c>
      <c r="D49" s="2" t="s">
        <v>14</v>
      </c>
      <c r="E49" s="2" t="s">
        <v>19</v>
      </c>
      <c r="F49" s="6" t="s">
        <v>156</v>
      </c>
      <c r="G49" s="2">
        <v>1</v>
      </c>
      <c r="H49" s="2" t="s">
        <v>11</v>
      </c>
      <c r="I49" s="2" t="s">
        <v>11</v>
      </c>
      <c r="J49" s="2" t="str">
        <f t="shared" si="0"/>
        <v>YES</v>
      </c>
    </row>
    <row r="50" spans="1:10" x14ac:dyDescent="0.25">
      <c r="A50" s="2" t="s">
        <v>110</v>
      </c>
      <c r="B50" s="2" t="s">
        <v>20</v>
      </c>
      <c r="C50" s="2" t="s">
        <v>18</v>
      </c>
      <c r="D50" s="2" t="s">
        <v>14</v>
      </c>
      <c r="E50" s="2" t="s">
        <v>21</v>
      </c>
      <c r="F50" s="6" t="s">
        <v>157</v>
      </c>
      <c r="G50" s="2">
        <v>1</v>
      </c>
      <c r="H50" s="2" t="s">
        <v>11</v>
      </c>
      <c r="I50" s="2" t="s">
        <v>11</v>
      </c>
      <c r="J50" s="2" t="str">
        <f t="shared" si="0"/>
        <v>YES</v>
      </c>
    </row>
    <row r="51" spans="1:10" x14ac:dyDescent="0.25">
      <c r="A51" s="2" t="s">
        <v>110</v>
      </c>
      <c r="B51" s="2" t="s">
        <v>20</v>
      </c>
      <c r="C51" s="2" t="s">
        <v>18</v>
      </c>
      <c r="D51" s="2" t="s">
        <v>14</v>
      </c>
      <c r="E51" s="2" t="s">
        <v>21</v>
      </c>
      <c r="F51" s="6" t="s">
        <v>158</v>
      </c>
      <c r="G51" s="2">
        <v>1</v>
      </c>
      <c r="H51" s="2" t="s">
        <v>11</v>
      </c>
      <c r="I51" s="2" t="s">
        <v>11</v>
      </c>
      <c r="J51" s="2" t="str">
        <f t="shared" si="0"/>
        <v>YES</v>
      </c>
    </row>
    <row r="52" spans="1:10" x14ac:dyDescent="0.25">
      <c r="A52" s="2" t="s">
        <v>110</v>
      </c>
      <c r="B52" s="2" t="s">
        <v>38</v>
      </c>
      <c r="C52" s="2" t="s">
        <v>39</v>
      </c>
      <c r="D52" s="2" t="s">
        <v>14</v>
      </c>
      <c r="E52" s="2" t="s">
        <v>40</v>
      </c>
      <c r="F52" s="6" t="s">
        <v>159</v>
      </c>
      <c r="G52" s="2">
        <v>1</v>
      </c>
      <c r="H52" s="2" t="s">
        <v>160</v>
      </c>
      <c r="I52" s="2" t="s">
        <v>11</v>
      </c>
      <c r="J52" s="2" t="str">
        <f t="shared" si="0"/>
        <v>YES</v>
      </c>
    </row>
    <row r="53" spans="1:10" x14ac:dyDescent="0.25">
      <c r="A53" s="2" t="s">
        <v>110</v>
      </c>
      <c r="B53" s="2" t="s">
        <v>38</v>
      </c>
      <c r="C53" s="2" t="s">
        <v>39</v>
      </c>
      <c r="D53" s="2" t="s">
        <v>14</v>
      </c>
      <c r="E53" s="2" t="s">
        <v>40</v>
      </c>
      <c r="F53" s="6" t="s">
        <v>161</v>
      </c>
      <c r="G53" s="2">
        <v>1</v>
      </c>
      <c r="H53" s="2" t="s">
        <v>162</v>
      </c>
      <c r="I53" s="2" t="s">
        <v>11</v>
      </c>
      <c r="J53" s="2" t="str">
        <f t="shared" si="0"/>
        <v>YES</v>
      </c>
    </row>
    <row r="54" spans="1:10" x14ac:dyDescent="0.25">
      <c r="A54" s="2" t="s">
        <v>110</v>
      </c>
      <c r="B54" s="2" t="s">
        <v>41</v>
      </c>
      <c r="C54" s="2" t="s">
        <v>42</v>
      </c>
      <c r="D54" s="2" t="s">
        <v>14</v>
      </c>
      <c r="E54" s="2" t="s">
        <v>43</v>
      </c>
      <c r="F54" s="6" t="s">
        <v>163</v>
      </c>
      <c r="G54" s="2">
        <v>1</v>
      </c>
      <c r="H54" s="2" t="s">
        <v>35</v>
      </c>
      <c r="I54" s="2" t="s">
        <v>44</v>
      </c>
      <c r="J54" s="2" t="str">
        <f t="shared" si="0"/>
        <v>YES</v>
      </c>
    </row>
    <row r="55" spans="1:10" x14ac:dyDescent="0.25">
      <c r="A55" s="2" t="s">
        <v>110</v>
      </c>
      <c r="B55" s="2" t="s">
        <v>45</v>
      </c>
      <c r="C55" s="2" t="s">
        <v>42</v>
      </c>
      <c r="D55" s="2" t="s">
        <v>14</v>
      </c>
      <c r="E55" s="2" t="s">
        <v>46</v>
      </c>
      <c r="F55" s="6" t="s">
        <v>164</v>
      </c>
      <c r="G55" s="2">
        <v>1</v>
      </c>
      <c r="H55" s="2" t="s">
        <v>11</v>
      </c>
      <c r="I55" s="2" t="s">
        <v>11</v>
      </c>
      <c r="J55" s="2" t="str">
        <f t="shared" si="0"/>
        <v>YES</v>
      </c>
    </row>
    <row r="56" spans="1:10" x14ac:dyDescent="0.25">
      <c r="A56" s="2" t="s">
        <v>110</v>
      </c>
      <c r="B56" s="2" t="s">
        <v>45</v>
      </c>
      <c r="C56" s="2" t="s">
        <v>42</v>
      </c>
      <c r="D56" s="2" t="s">
        <v>14</v>
      </c>
      <c r="E56" s="2" t="s">
        <v>46</v>
      </c>
      <c r="F56" s="6" t="s">
        <v>165</v>
      </c>
      <c r="G56" s="2">
        <v>1</v>
      </c>
      <c r="H56" s="2" t="s">
        <v>11</v>
      </c>
      <c r="I56" s="2" t="s">
        <v>11</v>
      </c>
      <c r="J56" s="2" t="str">
        <f t="shared" si="0"/>
        <v>YES</v>
      </c>
    </row>
    <row r="57" spans="1:10" x14ac:dyDescent="0.25">
      <c r="A57" s="2" t="s">
        <v>110</v>
      </c>
      <c r="B57" s="2" t="s">
        <v>47</v>
      </c>
      <c r="C57" s="2" t="s">
        <v>39</v>
      </c>
      <c r="D57" s="2" t="s">
        <v>14</v>
      </c>
      <c r="E57" s="2" t="s">
        <v>48</v>
      </c>
      <c r="F57" s="6" t="s">
        <v>166</v>
      </c>
      <c r="G57" s="2">
        <v>1</v>
      </c>
      <c r="H57" s="2" t="s">
        <v>167</v>
      </c>
      <c r="I57" s="2" t="s">
        <v>11</v>
      </c>
      <c r="J57" s="2" t="str">
        <f t="shared" si="0"/>
        <v>YES</v>
      </c>
    </row>
    <row r="58" spans="1:10" x14ac:dyDescent="0.25">
      <c r="A58" s="2" t="s">
        <v>110</v>
      </c>
      <c r="B58" s="2" t="s">
        <v>47</v>
      </c>
      <c r="C58" s="2" t="s">
        <v>39</v>
      </c>
      <c r="D58" s="2" t="s">
        <v>14</v>
      </c>
      <c r="E58" s="2" t="s">
        <v>48</v>
      </c>
      <c r="F58" s="6" t="s">
        <v>168</v>
      </c>
      <c r="G58" s="2">
        <v>1</v>
      </c>
      <c r="H58" s="2" t="s">
        <v>169</v>
      </c>
      <c r="I58" s="2" t="s">
        <v>11</v>
      </c>
      <c r="J58" s="2" t="str">
        <f t="shared" si="0"/>
        <v>YES</v>
      </c>
    </row>
    <row r="59" spans="1:10" x14ac:dyDescent="0.25">
      <c r="A59" s="2" t="s">
        <v>110</v>
      </c>
      <c r="B59" s="2" t="s">
        <v>47</v>
      </c>
      <c r="C59" s="2" t="s">
        <v>39</v>
      </c>
      <c r="D59" s="2" t="s">
        <v>14</v>
      </c>
      <c r="E59" s="2" t="s">
        <v>48</v>
      </c>
      <c r="F59" s="6" t="s">
        <v>170</v>
      </c>
      <c r="G59" s="2">
        <v>1</v>
      </c>
      <c r="H59" s="2" t="s">
        <v>171</v>
      </c>
      <c r="I59" s="2" t="s">
        <v>11</v>
      </c>
      <c r="J59" s="2" t="str">
        <f t="shared" si="0"/>
        <v>YES</v>
      </c>
    </row>
    <row r="60" spans="1:10" x14ac:dyDescent="0.25">
      <c r="A60" s="2" t="s">
        <v>110</v>
      </c>
      <c r="B60" s="2" t="s">
        <v>47</v>
      </c>
      <c r="C60" s="2" t="s">
        <v>39</v>
      </c>
      <c r="D60" s="2" t="s">
        <v>14</v>
      </c>
      <c r="E60" s="2" t="s">
        <v>48</v>
      </c>
      <c r="F60" s="6" t="s">
        <v>172</v>
      </c>
      <c r="G60" s="2">
        <v>1</v>
      </c>
      <c r="H60" s="2" t="s">
        <v>173</v>
      </c>
      <c r="I60" s="2" t="s">
        <v>11</v>
      </c>
      <c r="J60" s="2" t="str">
        <f t="shared" si="0"/>
        <v>YES</v>
      </c>
    </row>
    <row r="61" spans="1:10" x14ac:dyDescent="0.25">
      <c r="A61" s="2" t="s">
        <v>110</v>
      </c>
      <c r="B61" s="2" t="s">
        <v>47</v>
      </c>
      <c r="C61" s="2" t="s">
        <v>39</v>
      </c>
      <c r="D61" s="2" t="s">
        <v>14</v>
      </c>
      <c r="E61" s="2" t="s">
        <v>48</v>
      </c>
      <c r="F61" s="6" t="s">
        <v>174</v>
      </c>
      <c r="G61" s="2">
        <v>1</v>
      </c>
      <c r="H61" s="2" t="s">
        <v>175</v>
      </c>
      <c r="I61" s="2" t="s">
        <v>11</v>
      </c>
      <c r="J61" s="2" t="str">
        <f t="shared" si="0"/>
        <v>YES</v>
      </c>
    </row>
    <row r="62" spans="1:10" x14ac:dyDescent="0.25">
      <c r="A62" s="2" t="s">
        <v>110</v>
      </c>
      <c r="B62" s="2" t="s">
        <v>47</v>
      </c>
      <c r="C62" s="2" t="s">
        <v>39</v>
      </c>
      <c r="D62" s="2" t="s">
        <v>14</v>
      </c>
      <c r="E62" s="2" t="s">
        <v>48</v>
      </c>
      <c r="F62" s="6" t="s">
        <v>176</v>
      </c>
      <c r="G62" s="2">
        <v>1</v>
      </c>
      <c r="H62" s="2" t="s">
        <v>177</v>
      </c>
      <c r="I62" s="2" t="s">
        <v>11</v>
      </c>
      <c r="J62" s="2" t="str">
        <f t="shared" si="0"/>
        <v>YES</v>
      </c>
    </row>
    <row r="63" spans="1:10" x14ac:dyDescent="0.25">
      <c r="A63" s="2" t="s">
        <v>110</v>
      </c>
      <c r="B63" s="2" t="s">
        <v>47</v>
      </c>
      <c r="C63" s="2" t="s">
        <v>39</v>
      </c>
      <c r="D63" s="2" t="s">
        <v>14</v>
      </c>
      <c r="E63" s="2" t="s">
        <v>48</v>
      </c>
      <c r="F63" s="6" t="s">
        <v>178</v>
      </c>
      <c r="G63" s="2">
        <v>1</v>
      </c>
      <c r="H63" s="2" t="s">
        <v>179</v>
      </c>
      <c r="I63" s="2" t="s">
        <v>11</v>
      </c>
      <c r="J63" s="2" t="str">
        <f t="shared" si="0"/>
        <v>YES</v>
      </c>
    </row>
    <row r="64" spans="1:10" x14ac:dyDescent="0.25">
      <c r="A64" s="2" t="s">
        <v>110</v>
      </c>
      <c r="B64" s="2" t="s">
        <v>47</v>
      </c>
      <c r="C64" s="2" t="s">
        <v>39</v>
      </c>
      <c r="D64" s="2" t="s">
        <v>14</v>
      </c>
      <c r="E64" s="2" t="s">
        <v>48</v>
      </c>
      <c r="F64" s="6" t="s">
        <v>180</v>
      </c>
      <c r="G64" s="2">
        <v>1</v>
      </c>
      <c r="H64" s="2" t="s">
        <v>181</v>
      </c>
      <c r="I64" s="2" t="s">
        <v>11</v>
      </c>
      <c r="J64" s="2" t="str">
        <f t="shared" si="0"/>
        <v>YES</v>
      </c>
    </row>
    <row r="65" spans="1:10" x14ac:dyDescent="0.25">
      <c r="A65" s="2" t="s">
        <v>110</v>
      </c>
      <c r="B65" s="2" t="s">
        <v>47</v>
      </c>
      <c r="C65" s="2" t="s">
        <v>39</v>
      </c>
      <c r="D65" s="2" t="s">
        <v>14</v>
      </c>
      <c r="E65" s="2" t="s">
        <v>48</v>
      </c>
      <c r="F65" s="6" t="s">
        <v>182</v>
      </c>
      <c r="G65" s="2">
        <v>1</v>
      </c>
      <c r="H65" s="2" t="s">
        <v>183</v>
      </c>
      <c r="I65" s="2" t="s">
        <v>11</v>
      </c>
      <c r="J65" s="2" t="str">
        <f t="shared" si="0"/>
        <v>YES</v>
      </c>
    </row>
    <row r="66" spans="1:10" x14ac:dyDescent="0.25">
      <c r="A66" s="2" t="s">
        <v>110</v>
      </c>
      <c r="B66" s="2" t="s">
        <v>47</v>
      </c>
      <c r="C66" s="2" t="s">
        <v>39</v>
      </c>
      <c r="D66" s="2" t="s">
        <v>14</v>
      </c>
      <c r="E66" s="2" t="s">
        <v>48</v>
      </c>
      <c r="F66" s="6" t="s">
        <v>184</v>
      </c>
      <c r="G66" s="2">
        <v>1</v>
      </c>
      <c r="H66" s="2" t="s">
        <v>185</v>
      </c>
      <c r="I66" s="2" t="s">
        <v>11</v>
      </c>
      <c r="J66" s="2" t="str">
        <f t="shared" si="0"/>
        <v>YES</v>
      </c>
    </row>
    <row r="67" spans="1:10" x14ac:dyDescent="0.25">
      <c r="A67" s="2" t="s">
        <v>110</v>
      </c>
      <c r="B67" s="2" t="s">
        <v>47</v>
      </c>
      <c r="C67" s="2" t="s">
        <v>39</v>
      </c>
      <c r="D67" s="2" t="s">
        <v>14</v>
      </c>
      <c r="E67" s="2" t="s">
        <v>48</v>
      </c>
      <c r="F67" s="6" t="s">
        <v>186</v>
      </c>
      <c r="G67" s="2">
        <v>1</v>
      </c>
      <c r="H67" s="2" t="s">
        <v>187</v>
      </c>
      <c r="I67" s="2" t="s">
        <v>11</v>
      </c>
      <c r="J67" s="2" t="str">
        <f t="shared" ref="J67:J130" si="1">IF(OR(F67="",F67="_",LEFT(F67,5)="SPARE"),"NO","YES")</f>
        <v>YES</v>
      </c>
    </row>
    <row r="68" spans="1:10" x14ac:dyDescent="0.25">
      <c r="A68" s="2" t="s">
        <v>110</v>
      </c>
      <c r="B68" s="2" t="s">
        <v>47</v>
      </c>
      <c r="C68" s="2" t="s">
        <v>39</v>
      </c>
      <c r="D68" s="2" t="s">
        <v>14</v>
      </c>
      <c r="E68" s="2" t="s">
        <v>48</v>
      </c>
      <c r="F68" s="6" t="s">
        <v>188</v>
      </c>
      <c r="G68" s="2">
        <v>1</v>
      </c>
      <c r="H68" s="2" t="s">
        <v>189</v>
      </c>
      <c r="I68" s="2" t="s">
        <v>11</v>
      </c>
      <c r="J68" s="2" t="str">
        <f t="shared" si="1"/>
        <v>YES</v>
      </c>
    </row>
    <row r="69" spans="1:10" x14ac:dyDescent="0.25">
      <c r="A69" s="2" t="s">
        <v>110</v>
      </c>
      <c r="B69" s="2" t="s">
        <v>49</v>
      </c>
      <c r="C69" s="2" t="s">
        <v>18</v>
      </c>
      <c r="D69" s="2" t="s">
        <v>14</v>
      </c>
      <c r="E69" s="2" t="s">
        <v>50</v>
      </c>
      <c r="F69" s="6" t="s">
        <v>190</v>
      </c>
      <c r="G69" s="2">
        <v>1</v>
      </c>
      <c r="H69" s="2" t="s">
        <v>11</v>
      </c>
      <c r="I69" s="2" t="s">
        <v>11</v>
      </c>
      <c r="J69" s="2" t="str">
        <f t="shared" si="1"/>
        <v>YES</v>
      </c>
    </row>
    <row r="70" spans="1:10" x14ac:dyDescent="0.25">
      <c r="A70" s="2" t="s">
        <v>110</v>
      </c>
      <c r="B70" s="2" t="s">
        <v>49</v>
      </c>
      <c r="C70" s="2" t="s">
        <v>18</v>
      </c>
      <c r="D70" s="2" t="s">
        <v>14</v>
      </c>
      <c r="E70" s="2" t="s">
        <v>50</v>
      </c>
      <c r="F70" s="6" t="s">
        <v>191</v>
      </c>
      <c r="G70" s="2">
        <v>1</v>
      </c>
      <c r="H70" s="2" t="s">
        <v>11</v>
      </c>
      <c r="I70" s="2" t="s">
        <v>11</v>
      </c>
      <c r="J70" s="2" t="str">
        <f t="shared" si="1"/>
        <v>YES</v>
      </c>
    </row>
    <row r="71" spans="1:10" x14ac:dyDescent="0.25">
      <c r="A71" s="2" t="s">
        <v>110</v>
      </c>
      <c r="B71" s="2" t="s">
        <v>49</v>
      </c>
      <c r="C71" s="2" t="s">
        <v>18</v>
      </c>
      <c r="D71" s="2" t="s">
        <v>14</v>
      </c>
      <c r="E71" s="2" t="s">
        <v>50</v>
      </c>
      <c r="F71" s="6" t="s">
        <v>192</v>
      </c>
      <c r="G71" s="2">
        <v>1</v>
      </c>
      <c r="H71" s="2" t="s">
        <v>11</v>
      </c>
      <c r="I71" s="2" t="s">
        <v>11</v>
      </c>
      <c r="J71" s="2" t="str">
        <f t="shared" si="1"/>
        <v>YES</v>
      </c>
    </row>
    <row r="72" spans="1:10" x14ac:dyDescent="0.25">
      <c r="A72" s="2" t="s">
        <v>110</v>
      </c>
      <c r="B72" s="2" t="s">
        <v>49</v>
      </c>
      <c r="C72" s="2" t="s">
        <v>18</v>
      </c>
      <c r="D72" s="2" t="s">
        <v>14</v>
      </c>
      <c r="E72" s="2" t="s">
        <v>50</v>
      </c>
      <c r="F72" s="6" t="s">
        <v>193</v>
      </c>
      <c r="G72" s="2">
        <v>1</v>
      </c>
      <c r="H72" s="2" t="s">
        <v>11</v>
      </c>
      <c r="I72" s="2" t="s">
        <v>11</v>
      </c>
      <c r="J72" s="2" t="str">
        <f t="shared" si="1"/>
        <v>YES</v>
      </c>
    </row>
    <row r="73" spans="1:10" x14ac:dyDescent="0.25">
      <c r="A73" s="2" t="s">
        <v>110</v>
      </c>
      <c r="B73" s="2" t="s">
        <v>49</v>
      </c>
      <c r="C73" s="2" t="s">
        <v>18</v>
      </c>
      <c r="D73" s="2" t="s">
        <v>14</v>
      </c>
      <c r="E73" s="2" t="s">
        <v>50</v>
      </c>
      <c r="F73" s="6" t="s">
        <v>194</v>
      </c>
      <c r="G73" s="2">
        <v>1</v>
      </c>
      <c r="H73" s="2" t="s">
        <v>11</v>
      </c>
      <c r="I73" s="2" t="s">
        <v>11</v>
      </c>
      <c r="J73" s="2" t="str">
        <f t="shared" si="1"/>
        <v>YES</v>
      </c>
    </row>
    <row r="74" spans="1:10" x14ac:dyDescent="0.25">
      <c r="A74" s="2" t="s">
        <v>110</v>
      </c>
      <c r="B74" s="2" t="s">
        <v>49</v>
      </c>
      <c r="C74" s="2" t="s">
        <v>18</v>
      </c>
      <c r="D74" s="2" t="s">
        <v>14</v>
      </c>
      <c r="E74" s="2" t="s">
        <v>50</v>
      </c>
      <c r="F74" s="6" t="s">
        <v>195</v>
      </c>
      <c r="G74" s="2">
        <v>1</v>
      </c>
      <c r="H74" s="2" t="s">
        <v>11</v>
      </c>
      <c r="I74" s="2" t="s">
        <v>11</v>
      </c>
      <c r="J74" s="2" t="str">
        <f t="shared" si="1"/>
        <v>YES</v>
      </c>
    </row>
    <row r="75" spans="1:10" x14ac:dyDescent="0.25">
      <c r="A75" s="2" t="s">
        <v>110</v>
      </c>
      <c r="B75" s="2" t="s">
        <v>49</v>
      </c>
      <c r="C75" s="2" t="s">
        <v>18</v>
      </c>
      <c r="D75" s="2" t="s">
        <v>14</v>
      </c>
      <c r="E75" s="2" t="s">
        <v>50</v>
      </c>
      <c r="F75" s="6" t="s">
        <v>196</v>
      </c>
      <c r="G75" s="2">
        <v>1</v>
      </c>
      <c r="H75" s="2" t="s">
        <v>11</v>
      </c>
      <c r="I75" s="2" t="s">
        <v>11</v>
      </c>
      <c r="J75" s="2" t="str">
        <f t="shared" si="1"/>
        <v>YES</v>
      </c>
    </row>
    <row r="76" spans="1:10" x14ac:dyDescent="0.25">
      <c r="A76" s="2" t="s">
        <v>110</v>
      </c>
      <c r="B76" s="2" t="s">
        <v>49</v>
      </c>
      <c r="C76" s="2" t="s">
        <v>18</v>
      </c>
      <c r="D76" s="2" t="s">
        <v>14</v>
      </c>
      <c r="E76" s="2" t="s">
        <v>50</v>
      </c>
      <c r="F76" s="6" t="s">
        <v>197</v>
      </c>
      <c r="G76" s="2">
        <v>1</v>
      </c>
      <c r="H76" s="2" t="s">
        <v>11</v>
      </c>
      <c r="I76" s="2" t="s">
        <v>11</v>
      </c>
      <c r="J76" s="2" t="str">
        <f t="shared" si="1"/>
        <v>YES</v>
      </c>
    </row>
    <row r="77" spans="1:10" x14ac:dyDescent="0.25">
      <c r="A77" s="2" t="s">
        <v>110</v>
      </c>
      <c r="B77" s="2" t="s">
        <v>51</v>
      </c>
      <c r="C77" s="2" t="s">
        <v>10</v>
      </c>
      <c r="D77" s="2" t="s">
        <v>11</v>
      </c>
      <c r="E77" s="2" t="s">
        <v>11</v>
      </c>
      <c r="F77" s="6" t="s">
        <v>11</v>
      </c>
      <c r="G77" s="2">
        <v>1</v>
      </c>
      <c r="H77" s="2" t="s">
        <v>51</v>
      </c>
      <c r="I77" s="2" t="s">
        <v>11</v>
      </c>
      <c r="J77" s="2" t="str">
        <f t="shared" si="1"/>
        <v>NO</v>
      </c>
    </row>
    <row r="78" spans="1:10" x14ac:dyDescent="0.25">
      <c r="A78" s="2" t="s">
        <v>110</v>
      </c>
      <c r="B78" s="2" t="s">
        <v>52</v>
      </c>
      <c r="C78" s="2" t="s">
        <v>53</v>
      </c>
      <c r="D78" s="2" t="s">
        <v>54</v>
      </c>
      <c r="E78" s="2" t="s">
        <v>55</v>
      </c>
      <c r="F78" s="6" t="s">
        <v>198</v>
      </c>
      <c r="G78" s="2">
        <v>1</v>
      </c>
      <c r="H78" s="2" t="s">
        <v>51</v>
      </c>
      <c r="I78" s="2" t="s">
        <v>56</v>
      </c>
      <c r="J78" s="2" t="str">
        <f t="shared" si="1"/>
        <v>YES</v>
      </c>
    </row>
    <row r="79" spans="1:10" x14ac:dyDescent="0.25">
      <c r="A79" s="2" t="s">
        <v>110</v>
      </c>
      <c r="B79" s="2" t="s">
        <v>57</v>
      </c>
      <c r="C79" s="2" t="s">
        <v>58</v>
      </c>
      <c r="D79" s="2" t="s">
        <v>14</v>
      </c>
      <c r="E79" s="2" t="s">
        <v>59</v>
      </c>
      <c r="F79" s="6" t="s">
        <v>199</v>
      </c>
      <c r="G79" s="2">
        <v>1</v>
      </c>
      <c r="H79" s="2" t="s">
        <v>51</v>
      </c>
      <c r="I79" s="2" t="s">
        <v>60</v>
      </c>
      <c r="J79" s="2" t="str">
        <f t="shared" si="1"/>
        <v>YES</v>
      </c>
    </row>
    <row r="80" spans="1:10" x14ac:dyDescent="0.25">
      <c r="A80" s="2" t="s">
        <v>110</v>
      </c>
      <c r="B80" s="2" t="s">
        <v>61</v>
      </c>
      <c r="C80" s="2" t="s">
        <v>62</v>
      </c>
      <c r="D80" s="2" t="s">
        <v>11</v>
      </c>
      <c r="E80" s="2" t="s">
        <v>11</v>
      </c>
      <c r="F80" s="6" t="s">
        <v>11</v>
      </c>
      <c r="G80" s="2">
        <v>1</v>
      </c>
      <c r="H80" s="2" t="s">
        <v>61</v>
      </c>
      <c r="I80" s="2" t="s">
        <v>11</v>
      </c>
      <c r="J80" s="2" t="str">
        <f t="shared" si="1"/>
        <v>NO</v>
      </c>
    </row>
    <row r="81" spans="1:10" x14ac:dyDescent="0.25">
      <c r="A81" s="2" t="s">
        <v>110</v>
      </c>
      <c r="B81" s="2" t="s">
        <v>63</v>
      </c>
      <c r="C81" s="2" t="s">
        <v>64</v>
      </c>
      <c r="D81" s="2" t="s">
        <v>65</v>
      </c>
      <c r="E81" s="2" t="s">
        <v>66</v>
      </c>
      <c r="F81" s="6" t="s">
        <v>200</v>
      </c>
      <c r="G81" s="2">
        <v>1</v>
      </c>
      <c r="H81" s="2" t="s">
        <v>11</v>
      </c>
      <c r="I81" s="2" t="s">
        <v>67</v>
      </c>
      <c r="J81" s="2" t="str">
        <f t="shared" si="1"/>
        <v>YES</v>
      </c>
    </row>
    <row r="82" spans="1:10" x14ac:dyDescent="0.25">
      <c r="A82" s="2" t="s">
        <v>110</v>
      </c>
      <c r="B82" s="2" t="s">
        <v>68</v>
      </c>
      <c r="C82" s="2" t="s">
        <v>69</v>
      </c>
      <c r="D82" s="2" t="s">
        <v>65</v>
      </c>
      <c r="E82" s="2" t="s">
        <v>70</v>
      </c>
      <c r="F82" s="6" t="s">
        <v>201</v>
      </c>
      <c r="G82" s="2">
        <v>1</v>
      </c>
      <c r="H82" s="2" t="s">
        <v>11</v>
      </c>
      <c r="I82" s="2" t="s">
        <v>71</v>
      </c>
      <c r="J82" s="2" t="str">
        <f t="shared" si="1"/>
        <v>YES</v>
      </c>
    </row>
    <row r="83" spans="1:10" x14ac:dyDescent="0.25">
      <c r="A83" s="2" t="s">
        <v>110</v>
      </c>
      <c r="B83" s="2" t="s">
        <v>68</v>
      </c>
      <c r="C83" s="2" t="s">
        <v>69</v>
      </c>
      <c r="D83" s="2" t="s">
        <v>65</v>
      </c>
      <c r="E83" s="2" t="s">
        <v>70</v>
      </c>
      <c r="F83" s="6" t="s">
        <v>202</v>
      </c>
      <c r="G83" s="2">
        <v>1</v>
      </c>
      <c r="H83" s="2" t="s">
        <v>11</v>
      </c>
      <c r="I83" s="2" t="s">
        <v>72</v>
      </c>
      <c r="J83" s="2" t="str">
        <f t="shared" si="1"/>
        <v>YES</v>
      </c>
    </row>
    <row r="84" spans="1:10" x14ac:dyDescent="0.25">
      <c r="A84" s="2" t="s">
        <v>110</v>
      </c>
      <c r="B84" s="2" t="s">
        <v>63</v>
      </c>
      <c r="C84" s="2" t="s">
        <v>64</v>
      </c>
      <c r="D84" s="2" t="s">
        <v>65</v>
      </c>
      <c r="E84" s="2" t="s">
        <v>66</v>
      </c>
      <c r="F84" s="6" t="s">
        <v>203</v>
      </c>
      <c r="G84" s="2">
        <v>1</v>
      </c>
      <c r="H84" s="2" t="s">
        <v>11</v>
      </c>
      <c r="I84" s="2" t="s">
        <v>73</v>
      </c>
      <c r="J84" s="2" t="str">
        <f t="shared" si="1"/>
        <v>YES</v>
      </c>
    </row>
    <row r="85" spans="1:10" x14ac:dyDescent="0.25">
      <c r="A85" s="2" t="s">
        <v>110</v>
      </c>
      <c r="B85" s="2" t="s">
        <v>68</v>
      </c>
      <c r="C85" s="2" t="s">
        <v>69</v>
      </c>
      <c r="D85" s="2" t="s">
        <v>65</v>
      </c>
      <c r="E85" s="2" t="s">
        <v>70</v>
      </c>
      <c r="F85" s="6" t="s">
        <v>204</v>
      </c>
      <c r="G85" s="2">
        <v>1</v>
      </c>
      <c r="H85" s="2" t="s">
        <v>11</v>
      </c>
      <c r="I85" s="2" t="s">
        <v>74</v>
      </c>
      <c r="J85" s="2" t="str">
        <f t="shared" si="1"/>
        <v>YES</v>
      </c>
    </row>
    <row r="86" spans="1:10" x14ac:dyDescent="0.25">
      <c r="A86" s="2" t="s">
        <v>110</v>
      </c>
      <c r="B86" s="2" t="s">
        <v>68</v>
      </c>
      <c r="C86" s="2" t="s">
        <v>69</v>
      </c>
      <c r="D86" s="2" t="s">
        <v>65</v>
      </c>
      <c r="E86" s="2" t="s">
        <v>70</v>
      </c>
      <c r="F86" s="6" t="s">
        <v>205</v>
      </c>
      <c r="G86" s="2">
        <v>1</v>
      </c>
      <c r="H86" s="2" t="s">
        <v>11</v>
      </c>
      <c r="I86" s="2" t="s">
        <v>75</v>
      </c>
      <c r="J86" s="2" t="str">
        <f t="shared" si="1"/>
        <v>YES</v>
      </c>
    </row>
    <row r="87" spans="1:10" x14ac:dyDescent="0.25">
      <c r="A87" s="2" t="s">
        <v>110</v>
      </c>
      <c r="B87" s="2" t="s">
        <v>76</v>
      </c>
      <c r="C87" s="2" t="s">
        <v>77</v>
      </c>
      <c r="D87" s="2" t="s">
        <v>11</v>
      </c>
      <c r="E87" s="2" t="s">
        <v>11</v>
      </c>
      <c r="F87" s="6" t="s">
        <v>11</v>
      </c>
      <c r="G87" s="2">
        <v>1</v>
      </c>
      <c r="H87" s="2" t="s">
        <v>76</v>
      </c>
      <c r="I87" s="2" t="s">
        <v>11</v>
      </c>
      <c r="J87" s="2" t="str">
        <f t="shared" si="1"/>
        <v>NO</v>
      </c>
    </row>
    <row r="88" spans="1:10" x14ac:dyDescent="0.25">
      <c r="A88" s="2" t="s">
        <v>110</v>
      </c>
      <c r="B88" s="2" t="s">
        <v>63</v>
      </c>
      <c r="C88" s="2" t="s">
        <v>64</v>
      </c>
      <c r="D88" s="2" t="s">
        <v>65</v>
      </c>
      <c r="E88" s="2" t="s">
        <v>66</v>
      </c>
      <c r="F88" s="6" t="s">
        <v>206</v>
      </c>
      <c r="G88" s="2">
        <v>1</v>
      </c>
      <c r="H88" s="2" t="s">
        <v>11</v>
      </c>
      <c r="I88" s="2" t="s">
        <v>78</v>
      </c>
      <c r="J88" s="2" t="str">
        <f t="shared" si="1"/>
        <v>YES</v>
      </c>
    </row>
    <row r="89" spans="1:10" x14ac:dyDescent="0.25">
      <c r="A89" s="2" t="s">
        <v>110</v>
      </c>
      <c r="B89" s="2" t="s">
        <v>68</v>
      </c>
      <c r="C89" s="2" t="s">
        <v>69</v>
      </c>
      <c r="D89" s="2" t="s">
        <v>65</v>
      </c>
      <c r="E89" s="2" t="s">
        <v>70</v>
      </c>
      <c r="F89" s="6" t="s">
        <v>207</v>
      </c>
      <c r="G89" s="2">
        <v>1</v>
      </c>
      <c r="H89" s="2" t="s">
        <v>11</v>
      </c>
      <c r="I89" s="2" t="s">
        <v>79</v>
      </c>
      <c r="J89" s="2" t="str">
        <f t="shared" si="1"/>
        <v>YES</v>
      </c>
    </row>
    <row r="90" spans="1:10" x14ac:dyDescent="0.25">
      <c r="A90" s="2" t="s">
        <v>110</v>
      </c>
      <c r="B90" s="2" t="s">
        <v>68</v>
      </c>
      <c r="C90" s="2" t="s">
        <v>69</v>
      </c>
      <c r="D90" s="2" t="s">
        <v>65</v>
      </c>
      <c r="E90" s="2" t="s">
        <v>70</v>
      </c>
      <c r="F90" s="6" t="s">
        <v>208</v>
      </c>
      <c r="G90" s="2">
        <v>1</v>
      </c>
      <c r="H90" s="2" t="s">
        <v>11</v>
      </c>
      <c r="I90" s="2" t="s">
        <v>80</v>
      </c>
      <c r="J90" s="2" t="str">
        <f t="shared" si="1"/>
        <v>YES</v>
      </c>
    </row>
    <row r="91" spans="1:10" x14ac:dyDescent="0.25">
      <c r="A91" s="2" t="s">
        <v>110</v>
      </c>
      <c r="B91" s="2" t="s">
        <v>63</v>
      </c>
      <c r="C91" s="2" t="s">
        <v>64</v>
      </c>
      <c r="D91" s="2" t="s">
        <v>65</v>
      </c>
      <c r="E91" s="2" t="s">
        <v>66</v>
      </c>
      <c r="F91" s="6" t="s">
        <v>209</v>
      </c>
      <c r="G91" s="2">
        <v>1</v>
      </c>
      <c r="H91" s="2" t="s">
        <v>11</v>
      </c>
      <c r="I91" s="2" t="s">
        <v>81</v>
      </c>
      <c r="J91" s="2" t="str">
        <f t="shared" si="1"/>
        <v>YES</v>
      </c>
    </row>
    <row r="92" spans="1:10" x14ac:dyDescent="0.25">
      <c r="A92" s="2" t="s">
        <v>110</v>
      </c>
      <c r="B92" s="2" t="s">
        <v>68</v>
      </c>
      <c r="C92" s="2" t="s">
        <v>69</v>
      </c>
      <c r="D92" s="2" t="s">
        <v>65</v>
      </c>
      <c r="E92" s="2" t="s">
        <v>70</v>
      </c>
      <c r="F92" s="6" t="s">
        <v>210</v>
      </c>
      <c r="G92" s="2">
        <v>1</v>
      </c>
      <c r="H92" s="2" t="s">
        <v>11</v>
      </c>
      <c r="I92" s="2" t="s">
        <v>82</v>
      </c>
      <c r="J92" s="2" t="str">
        <f t="shared" si="1"/>
        <v>YES</v>
      </c>
    </row>
    <row r="93" spans="1:10" x14ac:dyDescent="0.25">
      <c r="A93" s="2" t="s">
        <v>110</v>
      </c>
      <c r="B93" s="2" t="s">
        <v>68</v>
      </c>
      <c r="C93" s="2" t="s">
        <v>69</v>
      </c>
      <c r="D93" s="2" t="s">
        <v>65</v>
      </c>
      <c r="E93" s="2" t="s">
        <v>70</v>
      </c>
      <c r="F93" s="6" t="s">
        <v>211</v>
      </c>
      <c r="G93" s="2">
        <v>1</v>
      </c>
      <c r="H93" s="2" t="s">
        <v>11</v>
      </c>
      <c r="I93" s="2" t="s">
        <v>83</v>
      </c>
      <c r="J93" s="2" t="str">
        <f t="shared" si="1"/>
        <v>YES</v>
      </c>
    </row>
    <row r="94" spans="1:10" x14ac:dyDescent="0.25">
      <c r="A94" s="2" t="s">
        <v>110</v>
      </c>
      <c r="B94" s="2" t="s">
        <v>84</v>
      </c>
      <c r="C94" s="2" t="s">
        <v>85</v>
      </c>
      <c r="D94" s="2" t="s">
        <v>11</v>
      </c>
      <c r="E94" s="2" t="s">
        <v>11</v>
      </c>
      <c r="F94" s="6" t="s">
        <v>11</v>
      </c>
      <c r="G94" s="2">
        <v>1</v>
      </c>
      <c r="H94" s="2" t="s">
        <v>84</v>
      </c>
      <c r="I94" s="2" t="s">
        <v>11</v>
      </c>
      <c r="J94" s="2" t="str">
        <f t="shared" si="1"/>
        <v>NO</v>
      </c>
    </row>
    <row r="95" spans="1:10" x14ac:dyDescent="0.25">
      <c r="A95" s="2" t="s">
        <v>110</v>
      </c>
      <c r="B95" s="2" t="s">
        <v>63</v>
      </c>
      <c r="C95" s="2" t="s">
        <v>64</v>
      </c>
      <c r="D95" s="2" t="s">
        <v>65</v>
      </c>
      <c r="E95" s="2" t="s">
        <v>66</v>
      </c>
      <c r="F95" s="6" t="s">
        <v>212</v>
      </c>
      <c r="G95" s="2">
        <v>1</v>
      </c>
      <c r="H95" s="2" t="s">
        <v>11</v>
      </c>
      <c r="I95" s="2" t="s">
        <v>86</v>
      </c>
      <c r="J95" s="2" t="str">
        <f t="shared" si="1"/>
        <v>YES</v>
      </c>
    </row>
    <row r="96" spans="1:10" x14ac:dyDescent="0.25">
      <c r="A96" s="2" t="s">
        <v>110</v>
      </c>
      <c r="B96" s="2" t="s">
        <v>68</v>
      </c>
      <c r="C96" s="2" t="s">
        <v>69</v>
      </c>
      <c r="D96" s="2" t="s">
        <v>65</v>
      </c>
      <c r="E96" s="2" t="s">
        <v>70</v>
      </c>
      <c r="F96" s="6" t="s">
        <v>213</v>
      </c>
      <c r="G96" s="2">
        <v>1</v>
      </c>
      <c r="H96" s="2" t="s">
        <v>11</v>
      </c>
      <c r="I96" s="2" t="s">
        <v>87</v>
      </c>
      <c r="J96" s="2" t="str">
        <f t="shared" si="1"/>
        <v>YES</v>
      </c>
    </row>
    <row r="97" spans="1:10" x14ac:dyDescent="0.25">
      <c r="A97" s="2" t="s">
        <v>110</v>
      </c>
      <c r="B97" s="2" t="s">
        <v>68</v>
      </c>
      <c r="C97" s="2" t="s">
        <v>69</v>
      </c>
      <c r="D97" s="2" t="s">
        <v>65</v>
      </c>
      <c r="E97" s="2" t="s">
        <v>70</v>
      </c>
      <c r="F97" s="6" t="s">
        <v>214</v>
      </c>
      <c r="G97" s="2">
        <v>1</v>
      </c>
      <c r="H97" s="2" t="s">
        <v>11</v>
      </c>
      <c r="I97" s="2" t="s">
        <v>88</v>
      </c>
      <c r="J97" s="2" t="str">
        <f t="shared" si="1"/>
        <v>YES</v>
      </c>
    </row>
    <row r="98" spans="1:10" x14ac:dyDescent="0.25">
      <c r="A98" s="2" t="s">
        <v>110</v>
      </c>
      <c r="B98" s="2" t="s">
        <v>63</v>
      </c>
      <c r="C98" s="2" t="s">
        <v>64</v>
      </c>
      <c r="D98" s="2" t="s">
        <v>65</v>
      </c>
      <c r="E98" s="2" t="s">
        <v>66</v>
      </c>
      <c r="F98" s="6" t="s">
        <v>215</v>
      </c>
      <c r="G98" s="2">
        <v>1</v>
      </c>
      <c r="H98" s="2" t="s">
        <v>11</v>
      </c>
      <c r="I98" s="2" t="s">
        <v>89</v>
      </c>
      <c r="J98" s="2" t="str">
        <f t="shared" si="1"/>
        <v>YES</v>
      </c>
    </row>
    <row r="99" spans="1:10" x14ac:dyDescent="0.25">
      <c r="A99" s="2" t="s">
        <v>110</v>
      </c>
      <c r="B99" s="2" t="s">
        <v>68</v>
      </c>
      <c r="C99" s="2" t="s">
        <v>69</v>
      </c>
      <c r="D99" s="2" t="s">
        <v>65</v>
      </c>
      <c r="E99" s="2" t="s">
        <v>70</v>
      </c>
      <c r="F99" s="6" t="s">
        <v>216</v>
      </c>
      <c r="G99" s="2">
        <v>1</v>
      </c>
      <c r="H99" s="2" t="s">
        <v>11</v>
      </c>
      <c r="I99" s="2" t="s">
        <v>90</v>
      </c>
      <c r="J99" s="2" t="str">
        <f t="shared" si="1"/>
        <v>YES</v>
      </c>
    </row>
    <row r="100" spans="1:10" x14ac:dyDescent="0.25">
      <c r="A100" s="2" t="s">
        <v>110</v>
      </c>
      <c r="B100" s="2" t="s">
        <v>68</v>
      </c>
      <c r="C100" s="2" t="s">
        <v>69</v>
      </c>
      <c r="D100" s="2" t="s">
        <v>65</v>
      </c>
      <c r="E100" s="2" t="s">
        <v>70</v>
      </c>
      <c r="F100" s="6" t="s">
        <v>217</v>
      </c>
      <c r="G100" s="2">
        <v>1</v>
      </c>
      <c r="H100" s="2" t="s">
        <v>11</v>
      </c>
      <c r="I100" s="2" t="s">
        <v>91</v>
      </c>
      <c r="J100" s="2" t="str">
        <f t="shared" si="1"/>
        <v>YES</v>
      </c>
    </row>
    <row r="101" spans="1:10" x14ac:dyDescent="0.25">
      <c r="A101" s="2" t="s">
        <v>110</v>
      </c>
      <c r="B101" s="2" t="s">
        <v>92</v>
      </c>
      <c r="C101" s="2" t="s">
        <v>93</v>
      </c>
      <c r="D101" s="2" t="s">
        <v>11</v>
      </c>
      <c r="E101" s="2" t="s">
        <v>11</v>
      </c>
      <c r="F101" s="6" t="s">
        <v>11</v>
      </c>
      <c r="G101" s="2">
        <v>1</v>
      </c>
      <c r="H101" s="2" t="s">
        <v>92</v>
      </c>
      <c r="I101" s="2" t="s">
        <v>11</v>
      </c>
      <c r="J101" s="2" t="str">
        <f t="shared" si="1"/>
        <v>NO</v>
      </c>
    </row>
    <row r="102" spans="1:10" x14ac:dyDescent="0.25">
      <c r="A102" s="2" t="s">
        <v>110</v>
      </c>
      <c r="B102" s="2" t="s">
        <v>63</v>
      </c>
      <c r="C102" s="2" t="s">
        <v>64</v>
      </c>
      <c r="D102" s="2" t="s">
        <v>65</v>
      </c>
      <c r="E102" s="2" t="s">
        <v>66</v>
      </c>
      <c r="F102" s="6" t="s">
        <v>218</v>
      </c>
      <c r="G102" s="2">
        <v>1</v>
      </c>
      <c r="H102" s="2" t="s">
        <v>11</v>
      </c>
      <c r="I102" s="2" t="s">
        <v>94</v>
      </c>
      <c r="J102" s="2" t="str">
        <f t="shared" si="1"/>
        <v>YES</v>
      </c>
    </row>
    <row r="103" spans="1:10" x14ac:dyDescent="0.25">
      <c r="A103" s="2" t="s">
        <v>110</v>
      </c>
      <c r="B103" s="2" t="s">
        <v>219</v>
      </c>
      <c r="C103" s="2" t="s">
        <v>69</v>
      </c>
      <c r="D103" s="2" t="s">
        <v>65</v>
      </c>
      <c r="E103" s="2" t="s">
        <v>220</v>
      </c>
      <c r="F103" s="6" t="s">
        <v>221</v>
      </c>
      <c r="G103" s="2">
        <v>1</v>
      </c>
      <c r="H103" s="2" t="s">
        <v>11</v>
      </c>
      <c r="I103" s="2" t="s">
        <v>95</v>
      </c>
      <c r="J103" s="2" t="str">
        <f t="shared" si="1"/>
        <v>YES</v>
      </c>
    </row>
    <row r="104" spans="1:10" x14ac:dyDescent="0.25">
      <c r="A104" s="2" t="s">
        <v>110</v>
      </c>
      <c r="B104" s="2" t="s">
        <v>219</v>
      </c>
      <c r="C104" s="2" t="s">
        <v>69</v>
      </c>
      <c r="D104" s="2" t="s">
        <v>65</v>
      </c>
      <c r="E104" s="2" t="s">
        <v>220</v>
      </c>
      <c r="F104" s="6" t="s">
        <v>222</v>
      </c>
      <c r="G104" s="2">
        <v>1</v>
      </c>
      <c r="H104" s="2" t="s">
        <v>11</v>
      </c>
      <c r="I104" s="2" t="s">
        <v>96</v>
      </c>
      <c r="J104" s="2" t="str">
        <f t="shared" si="1"/>
        <v>YES</v>
      </c>
    </row>
    <row r="105" spans="1:10" x14ac:dyDescent="0.25">
      <c r="A105" s="2" t="s">
        <v>110</v>
      </c>
      <c r="B105" s="2" t="s">
        <v>97</v>
      </c>
      <c r="C105" s="2" t="s">
        <v>98</v>
      </c>
      <c r="D105" s="2" t="s">
        <v>11</v>
      </c>
      <c r="E105" s="2" t="s">
        <v>11</v>
      </c>
      <c r="F105" s="6" t="s">
        <v>11</v>
      </c>
      <c r="G105" s="2">
        <v>1</v>
      </c>
      <c r="H105" s="2" t="s">
        <v>97</v>
      </c>
      <c r="I105" s="2" t="s">
        <v>11</v>
      </c>
      <c r="J105" s="2" t="str">
        <f t="shared" si="1"/>
        <v>NO</v>
      </c>
    </row>
    <row r="106" spans="1:10" x14ac:dyDescent="0.25">
      <c r="A106" s="2" t="s">
        <v>110</v>
      </c>
      <c r="B106" s="2" t="s">
        <v>63</v>
      </c>
      <c r="C106" s="2" t="s">
        <v>64</v>
      </c>
      <c r="D106" s="2" t="s">
        <v>65</v>
      </c>
      <c r="E106" s="2" t="s">
        <v>66</v>
      </c>
      <c r="F106" s="6" t="s">
        <v>223</v>
      </c>
      <c r="G106" s="2">
        <v>1</v>
      </c>
      <c r="H106" s="2" t="s">
        <v>11</v>
      </c>
      <c r="I106" s="2" t="s">
        <v>99</v>
      </c>
      <c r="J106" s="2" t="str">
        <f t="shared" si="1"/>
        <v>YES</v>
      </c>
    </row>
    <row r="107" spans="1:10" x14ac:dyDescent="0.25">
      <c r="A107" s="2" t="s">
        <v>110</v>
      </c>
      <c r="B107" s="2" t="s">
        <v>68</v>
      </c>
      <c r="C107" s="2" t="s">
        <v>69</v>
      </c>
      <c r="D107" s="2" t="s">
        <v>65</v>
      </c>
      <c r="E107" s="2" t="s">
        <v>70</v>
      </c>
      <c r="F107" s="6" t="s">
        <v>224</v>
      </c>
      <c r="G107" s="2">
        <v>1</v>
      </c>
      <c r="H107" s="2" t="s">
        <v>11</v>
      </c>
      <c r="I107" s="2" t="s">
        <v>100</v>
      </c>
      <c r="J107" s="2" t="str">
        <f t="shared" si="1"/>
        <v>YES</v>
      </c>
    </row>
    <row r="108" spans="1:10" x14ac:dyDescent="0.25">
      <c r="A108" s="2" t="s">
        <v>110</v>
      </c>
      <c r="B108" s="2" t="s">
        <v>68</v>
      </c>
      <c r="C108" s="2" t="s">
        <v>69</v>
      </c>
      <c r="D108" s="2" t="s">
        <v>65</v>
      </c>
      <c r="E108" s="2" t="s">
        <v>70</v>
      </c>
      <c r="F108" s="6" t="s">
        <v>225</v>
      </c>
      <c r="G108" s="2">
        <v>1</v>
      </c>
      <c r="H108" s="2" t="s">
        <v>11</v>
      </c>
      <c r="I108" s="2" t="s">
        <v>101</v>
      </c>
      <c r="J108" s="2" t="str">
        <f t="shared" si="1"/>
        <v>YES</v>
      </c>
    </row>
    <row r="109" spans="1:10" x14ac:dyDescent="0.25">
      <c r="A109" s="2" t="s">
        <v>110</v>
      </c>
      <c r="B109" s="2" t="s">
        <v>219</v>
      </c>
      <c r="C109" s="2" t="s">
        <v>69</v>
      </c>
      <c r="D109" s="2" t="s">
        <v>65</v>
      </c>
      <c r="E109" s="2" t="s">
        <v>220</v>
      </c>
      <c r="F109" s="6" t="s">
        <v>226</v>
      </c>
      <c r="G109" s="2">
        <v>1</v>
      </c>
      <c r="H109" s="2" t="s">
        <v>11</v>
      </c>
      <c r="I109" s="2" t="s">
        <v>96</v>
      </c>
      <c r="J109" s="2" t="str">
        <f t="shared" si="1"/>
        <v>YES</v>
      </c>
    </row>
    <row r="110" spans="1:10" x14ac:dyDescent="0.25">
      <c r="A110" s="2" t="s">
        <v>228</v>
      </c>
      <c r="B110" s="2" t="s">
        <v>12</v>
      </c>
      <c r="C110" s="2" t="s">
        <v>13</v>
      </c>
      <c r="D110" s="2" t="s">
        <v>14</v>
      </c>
      <c r="E110" s="2" t="s">
        <v>15</v>
      </c>
      <c r="F110" s="6" t="s">
        <v>229</v>
      </c>
      <c r="G110" s="2">
        <v>1</v>
      </c>
      <c r="H110" s="2" t="s">
        <v>11</v>
      </c>
      <c r="I110" s="2" t="s">
        <v>230</v>
      </c>
      <c r="J110" s="2" t="str">
        <f t="shared" si="1"/>
        <v>YES</v>
      </c>
    </row>
    <row r="111" spans="1:10" x14ac:dyDescent="0.25">
      <c r="A111" s="2" t="s">
        <v>228</v>
      </c>
      <c r="B111" s="2" t="s">
        <v>17</v>
      </c>
      <c r="C111" s="2" t="s">
        <v>18</v>
      </c>
      <c r="D111" s="2" t="s">
        <v>14</v>
      </c>
      <c r="E111" s="2" t="s">
        <v>19</v>
      </c>
      <c r="F111" s="6" t="s">
        <v>231</v>
      </c>
      <c r="G111" s="2">
        <v>1</v>
      </c>
      <c r="H111" s="2" t="s">
        <v>11</v>
      </c>
      <c r="I111" s="2" t="s">
        <v>11</v>
      </c>
      <c r="J111" s="2" t="str">
        <f t="shared" si="1"/>
        <v>YES</v>
      </c>
    </row>
    <row r="112" spans="1:10" x14ac:dyDescent="0.25">
      <c r="A112" s="2" t="s">
        <v>228</v>
      </c>
      <c r="B112" s="2" t="s">
        <v>17</v>
      </c>
      <c r="C112" s="2" t="s">
        <v>18</v>
      </c>
      <c r="D112" s="2" t="s">
        <v>14</v>
      </c>
      <c r="E112" s="2" t="s">
        <v>19</v>
      </c>
      <c r="F112" s="6" t="s">
        <v>232</v>
      </c>
      <c r="G112" s="2">
        <v>1</v>
      </c>
      <c r="H112" s="2" t="s">
        <v>11</v>
      </c>
      <c r="I112" s="2" t="s">
        <v>11</v>
      </c>
      <c r="J112" s="2" t="str">
        <f t="shared" si="1"/>
        <v>YES</v>
      </c>
    </row>
    <row r="113" spans="1:10" x14ac:dyDescent="0.25">
      <c r="A113" s="2" t="s">
        <v>228</v>
      </c>
      <c r="B113" s="2" t="s">
        <v>20</v>
      </c>
      <c r="C113" s="2" t="s">
        <v>18</v>
      </c>
      <c r="D113" s="2" t="s">
        <v>14</v>
      </c>
      <c r="E113" s="2" t="s">
        <v>21</v>
      </c>
      <c r="F113" s="6" t="s">
        <v>233</v>
      </c>
      <c r="G113" s="2">
        <v>1</v>
      </c>
      <c r="H113" s="2" t="s">
        <v>11</v>
      </c>
      <c r="I113" s="2" t="s">
        <v>11</v>
      </c>
      <c r="J113" s="2" t="str">
        <f t="shared" si="1"/>
        <v>YES</v>
      </c>
    </row>
    <row r="114" spans="1:10" x14ac:dyDescent="0.25">
      <c r="A114" s="2" t="s">
        <v>228</v>
      </c>
      <c r="B114" s="2" t="s">
        <v>20</v>
      </c>
      <c r="C114" s="2" t="s">
        <v>18</v>
      </c>
      <c r="D114" s="2" t="s">
        <v>14</v>
      </c>
      <c r="E114" s="2" t="s">
        <v>21</v>
      </c>
      <c r="F114" s="6" t="s">
        <v>234</v>
      </c>
      <c r="G114" s="2">
        <v>1</v>
      </c>
      <c r="H114" s="2" t="s">
        <v>11</v>
      </c>
      <c r="I114" s="2" t="s">
        <v>11</v>
      </c>
      <c r="J114" s="2" t="str">
        <f t="shared" si="1"/>
        <v>YES</v>
      </c>
    </row>
    <row r="115" spans="1:10" x14ac:dyDescent="0.25">
      <c r="A115" s="2" t="s">
        <v>228</v>
      </c>
      <c r="B115" s="2" t="s">
        <v>12</v>
      </c>
      <c r="C115" s="2" t="s">
        <v>13</v>
      </c>
      <c r="D115" s="2" t="s">
        <v>14</v>
      </c>
      <c r="E115" s="2" t="s">
        <v>15</v>
      </c>
      <c r="F115" s="6" t="s">
        <v>235</v>
      </c>
      <c r="G115" s="2">
        <v>1</v>
      </c>
      <c r="H115" s="2" t="s">
        <v>11</v>
      </c>
      <c r="I115" s="2" t="s">
        <v>236</v>
      </c>
      <c r="J115" s="2" t="str">
        <f t="shared" si="1"/>
        <v>YES</v>
      </c>
    </row>
    <row r="116" spans="1:10" x14ac:dyDescent="0.25">
      <c r="A116" s="2" t="s">
        <v>228</v>
      </c>
      <c r="B116" s="2" t="s">
        <v>17</v>
      </c>
      <c r="C116" s="2" t="s">
        <v>18</v>
      </c>
      <c r="D116" s="2" t="s">
        <v>14</v>
      </c>
      <c r="E116" s="2" t="s">
        <v>19</v>
      </c>
      <c r="F116" s="6" t="s">
        <v>237</v>
      </c>
      <c r="G116" s="2">
        <v>1</v>
      </c>
      <c r="H116" s="2" t="s">
        <v>11</v>
      </c>
      <c r="I116" s="2" t="s">
        <v>11</v>
      </c>
      <c r="J116" s="2" t="str">
        <f t="shared" si="1"/>
        <v>YES</v>
      </c>
    </row>
    <row r="117" spans="1:10" x14ac:dyDescent="0.25">
      <c r="A117" s="2" t="s">
        <v>228</v>
      </c>
      <c r="B117" s="2" t="s">
        <v>17</v>
      </c>
      <c r="C117" s="2" t="s">
        <v>18</v>
      </c>
      <c r="D117" s="2" t="s">
        <v>14</v>
      </c>
      <c r="E117" s="2" t="s">
        <v>19</v>
      </c>
      <c r="F117" s="6" t="s">
        <v>238</v>
      </c>
      <c r="G117" s="2">
        <v>1</v>
      </c>
      <c r="H117" s="2" t="s">
        <v>11</v>
      </c>
      <c r="I117" s="2" t="s">
        <v>11</v>
      </c>
      <c r="J117" s="2" t="str">
        <f t="shared" si="1"/>
        <v>YES</v>
      </c>
    </row>
    <row r="118" spans="1:10" x14ac:dyDescent="0.25">
      <c r="A118" s="2" t="s">
        <v>228</v>
      </c>
      <c r="B118" s="2" t="s">
        <v>20</v>
      </c>
      <c r="C118" s="2" t="s">
        <v>18</v>
      </c>
      <c r="D118" s="2" t="s">
        <v>14</v>
      </c>
      <c r="E118" s="2" t="s">
        <v>21</v>
      </c>
      <c r="F118" s="6" t="s">
        <v>239</v>
      </c>
      <c r="G118" s="2">
        <v>1</v>
      </c>
      <c r="H118" s="2" t="s">
        <v>11</v>
      </c>
      <c r="I118" s="2" t="s">
        <v>11</v>
      </c>
      <c r="J118" s="2" t="str">
        <f t="shared" si="1"/>
        <v>YES</v>
      </c>
    </row>
    <row r="119" spans="1:10" x14ac:dyDescent="0.25">
      <c r="A119" s="2" t="s">
        <v>228</v>
      </c>
      <c r="B119" s="2" t="s">
        <v>20</v>
      </c>
      <c r="C119" s="2" t="s">
        <v>18</v>
      </c>
      <c r="D119" s="2" t="s">
        <v>14</v>
      </c>
      <c r="E119" s="2" t="s">
        <v>21</v>
      </c>
      <c r="F119" s="6" t="s">
        <v>240</v>
      </c>
      <c r="G119" s="2">
        <v>1</v>
      </c>
      <c r="H119" s="2" t="s">
        <v>11</v>
      </c>
      <c r="I119" s="2" t="s">
        <v>11</v>
      </c>
      <c r="J119" s="2" t="str">
        <f t="shared" si="1"/>
        <v>YES</v>
      </c>
    </row>
    <row r="120" spans="1:10" x14ac:dyDescent="0.25">
      <c r="A120" s="2" t="s">
        <v>228</v>
      </c>
      <c r="B120" s="2" t="s">
        <v>23</v>
      </c>
      <c r="C120" s="2" t="s">
        <v>24</v>
      </c>
      <c r="D120" s="2" t="s">
        <v>25</v>
      </c>
      <c r="E120" s="2" t="s">
        <v>26</v>
      </c>
      <c r="F120" s="6" t="s">
        <v>109</v>
      </c>
      <c r="G120" s="2">
        <v>1</v>
      </c>
      <c r="H120" s="2" t="s">
        <v>11</v>
      </c>
      <c r="I120" s="2" t="s">
        <v>241</v>
      </c>
      <c r="J120" s="2" t="str">
        <f t="shared" si="1"/>
        <v>YES</v>
      </c>
    </row>
    <row r="121" spans="1:10" x14ac:dyDescent="0.25">
      <c r="A121" s="2" t="s">
        <v>228</v>
      </c>
      <c r="B121" s="2" t="s">
        <v>28</v>
      </c>
      <c r="C121" s="2" t="s">
        <v>18</v>
      </c>
      <c r="D121" s="2" t="s">
        <v>25</v>
      </c>
      <c r="E121" s="2" t="s">
        <v>29</v>
      </c>
      <c r="F121" s="6" t="s">
        <v>242</v>
      </c>
      <c r="G121" s="2">
        <v>1</v>
      </c>
      <c r="H121" s="2" t="s">
        <v>11</v>
      </c>
      <c r="I121" s="2" t="s">
        <v>11</v>
      </c>
      <c r="J121" s="2" t="str">
        <f t="shared" si="1"/>
        <v>YES</v>
      </c>
    </row>
    <row r="122" spans="1:10" x14ac:dyDescent="0.25">
      <c r="A122" s="2" t="s">
        <v>228</v>
      </c>
      <c r="B122" s="2" t="s">
        <v>28</v>
      </c>
      <c r="C122" s="2" t="s">
        <v>18</v>
      </c>
      <c r="D122" s="2" t="s">
        <v>25</v>
      </c>
      <c r="E122" s="2" t="s">
        <v>29</v>
      </c>
      <c r="F122" s="6" t="s">
        <v>243</v>
      </c>
      <c r="G122" s="2">
        <v>1</v>
      </c>
      <c r="H122" s="2" t="s">
        <v>11</v>
      </c>
      <c r="I122" s="2" t="s">
        <v>11</v>
      </c>
      <c r="J122" s="2" t="str">
        <f t="shared" si="1"/>
        <v>YES</v>
      </c>
    </row>
    <row r="123" spans="1:10" x14ac:dyDescent="0.25">
      <c r="A123" s="2" t="s">
        <v>228</v>
      </c>
      <c r="B123" s="2" t="s">
        <v>28</v>
      </c>
      <c r="C123" s="2" t="s">
        <v>18</v>
      </c>
      <c r="D123" s="2" t="s">
        <v>25</v>
      </c>
      <c r="E123" s="2" t="s">
        <v>29</v>
      </c>
      <c r="F123" s="6" t="s">
        <v>244</v>
      </c>
      <c r="G123" s="2">
        <v>1</v>
      </c>
      <c r="H123" s="2" t="s">
        <v>11</v>
      </c>
      <c r="I123" s="2" t="s">
        <v>11</v>
      </c>
      <c r="J123" s="2" t="str">
        <f t="shared" si="1"/>
        <v>YES</v>
      </c>
    </row>
    <row r="124" spans="1:10" x14ac:dyDescent="0.25">
      <c r="A124" s="2" t="s">
        <v>228</v>
      </c>
      <c r="B124" s="2" t="s">
        <v>30</v>
      </c>
      <c r="C124" s="2" t="s">
        <v>18</v>
      </c>
      <c r="D124" s="2" t="s">
        <v>25</v>
      </c>
      <c r="E124" s="2" t="s">
        <v>31</v>
      </c>
      <c r="F124" s="6" t="s">
        <v>245</v>
      </c>
      <c r="G124" s="2">
        <v>1</v>
      </c>
      <c r="H124" s="2" t="s">
        <v>11</v>
      </c>
      <c r="I124" s="2" t="s">
        <v>11</v>
      </c>
      <c r="J124" s="2" t="str">
        <f t="shared" si="1"/>
        <v>YES</v>
      </c>
    </row>
    <row r="125" spans="1:10" x14ac:dyDescent="0.25">
      <c r="A125" s="2" t="s">
        <v>228</v>
      </c>
      <c r="B125" s="2" t="s">
        <v>30</v>
      </c>
      <c r="C125" s="2" t="s">
        <v>18</v>
      </c>
      <c r="D125" s="2" t="s">
        <v>25</v>
      </c>
      <c r="E125" s="2" t="s">
        <v>31</v>
      </c>
      <c r="F125" s="6" t="s">
        <v>246</v>
      </c>
      <c r="G125" s="2">
        <v>1</v>
      </c>
      <c r="H125" s="2" t="s">
        <v>11</v>
      </c>
      <c r="I125" s="2" t="s">
        <v>11</v>
      </c>
      <c r="J125" s="2" t="str">
        <f t="shared" si="1"/>
        <v>YES</v>
      </c>
    </row>
    <row r="126" spans="1:10" x14ac:dyDescent="0.25">
      <c r="A126" s="2" t="s">
        <v>228</v>
      </c>
      <c r="B126" s="2" t="s">
        <v>30</v>
      </c>
      <c r="C126" s="2" t="s">
        <v>18</v>
      </c>
      <c r="D126" s="2" t="s">
        <v>25</v>
      </c>
      <c r="E126" s="2" t="s">
        <v>31</v>
      </c>
      <c r="F126" s="6" t="s">
        <v>247</v>
      </c>
      <c r="G126" s="2">
        <v>1</v>
      </c>
      <c r="H126" s="2" t="s">
        <v>11</v>
      </c>
      <c r="I126" s="2" t="s">
        <v>11</v>
      </c>
      <c r="J126" s="2" t="str">
        <f t="shared" si="1"/>
        <v>YES</v>
      </c>
    </row>
    <row r="127" spans="1:10" x14ac:dyDescent="0.25">
      <c r="A127" s="2" t="s">
        <v>228</v>
      </c>
      <c r="B127" s="2" t="s">
        <v>30</v>
      </c>
      <c r="C127" s="2" t="s">
        <v>18</v>
      </c>
      <c r="D127" s="2" t="s">
        <v>25</v>
      </c>
      <c r="E127" s="2" t="s">
        <v>31</v>
      </c>
      <c r="F127" s="6" t="s">
        <v>248</v>
      </c>
      <c r="G127" s="2">
        <v>1</v>
      </c>
      <c r="H127" s="2" t="s">
        <v>11</v>
      </c>
      <c r="I127" s="2" t="s">
        <v>11</v>
      </c>
      <c r="J127" s="2" t="str">
        <f t="shared" si="1"/>
        <v>YES</v>
      </c>
    </row>
    <row r="128" spans="1:10" x14ac:dyDescent="0.25">
      <c r="A128" s="2" t="s">
        <v>228</v>
      </c>
      <c r="B128" s="2" t="s">
        <v>30</v>
      </c>
      <c r="C128" s="2" t="s">
        <v>18</v>
      </c>
      <c r="D128" s="2" t="s">
        <v>25</v>
      </c>
      <c r="E128" s="2" t="s">
        <v>31</v>
      </c>
      <c r="F128" s="6" t="s">
        <v>249</v>
      </c>
      <c r="G128" s="2">
        <v>1</v>
      </c>
      <c r="H128" s="2" t="s">
        <v>11</v>
      </c>
      <c r="I128" s="2" t="s">
        <v>11</v>
      </c>
      <c r="J128" s="2" t="str">
        <f t="shared" si="1"/>
        <v>YES</v>
      </c>
    </row>
    <row r="129" spans="1:10" x14ac:dyDescent="0.25">
      <c r="A129" s="2" t="s">
        <v>228</v>
      </c>
      <c r="B129" s="2" t="s">
        <v>30</v>
      </c>
      <c r="C129" s="2" t="s">
        <v>18</v>
      </c>
      <c r="D129" s="2" t="s">
        <v>25</v>
      </c>
      <c r="E129" s="2" t="s">
        <v>31</v>
      </c>
      <c r="F129" s="6" t="s">
        <v>250</v>
      </c>
      <c r="G129" s="2">
        <v>1</v>
      </c>
      <c r="H129" s="2" t="s">
        <v>11</v>
      </c>
      <c r="I129" s="2" t="s">
        <v>11</v>
      </c>
      <c r="J129" s="2" t="str">
        <f t="shared" si="1"/>
        <v>YES</v>
      </c>
    </row>
    <row r="130" spans="1:10" x14ac:dyDescent="0.25">
      <c r="A130" s="2" t="s">
        <v>228</v>
      </c>
      <c r="B130" s="2" t="s">
        <v>32</v>
      </c>
      <c r="C130" s="2" t="s">
        <v>18</v>
      </c>
      <c r="D130" s="2" t="s">
        <v>25</v>
      </c>
      <c r="E130" s="2" t="s">
        <v>33</v>
      </c>
      <c r="F130" s="6" t="s">
        <v>251</v>
      </c>
      <c r="G130" s="2">
        <v>1</v>
      </c>
      <c r="H130" s="2" t="s">
        <v>11</v>
      </c>
      <c r="I130" s="2" t="s">
        <v>11</v>
      </c>
      <c r="J130" s="2" t="str">
        <f t="shared" si="1"/>
        <v>YES</v>
      </c>
    </row>
    <row r="131" spans="1:10" x14ac:dyDescent="0.25">
      <c r="A131" s="2" t="s">
        <v>228</v>
      </c>
      <c r="B131" s="2" t="s">
        <v>32</v>
      </c>
      <c r="C131" s="2" t="s">
        <v>18</v>
      </c>
      <c r="D131" s="2" t="s">
        <v>25</v>
      </c>
      <c r="E131" s="2" t="s">
        <v>33</v>
      </c>
      <c r="F131" s="6" t="s">
        <v>252</v>
      </c>
      <c r="G131" s="2">
        <v>1</v>
      </c>
      <c r="H131" s="2" t="s">
        <v>11</v>
      </c>
      <c r="I131" s="2" t="s">
        <v>11</v>
      </c>
      <c r="J131" s="2" t="str">
        <f t="shared" ref="J131:J194" si="2">IF(OR(F131="",F131="_",LEFT(F131,5)="SPARE"),"NO","YES")</f>
        <v>YES</v>
      </c>
    </row>
    <row r="132" spans="1:10" x14ac:dyDescent="0.25">
      <c r="A132" s="2" t="s">
        <v>228</v>
      </c>
      <c r="B132" s="2" t="s">
        <v>32</v>
      </c>
      <c r="C132" s="2" t="s">
        <v>18</v>
      </c>
      <c r="D132" s="2" t="s">
        <v>25</v>
      </c>
      <c r="E132" s="2" t="s">
        <v>33</v>
      </c>
      <c r="F132" s="6" t="s">
        <v>253</v>
      </c>
      <c r="G132" s="2">
        <v>1</v>
      </c>
      <c r="H132" s="2" t="s">
        <v>11</v>
      </c>
      <c r="I132" s="2" t="s">
        <v>11</v>
      </c>
      <c r="J132" s="2" t="str">
        <f t="shared" si="2"/>
        <v>YES</v>
      </c>
    </row>
    <row r="133" spans="1:10" x14ac:dyDescent="0.25">
      <c r="A133" s="2" t="s">
        <v>228</v>
      </c>
      <c r="B133" s="2" t="s">
        <v>23</v>
      </c>
      <c r="C133" s="2" t="s">
        <v>24</v>
      </c>
      <c r="D133" s="2" t="s">
        <v>25</v>
      </c>
      <c r="E133" s="2" t="s">
        <v>26</v>
      </c>
      <c r="F133" s="6" t="s">
        <v>254</v>
      </c>
      <c r="G133" s="2">
        <v>1</v>
      </c>
      <c r="H133" s="2" t="s">
        <v>11</v>
      </c>
      <c r="I133" s="2" t="s">
        <v>255</v>
      </c>
      <c r="J133" s="2" t="str">
        <f t="shared" si="2"/>
        <v>YES</v>
      </c>
    </row>
    <row r="134" spans="1:10" x14ac:dyDescent="0.25">
      <c r="A134" s="2" t="s">
        <v>228</v>
      </c>
      <c r="B134" s="2" t="s">
        <v>28</v>
      </c>
      <c r="C134" s="2" t="s">
        <v>18</v>
      </c>
      <c r="D134" s="2" t="s">
        <v>25</v>
      </c>
      <c r="E134" s="2" t="s">
        <v>29</v>
      </c>
      <c r="F134" s="6" t="s">
        <v>256</v>
      </c>
      <c r="G134" s="2">
        <v>1</v>
      </c>
      <c r="H134" s="2" t="s">
        <v>11</v>
      </c>
      <c r="I134" s="2" t="s">
        <v>11</v>
      </c>
      <c r="J134" s="2" t="str">
        <f t="shared" si="2"/>
        <v>YES</v>
      </c>
    </row>
    <row r="135" spans="1:10" x14ac:dyDescent="0.25">
      <c r="A135" s="2" t="s">
        <v>228</v>
      </c>
      <c r="B135" s="2" t="s">
        <v>28</v>
      </c>
      <c r="C135" s="2" t="s">
        <v>18</v>
      </c>
      <c r="D135" s="2" t="s">
        <v>25</v>
      </c>
      <c r="E135" s="2" t="s">
        <v>29</v>
      </c>
      <c r="F135" s="6" t="s">
        <v>257</v>
      </c>
      <c r="G135" s="2">
        <v>1</v>
      </c>
      <c r="H135" s="2" t="s">
        <v>11</v>
      </c>
      <c r="I135" s="2" t="s">
        <v>11</v>
      </c>
      <c r="J135" s="2" t="str">
        <f t="shared" si="2"/>
        <v>YES</v>
      </c>
    </row>
    <row r="136" spans="1:10" x14ac:dyDescent="0.25">
      <c r="A136" s="2" t="s">
        <v>228</v>
      </c>
      <c r="B136" s="2" t="s">
        <v>28</v>
      </c>
      <c r="C136" s="2" t="s">
        <v>18</v>
      </c>
      <c r="D136" s="2" t="s">
        <v>25</v>
      </c>
      <c r="E136" s="2" t="s">
        <v>29</v>
      </c>
      <c r="F136" s="6" t="s">
        <v>258</v>
      </c>
      <c r="G136" s="2">
        <v>1</v>
      </c>
      <c r="H136" s="2" t="s">
        <v>11</v>
      </c>
      <c r="I136" s="2" t="s">
        <v>11</v>
      </c>
      <c r="J136" s="2" t="str">
        <f t="shared" si="2"/>
        <v>YES</v>
      </c>
    </row>
    <row r="137" spans="1:10" x14ac:dyDescent="0.25">
      <c r="A137" s="2" t="s">
        <v>228</v>
      </c>
      <c r="B137" s="2" t="s">
        <v>30</v>
      </c>
      <c r="C137" s="2" t="s">
        <v>18</v>
      </c>
      <c r="D137" s="2" t="s">
        <v>25</v>
      </c>
      <c r="E137" s="2" t="s">
        <v>31</v>
      </c>
      <c r="F137" s="6" t="s">
        <v>259</v>
      </c>
      <c r="G137" s="2">
        <v>1</v>
      </c>
      <c r="H137" s="2" t="s">
        <v>11</v>
      </c>
      <c r="I137" s="2" t="s">
        <v>11</v>
      </c>
      <c r="J137" s="2" t="str">
        <f t="shared" si="2"/>
        <v>YES</v>
      </c>
    </row>
    <row r="138" spans="1:10" x14ac:dyDescent="0.25">
      <c r="A138" s="2" t="s">
        <v>228</v>
      </c>
      <c r="B138" s="2" t="s">
        <v>30</v>
      </c>
      <c r="C138" s="2" t="s">
        <v>18</v>
      </c>
      <c r="D138" s="2" t="s">
        <v>25</v>
      </c>
      <c r="E138" s="2" t="s">
        <v>31</v>
      </c>
      <c r="F138" s="6" t="s">
        <v>260</v>
      </c>
      <c r="G138" s="2">
        <v>1</v>
      </c>
      <c r="H138" s="2" t="s">
        <v>11</v>
      </c>
      <c r="I138" s="2" t="s">
        <v>11</v>
      </c>
      <c r="J138" s="2" t="str">
        <f t="shared" si="2"/>
        <v>YES</v>
      </c>
    </row>
    <row r="139" spans="1:10" x14ac:dyDescent="0.25">
      <c r="A139" s="2" t="s">
        <v>228</v>
      </c>
      <c r="B139" s="2" t="s">
        <v>30</v>
      </c>
      <c r="C139" s="2" t="s">
        <v>18</v>
      </c>
      <c r="D139" s="2" t="s">
        <v>25</v>
      </c>
      <c r="E139" s="2" t="s">
        <v>31</v>
      </c>
      <c r="F139" s="6" t="s">
        <v>261</v>
      </c>
      <c r="G139" s="2">
        <v>1</v>
      </c>
      <c r="H139" s="2" t="s">
        <v>11</v>
      </c>
      <c r="I139" s="2" t="s">
        <v>11</v>
      </c>
      <c r="J139" s="2" t="str">
        <f t="shared" si="2"/>
        <v>YES</v>
      </c>
    </row>
    <row r="140" spans="1:10" x14ac:dyDescent="0.25">
      <c r="A140" s="2" t="s">
        <v>228</v>
      </c>
      <c r="B140" s="2" t="s">
        <v>30</v>
      </c>
      <c r="C140" s="2" t="s">
        <v>18</v>
      </c>
      <c r="D140" s="2" t="s">
        <v>25</v>
      </c>
      <c r="E140" s="2" t="s">
        <v>31</v>
      </c>
      <c r="F140" s="6" t="s">
        <v>262</v>
      </c>
      <c r="G140" s="2">
        <v>1</v>
      </c>
      <c r="H140" s="2" t="s">
        <v>11</v>
      </c>
      <c r="I140" s="2" t="s">
        <v>11</v>
      </c>
      <c r="J140" s="2" t="str">
        <f t="shared" si="2"/>
        <v>YES</v>
      </c>
    </row>
    <row r="141" spans="1:10" x14ac:dyDescent="0.25">
      <c r="A141" s="2" t="s">
        <v>228</v>
      </c>
      <c r="B141" s="2" t="s">
        <v>30</v>
      </c>
      <c r="C141" s="2" t="s">
        <v>18</v>
      </c>
      <c r="D141" s="2" t="s">
        <v>25</v>
      </c>
      <c r="E141" s="2" t="s">
        <v>31</v>
      </c>
      <c r="F141" s="6" t="s">
        <v>263</v>
      </c>
      <c r="G141" s="2">
        <v>1</v>
      </c>
      <c r="H141" s="2" t="s">
        <v>11</v>
      </c>
      <c r="I141" s="2" t="s">
        <v>11</v>
      </c>
      <c r="J141" s="2" t="str">
        <f t="shared" si="2"/>
        <v>YES</v>
      </c>
    </row>
    <row r="142" spans="1:10" x14ac:dyDescent="0.25">
      <c r="A142" s="2" t="s">
        <v>228</v>
      </c>
      <c r="B142" s="2" t="s">
        <v>32</v>
      </c>
      <c r="C142" s="2" t="s">
        <v>18</v>
      </c>
      <c r="D142" s="2" t="s">
        <v>25</v>
      </c>
      <c r="E142" s="2" t="s">
        <v>33</v>
      </c>
      <c r="F142" s="6" t="s">
        <v>264</v>
      </c>
      <c r="G142" s="2">
        <v>1</v>
      </c>
      <c r="H142" s="2" t="s">
        <v>11</v>
      </c>
      <c r="I142" s="2" t="s">
        <v>11</v>
      </c>
      <c r="J142" s="2" t="str">
        <f t="shared" si="2"/>
        <v>YES</v>
      </c>
    </row>
    <row r="143" spans="1:10" x14ac:dyDescent="0.25">
      <c r="A143" s="2" t="s">
        <v>228</v>
      </c>
      <c r="B143" s="2" t="s">
        <v>32</v>
      </c>
      <c r="C143" s="2" t="s">
        <v>18</v>
      </c>
      <c r="D143" s="2" t="s">
        <v>25</v>
      </c>
      <c r="E143" s="2" t="s">
        <v>33</v>
      </c>
      <c r="F143" s="6" t="s">
        <v>265</v>
      </c>
      <c r="G143" s="2">
        <v>1</v>
      </c>
      <c r="H143" s="2" t="s">
        <v>11</v>
      </c>
      <c r="I143" s="2" t="s">
        <v>11</v>
      </c>
      <c r="J143" s="2" t="str">
        <f t="shared" si="2"/>
        <v>YES</v>
      </c>
    </row>
    <row r="144" spans="1:10" x14ac:dyDescent="0.25">
      <c r="A144" s="2" t="s">
        <v>228</v>
      </c>
      <c r="B144" s="2" t="s">
        <v>32</v>
      </c>
      <c r="C144" s="2" t="s">
        <v>18</v>
      </c>
      <c r="D144" s="2" t="s">
        <v>25</v>
      </c>
      <c r="E144" s="2" t="s">
        <v>33</v>
      </c>
      <c r="F144" s="6" t="s">
        <v>266</v>
      </c>
      <c r="G144" s="2">
        <v>1</v>
      </c>
      <c r="H144" s="2" t="s">
        <v>11</v>
      </c>
      <c r="I144" s="2" t="s">
        <v>11</v>
      </c>
      <c r="J144" s="2" t="str">
        <f t="shared" si="2"/>
        <v>YES</v>
      </c>
    </row>
    <row r="145" spans="1:10" x14ac:dyDescent="0.25">
      <c r="A145" s="2" t="s">
        <v>228</v>
      </c>
      <c r="B145" s="2" t="s">
        <v>41</v>
      </c>
      <c r="C145" s="2" t="s">
        <v>42</v>
      </c>
      <c r="D145" s="2" t="s">
        <v>14</v>
      </c>
      <c r="E145" s="2" t="s">
        <v>43</v>
      </c>
      <c r="F145" s="6" t="s">
        <v>267</v>
      </c>
      <c r="G145" s="2">
        <v>1</v>
      </c>
      <c r="H145" s="2" t="s">
        <v>11</v>
      </c>
      <c r="I145" s="2" t="s">
        <v>268</v>
      </c>
      <c r="J145" s="2" t="str">
        <f t="shared" si="2"/>
        <v>YES</v>
      </c>
    </row>
    <row r="146" spans="1:10" x14ac:dyDescent="0.25">
      <c r="A146" s="2" t="s">
        <v>228</v>
      </c>
      <c r="B146" s="2" t="s">
        <v>45</v>
      </c>
      <c r="C146" s="2" t="s">
        <v>42</v>
      </c>
      <c r="D146" s="2" t="s">
        <v>14</v>
      </c>
      <c r="E146" s="2" t="s">
        <v>46</v>
      </c>
      <c r="F146" s="6" t="s">
        <v>269</v>
      </c>
      <c r="G146" s="2">
        <v>1</v>
      </c>
      <c r="H146" s="2" t="s">
        <v>11</v>
      </c>
      <c r="I146" s="2" t="s">
        <v>11</v>
      </c>
      <c r="J146" s="2" t="str">
        <f t="shared" si="2"/>
        <v>YES</v>
      </c>
    </row>
    <row r="147" spans="1:10" x14ac:dyDescent="0.25">
      <c r="A147" s="2" t="s">
        <v>228</v>
      </c>
      <c r="B147" s="2" t="s">
        <v>45</v>
      </c>
      <c r="C147" s="2" t="s">
        <v>42</v>
      </c>
      <c r="D147" s="2" t="s">
        <v>14</v>
      </c>
      <c r="E147" s="2" t="s">
        <v>46</v>
      </c>
      <c r="F147" s="6" t="s">
        <v>270</v>
      </c>
      <c r="G147" s="2">
        <v>1</v>
      </c>
      <c r="H147" s="2" t="s">
        <v>11</v>
      </c>
      <c r="I147" s="2" t="s">
        <v>11</v>
      </c>
      <c r="J147" s="2" t="str">
        <f t="shared" si="2"/>
        <v>YES</v>
      </c>
    </row>
    <row r="148" spans="1:10" x14ac:dyDescent="0.25">
      <c r="A148" s="2" t="s">
        <v>228</v>
      </c>
      <c r="B148" s="2" t="s">
        <v>47</v>
      </c>
      <c r="C148" s="2" t="s">
        <v>39</v>
      </c>
      <c r="D148" s="2" t="s">
        <v>14</v>
      </c>
      <c r="E148" s="2" t="s">
        <v>48</v>
      </c>
      <c r="F148" s="6" t="s">
        <v>271</v>
      </c>
      <c r="G148" s="2">
        <v>1</v>
      </c>
      <c r="H148" s="2" t="s">
        <v>272</v>
      </c>
      <c r="I148" s="2" t="s">
        <v>11</v>
      </c>
      <c r="J148" s="2" t="str">
        <f t="shared" si="2"/>
        <v>YES</v>
      </c>
    </row>
    <row r="149" spans="1:10" x14ac:dyDescent="0.25">
      <c r="A149" s="2" t="s">
        <v>228</v>
      </c>
      <c r="B149" s="2" t="s">
        <v>47</v>
      </c>
      <c r="C149" s="2" t="s">
        <v>39</v>
      </c>
      <c r="D149" s="2" t="s">
        <v>14</v>
      </c>
      <c r="E149" s="2" t="s">
        <v>48</v>
      </c>
      <c r="F149" s="6" t="s">
        <v>273</v>
      </c>
      <c r="G149" s="2">
        <v>1</v>
      </c>
      <c r="H149" s="2" t="s">
        <v>274</v>
      </c>
      <c r="I149" s="2" t="s">
        <v>11</v>
      </c>
      <c r="J149" s="2" t="str">
        <f t="shared" si="2"/>
        <v>YES</v>
      </c>
    </row>
    <row r="150" spans="1:10" x14ac:dyDescent="0.25">
      <c r="A150" s="2" t="s">
        <v>228</v>
      </c>
      <c r="B150" s="2" t="s">
        <v>47</v>
      </c>
      <c r="C150" s="2" t="s">
        <v>39</v>
      </c>
      <c r="D150" s="2" t="s">
        <v>14</v>
      </c>
      <c r="E150" s="2" t="s">
        <v>48</v>
      </c>
      <c r="F150" s="6" t="s">
        <v>275</v>
      </c>
      <c r="G150" s="2">
        <v>1</v>
      </c>
      <c r="H150" s="2" t="s">
        <v>276</v>
      </c>
      <c r="I150" s="2" t="s">
        <v>11</v>
      </c>
      <c r="J150" s="2" t="str">
        <f t="shared" si="2"/>
        <v>YES</v>
      </c>
    </row>
    <row r="151" spans="1:10" x14ac:dyDescent="0.25">
      <c r="A151" s="2" t="s">
        <v>228</v>
      </c>
      <c r="B151" s="2" t="s">
        <v>47</v>
      </c>
      <c r="C151" s="2" t="s">
        <v>39</v>
      </c>
      <c r="D151" s="2" t="s">
        <v>14</v>
      </c>
      <c r="E151" s="2" t="s">
        <v>48</v>
      </c>
      <c r="F151" s="6" t="s">
        <v>277</v>
      </c>
      <c r="G151" s="2">
        <v>1</v>
      </c>
      <c r="H151" s="2" t="s">
        <v>278</v>
      </c>
      <c r="I151" s="2" t="s">
        <v>11</v>
      </c>
      <c r="J151" s="2" t="str">
        <f t="shared" si="2"/>
        <v>YES</v>
      </c>
    </row>
    <row r="152" spans="1:10" x14ac:dyDescent="0.25">
      <c r="A152" s="2" t="s">
        <v>228</v>
      </c>
      <c r="B152" s="2" t="s">
        <v>47</v>
      </c>
      <c r="C152" s="2" t="s">
        <v>39</v>
      </c>
      <c r="D152" s="2" t="s">
        <v>14</v>
      </c>
      <c r="E152" s="2" t="s">
        <v>48</v>
      </c>
      <c r="F152" s="6" t="s">
        <v>279</v>
      </c>
      <c r="G152" s="2">
        <v>1</v>
      </c>
      <c r="H152" s="2" t="s">
        <v>280</v>
      </c>
      <c r="I152" s="2" t="s">
        <v>11</v>
      </c>
      <c r="J152" s="2" t="str">
        <f t="shared" si="2"/>
        <v>YES</v>
      </c>
    </row>
    <row r="153" spans="1:10" x14ac:dyDescent="0.25">
      <c r="A153" s="2" t="s">
        <v>228</v>
      </c>
      <c r="B153" s="2" t="s">
        <v>47</v>
      </c>
      <c r="C153" s="2" t="s">
        <v>39</v>
      </c>
      <c r="D153" s="2" t="s">
        <v>14</v>
      </c>
      <c r="E153" s="2" t="s">
        <v>48</v>
      </c>
      <c r="F153" s="6" t="s">
        <v>281</v>
      </c>
      <c r="G153" s="2">
        <v>1</v>
      </c>
      <c r="H153" s="2" t="s">
        <v>282</v>
      </c>
      <c r="I153" s="2" t="s">
        <v>11</v>
      </c>
      <c r="J153" s="2" t="str">
        <f t="shared" si="2"/>
        <v>YES</v>
      </c>
    </row>
    <row r="154" spans="1:10" x14ac:dyDescent="0.25">
      <c r="A154" s="2" t="s">
        <v>228</v>
      </c>
      <c r="B154" s="2" t="s">
        <v>47</v>
      </c>
      <c r="C154" s="2" t="s">
        <v>39</v>
      </c>
      <c r="D154" s="2" t="s">
        <v>14</v>
      </c>
      <c r="E154" s="2" t="s">
        <v>48</v>
      </c>
      <c r="F154" s="6" t="s">
        <v>283</v>
      </c>
      <c r="G154" s="2">
        <v>1</v>
      </c>
      <c r="H154" s="2" t="s">
        <v>284</v>
      </c>
      <c r="I154" s="2" t="s">
        <v>11</v>
      </c>
      <c r="J154" s="2" t="str">
        <f t="shared" si="2"/>
        <v>YES</v>
      </c>
    </row>
    <row r="155" spans="1:10" x14ac:dyDescent="0.25">
      <c r="A155" s="2" t="s">
        <v>228</v>
      </c>
      <c r="B155" s="2" t="s">
        <v>47</v>
      </c>
      <c r="C155" s="2" t="s">
        <v>39</v>
      </c>
      <c r="D155" s="2" t="s">
        <v>14</v>
      </c>
      <c r="E155" s="2" t="s">
        <v>48</v>
      </c>
      <c r="F155" s="6" t="s">
        <v>285</v>
      </c>
      <c r="G155" s="2">
        <v>1</v>
      </c>
      <c r="H155" s="2" t="s">
        <v>286</v>
      </c>
      <c r="I155" s="2" t="s">
        <v>11</v>
      </c>
      <c r="J155" s="2" t="str">
        <f t="shared" si="2"/>
        <v>YES</v>
      </c>
    </row>
    <row r="156" spans="1:10" x14ac:dyDescent="0.25">
      <c r="A156" s="2" t="s">
        <v>228</v>
      </c>
      <c r="B156" s="2" t="s">
        <v>47</v>
      </c>
      <c r="C156" s="2" t="s">
        <v>39</v>
      </c>
      <c r="D156" s="2" t="s">
        <v>14</v>
      </c>
      <c r="E156" s="2" t="s">
        <v>48</v>
      </c>
      <c r="F156" s="6" t="s">
        <v>287</v>
      </c>
      <c r="G156" s="2">
        <v>1</v>
      </c>
      <c r="H156" s="2" t="s">
        <v>288</v>
      </c>
      <c r="I156" s="2" t="s">
        <v>11</v>
      </c>
      <c r="J156" s="2" t="str">
        <f t="shared" si="2"/>
        <v>YES</v>
      </c>
    </row>
    <row r="157" spans="1:10" x14ac:dyDescent="0.25">
      <c r="A157" s="2" t="s">
        <v>228</v>
      </c>
      <c r="B157" s="2" t="s">
        <v>47</v>
      </c>
      <c r="C157" s="2" t="s">
        <v>39</v>
      </c>
      <c r="D157" s="2" t="s">
        <v>14</v>
      </c>
      <c r="E157" s="2" t="s">
        <v>48</v>
      </c>
      <c r="F157" s="6" t="s">
        <v>289</v>
      </c>
      <c r="G157" s="2">
        <v>1</v>
      </c>
      <c r="H157" s="2" t="s">
        <v>290</v>
      </c>
      <c r="I157" s="2" t="s">
        <v>11</v>
      </c>
      <c r="J157" s="2" t="str">
        <f t="shared" si="2"/>
        <v>YES</v>
      </c>
    </row>
    <row r="158" spans="1:10" x14ac:dyDescent="0.25">
      <c r="A158" s="2" t="s">
        <v>228</v>
      </c>
      <c r="B158" s="2" t="s">
        <v>47</v>
      </c>
      <c r="C158" s="2" t="s">
        <v>39</v>
      </c>
      <c r="D158" s="2" t="s">
        <v>14</v>
      </c>
      <c r="E158" s="2" t="s">
        <v>48</v>
      </c>
      <c r="F158" s="6" t="s">
        <v>291</v>
      </c>
      <c r="G158" s="2">
        <v>1</v>
      </c>
      <c r="H158" s="2" t="s">
        <v>292</v>
      </c>
      <c r="I158" s="2" t="s">
        <v>11</v>
      </c>
      <c r="J158" s="2" t="str">
        <f t="shared" si="2"/>
        <v>YES</v>
      </c>
    </row>
    <row r="159" spans="1:10" x14ac:dyDescent="0.25">
      <c r="A159" s="2" t="s">
        <v>228</v>
      </c>
      <c r="B159" s="2" t="s">
        <v>47</v>
      </c>
      <c r="C159" s="2" t="s">
        <v>39</v>
      </c>
      <c r="D159" s="2" t="s">
        <v>14</v>
      </c>
      <c r="E159" s="2" t="s">
        <v>48</v>
      </c>
      <c r="F159" s="6" t="s">
        <v>293</v>
      </c>
      <c r="G159" s="2">
        <v>1</v>
      </c>
      <c r="H159" s="2" t="s">
        <v>294</v>
      </c>
      <c r="I159" s="2" t="s">
        <v>11</v>
      </c>
      <c r="J159" s="2" t="str">
        <f t="shared" si="2"/>
        <v>YES</v>
      </c>
    </row>
    <row r="160" spans="1:10" x14ac:dyDescent="0.25">
      <c r="A160" s="2" t="s">
        <v>228</v>
      </c>
      <c r="B160" s="2" t="s">
        <v>49</v>
      </c>
      <c r="C160" s="2" t="s">
        <v>18</v>
      </c>
      <c r="D160" s="2" t="s">
        <v>14</v>
      </c>
      <c r="E160" s="2" t="s">
        <v>50</v>
      </c>
      <c r="F160" s="6" t="s">
        <v>295</v>
      </c>
      <c r="G160" s="2">
        <v>1</v>
      </c>
      <c r="H160" s="2" t="s">
        <v>11</v>
      </c>
      <c r="I160" s="2" t="s">
        <v>11</v>
      </c>
      <c r="J160" s="2" t="str">
        <f t="shared" si="2"/>
        <v>YES</v>
      </c>
    </row>
    <row r="161" spans="1:10" x14ac:dyDescent="0.25">
      <c r="A161" s="2" t="s">
        <v>228</v>
      </c>
      <c r="B161" s="2" t="s">
        <v>49</v>
      </c>
      <c r="C161" s="2" t="s">
        <v>18</v>
      </c>
      <c r="D161" s="2" t="s">
        <v>14</v>
      </c>
      <c r="E161" s="2" t="s">
        <v>50</v>
      </c>
      <c r="F161" s="6" t="s">
        <v>296</v>
      </c>
      <c r="G161" s="2">
        <v>1</v>
      </c>
      <c r="H161" s="2" t="s">
        <v>11</v>
      </c>
      <c r="I161" s="2" t="s">
        <v>11</v>
      </c>
      <c r="J161" s="2" t="str">
        <f t="shared" si="2"/>
        <v>YES</v>
      </c>
    </row>
    <row r="162" spans="1:10" x14ac:dyDescent="0.25">
      <c r="A162" s="2" t="s">
        <v>228</v>
      </c>
      <c r="B162" s="2" t="s">
        <v>49</v>
      </c>
      <c r="C162" s="2" t="s">
        <v>18</v>
      </c>
      <c r="D162" s="2" t="s">
        <v>14</v>
      </c>
      <c r="E162" s="2" t="s">
        <v>50</v>
      </c>
      <c r="F162" s="6" t="s">
        <v>297</v>
      </c>
      <c r="G162" s="2">
        <v>1</v>
      </c>
      <c r="H162" s="2" t="s">
        <v>11</v>
      </c>
      <c r="I162" s="2" t="s">
        <v>11</v>
      </c>
      <c r="J162" s="2" t="str">
        <f t="shared" si="2"/>
        <v>YES</v>
      </c>
    </row>
    <row r="163" spans="1:10" x14ac:dyDescent="0.25">
      <c r="A163" s="2" t="s">
        <v>228</v>
      </c>
      <c r="B163" s="2" t="s">
        <v>49</v>
      </c>
      <c r="C163" s="2" t="s">
        <v>18</v>
      </c>
      <c r="D163" s="2" t="s">
        <v>14</v>
      </c>
      <c r="E163" s="2" t="s">
        <v>50</v>
      </c>
      <c r="F163" s="6" t="s">
        <v>298</v>
      </c>
      <c r="G163" s="2">
        <v>1</v>
      </c>
      <c r="H163" s="2" t="s">
        <v>11</v>
      </c>
      <c r="I163" s="2" t="s">
        <v>11</v>
      </c>
      <c r="J163" s="2" t="str">
        <f t="shared" si="2"/>
        <v>YES</v>
      </c>
    </row>
    <row r="164" spans="1:10" x14ac:dyDescent="0.25">
      <c r="A164" s="2" t="s">
        <v>228</v>
      </c>
      <c r="B164" s="2" t="s">
        <v>49</v>
      </c>
      <c r="C164" s="2" t="s">
        <v>18</v>
      </c>
      <c r="D164" s="2" t="s">
        <v>14</v>
      </c>
      <c r="E164" s="2" t="s">
        <v>50</v>
      </c>
      <c r="F164" s="6" t="s">
        <v>299</v>
      </c>
      <c r="G164" s="2">
        <v>1</v>
      </c>
      <c r="H164" s="2" t="s">
        <v>11</v>
      </c>
      <c r="I164" s="2" t="s">
        <v>11</v>
      </c>
      <c r="J164" s="2" t="str">
        <f t="shared" si="2"/>
        <v>YES</v>
      </c>
    </row>
    <row r="165" spans="1:10" x14ac:dyDescent="0.25">
      <c r="A165" s="2" t="s">
        <v>228</v>
      </c>
      <c r="B165" s="2" t="s">
        <v>49</v>
      </c>
      <c r="C165" s="2" t="s">
        <v>18</v>
      </c>
      <c r="D165" s="2" t="s">
        <v>14</v>
      </c>
      <c r="E165" s="2" t="s">
        <v>50</v>
      </c>
      <c r="F165" s="6" t="s">
        <v>300</v>
      </c>
      <c r="G165" s="2">
        <v>1</v>
      </c>
      <c r="H165" s="2" t="s">
        <v>11</v>
      </c>
      <c r="I165" s="2" t="s">
        <v>11</v>
      </c>
      <c r="J165" s="2" t="str">
        <f t="shared" si="2"/>
        <v>YES</v>
      </c>
    </row>
    <row r="166" spans="1:10" x14ac:dyDescent="0.25">
      <c r="A166" s="2" t="s">
        <v>228</v>
      </c>
      <c r="B166" s="2" t="s">
        <v>49</v>
      </c>
      <c r="C166" s="2" t="s">
        <v>18</v>
      </c>
      <c r="D166" s="2" t="s">
        <v>14</v>
      </c>
      <c r="E166" s="2" t="s">
        <v>50</v>
      </c>
      <c r="F166" s="6" t="s">
        <v>301</v>
      </c>
      <c r="G166" s="2">
        <v>1</v>
      </c>
      <c r="H166" s="2" t="s">
        <v>11</v>
      </c>
      <c r="I166" s="2" t="s">
        <v>11</v>
      </c>
      <c r="J166" s="2" t="str">
        <f t="shared" si="2"/>
        <v>YES</v>
      </c>
    </row>
    <row r="167" spans="1:10" x14ac:dyDescent="0.25">
      <c r="A167" s="2" t="s">
        <v>228</v>
      </c>
      <c r="B167" s="2" t="s">
        <v>49</v>
      </c>
      <c r="C167" s="2" t="s">
        <v>18</v>
      </c>
      <c r="D167" s="2" t="s">
        <v>14</v>
      </c>
      <c r="E167" s="2" t="s">
        <v>50</v>
      </c>
      <c r="F167" s="6" t="s">
        <v>302</v>
      </c>
      <c r="G167" s="2">
        <v>1</v>
      </c>
      <c r="H167" s="2" t="s">
        <v>11</v>
      </c>
      <c r="I167" s="2" t="s">
        <v>11</v>
      </c>
      <c r="J167" s="2" t="str">
        <f t="shared" si="2"/>
        <v>YES</v>
      </c>
    </row>
    <row r="168" spans="1:10" x14ac:dyDescent="0.25">
      <c r="A168" s="2" t="s">
        <v>228</v>
      </c>
      <c r="B168" s="2" t="s">
        <v>303</v>
      </c>
      <c r="C168" s="2" t="s">
        <v>304</v>
      </c>
      <c r="D168" s="2" t="s">
        <v>14</v>
      </c>
      <c r="E168" s="2" t="s">
        <v>305</v>
      </c>
      <c r="F168" s="6" t="s">
        <v>306</v>
      </c>
      <c r="G168" s="2">
        <v>1</v>
      </c>
      <c r="H168" s="2" t="s">
        <v>11</v>
      </c>
      <c r="I168" s="2" t="s">
        <v>307</v>
      </c>
      <c r="J168" s="2" t="str">
        <f t="shared" si="2"/>
        <v>YES</v>
      </c>
    </row>
    <row r="169" spans="1:10" x14ac:dyDescent="0.25">
      <c r="A169" s="2" t="s">
        <v>228</v>
      </c>
      <c r="B169" s="2" t="s">
        <v>308</v>
      </c>
      <c r="C169" s="2" t="s">
        <v>309</v>
      </c>
      <c r="D169" s="2" t="s">
        <v>14</v>
      </c>
      <c r="E169" s="2" t="s">
        <v>310</v>
      </c>
      <c r="F169" s="6" t="s">
        <v>311</v>
      </c>
      <c r="G169" s="2">
        <v>1</v>
      </c>
      <c r="H169" s="2" t="s">
        <v>11</v>
      </c>
      <c r="I169" s="2" t="s">
        <v>11</v>
      </c>
      <c r="J169" s="2" t="str">
        <f t="shared" si="2"/>
        <v>YES</v>
      </c>
    </row>
    <row r="170" spans="1:10" x14ac:dyDescent="0.25">
      <c r="A170" s="2" t="s">
        <v>228</v>
      </c>
      <c r="B170" s="2" t="s">
        <v>308</v>
      </c>
      <c r="C170" s="2" t="s">
        <v>309</v>
      </c>
      <c r="D170" s="2" t="s">
        <v>14</v>
      </c>
      <c r="E170" s="2" t="s">
        <v>310</v>
      </c>
      <c r="F170" s="6" t="s">
        <v>312</v>
      </c>
      <c r="G170" s="2">
        <v>1</v>
      </c>
      <c r="H170" s="2" t="s">
        <v>11</v>
      </c>
      <c r="I170" s="2" t="s">
        <v>11</v>
      </c>
      <c r="J170" s="2" t="str">
        <f t="shared" si="2"/>
        <v>YES</v>
      </c>
    </row>
    <row r="171" spans="1:10" x14ac:dyDescent="0.25">
      <c r="A171" s="2" t="s">
        <v>228</v>
      </c>
      <c r="B171" s="2" t="s">
        <v>47</v>
      </c>
      <c r="C171" s="2" t="s">
        <v>39</v>
      </c>
      <c r="D171" s="2" t="s">
        <v>14</v>
      </c>
      <c r="E171" s="2" t="s">
        <v>48</v>
      </c>
      <c r="F171" s="6" t="s">
        <v>313</v>
      </c>
      <c r="G171" s="2">
        <v>1</v>
      </c>
      <c r="H171" s="2" t="s">
        <v>314</v>
      </c>
      <c r="I171" s="2" t="s">
        <v>11</v>
      </c>
      <c r="J171" s="2" t="str">
        <f t="shared" si="2"/>
        <v>YES</v>
      </c>
    </row>
    <row r="172" spans="1:10" x14ac:dyDescent="0.25">
      <c r="A172" s="2" t="s">
        <v>228</v>
      </c>
      <c r="B172" s="2" t="s">
        <v>47</v>
      </c>
      <c r="C172" s="2" t="s">
        <v>39</v>
      </c>
      <c r="D172" s="2" t="s">
        <v>14</v>
      </c>
      <c r="E172" s="2" t="s">
        <v>48</v>
      </c>
      <c r="F172" s="6" t="s">
        <v>315</v>
      </c>
      <c r="G172" s="2">
        <v>1</v>
      </c>
      <c r="H172" s="2" t="s">
        <v>316</v>
      </c>
      <c r="I172" s="2" t="s">
        <v>11</v>
      </c>
      <c r="J172" s="2" t="str">
        <f t="shared" si="2"/>
        <v>YES</v>
      </c>
    </row>
    <row r="173" spans="1:10" x14ac:dyDescent="0.25">
      <c r="A173" s="2" t="s">
        <v>228</v>
      </c>
      <c r="B173" s="2" t="s">
        <v>47</v>
      </c>
      <c r="C173" s="2" t="s">
        <v>39</v>
      </c>
      <c r="D173" s="2" t="s">
        <v>14</v>
      </c>
      <c r="E173" s="2" t="s">
        <v>48</v>
      </c>
      <c r="F173" s="6" t="s">
        <v>317</v>
      </c>
      <c r="G173" s="2">
        <v>1</v>
      </c>
      <c r="H173" s="2" t="s">
        <v>318</v>
      </c>
      <c r="I173" s="2" t="s">
        <v>11</v>
      </c>
      <c r="J173" s="2" t="str">
        <f t="shared" si="2"/>
        <v>YES</v>
      </c>
    </row>
    <row r="174" spans="1:10" x14ac:dyDescent="0.25">
      <c r="A174" s="2" t="s">
        <v>228</v>
      </c>
      <c r="B174" s="2" t="s">
        <v>47</v>
      </c>
      <c r="C174" s="2" t="s">
        <v>39</v>
      </c>
      <c r="D174" s="2" t="s">
        <v>14</v>
      </c>
      <c r="E174" s="2" t="s">
        <v>48</v>
      </c>
      <c r="F174" s="6" t="s">
        <v>319</v>
      </c>
      <c r="G174" s="2">
        <v>1</v>
      </c>
      <c r="H174" s="2" t="s">
        <v>320</v>
      </c>
      <c r="I174" s="2" t="s">
        <v>11</v>
      </c>
      <c r="J174" s="2" t="str">
        <f t="shared" si="2"/>
        <v>YES</v>
      </c>
    </row>
    <row r="175" spans="1:10" x14ac:dyDescent="0.25">
      <c r="A175" s="2" t="s">
        <v>228</v>
      </c>
      <c r="B175" s="2" t="s">
        <v>47</v>
      </c>
      <c r="C175" s="2" t="s">
        <v>39</v>
      </c>
      <c r="D175" s="2" t="s">
        <v>14</v>
      </c>
      <c r="E175" s="2" t="s">
        <v>48</v>
      </c>
      <c r="F175" s="6" t="s">
        <v>321</v>
      </c>
      <c r="G175" s="2">
        <v>1</v>
      </c>
      <c r="H175" s="2" t="s">
        <v>322</v>
      </c>
      <c r="I175" s="2" t="s">
        <v>11</v>
      </c>
      <c r="J175" s="2" t="str">
        <f t="shared" si="2"/>
        <v>YES</v>
      </c>
    </row>
    <row r="176" spans="1:10" x14ac:dyDescent="0.25">
      <c r="A176" s="2" t="s">
        <v>228</v>
      </c>
      <c r="B176" s="2" t="s">
        <v>47</v>
      </c>
      <c r="C176" s="2" t="s">
        <v>39</v>
      </c>
      <c r="D176" s="2" t="s">
        <v>14</v>
      </c>
      <c r="E176" s="2" t="s">
        <v>48</v>
      </c>
      <c r="F176" s="6" t="s">
        <v>323</v>
      </c>
      <c r="G176" s="2">
        <v>1</v>
      </c>
      <c r="H176" s="2" t="s">
        <v>324</v>
      </c>
      <c r="I176" s="2" t="s">
        <v>11</v>
      </c>
      <c r="J176" s="2" t="str">
        <f t="shared" si="2"/>
        <v>YES</v>
      </c>
    </row>
    <row r="177" spans="1:10" x14ac:dyDescent="0.25">
      <c r="A177" s="2" t="s">
        <v>228</v>
      </c>
      <c r="B177" s="2" t="s">
        <v>47</v>
      </c>
      <c r="C177" s="2" t="s">
        <v>39</v>
      </c>
      <c r="D177" s="2" t="s">
        <v>14</v>
      </c>
      <c r="E177" s="2" t="s">
        <v>48</v>
      </c>
      <c r="F177" s="6" t="s">
        <v>325</v>
      </c>
      <c r="G177" s="2">
        <v>1</v>
      </c>
      <c r="H177" s="2" t="s">
        <v>326</v>
      </c>
      <c r="I177" s="2" t="s">
        <v>11</v>
      </c>
      <c r="J177" s="2" t="str">
        <f t="shared" si="2"/>
        <v>YES</v>
      </c>
    </row>
    <row r="178" spans="1:10" x14ac:dyDescent="0.25">
      <c r="A178" s="2" t="s">
        <v>228</v>
      </c>
      <c r="B178" s="2" t="s">
        <v>47</v>
      </c>
      <c r="C178" s="2" t="s">
        <v>39</v>
      </c>
      <c r="D178" s="2" t="s">
        <v>14</v>
      </c>
      <c r="E178" s="2" t="s">
        <v>48</v>
      </c>
      <c r="F178" s="6" t="s">
        <v>327</v>
      </c>
      <c r="G178" s="2">
        <v>1</v>
      </c>
      <c r="H178" s="2" t="s">
        <v>328</v>
      </c>
      <c r="I178" s="2" t="s">
        <v>11</v>
      </c>
      <c r="J178" s="2" t="str">
        <f t="shared" si="2"/>
        <v>YES</v>
      </c>
    </row>
    <row r="179" spans="1:10" x14ac:dyDescent="0.25">
      <c r="A179" s="2" t="s">
        <v>228</v>
      </c>
      <c r="B179" s="2" t="s">
        <v>47</v>
      </c>
      <c r="C179" s="2" t="s">
        <v>39</v>
      </c>
      <c r="D179" s="2" t="s">
        <v>14</v>
      </c>
      <c r="E179" s="2" t="s">
        <v>48</v>
      </c>
      <c r="F179" s="6" t="s">
        <v>329</v>
      </c>
      <c r="G179" s="2">
        <v>1</v>
      </c>
      <c r="H179" s="2" t="s">
        <v>330</v>
      </c>
      <c r="I179" s="2" t="s">
        <v>11</v>
      </c>
      <c r="J179" s="2" t="str">
        <f t="shared" si="2"/>
        <v>YES</v>
      </c>
    </row>
    <row r="180" spans="1:10" x14ac:dyDescent="0.25">
      <c r="A180" s="2" t="s">
        <v>228</v>
      </c>
      <c r="B180" s="2" t="s">
        <v>47</v>
      </c>
      <c r="C180" s="2" t="s">
        <v>39</v>
      </c>
      <c r="D180" s="2" t="s">
        <v>14</v>
      </c>
      <c r="E180" s="2" t="s">
        <v>48</v>
      </c>
      <c r="F180" s="6" t="s">
        <v>331</v>
      </c>
      <c r="G180" s="2">
        <v>1</v>
      </c>
      <c r="H180" s="2" t="s">
        <v>332</v>
      </c>
      <c r="I180" s="2" t="s">
        <v>11</v>
      </c>
      <c r="J180" s="2" t="str">
        <f t="shared" si="2"/>
        <v>YES</v>
      </c>
    </row>
    <row r="181" spans="1:10" x14ac:dyDescent="0.25">
      <c r="A181" s="2" t="s">
        <v>228</v>
      </c>
      <c r="B181" s="2" t="s">
        <v>47</v>
      </c>
      <c r="C181" s="2" t="s">
        <v>39</v>
      </c>
      <c r="D181" s="2" t="s">
        <v>14</v>
      </c>
      <c r="E181" s="2" t="s">
        <v>48</v>
      </c>
      <c r="F181" s="6" t="s">
        <v>333</v>
      </c>
      <c r="G181" s="2">
        <v>1</v>
      </c>
      <c r="H181" s="2" t="s">
        <v>334</v>
      </c>
      <c r="I181" s="2" t="s">
        <v>11</v>
      </c>
      <c r="J181" s="2" t="str">
        <f t="shared" si="2"/>
        <v>YES</v>
      </c>
    </row>
    <row r="182" spans="1:10" x14ac:dyDescent="0.25">
      <c r="A182" s="2" t="s">
        <v>228</v>
      </c>
      <c r="B182" s="2" t="s">
        <v>47</v>
      </c>
      <c r="C182" s="2" t="s">
        <v>39</v>
      </c>
      <c r="D182" s="2" t="s">
        <v>14</v>
      </c>
      <c r="E182" s="2" t="s">
        <v>48</v>
      </c>
      <c r="F182" s="6" t="s">
        <v>335</v>
      </c>
      <c r="G182" s="2">
        <v>1</v>
      </c>
      <c r="H182" s="2" t="s">
        <v>336</v>
      </c>
      <c r="I182" s="2" t="s">
        <v>11</v>
      </c>
      <c r="J182" s="2" t="str">
        <f t="shared" si="2"/>
        <v>YES</v>
      </c>
    </row>
    <row r="183" spans="1:10" x14ac:dyDescent="0.25">
      <c r="A183" s="2" t="s">
        <v>228</v>
      </c>
      <c r="B183" s="2" t="s">
        <v>337</v>
      </c>
      <c r="C183" s="2" t="s">
        <v>338</v>
      </c>
      <c r="D183" s="2" t="s">
        <v>14</v>
      </c>
      <c r="E183" s="2" t="s">
        <v>305</v>
      </c>
      <c r="F183" s="6" t="s">
        <v>339</v>
      </c>
      <c r="G183" s="2">
        <v>1</v>
      </c>
      <c r="H183" s="2" t="s">
        <v>11</v>
      </c>
      <c r="I183" s="2" t="s">
        <v>340</v>
      </c>
      <c r="J183" s="2" t="str">
        <f t="shared" si="2"/>
        <v>YES</v>
      </c>
    </row>
    <row r="184" spans="1:10" x14ac:dyDescent="0.25">
      <c r="A184" s="2" t="s">
        <v>228</v>
      </c>
      <c r="B184" s="2" t="s">
        <v>308</v>
      </c>
      <c r="C184" s="2" t="s">
        <v>309</v>
      </c>
      <c r="D184" s="2" t="s">
        <v>14</v>
      </c>
      <c r="E184" s="2" t="s">
        <v>310</v>
      </c>
      <c r="F184" s="6" t="s">
        <v>341</v>
      </c>
      <c r="G184" s="2">
        <v>1</v>
      </c>
      <c r="H184" s="2" t="s">
        <v>11</v>
      </c>
      <c r="I184" s="2" t="s">
        <v>11</v>
      </c>
      <c r="J184" s="2" t="str">
        <f t="shared" si="2"/>
        <v>YES</v>
      </c>
    </row>
    <row r="185" spans="1:10" x14ac:dyDescent="0.25">
      <c r="A185" s="2" t="s">
        <v>228</v>
      </c>
      <c r="B185" s="2" t="s">
        <v>308</v>
      </c>
      <c r="C185" s="2" t="s">
        <v>309</v>
      </c>
      <c r="D185" s="2" t="s">
        <v>14</v>
      </c>
      <c r="E185" s="2" t="s">
        <v>310</v>
      </c>
      <c r="F185" s="6" t="s">
        <v>342</v>
      </c>
      <c r="G185" s="2">
        <v>1</v>
      </c>
      <c r="H185" s="2" t="s">
        <v>11</v>
      </c>
      <c r="I185" s="2" t="s">
        <v>11</v>
      </c>
      <c r="J185" s="2" t="str">
        <f t="shared" si="2"/>
        <v>YES</v>
      </c>
    </row>
    <row r="186" spans="1:10" x14ac:dyDescent="0.25">
      <c r="A186" s="2" t="s">
        <v>228</v>
      </c>
      <c r="B186" s="2" t="s">
        <v>47</v>
      </c>
      <c r="C186" s="2" t="s">
        <v>39</v>
      </c>
      <c r="D186" s="2" t="s">
        <v>14</v>
      </c>
      <c r="E186" s="2" t="s">
        <v>48</v>
      </c>
      <c r="F186" s="6" t="s">
        <v>343</v>
      </c>
      <c r="G186" s="2">
        <v>1</v>
      </c>
      <c r="H186" s="2" t="s">
        <v>344</v>
      </c>
      <c r="I186" s="2" t="s">
        <v>11</v>
      </c>
      <c r="J186" s="2" t="str">
        <f t="shared" si="2"/>
        <v>YES</v>
      </c>
    </row>
    <row r="187" spans="1:10" x14ac:dyDescent="0.25">
      <c r="A187" s="2" t="s">
        <v>228</v>
      </c>
      <c r="B187" s="2" t="s">
        <v>47</v>
      </c>
      <c r="C187" s="2" t="s">
        <v>39</v>
      </c>
      <c r="D187" s="2" t="s">
        <v>14</v>
      </c>
      <c r="E187" s="2" t="s">
        <v>48</v>
      </c>
      <c r="F187" s="6" t="s">
        <v>345</v>
      </c>
      <c r="G187" s="2">
        <v>1</v>
      </c>
      <c r="H187" s="2" t="s">
        <v>346</v>
      </c>
      <c r="I187" s="2" t="s">
        <v>11</v>
      </c>
      <c r="J187" s="2" t="str">
        <f t="shared" si="2"/>
        <v>YES</v>
      </c>
    </row>
    <row r="188" spans="1:10" x14ac:dyDescent="0.25">
      <c r="A188" s="2" t="s">
        <v>228</v>
      </c>
      <c r="B188" s="2" t="s">
        <v>47</v>
      </c>
      <c r="C188" s="2" t="s">
        <v>39</v>
      </c>
      <c r="D188" s="2" t="s">
        <v>14</v>
      </c>
      <c r="E188" s="2" t="s">
        <v>48</v>
      </c>
      <c r="F188" s="6" t="s">
        <v>347</v>
      </c>
      <c r="G188" s="2">
        <v>1</v>
      </c>
      <c r="H188" s="2" t="s">
        <v>348</v>
      </c>
      <c r="I188" s="2" t="s">
        <v>11</v>
      </c>
      <c r="J188" s="2" t="str">
        <f t="shared" si="2"/>
        <v>YES</v>
      </c>
    </row>
    <row r="189" spans="1:10" x14ac:dyDescent="0.25">
      <c r="A189" s="2" t="s">
        <v>228</v>
      </c>
      <c r="B189" s="2" t="s">
        <v>47</v>
      </c>
      <c r="C189" s="2" t="s">
        <v>39</v>
      </c>
      <c r="D189" s="2" t="s">
        <v>14</v>
      </c>
      <c r="E189" s="2" t="s">
        <v>48</v>
      </c>
      <c r="F189" s="6" t="s">
        <v>349</v>
      </c>
      <c r="G189" s="2">
        <v>1</v>
      </c>
      <c r="H189" s="2" t="s">
        <v>350</v>
      </c>
      <c r="I189" s="2" t="s">
        <v>11</v>
      </c>
      <c r="J189" s="2" t="str">
        <f t="shared" si="2"/>
        <v>YES</v>
      </c>
    </row>
    <row r="190" spans="1:10" x14ac:dyDescent="0.25">
      <c r="A190" s="2" t="s">
        <v>228</v>
      </c>
      <c r="B190" s="2" t="s">
        <v>47</v>
      </c>
      <c r="C190" s="2" t="s">
        <v>39</v>
      </c>
      <c r="D190" s="2" t="s">
        <v>14</v>
      </c>
      <c r="E190" s="2" t="s">
        <v>48</v>
      </c>
      <c r="F190" s="6" t="s">
        <v>351</v>
      </c>
      <c r="G190" s="2">
        <v>1</v>
      </c>
      <c r="H190" s="2" t="s">
        <v>352</v>
      </c>
      <c r="I190" s="2" t="s">
        <v>11</v>
      </c>
      <c r="J190" s="2" t="str">
        <f t="shared" si="2"/>
        <v>YES</v>
      </c>
    </row>
    <row r="191" spans="1:10" x14ac:dyDescent="0.25">
      <c r="A191" s="2" t="s">
        <v>228</v>
      </c>
      <c r="B191" s="2" t="s">
        <v>47</v>
      </c>
      <c r="C191" s="2" t="s">
        <v>39</v>
      </c>
      <c r="D191" s="2" t="s">
        <v>14</v>
      </c>
      <c r="E191" s="2" t="s">
        <v>48</v>
      </c>
      <c r="F191" s="6" t="s">
        <v>353</v>
      </c>
      <c r="G191" s="2">
        <v>1</v>
      </c>
      <c r="H191" s="2" t="s">
        <v>354</v>
      </c>
      <c r="I191" s="2" t="s">
        <v>11</v>
      </c>
      <c r="J191" s="2" t="str">
        <f t="shared" si="2"/>
        <v>YES</v>
      </c>
    </row>
    <row r="192" spans="1:10" x14ac:dyDescent="0.25">
      <c r="A192" s="2" t="s">
        <v>228</v>
      </c>
      <c r="B192" s="2" t="s">
        <v>47</v>
      </c>
      <c r="C192" s="2" t="s">
        <v>39</v>
      </c>
      <c r="D192" s="2" t="s">
        <v>14</v>
      </c>
      <c r="E192" s="2" t="s">
        <v>48</v>
      </c>
      <c r="F192" s="6" t="s">
        <v>355</v>
      </c>
      <c r="G192" s="2">
        <v>1</v>
      </c>
      <c r="H192" s="2" t="s">
        <v>356</v>
      </c>
      <c r="I192" s="2" t="s">
        <v>11</v>
      </c>
      <c r="J192" s="2" t="str">
        <f t="shared" si="2"/>
        <v>YES</v>
      </c>
    </row>
    <row r="193" spans="1:10" x14ac:dyDescent="0.25">
      <c r="A193" s="2" t="s">
        <v>228</v>
      </c>
      <c r="B193" s="2" t="s">
        <v>47</v>
      </c>
      <c r="C193" s="2" t="s">
        <v>39</v>
      </c>
      <c r="D193" s="2" t="s">
        <v>14</v>
      </c>
      <c r="E193" s="2" t="s">
        <v>48</v>
      </c>
      <c r="F193" s="6" t="s">
        <v>357</v>
      </c>
      <c r="G193" s="2">
        <v>1</v>
      </c>
      <c r="H193" s="2" t="s">
        <v>358</v>
      </c>
      <c r="I193" s="2" t="s">
        <v>11</v>
      </c>
      <c r="J193" s="2" t="str">
        <f t="shared" si="2"/>
        <v>YES</v>
      </c>
    </row>
    <row r="194" spans="1:10" x14ac:dyDescent="0.25">
      <c r="A194" s="2" t="s">
        <v>228</v>
      </c>
      <c r="B194" s="2" t="s">
        <v>47</v>
      </c>
      <c r="C194" s="2" t="s">
        <v>39</v>
      </c>
      <c r="D194" s="2" t="s">
        <v>14</v>
      </c>
      <c r="E194" s="2" t="s">
        <v>48</v>
      </c>
      <c r="F194" s="6" t="s">
        <v>359</v>
      </c>
      <c r="G194" s="2">
        <v>1</v>
      </c>
      <c r="H194" s="2" t="s">
        <v>360</v>
      </c>
      <c r="I194" s="2" t="s">
        <v>11</v>
      </c>
      <c r="J194" s="2" t="str">
        <f t="shared" si="2"/>
        <v>YES</v>
      </c>
    </row>
    <row r="195" spans="1:10" x14ac:dyDescent="0.25">
      <c r="A195" s="2" t="s">
        <v>228</v>
      </c>
      <c r="B195" s="2" t="s">
        <v>47</v>
      </c>
      <c r="C195" s="2" t="s">
        <v>39</v>
      </c>
      <c r="D195" s="2" t="s">
        <v>14</v>
      </c>
      <c r="E195" s="2" t="s">
        <v>48</v>
      </c>
      <c r="F195" s="6" t="s">
        <v>361</v>
      </c>
      <c r="G195" s="2">
        <v>1</v>
      </c>
      <c r="H195" s="2" t="s">
        <v>362</v>
      </c>
      <c r="I195" s="2" t="s">
        <v>11</v>
      </c>
      <c r="J195" s="2" t="str">
        <f t="shared" ref="J195:J258" si="3">IF(OR(F195="",F195="_",LEFT(F195,5)="SPARE"),"NO","YES")</f>
        <v>YES</v>
      </c>
    </row>
    <row r="196" spans="1:10" x14ac:dyDescent="0.25">
      <c r="A196" s="2" t="s">
        <v>228</v>
      </c>
      <c r="B196" s="2" t="s">
        <v>47</v>
      </c>
      <c r="C196" s="2" t="s">
        <v>39</v>
      </c>
      <c r="D196" s="2" t="s">
        <v>14</v>
      </c>
      <c r="E196" s="2" t="s">
        <v>48</v>
      </c>
      <c r="F196" s="6" t="s">
        <v>363</v>
      </c>
      <c r="G196" s="2">
        <v>1</v>
      </c>
      <c r="H196" s="2" t="s">
        <v>364</v>
      </c>
      <c r="I196" s="2" t="s">
        <v>11</v>
      </c>
      <c r="J196" s="2" t="str">
        <f t="shared" si="3"/>
        <v>YES</v>
      </c>
    </row>
    <row r="197" spans="1:10" x14ac:dyDescent="0.25">
      <c r="A197" s="2" t="s">
        <v>228</v>
      </c>
      <c r="B197" s="2" t="s">
        <v>47</v>
      </c>
      <c r="C197" s="2" t="s">
        <v>39</v>
      </c>
      <c r="D197" s="2" t="s">
        <v>14</v>
      </c>
      <c r="E197" s="2" t="s">
        <v>48</v>
      </c>
      <c r="F197" s="6" t="s">
        <v>365</v>
      </c>
      <c r="G197" s="2">
        <v>1</v>
      </c>
      <c r="H197" s="2" t="s">
        <v>366</v>
      </c>
      <c r="I197" s="2" t="s">
        <v>11</v>
      </c>
      <c r="J197" s="2" t="str">
        <f t="shared" si="3"/>
        <v>YES</v>
      </c>
    </row>
    <row r="198" spans="1:10" x14ac:dyDescent="0.25">
      <c r="A198" s="2" t="s">
        <v>228</v>
      </c>
      <c r="B198" s="2" t="s">
        <v>52</v>
      </c>
      <c r="C198" s="2" t="s">
        <v>53</v>
      </c>
      <c r="D198" s="2" t="s">
        <v>54</v>
      </c>
      <c r="E198" s="2" t="s">
        <v>55</v>
      </c>
      <c r="F198" s="6" t="s">
        <v>367</v>
      </c>
      <c r="G198" s="2">
        <v>1</v>
      </c>
      <c r="H198" s="2" t="s">
        <v>51</v>
      </c>
      <c r="I198" s="2" t="s">
        <v>368</v>
      </c>
      <c r="J198" s="2" t="str">
        <f t="shared" si="3"/>
        <v>YES</v>
      </c>
    </row>
    <row r="199" spans="1:10" x14ac:dyDescent="0.25">
      <c r="A199" s="2" t="s">
        <v>228</v>
      </c>
      <c r="B199" s="2" t="s">
        <v>57</v>
      </c>
      <c r="C199" s="2" t="s">
        <v>58</v>
      </c>
      <c r="D199" s="2" t="s">
        <v>14</v>
      </c>
      <c r="E199" s="2" t="s">
        <v>59</v>
      </c>
      <c r="F199" s="6" t="s">
        <v>369</v>
      </c>
      <c r="G199" s="2">
        <v>1</v>
      </c>
      <c r="H199" s="2" t="s">
        <v>51</v>
      </c>
      <c r="I199" s="2" t="s">
        <v>370</v>
      </c>
      <c r="J199" s="2" t="str">
        <f t="shared" si="3"/>
        <v>YES</v>
      </c>
    </row>
    <row r="200" spans="1:10" x14ac:dyDescent="0.25">
      <c r="A200" s="2" t="s">
        <v>371</v>
      </c>
      <c r="B200" s="2" t="s">
        <v>12</v>
      </c>
      <c r="C200" s="2" t="s">
        <v>13</v>
      </c>
      <c r="D200" s="2" t="s">
        <v>14</v>
      </c>
      <c r="E200" s="2" t="s">
        <v>15</v>
      </c>
      <c r="F200" s="6" t="s">
        <v>372</v>
      </c>
      <c r="G200" s="2">
        <v>1</v>
      </c>
      <c r="H200" s="2" t="s">
        <v>9</v>
      </c>
      <c r="I200" s="2" t="s">
        <v>373</v>
      </c>
      <c r="J200" s="2" t="str">
        <f t="shared" si="3"/>
        <v>YES</v>
      </c>
    </row>
    <row r="201" spans="1:10" x14ac:dyDescent="0.25">
      <c r="A201" s="2" t="s">
        <v>371</v>
      </c>
      <c r="B201" s="2" t="s">
        <v>17</v>
      </c>
      <c r="C201" s="2" t="s">
        <v>18</v>
      </c>
      <c r="D201" s="2" t="s">
        <v>14</v>
      </c>
      <c r="E201" s="2" t="s">
        <v>19</v>
      </c>
      <c r="F201" s="6" t="s">
        <v>374</v>
      </c>
      <c r="G201" s="2">
        <v>1</v>
      </c>
      <c r="H201" s="2" t="s">
        <v>11</v>
      </c>
      <c r="I201" s="2" t="s">
        <v>11</v>
      </c>
      <c r="J201" s="2" t="str">
        <f t="shared" si="3"/>
        <v>YES</v>
      </c>
    </row>
    <row r="202" spans="1:10" x14ac:dyDescent="0.25">
      <c r="A202" s="2" t="s">
        <v>371</v>
      </c>
      <c r="B202" s="2" t="s">
        <v>17</v>
      </c>
      <c r="C202" s="2" t="s">
        <v>18</v>
      </c>
      <c r="D202" s="2" t="s">
        <v>14</v>
      </c>
      <c r="E202" s="2" t="s">
        <v>19</v>
      </c>
      <c r="F202" s="6" t="s">
        <v>375</v>
      </c>
      <c r="G202" s="2">
        <v>1</v>
      </c>
      <c r="H202" s="2" t="s">
        <v>11</v>
      </c>
      <c r="I202" s="2" t="s">
        <v>11</v>
      </c>
      <c r="J202" s="2" t="str">
        <f t="shared" si="3"/>
        <v>YES</v>
      </c>
    </row>
    <row r="203" spans="1:10" x14ac:dyDescent="0.25">
      <c r="A203" s="2" t="s">
        <v>371</v>
      </c>
      <c r="B203" s="2" t="s">
        <v>20</v>
      </c>
      <c r="C203" s="2" t="s">
        <v>18</v>
      </c>
      <c r="D203" s="2" t="s">
        <v>14</v>
      </c>
      <c r="E203" s="2" t="s">
        <v>21</v>
      </c>
      <c r="F203" s="6" t="s">
        <v>376</v>
      </c>
      <c r="G203" s="2">
        <v>1</v>
      </c>
      <c r="H203" s="2" t="s">
        <v>11</v>
      </c>
      <c r="I203" s="2" t="s">
        <v>11</v>
      </c>
      <c r="J203" s="2" t="str">
        <f t="shared" si="3"/>
        <v>YES</v>
      </c>
    </row>
    <row r="204" spans="1:10" x14ac:dyDescent="0.25">
      <c r="A204" s="2" t="s">
        <v>371</v>
      </c>
      <c r="B204" s="2" t="s">
        <v>20</v>
      </c>
      <c r="C204" s="2" t="s">
        <v>18</v>
      </c>
      <c r="D204" s="2" t="s">
        <v>14</v>
      </c>
      <c r="E204" s="2" t="s">
        <v>21</v>
      </c>
      <c r="F204" s="6" t="s">
        <v>377</v>
      </c>
      <c r="G204" s="2">
        <v>1</v>
      </c>
      <c r="H204" s="2" t="s">
        <v>11</v>
      </c>
      <c r="I204" s="2" t="s">
        <v>11</v>
      </c>
      <c r="J204" s="2" t="str">
        <f t="shared" si="3"/>
        <v>YES</v>
      </c>
    </row>
    <row r="205" spans="1:10" x14ac:dyDescent="0.25">
      <c r="A205" s="2" t="s">
        <v>371</v>
      </c>
      <c r="B205" s="2" t="s">
        <v>12</v>
      </c>
      <c r="C205" s="2" t="s">
        <v>13</v>
      </c>
      <c r="D205" s="2" t="s">
        <v>14</v>
      </c>
      <c r="E205" s="2" t="s">
        <v>15</v>
      </c>
      <c r="F205" s="6" t="s">
        <v>378</v>
      </c>
      <c r="G205" s="2">
        <v>1</v>
      </c>
      <c r="H205" s="2" t="s">
        <v>9</v>
      </c>
      <c r="I205" s="2" t="s">
        <v>379</v>
      </c>
      <c r="J205" s="2" t="str">
        <f t="shared" si="3"/>
        <v>YES</v>
      </c>
    </row>
    <row r="206" spans="1:10" x14ac:dyDescent="0.25">
      <c r="A206" s="2" t="s">
        <v>371</v>
      </c>
      <c r="B206" s="2" t="s">
        <v>17</v>
      </c>
      <c r="C206" s="2" t="s">
        <v>18</v>
      </c>
      <c r="D206" s="2" t="s">
        <v>14</v>
      </c>
      <c r="E206" s="2" t="s">
        <v>19</v>
      </c>
      <c r="F206" s="6" t="s">
        <v>380</v>
      </c>
      <c r="G206" s="2">
        <v>1</v>
      </c>
      <c r="H206" s="2" t="s">
        <v>11</v>
      </c>
      <c r="I206" s="2" t="s">
        <v>11</v>
      </c>
      <c r="J206" s="2" t="str">
        <f t="shared" si="3"/>
        <v>YES</v>
      </c>
    </row>
    <row r="207" spans="1:10" x14ac:dyDescent="0.25">
      <c r="A207" s="2" t="s">
        <v>371</v>
      </c>
      <c r="B207" s="2" t="s">
        <v>17</v>
      </c>
      <c r="C207" s="2" t="s">
        <v>18</v>
      </c>
      <c r="D207" s="2" t="s">
        <v>14</v>
      </c>
      <c r="E207" s="2" t="s">
        <v>19</v>
      </c>
      <c r="F207" s="6" t="s">
        <v>381</v>
      </c>
      <c r="G207" s="2">
        <v>1</v>
      </c>
      <c r="H207" s="2" t="s">
        <v>11</v>
      </c>
      <c r="I207" s="2" t="s">
        <v>11</v>
      </c>
      <c r="J207" s="2" t="str">
        <f t="shared" si="3"/>
        <v>YES</v>
      </c>
    </row>
    <row r="208" spans="1:10" x14ac:dyDescent="0.25">
      <c r="A208" s="2" t="s">
        <v>371</v>
      </c>
      <c r="B208" s="2" t="s">
        <v>20</v>
      </c>
      <c r="C208" s="2" t="s">
        <v>18</v>
      </c>
      <c r="D208" s="2" t="s">
        <v>14</v>
      </c>
      <c r="E208" s="2" t="s">
        <v>21</v>
      </c>
      <c r="F208" s="6" t="s">
        <v>382</v>
      </c>
      <c r="G208" s="2">
        <v>1</v>
      </c>
      <c r="H208" s="2" t="s">
        <v>11</v>
      </c>
      <c r="I208" s="2" t="s">
        <v>11</v>
      </c>
      <c r="J208" s="2" t="str">
        <f t="shared" si="3"/>
        <v>YES</v>
      </c>
    </row>
    <row r="209" spans="1:10" x14ac:dyDescent="0.25">
      <c r="A209" s="2" t="s">
        <v>371</v>
      </c>
      <c r="B209" s="2" t="s">
        <v>20</v>
      </c>
      <c r="C209" s="2" t="s">
        <v>18</v>
      </c>
      <c r="D209" s="2" t="s">
        <v>14</v>
      </c>
      <c r="E209" s="2" t="s">
        <v>21</v>
      </c>
      <c r="F209" s="6" t="s">
        <v>383</v>
      </c>
      <c r="G209" s="2">
        <v>1</v>
      </c>
      <c r="H209" s="2" t="s">
        <v>11</v>
      </c>
      <c r="I209" s="2" t="s">
        <v>11</v>
      </c>
      <c r="J209" s="2" t="str">
        <f t="shared" si="3"/>
        <v>YES</v>
      </c>
    </row>
    <row r="210" spans="1:10" x14ac:dyDescent="0.25">
      <c r="A210" s="2" t="s">
        <v>371</v>
      </c>
      <c r="B210" s="2" t="s">
        <v>23</v>
      </c>
      <c r="C210" s="2" t="s">
        <v>24</v>
      </c>
      <c r="D210" s="2" t="s">
        <v>25</v>
      </c>
      <c r="E210" s="2" t="s">
        <v>26</v>
      </c>
      <c r="F210" s="6" t="s">
        <v>384</v>
      </c>
      <c r="G210" s="2">
        <v>1</v>
      </c>
      <c r="H210" s="2" t="s">
        <v>9</v>
      </c>
      <c r="I210" s="2" t="s">
        <v>385</v>
      </c>
      <c r="J210" s="2" t="str">
        <f t="shared" si="3"/>
        <v>YES</v>
      </c>
    </row>
    <row r="211" spans="1:10" x14ac:dyDescent="0.25">
      <c r="A211" s="2" t="s">
        <v>371</v>
      </c>
      <c r="B211" s="2" t="s">
        <v>28</v>
      </c>
      <c r="C211" s="2" t="s">
        <v>18</v>
      </c>
      <c r="D211" s="2" t="s">
        <v>25</v>
      </c>
      <c r="E211" s="2" t="s">
        <v>29</v>
      </c>
      <c r="F211" s="6" t="s">
        <v>386</v>
      </c>
      <c r="G211" s="2">
        <v>1</v>
      </c>
      <c r="H211" s="2" t="s">
        <v>11</v>
      </c>
      <c r="I211" s="2" t="s">
        <v>11</v>
      </c>
      <c r="J211" s="2" t="str">
        <f t="shared" si="3"/>
        <v>YES</v>
      </c>
    </row>
    <row r="212" spans="1:10" x14ac:dyDescent="0.25">
      <c r="A212" s="2" t="s">
        <v>371</v>
      </c>
      <c r="B212" s="2" t="s">
        <v>28</v>
      </c>
      <c r="C212" s="2" t="s">
        <v>18</v>
      </c>
      <c r="D212" s="2" t="s">
        <v>25</v>
      </c>
      <c r="E212" s="2" t="s">
        <v>29</v>
      </c>
      <c r="F212" s="6" t="s">
        <v>387</v>
      </c>
      <c r="G212" s="2">
        <v>1</v>
      </c>
      <c r="H212" s="2" t="s">
        <v>11</v>
      </c>
      <c r="I212" s="2" t="s">
        <v>11</v>
      </c>
      <c r="J212" s="2" t="str">
        <f t="shared" si="3"/>
        <v>YES</v>
      </c>
    </row>
    <row r="213" spans="1:10" x14ac:dyDescent="0.25">
      <c r="A213" s="2" t="s">
        <v>371</v>
      </c>
      <c r="B213" s="2" t="s">
        <v>28</v>
      </c>
      <c r="C213" s="2" t="s">
        <v>18</v>
      </c>
      <c r="D213" s="2" t="s">
        <v>25</v>
      </c>
      <c r="E213" s="2" t="s">
        <v>29</v>
      </c>
      <c r="F213" s="6" t="s">
        <v>388</v>
      </c>
      <c r="G213" s="2">
        <v>1</v>
      </c>
      <c r="H213" s="2" t="s">
        <v>11</v>
      </c>
      <c r="I213" s="2" t="s">
        <v>11</v>
      </c>
      <c r="J213" s="2" t="str">
        <f t="shared" si="3"/>
        <v>YES</v>
      </c>
    </row>
    <row r="214" spans="1:10" x14ac:dyDescent="0.25">
      <c r="A214" s="2" t="s">
        <v>371</v>
      </c>
      <c r="B214" s="2" t="s">
        <v>28</v>
      </c>
      <c r="C214" s="2" t="s">
        <v>18</v>
      </c>
      <c r="D214" s="2" t="s">
        <v>25</v>
      </c>
      <c r="E214" s="2" t="s">
        <v>29</v>
      </c>
      <c r="F214" s="6" t="s">
        <v>389</v>
      </c>
      <c r="G214" s="2">
        <v>1</v>
      </c>
      <c r="H214" s="2" t="s">
        <v>11</v>
      </c>
      <c r="I214" s="2" t="s">
        <v>11</v>
      </c>
      <c r="J214" s="2" t="str">
        <f t="shared" si="3"/>
        <v>YES</v>
      </c>
    </row>
    <row r="215" spans="1:10" x14ac:dyDescent="0.25">
      <c r="A215" s="2" t="s">
        <v>371</v>
      </c>
      <c r="B215" s="2" t="s">
        <v>28</v>
      </c>
      <c r="C215" s="2" t="s">
        <v>18</v>
      </c>
      <c r="D215" s="2" t="s">
        <v>25</v>
      </c>
      <c r="E215" s="2" t="s">
        <v>29</v>
      </c>
      <c r="F215" s="6" t="s">
        <v>390</v>
      </c>
      <c r="G215" s="2">
        <v>1</v>
      </c>
      <c r="H215" s="2" t="s">
        <v>11</v>
      </c>
      <c r="I215" s="2" t="s">
        <v>11</v>
      </c>
      <c r="J215" s="2" t="str">
        <f t="shared" si="3"/>
        <v>YES</v>
      </c>
    </row>
    <row r="216" spans="1:10" x14ac:dyDescent="0.25">
      <c r="A216" s="2" t="s">
        <v>371</v>
      </c>
      <c r="B216" s="2" t="s">
        <v>30</v>
      </c>
      <c r="C216" s="2" t="s">
        <v>18</v>
      </c>
      <c r="D216" s="2" t="s">
        <v>25</v>
      </c>
      <c r="E216" s="2" t="s">
        <v>31</v>
      </c>
      <c r="F216" s="6" t="s">
        <v>391</v>
      </c>
      <c r="G216" s="2">
        <v>1</v>
      </c>
      <c r="H216" s="2" t="s">
        <v>11</v>
      </c>
      <c r="I216" s="2" t="s">
        <v>11</v>
      </c>
      <c r="J216" s="2" t="str">
        <f t="shared" si="3"/>
        <v>YES</v>
      </c>
    </row>
    <row r="217" spans="1:10" x14ac:dyDescent="0.25">
      <c r="A217" s="2" t="s">
        <v>371</v>
      </c>
      <c r="B217" s="2" t="s">
        <v>30</v>
      </c>
      <c r="C217" s="2" t="s">
        <v>18</v>
      </c>
      <c r="D217" s="2" t="s">
        <v>25</v>
      </c>
      <c r="E217" s="2" t="s">
        <v>31</v>
      </c>
      <c r="F217" s="6" t="s">
        <v>392</v>
      </c>
      <c r="G217" s="2">
        <v>1</v>
      </c>
      <c r="H217" s="2" t="s">
        <v>11</v>
      </c>
      <c r="I217" s="2" t="s">
        <v>11</v>
      </c>
      <c r="J217" s="2" t="str">
        <f t="shared" si="3"/>
        <v>YES</v>
      </c>
    </row>
    <row r="218" spans="1:10" x14ac:dyDescent="0.25">
      <c r="A218" s="2" t="s">
        <v>371</v>
      </c>
      <c r="B218" s="2" t="s">
        <v>30</v>
      </c>
      <c r="C218" s="2" t="s">
        <v>18</v>
      </c>
      <c r="D218" s="2" t="s">
        <v>25</v>
      </c>
      <c r="E218" s="2" t="s">
        <v>31</v>
      </c>
      <c r="F218" s="6" t="s">
        <v>393</v>
      </c>
      <c r="G218" s="2">
        <v>1</v>
      </c>
      <c r="H218" s="2" t="s">
        <v>11</v>
      </c>
      <c r="I218" s="2" t="s">
        <v>11</v>
      </c>
      <c r="J218" s="2" t="str">
        <f t="shared" si="3"/>
        <v>YES</v>
      </c>
    </row>
    <row r="219" spans="1:10" x14ac:dyDescent="0.25">
      <c r="A219" s="2" t="s">
        <v>371</v>
      </c>
      <c r="B219" s="2" t="s">
        <v>30</v>
      </c>
      <c r="C219" s="2" t="s">
        <v>18</v>
      </c>
      <c r="D219" s="2" t="s">
        <v>25</v>
      </c>
      <c r="E219" s="2" t="s">
        <v>31</v>
      </c>
      <c r="F219" s="6" t="s">
        <v>394</v>
      </c>
      <c r="G219" s="2">
        <v>1</v>
      </c>
      <c r="H219" s="2" t="s">
        <v>11</v>
      </c>
      <c r="I219" s="2" t="s">
        <v>11</v>
      </c>
      <c r="J219" s="2" t="str">
        <f t="shared" si="3"/>
        <v>YES</v>
      </c>
    </row>
    <row r="220" spans="1:10" x14ac:dyDescent="0.25">
      <c r="A220" s="2" t="s">
        <v>371</v>
      </c>
      <c r="B220" s="2" t="s">
        <v>32</v>
      </c>
      <c r="C220" s="2" t="s">
        <v>18</v>
      </c>
      <c r="D220" s="2" t="s">
        <v>25</v>
      </c>
      <c r="E220" s="2" t="s">
        <v>33</v>
      </c>
      <c r="F220" s="6" t="s">
        <v>395</v>
      </c>
      <c r="G220" s="2">
        <v>1</v>
      </c>
      <c r="H220" s="2" t="s">
        <v>11</v>
      </c>
      <c r="I220" s="2" t="s">
        <v>11</v>
      </c>
      <c r="J220" s="2" t="str">
        <f t="shared" si="3"/>
        <v>YES</v>
      </c>
    </row>
    <row r="221" spans="1:10" x14ac:dyDescent="0.25">
      <c r="A221" s="2" t="s">
        <v>371</v>
      </c>
      <c r="B221" s="2" t="s">
        <v>32</v>
      </c>
      <c r="C221" s="2" t="s">
        <v>18</v>
      </c>
      <c r="D221" s="2" t="s">
        <v>25</v>
      </c>
      <c r="E221" s="2" t="s">
        <v>33</v>
      </c>
      <c r="F221" s="6" t="s">
        <v>396</v>
      </c>
      <c r="G221" s="2">
        <v>1</v>
      </c>
      <c r="H221" s="2" t="s">
        <v>11</v>
      </c>
      <c r="I221" s="2" t="s">
        <v>11</v>
      </c>
      <c r="J221" s="2" t="str">
        <f t="shared" si="3"/>
        <v>YES</v>
      </c>
    </row>
    <row r="222" spans="1:10" x14ac:dyDescent="0.25">
      <c r="A222" s="2" t="s">
        <v>371</v>
      </c>
      <c r="B222" s="2" t="s">
        <v>32</v>
      </c>
      <c r="C222" s="2" t="s">
        <v>18</v>
      </c>
      <c r="D222" s="2" t="s">
        <v>25</v>
      </c>
      <c r="E222" s="2" t="s">
        <v>33</v>
      </c>
      <c r="F222" s="6" t="s">
        <v>397</v>
      </c>
      <c r="G222" s="2">
        <v>1</v>
      </c>
      <c r="H222" s="2" t="s">
        <v>11</v>
      </c>
      <c r="I222" s="2" t="s">
        <v>11</v>
      </c>
      <c r="J222" s="2" t="str">
        <f t="shared" si="3"/>
        <v>YES</v>
      </c>
    </row>
    <row r="223" spans="1:10" x14ac:dyDescent="0.25">
      <c r="A223" s="2" t="s">
        <v>371</v>
      </c>
      <c r="B223" s="2" t="s">
        <v>32</v>
      </c>
      <c r="C223" s="2" t="s">
        <v>18</v>
      </c>
      <c r="D223" s="2" t="s">
        <v>25</v>
      </c>
      <c r="E223" s="2" t="s">
        <v>33</v>
      </c>
      <c r="F223" s="6" t="s">
        <v>398</v>
      </c>
      <c r="G223" s="2">
        <v>1</v>
      </c>
      <c r="H223" s="2" t="s">
        <v>11</v>
      </c>
      <c r="I223" s="2" t="s">
        <v>11</v>
      </c>
      <c r="J223" s="2" t="str">
        <f t="shared" si="3"/>
        <v>YES</v>
      </c>
    </row>
    <row r="224" spans="1:10" x14ac:dyDescent="0.25">
      <c r="A224" s="2" t="s">
        <v>371</v>
      </c>
      <c r="B224" s="2" t="s">
        <v>23</v>
      </c>
      <c r="C224" s="2" t="s">
        <v>24</v>
      </c>
      <c r="D224" s="2" t="s">
        <v>25</v>
      </c>
      <c r="E224" s="2" t="s">
        <v>26</v>
      </c>
      <c r="F224" s="6" t="s">
        <v>399</v>
      </c>
      <c r="G224" s="2">
        <v>1</v>
      </c>
      <c r="H224" s="2" t="s">
        <v>9</v>
      </c>
      <c r="I224" s="2" t="s">
        <v>400</v>
      </c>
      <c r="J224" s="2" t="str">
        <f t="shared" si="3"/>
        <v>YES</v>
      </c>
    </row>
    <row r="225" spans="1:10" x14ac:dyDescent="0.25">
      <c r="A225" s="2" t="s">
        <v>371</v>
      </c>
      <c r="B225" s="2" t="s">
        <v>28</v>
      </c>
      <c r="C225" s="2" t="s">
        <v>18</v>
      </c>
      <c r="D225" s="2" t="s">
        <v>25</v>
      </c>
      <c r="E225" s="2" t="s">
        <v>29</v>
      </c>
      <c r="F225" s="6" t="s">
        <v>401</v>
      </c>
      <c r="G225" s="2">
        <v>1</v>
      </c>
      <c r="H225" s="2" t="s">
        <v>11</v>
      </c>
      <c r="I225" s="2" t="s">
        <v>11</v>
      </c>
      <c r="J225" s="2" t="str">
        <f t="shared" si="3"/>
        <v>YES</v>
      </c>
    </row>
    <row r="226" spans="1:10" x14ac:dyDescent="0.25">
      <c r="A226" s="2" t="s">
        <v>371</v>
      </c>
      <c r="B226" s="2" t="s">
        <v>28</v>
      </c>
      <c r="C226" s="2" t="s">
        <v>18</v>
      </c>
      <c r="D226" s="2" t="s">
        <v>25</v>
      </c>
      <c r="E226" s="2" t="s">
        <v>29</v>
      </c>
      <c r="F226" s="6" t="s">
        <v>402</v>
      </c>
      <c r="G226" s="2">
        <v>1</v>
      </c>
      <c r="H226" s="2" t="s">
        <v>11</v>
      </c>
      <c r="I226" s="2" t="s">
        <v>11</v>
      </c>
      <c r="J226" s="2" t="str">
        <f t="shared" si="3"/>
        <v>YES</v>
      </c>
    </row>
    <row r="227" spans="1:10" x14ac:dyDescent="0.25">
      <c r="A227" s="2" t="s">
        <v>371</v>
      </c>
      <c r="B227" s="2" t="s">
        <v>28</v>
      </c>
      <c r="C227" s="2" t="s">
        <v>18</v>
      </c>
      <c r="D227" s="2" t="s">
        <v>25</v>
      </c>
      <c r="E227" s="2" t="s">
        <v>29</v>
      </c>
      <c r="F227" s="6" t="s">
        <v>403</v>
      </c>
      <c r="G227" s="2">
        <v>1</v>
      </c>
      <c r="H227" s="2" t="s">
        <v>11</v>
      </c>
      <c r="I227" s="2" t="s">
        <v>11</v>
      </c>
      <c r="J227" s="2" t="str">
        <f t="shared" si="3"/>
        <v>YES</v>
      </c>
    </row>
    <row r="228" spans="1:10" x14ac:dyDescent="0.25">
      <c r="A228" s="2" t="s">
        <v>371</v>
      </c>
      <c r="B228" s="2" t="s">
        <v>28</v>
      </c>
      <c r="C228" s="2" t="s">
        <v>18</v>
      </c>
      <c r="D228" s="2" t="s">
        <v>25</v>
      </c>
      <c r="E228" s="2" t="s">
        <v>29</v>
      </c>
      <c r="F228" s="6" t="s">
        <v>404</v>
      </c>
      <c r="G228" s="2">
        <v>1</v>
      </c>
      <c r="H228" s="2" t="s">
        <v>11</v>
      </c>
      <c r="I228" s="2" t="s">
        <v>11</v>
      </c>
      <c r="J228" s="2" t="str">
        <f t="shared" si="3"/>
        <v>YES</v>
      </c>
    </row>
    <row r="229" spans="1:10" x14ac:dyDescent="0.25">
      <c r="A229" s="2" t="s">
        <v>371</v>
      </c>
      <c r="B229" s="2" t="s">
        <v>28</v>
      </c>
      <c r="C229" s="2" t="s">
        <v>18</v>
      </c>
      <c r="D229" s="2" t="s">
        <v>25</v>
      </c>
      <c r="E229" s="2" t="s">
        <v>29</v>
      </c>
      <c r="F229" s="6" t="s">
        <v>405</v>
      </c>
      <c r="G229" s="2">
        <v>1</v>
      </c>
      <c r="H229" s="2" t="s">
        <v>11</v>
      </c>
      <c r="I229" s="2" t="s">
        <v>11</v>
      </c>
      <c r="J229" s="2" t="str">
        <f t="shared" si="3"/>
        <v>YES</v>
      </c>
    </row>
    <row r="230" spans="1:10" x14ac:dyDescent="0.25">
      <c r="A230" s="2" t="s">
        <v>371</v>
      </c>
      <c r="B230" s="2" t="s">
        <v>30</v>
      </c>
      <c r="C230" s="2" t="s">
        <v>18</v>
      </c>
      <c r="D230" s="2" t="s">
        <v>25</v>
      </c>
      <c r="E230" s="2" t="s">
        <v>31</v>
      </c>
      <c r="F230" s="6" t="s">
        <v>406</v>
      </c>
      <c r="G230" s="2">
        <v>1</v>
      </c>
      <c r="H230" s="2" t="s">
        <v>11</v>
      </c>
      <c r="I230" s="2" t="s">
        <v>11</v>
      </c>
      <c r="J230" s="2" t="str">
        <f t="shared" si="3"/>
        <v>YES</v>
      </c>
    </row>
    <row r="231" spans="1:10" x14ac:dyDescent="0.25">
      <c r="A231" s="2" t="s">
        <v>371</v>
      </c>
      <c r="B231" s="2" t="s">
        <v>30</v>
      </c>
      <c r="C231" s="2" t="s">
        <v>18</v>
      </c>
      <c r="D231" s="2" t="s">
        <v>25</v>
      </c>
      <c r="E231" s="2" t="s">
        <v>31</v>
      </c>
      <c r="F231" s="6" t="s">
        <v>407</v>
      </c>
      <c r="G231" s="2">
        <v>1</v>
      </c>
      <c r="H231" s="2" t="s">
        <v>11</v>
      </c>
      <c r="I231" s="2" t="s">
        <v>11</v>
      </c>
      <c r="J231" s="2" t="str">
        <f t="shared" si="3"/>
        <v>YES</v>
      </c>
    </row>
    <row r="232" spans="1:10" x14ac:dyDescent="0.25">
      <c r="A232" s="2" t="s">
        <v>371</v>
      </c>
      <c r="B232" s="2" t="s">
        <v>30</v>
      </c>
      <c r="C232" s="2" t="s">
        <v>18</v>
      </c>
      <c r="D232" s="2" t="s">
        <v>25</v>
      </c>
      <c r="E232" s="2" t="s">
        <v>31</v>
      </c>
      <c r="F232" s="6" t="s">
        <v>408</v>
      </c>
      <c r="G232" s="2">
        <v>1</v>
      </c>
      <c r="H232" s="2" t="s">
        <v>11</v>
      </c>
      <c r="I232" s="2" t="s">
        <v>11</v>
      </c>
      <c r="J232" s="2" t="str">
        <f t="shared" si="3"/>
        <v>YES</v>
      </c>
    </row>
    <row r="233" spans="1:10" x14ac:dyDescent="0.25">
      <c r="A233" s="2" t="s">
        <v>371</v>
      </c>
      <c r="B233" s="2" t="s">
        <v>32</v>
      </c>
      <c r="C233" s="2" t="s">
        <v>18</v>
      </c>
      <c r="D233" s="2" t="s">
        <v>25</v>
      </c>
      <c r="E233" s="2" t="s">
        <v>33</v>
      </c>
      <c r="F233" s="6" t="s">
        <v>409</v>
      </c>
      <c r="G233" s="2">
        <v>1</v>
      </c>
      <c r="H233" s="2" t="s">
        <v>11</v>
      </c>
      <c r="I233" s="2" t="s">
        <v>11</v>
      </c>
      <c r="J233" s="2" t="str">
        <f t="shared" si="3"/>
        <v>YES</v>
      </c>
    </row>
    <row r="234" spans="1:10" x14ac:dyDescent="0.25">
      <c r="A234" s="2" t="s">
        <v>371</v>
      </c>
      <c r="B234" s="2" t="s">
        <v>32</v>
      </c>
      <c r="C234" s="2" t="s">
        <v>18</v>
      </c>
      <c r="D234" s="2" t="s">
        <v>25</v>
      </c>
      <c r="E234" s="2" t="s">
        <v>33</v>
      </c>
      <c r="F234" s="6" t="s">
        <v>410</v>
      </c>
      <c r="G234" s="2">
        <v>1</v>
      </c>
      <c r="H234" s="2" t="s">
        <v>11</v>
      </c>
      <c r="I234" s="2" t="s">
        <v>11</v>
      </c>
      <c r="J234" s="2" t="str">
        <f t="shared" si="3"/>
        <v>YES</v>
      </c>
    </row>
    <row r="235" spans="1:10" x14ac:dyDescent="0.25">
      <c r="A235" s="2" t="s">
        <v>371</v>
      </c>
      <c r="B235" s="2" t="s">
        <v>32</v>
      </c>
      <c r="C235" s="2" t="s">
        <v>18</v>
      </c>
      <c r="D235" s="2" t="s">
        <v>25</v>
      </c>
      <c r="E235" s="2" t="s">
        <v>33</v>
      </c>
      <c r="F235" s="6" t="s">
        <v>411</v>
      </c>
      <c r="G235" s="2">
        <v>1</v>
      </c>
      <c r="H235" s="2" t="s">
        <v>11</v>
      </c>
      <c r="I235" s="2" t="s">
        <v>11</v>
      </c>
      <c r="J235" s="2" t="str">
        <f t="shared" si="3"/>
        <v>YES</v>
      </c>
    </row>
    <row r="236" spans="1:10" x14ac:dyDescent="0.25">
      <c r="A236" s="2" t="s">
        <v>371</v>
      </c>
      <c r="B236" s="2" t="s">
        <v>32</v>
      </c>
      <c r="C236" s="2" t="s">
        <v>18</v>
      </c>
      <c r="D236" s="2" t="s">
        <v>25</v>
      </c>
      <c r="E236" s="2" t="s">
        <v>33</v>
      </c>
      <c r="F236" s="6" t="s">
        <v>412</v>
      </c>
      <c r="G236" s="2">
        <v>1</v>
      </c>
      <c r="H236" s="2" t="s">
        <v>11</v>
      </c>
      <c r="I236" s="2" t="s">
        <v>11</v>
      </c>
      <c r="J236" s="2" t="str">
        <f t="shared" si="3"/>
        <v>YES</v>
      </c>
    </row>
    <row r="237" spans="1:10" x14ac:dyDescent="0.25">
      <c r="A237" s="2" t="s">
        <v>371</v>
      </c>
      <c r="B237" s="2" t="s">
        <v>12</v>
      </c>
      <c r="C237" s="2" t="s">
        <v>13</v>
      </c>
      <c r="D237" s="2" t="s">
        <v>14</v>
      </c>
      <c r="E237" s="2" t="s">
        <v>15</v>
      </c>
      <c r="F237" s="6" t="s">
        <v>413</v>
      </c>
      <c r="G237" s="2">
        <v>1</v>
      </c>
      <c r="H237" s="2" t="s">
        <v>35</v>
      </c>
      <c r="I237" s="2" t="s">
        <v>414</v>
      </c>
      <c r="J237" s="2" t="str">
        <f t="shared" si="3"/>
        <v>YES</v>
      </c>
    </row>
    <row r="238" spans="1:10" x14ac:dyDescent="0.25">
      <c r="A238" s="2" t="s">
        <v>371</v>
      </c>
      <c r="B238" s="2" t="s">
        <v>17</v>
      </c>
      <c r="C238" s="2" t="s">
        <v>18</v>
      </c>
      <c r="D238" s="2" t="s">
        <v>14</v>
      </c>
      <c r="E238" s="2" t="s">
        <v>19</v>
      </c>
      <c r="F238" s="6" t="s">
        <v>415</v>
      </c>
      <c r="G238" s="2">
        <v>1</v>
      </c>
      <c r="H238" s="2" t="s">
        <v>11</v>
      </c>
      <c r="I238" s="2" t="s">
        <v>11</v>
      </c>
      <c r="J238" s="2" t="str">
        <f t="shared" si="3"/>
        <v>YES</v>
      </c>
    </row>
    <row r="239" spans="1:10" x14ac:dyDescent="0.25">
      <c r="A239" s="2" t="s">
        <v>371</v>
      </c>
      <c r="B239" s="2" t="s">
        <v>17</v>
      </c>
      <c r="C239" s="2" t="s">
        <v>18</v>
      </c>
      <c r="D239" s="2" t="s">
        <v>14</v>
      </c>
      <c r="E239" s="2" t="s">
        <v>19</v>
      </c>
      <c r="F239" s="6" t="s">
        <v>416</v>
      </c>
      <c r="G239" s="2">
        <v>1</v>
      </c>
      <c r="H239" s="2" t="s">
        <v>11</v>
      </c>
      <c r="I239" s="2" t="s">
        <v>11</v>
      </c>
      <c r="J239" s="2" t="str">
        <f t="shared" si="3"/>
        <v>YES</v>
      </c>
    </row>
    <row r="240" spans="1:10" x14ac:dyDescent="0.25">
      <c r="A240" s="2" t="s">
        <v>371</v>
      </c>
      <c r="B240" s="2" t="s">
        <v>20</v>
      </c>
      <c r="C240" s="2" t="s">
        <v>18</v>
      </c>
      <c r="D240" s="2" t="s">
        <v>14</v>
      </c>
      <c r="E240" s="2" t="s">
        <v>21</v>
      </c>
      <c r="F240" s="6" t="s">
        <v>417</v>
      </c>
      <c r="G240" s="2">
        <v>1</v>
      </c>
      <c r="H240" s="2" t="s">
        <v>11</v>
      </c>
      <c r="I240" s="2" t="s">
        <v>11</v>
      </c>
      <c r="J240" s="2" t="str">
        <f t="shared" si="3"/>
        <v>YES</v>
      </c>
    </row>
    <row r="241" spans="1:10" x14ac:dyDescent="0.25">
      <c r="A241" s="2" t="s">
        <v>371</v>
      </c>
      <c r="B241" s="2" t="s">
        <v>20</v>
      </c>
      <c r="C241" s="2" t="s">
        <v>18</v>
      </c>
      <c r="D241" s="2" t="s">
        <v>14</v>
      </c>
      <c r="E241" s="2" t="s">
        <v>21</v>
      </c>
      <c r="F241" s="6" t="s">
        <v>418</v>
      </c>
      <c r="G241" s="2">
        <v>1</v>
      </c>
      <c r="H241" s="2" t="s">
        <v>11</v>
      </c>
      <c r="I241" s="2" t="s">
        <v>11</v>
      </c>
      <c r="J241" s="2" t="str">
        <f t="shared" si="3"/>
        <v>YES</v>
      </c>
    </row>
    <row r="242" spans="1:10" x14ac:dyDescent="0.25">
      <c r="A242" s="2" t="s">
        <v>371</v>
      </c>
      <c r="B242" s="2" t="s">
        <v>12</v>
      </c>
      <c r="C242" s="2" t="s">
        <v>13</v>
      </c>
      <c r="D242" s="2" t="s">
        <v>14</v>
      </c>
      <c r="E242" s="2" t="s">
        <v>15</v>
      </c>
      <c r="F242" s="6" t="s">
        <v>419</v>
      </c>
      <c r="G242" s="2">
        <v>1</v>
      </c>
      <c r="H242" s="2" t="s">
        <v>35</v>
      </c>
      <c r="I242" s="2" t="s">
        <v>420</v>
      </c>
      <c r="J242" s="2" t="str">
        <f t="shared" si="3"/>
        <v>YES</v>
      </c>
    </row>
    <row r="243" spans="1:10" x14ac:dyDescent="0.25">
      <c r="A243" s="2" t="s">
        <v>371</v>
      </c>
      <c r="B243" s="2" t="s">
        <v>17</v>
      </c>
      <c r="C243" s="2" t="s">
        <v>18</v>
      </c>
      <c r="D243" s="2" t="s">
        <v>14</v>
      </c>
      <c r="E243" s="2" t="s">
        <v>19</v>
      </c>
      <c r="F243" s="6" t="s">
        <v>421</v>
      </c>
      <c r="G243" s="2">
        <v>1</v>
      </c>
      <c r="H243" s="2" t="s">
        <v>11</v>
      </c>
      <c r="I243" s="2" t="s">
        <v>11</v>
      </c>
      <c r="J243" s="2" t="str">
        <f t="shared" si="3"/>
        <v>YES</v>
      </c>
    </row>
    <row r="244" spans="1:10" x14ac:dyDescent="0.25">
      <c r="A244" s="2" t="s">
        <v>371</v>
      </c>
      <c r="B244" s="2" t="s">
        <v>17</v>
      </c>
      <c r="C244" s="2" t="s">
        <v>18</v>
      </c>
      <c r="D244" s="2" t="s">
        <v>14</v>
      </c>
      <c r="E244" s="2" t="s">
        <v>19</v>
      </c>
      <c r="F244" s="6" t="s">
        <v>422</v>
      </c>
      <c r="G244" s="2">
        <v>1</v>
      </c>
      <c r="H244" s="2" t="s">
        <v>11</v>
      </c>
      <c r="I244" s="2" t="s">
        <v>11</v>
      </c>
      <c r="J244" s="2" t="str">
        <f t="shared" si="3"/>
        <v>YES</v>
      </c>
    </row>
    <row r="245" spans="1:10" x14ac:dyDescent="0.25">
      <c r="A245" s="2" t="s">
        <v>371</v>
      </c>
      <c r="B245" s="2" t="s">
        <v>20</v>
      </c>
      <c r="C245" s="2" t="s">
        <v>18</v>
      </c>
      <c r="D245" s="2" t="s">
        <v>14</v>
      </c>
      <c r="E245" s="2" t="s">
        <v>21</v>
      </c>
      <c r="F245" s="6" t="s">
        <v>423</v>
      </c>
      <c r="G245" s="2">
        <v>1</v>
      </c>
      <c r="H245" s="2" t="s">
        <v>11</v>
      </c>
      <c r="I245" s="2" t="s">
        <v>11</v>
      </c>
      <c r="J245" s="2" t="str">
        <f t="shared" si="3"/>
        <v>YES</v>
      </c>
    </row>
    <row r="246" spans="1:10" x14ac:dyDescent="0.25">
      <c r="A246" s="2" t="s">
        <v>371</v>
      </c>
      <c r="B246" s="2" t="s">
        <v>20</v>
      </c>
      <c r="C246" s="2" t="s">
        <v>18</v>
      </c>
      <c r="D246" s="2" t="s">
        <v>14</v>
      </c>
      <c r="E246" s="2" t="s">
        <v>21</v>
      </c>
      <c r="F246" s="6" t="s">
        <v>424</v>
      </c>
      <c r="G246" s="2">
        <v>1</v>
      </c>
      <c r="H246" s="2" t="s">
        <v>11</v>
      </c>
      <c r="I246" s="2" t="s">
        <v>11</v>
      </c>
      <c r="J246" s="2" t="str">
        <f t="shared" si="3"/>
        <v>YES</v>
      </c>
    </row>
    <row r="247" spans="1:10" x14ac:dyDescent="0.25">
      <c r="A247" s="2" t="s">
        <v>371</v>
      </c>
      <c r="B247" s="2" t="s">
        <v>38</v>
      </c>
      <c r="C247" s="2" t="s">
        <v>39</v>
      </c>
      <c r="D247" s="2" t="s">
        <v>14</v>
      </c>
      <c r="E247" s="2" t="s">
        <v>40</v>
      </c>
      <c r="F247" s="6" t="s">
        <v>425</v>
      </c>
      <c r="G247" s="2">
        <v>1</v>
      </c>
      <c r="H247" s="2" t="s">
        <v>426</v>
      </c>
      <c r="I247" s="2" t="s">
        <v>11</v>
      </c>
      <c r="J247" s="2" t="str">
        <f t="shared" si="3"/>
        <v>YES</v>
      </c>
    </row>
    <row r="248" spans="1:10" x14ac:dyDescent="0.25">
      <c r="A248" s="2" t="s">
        <v>371</v>
      </c>
      <c r="B248" s="2" t="s">
        <v>38</v>
      </c>
      <c r="C248" s="2" t="s">
        <v>39</v>
      </c>
      <c r="D248" s="2" t="s">
        <v>14</v>
      </c>
      <c r="E248" s="2" t="s">
        <v>40</v>
      </c>
      <c r="F248" s="6" t="s">
        <v>427</v>
      </c>
      <c r="G248" s="2">
        <v>1</v>
      </c>
      <c r="H248" s="2" t="s">
        <v>428</v>
      </c>
      <c r="I248" s="2" t="s">
        <v>11</v>
      </c>
      <c r="J248" s="2" t="str">
        <f t="shared" si="3"/>
        <v>YES</v>
      </c>
    </row>
    <row r="249" spans="1:10" x14ac:dyDescent="0.25">
      <c r="A249" s="2" t="s">
        <v>371</v>
      </c>
      <c r="B249" s="2" t="s">
        <v>41</v>
      </c>
      <c r="C249" s="2" t="s">
        <v>42</v>
      </c>
      <c r="D249" s="2" t="s">
        <v>14</v>
      </c>
      <c r="E249" s="2" t="s">
        <v>43</v>
      </c>
      <c r="F249" s="6" t="s">
        <v>429</v>
      </c>
      <c r="G249" s="2">
        <v>1</v>
      </c>
      <c r="H249" s="2" t="s">
        <v>35</v>
      </c>
      <c r="I249" s="2" t="s">
        <v>430</v>
      </c>
      <c r="J249" s="2" t="str">
        <f t="shared" si="3"/>
        <v>YES</v>
      </c>
    </row>
    <row r="250" spans="1:10" x14ac:dyDescent="0.25">
      <c r="A250" s="2" t="s">
        <v>371</v>
      </c>
      <c r="B250" s="2" t="s">
        <v>45</v>
      </c>
      <c r="C250" s="2" t="s">
        <v>42</v>
      </c>
      <c r="D250" s="2" t="s">
        <v>14</v>
      </c>
      <c r="E250" s="2" t="s">
        <v>46</v>
      </c>
      <c r="F250" s="6" t="s">
        <v>431</v>
      </c>
      <c r="G250" s="2">
        <v>1</v>
      </c>
      <c r="H250" s="2" t="s">
        <v>11</v>
      </c>
      <c r="I250" s="2" t="s">
        <v>11</v>
      </c>
      <c r="J250" s="2" t="str">
        <f t="shared" si="3"/>
        <v>YES</v>
      </c>
    </row>
    <row r="251" spans="1:10" x14ac:dyDescent="0.25">
      <c r="A251" s="2" t="s">
        <v>371</v>
      </c>
      <c r="B251" s="2" t="s">
        <v>45</v>
      </c>
      <c r="C251" s="2" t="s">
        <v>42</v>
      </c>
      <c r="D251" s="2" t="s">
        <v>14</v>
      </c>
      <c r="E251" s="2" t="s">
        <v>46</v>
      </c>
      <c r="F251" s="6" t="s">
        <v>432</v>
      </c>
      <c r="G251" s="2">
        <v>1</v>
      </c>
      <c r="H251" s="2" t="s">
        <v>11</v>
      </c>
      <c r="I251" s="2" t="s">
        <v>11</v>
      </c>
      <c r="J251" s="2" t="str">
        <f t="shared" si="3"/>
        <v>YES</v>
      </c>
    </row>
    <row r="252" spans="1:10" x14ac:dyDescent="0.25">
      <c r="A252" s="2" t="s">
        <v>371</v>
      </c>
      <c r="B252" s="2" t="s">
        <v>47</v>
      </c>
      <c r="C252" s="2" t="s">
        <v>39</v>
      </c>
      <c r="D252" s="2" t="s">
        <v>14</v>
      </c>
      <c r="E252" s="2" t="s">
        <v>48</v>
      </c>
      <c r="F252" s="6" t="s">
        <v>433</v>
      </c>
      <c r="G252" s="2">
        <v>1</v>
      </c>
      <c r="H252" s="2" t="s">
        <v>434</v>
      </c>
      <c r="I252" s="2" t="s">
        <v>11</v>
      </c>
      <c r="J252" s="2" t="str">
        <f t="shared" si="3"/>
        <v>YES</v>
      </c>
    </row>
    <row r="253" spans="1:10" x14ac:dyDescent="0.25">
      <c r="A253" s="2" t="s">
        <v>371</v>
      </c>
      <c r="B253" s="2" t="s">
        <v>47</v>
      </c>
      <c r="C253" s="2" t="s">
        <v>39</v>
      </c>
      <c r="D253" s="2" t="s">
        <v>14</v>
      </c>
      <c r="E253" s="2" t="s">
        <v>48</v>
      </c>
      <c r="F253" s="6" t="s">
        <v>435</v>
      </c>
      <c r="G253" s="2">
        <v>1</v>
      </c>
      <c r="H253" s="2" t="s">
        <v>436</v>
      </c>
      <c r="I253" s="2" t="s">
        <v>11</v>
      </c>
      <c r="J253" s="2" t="str">
        <f t="shared" si="3"/>
        <v>YES</v>
      </c>
    </row>
    <row r="254" spans="1:10" x14ac:dyDescent="0.25">
      <c r="A254" s="2" t="s">
        <v>371</v>
      </c>
      <c r="B254" s="2" t="s">
        <v>47</v>
      </c>
      <c r="C254" s="2" t="s">
        <v>39</v>
      </c>
      <c r="D254" s="2" t="s">
        <v>14</v>
      </c>
      <c r="E254" s="2" t="s">
        <v>48</v>
      </c>
      <c r="F254" s="6" t="s">
        <v>437</v>
      </c>
      <c r="G254" s="2">
        <v>1</v>
      </c>
      <c r="H254" s="2" t="s">
        <v>438</v>
      </c>
      <c r="I254" s="2" t="s">
        <v>11</v>
      </c>
      <c r="J254" s="2" t="str">
        <f t="shared" si="3"/>
        <v>YES</v>
      </c>
    </row>
    <row r="255" spans="1:10" x14ac:dyDescent="0.25">
      <c r="A255" s="2" t="s">
        <v>371</v>
      </c>
      <c r="B255" s="2" t="s">
        <v>47</v>
      </c>
      <c r="C255" s="2" t="s">
        <v>39</v>
      </c>
      <c r="D255" s="2" t="s">
        <v>14</v>
      </c>
      <c r="E255" s="2" t="s">
        <v>48</v>
      </c>
      <c r="F255" s="6" t="s">
        <v>439</v>
      </c>
      <c r="G255" s="2">
        <v>1</v>
      </c>
      <c r="H255" s="2" t="s">
        <v>440</v>
      </c>
      <c r="I255" s="2" t="s">
        <v>11</v>
      </c>
      <c r="J255" s="2" t="str">
        <f t="shared" si="3"/>
        <v>YES</v>
      </c>
    </row>
    <row r="256" spans="1:10" x14ac:dyDescent="0.25">
      <c r="A256" s="2" t="s">
        <v>371</v>
      </c>
      <c r="B256" s="2" t="s">
        <v>47</v>
      </c>
      <c r="C256" s="2" t="s">
        <v>39</v>
      </c>
      <c r="D256" s="2" t="s">
        <v>14</v>
      </c>
      <c r="E256" s="2" t="s">
        <v>48</v>
      </c>
      <c r="F256" s="6" t="s">
        <v>441</v>
      </c>
      <c r="G256" s="2">
        <v>1</v>
      </c>
      <c r="H256" s="2" t="s">
        <v>442</v>
      </c>
      <c r="I256" s="2" t="s">
        <v>11</v>
      </c>
      <c r="J256" s="2" t="str">
        <f t="shared" si="3"/>
        <v>YES</v>
      </c>
    </row>
    <row r="257" spans="1:10" x14ac:dyDescent="0.25">
      <c r="A257" s="2" t="s">
        <v>371</v>
      </c>
      <c r="B257" s="2" t="s">
        <v>47</v>
      </c>
      <c r="C257" s="2" t="s">
        <v>39</v>
      </c>
      <c r="D257" s="2" t="s">
        <v>14</v>
      </c>
      <c r="E257" s="2" t="s">
        <v>48</v>
      </c>
      <c r="F257" s="6" t="s">
        <v>443</v>
      </c>
      <c r="G257" s="2">
        <v>1</v>
      </c>
      <c r="H257" s="2" t="s">
        <v>444</v>
      </c>
      <c r="I257" s="2" t="s">
        <v>11</v>
      </c>
      <c r="J257" s="2" t="str">
        <f t="shared" si="3"/>
        <v>YES</v>
      </c>
    </row>
    <row r="258" spans="1:10" x14ac:dyDescent="0.25">
      <c r="A258" s="2" t="s">
        <v>371</v>
      </c>
      <c r="B258" s="2" t="s">
        <v>47</v>
      </c>
      <c r="C258" s="2" t="s">
        <v>39</v>
      </c>
      <c r="D258" s="2" t="s">
        <v>14</v>
      </c>
      <c r="E258" s="2" t="s">
        <v>48</v>
      </c>
      <c r="F258" s="6" t="s">
        <v>445</v>
      </c>
      <c r="G258" s="2">
        <v>1</v>
      </c>
      <c r="H258" s="2" t="s">
        <v>446</v>
      </c>
      <c r="I258" s="2" t="s">
        <v>11</v>
      </c>
      <c r="J258" s="2" t="str">
        <f t="shared" si="3"/>
        <v>YES</v>
      </c>
    </row>
    <row r="259" spans="1:10" x14ac:dyDescent="0.25">
      <c r="A259" s="2" t="s">
        <v>371</v>
      </c>
      <c r="B259" s="2" t="s">
        <v>47</v>
      </c>
      <c r="C259" s="2" t="s">
        <v>39</v>
      </c>
      <c r="D259" s="2" t="s">
        <v>14</v>
      </c>
      <c r="E259" s="2" t="s">
        <v>48</v>
      </c>
      <c r="F259" s="6" t="s">
        <v>447</v>
      </c>
      <c r="G259" s="2">
        <v>1</v>
      </c>
      <c r="H259" s="2" t="s">
        <v>448</v>
      </c>
      <c r="I259" s="2" t="s">
        <v>11</v>
      </c>
      <c r="J259" s="2" t="str">
        <f t="shared" ref="J259:J322" si="4">IF(OR(F259="",F259="_",LEFT(F259,5)="SPARE"),"NO","YES")</f>
        <v>YES</v>
      </c>
    </row>
    <row r="260" spans="1:10" x14ac:dyDescent="0.25">
      <c r="A260" s="2" t="s">
        <v>371</v>
      </c>
      <c r="B260" s="2" t="s">
        <v>47</v>
      </c>
      <c r="C260" s="2" t="s">
        <v>39</v>
      </c>
      <c r="D260" s="2" t="s">
        <v>14</v>
      </c>
      <c r="E260" s="2" t="s">
        <v>48</v>
      </c>
      <c r="F260" s="6" t="s">
        <v>449</v>
      </c>
      <c r="G260" s="2">
        <v>1</v>
      </c>
      <c r="H260" s="2" t="s">
        <v>450</v>
      </c>
      <c r="I260" s="2" t="s">
        <v>11</v>
      </c>
      <c r="J260" s="2" t="str">
        <f t="shared" si="4"/>
        <v>YES</v>
      </c>
    </row>
    <row r="261" spans="1:10" x14ac:dyDescent="0.25">
      <c r="A261" s="2" t="s">
        <v>371</v>
      </c>
      <c r="B261" s="2" t="s">
        <v>47</v>
      </c>
      <c r="C261" s="2" t="s">
        <v>39</v>
      </c>
      <c r="D261" s="2" t="s">
        <v>14</v>
      </c>
      <c r="E261" s="2" t="s">
        <v>48</v>
      </c>
      <c r="F261" s="6" t="s">
        <v>451</v>
      </c>
      <c r="G261" s="2">
        <v>1</v>
      </c>
      <c r="H261" s="2" t="s">
        <v>452</v>
      </c>
      <c r="I261" s="2" t="s">
        <v>11</v>
      </c>
      <c r="J261" s="2" t="str">
        <f t="shared" si="4"/>
        <v>YES</v>
      </c>
    </row>
    <row r="262" spans="1:10" x14ac:dyDescent="0.25">
      <c r="A262" s="2" t="s">
        <v>371</v>
      </c>
      <c r="B262" s="2" t="s">
        <v>47</v>
      </c>
      <c r="C262" s="2" t="s">
        <v>39</v>
      </c>
      <c r="D262" s="2" t="s">
        <v>14</v>
      </c>
      <c r="E262" s="2" t="s">
        <v>48</v>
      </c>
      <c r="F262" s="6" t="s">
        <v>453</v>
      </c>
      <c r="G262" s="2">
        <v>1</v>
      </c>
      <c r="H262" s="2" t="s">
        <v>454</v>
      </c>
      <c r="I262" s="2" t="s">
        <v>11</v>
      </c>
      <c r="J262" s="2" t="str">
        <f t="shared" si="4"/>
        <v>YES</v>
      </c>
    </row>
    <row r="263" spans="1:10" x14ac:dyDescent="0.25">
      <c r="A263" s="2" t="s">
        <v>371</v>
      </c>
      <c r="B263" s="2" t="s">
        <v>47</v>
      </c>
      <c r="C263" s="2" t="s">
        <v>39</v>
      </c>
      <c r="D263" s="2" t="s">
        <v>14</v>
      </c>
      <c r="E263" s="2" t="s">
        <v>48</v>
      </c>
      <c r="F263" s="6" t="s">
        <v>455</v>
      </c>
      <c r="G263" s="2">
        <v>1</v>
      </c>
      <c r="H263" s="2" t="s">
        <v>456</v>
      </c>
      <c r="I263" s="2" t="s">
        <v>11</v>
      </c>
      <c r="J263" s="2" t="str">
        <f t="shared" si="4"/>
        <v>YES</v>
      </c>
    </row>
    <row r="264" spans="1:10" x14ac:dyDescent="0.25">
      <c r="A264" s="2" t="s">
        <v>371</v>
      </c>
      <c r="B264" s="2" t="s">
        <v>49</v>
      </c>
      <c r="C264" s="2" t="s">
        <v>18</v>
      </c>
      <c r="D264" s="2" t="s">
        <v>14</v>
      </c>
      <c r="E264" s="2" t="s">
        <v>50</v>
      </c>
      <c r="F264" s="6" t="s">
        <v>457</v>
      </c>
      <c r="G264" s="2">
        <v>1</v>
      </c>
      <c r="H264" s="2" t="s">
        <v>11</v>
      </c>
      <c r="I264" s="2" t="s">
        <v>11</v>
      </c>
      <c r="J264" s="2" t="str">
        <f t="shared" si="4"/>
        <v>YES</v>
      </c>
    </row>
    <row r="265" spans="1:10" x14ac:dyDescent="0.25">
      <c r="A265" s="2" t="s">
        <v>371</v>
      </c>
      <c r="B265" s="2" t="s">
        <v>49</v>
      </c>
      <c r="C265" s="2" t="s">
        <v>18</v>
      </c>
      <c r="D265" s="2" t="s">
        <v>14</v>
      </c>
      <c r="E265" s="2" t="s">
        <v>50</v>
      </c>
      <c r="F265" s="6" t="s">
        <v>458</v>
      </c>
      <c r="G265" s="2">
        <v>1</v>
      </c>
      <c r="H265" s="2" t="s">
        <v>11</v>
      </c>
      <c r="I265" s="2" t="s">
        <v>11</v>
      </c>
      <c r="J265" s="2" t="str">
        <f t="shared" si="4"/>
        <v>YES</v>
      </c>
    </row>
    <row r="266" spans="1:10" x14ac:dyDescent="0.25">
      <c r="A266" s="2" t="s">
        <v>371</v>
      </c>
      <c r="B266" s="2" t="s">
        <v>49</v>
      </c>
      <c r="C266" s="2" t="s">
        <v>18</v>
      </c>
      <c r="D266" s="2" t="s">
        <v>14</v>
      </c>
      <c r="E266" s="2" t="s">
        <v>50</v>
      </c>
      <c r="F266" s="6" t="s">
        <v>459</v>
      </c>
      <c r="G266" s="2">
        <v>1</v>
      </c>
      <c r="H266" s="2" t="s">
        <v>11</v>
      </c>
      <c r="I266" s="2" t="s">
        <v>11</v>
      </c>
      <c r="J266" s="2" t="str">
        <f t="shared" si="4"/>
        <v>YES</v>
      </c>
    </row>
    <row r="267" spans="1:10" x14ac:dyDescent="0.25">
      <c r="A267" s="2" t="s">
        <v>371</v>
      </c>
      <c r="B267" s="2" t="s">
        <v>49</v>
      </c>
      <c r="C267" s="2" t="s">
        <v>18</v>
      </c>
      <c r="D267" s="2" t="s">
        <v>14</v>
      </c>
      <c r="E267" s="2" t="s">
        <v>50</v>
      </c>
      <c r="F267" s="6" t="s">
        <v>460</v>
      </c>
      <c r="G267" s="2">
        <v>1</v>
      </c>
      <c r="H267" s="2" t="s">
        <v>11</v>
      </c>
      <c r="I267" s="2" t="s">
        <v>11</v>
      </c>
      <c r="J267" s="2" t="str">
        <f t="shared" si="4"/>
        <v>YES</v>
      </c>
    </row>
    <row r="268" spans="1:10" x14ac:dyDescent="0.25">
      <c r="A268" s="2" t="s">
        <v>371</v>
      </c>
      <c r="B268" s="2" t="s">
        <v>49</v>
      </c>
      <c r="C268" s="2" t="s">
        <v>18</v>
      </c>
      <c r="D268" s="2" t="s">
        <v>14</v>
      </c>
      <c r="E268" s="2" t="s">
        <v>50</v>
      </c>
      <c r="F268" s="6" t="s">
        <v>461</v>
      </c>
      <c r="G268" s="2">
        <v>1</v>
      </c>
      <c r="H268" s="2" t="s">
        <v>11</v>
      </c>
      <c r="I268" s="2" t="s">
        <v>11</v>
      </c>
      <c r="J268" s="2" t="str">
        <f t="shared" si="4"/>
        <v>YES</v>
      </c>
    </row>
    <row r="269" spans="1:10" x14ac:dyDescent="0.25">
      <c r="A269" s="2" t="s">
        <v>371</v>
      </c>
      <c r="B269" s="2" t="s">
        <v>49</v>
      </c>
      <c r="C269" s="2" t="s">
        <v>18</v>
      </c>
      <c r="D269" s="2" t="s">
        <v>14</v>
      </c>
      <c r="E269" s="2" t="s">
        <v>50</v>
      </c>
      <c r="F269" s="6" t="s">
        <v>462</v>
      </c>
      <c r="G269" s="2">
        <v>1</v>
      </c>
      <c r="H269" s="2" t="s">
        <v>11</v>
      </c>
      <c r="I269" s="2" t="s">
        <v>11</v>
      </c>
      <c r="J269" s="2" t="str">
        <f t="shared" si="4"/>
        <v>YES</v>
      </c>
    </row>
    <row r="270" spans="1:10" x14ac:dyDescent="0.25">
      <c r="A270" s="2" t="s">
        <v>371</v>
      </c>
      <c r="B270" s="2" t="s">
        <v>49</v>
      </c>
      <c r="C270" s="2" t="s">
        <v>18</v>
      </c>
      <c r="D270" s="2" t="s">
        <v>14</v>
      </c>
      <c r="E270" s="2" t="s">
        <v>50</v>
      </c>
      <c r="F270" s="6" t="s">
        <v>463</v>
      </c>
      <c r="G270" s="2">
        <v>1</v>
      </c>
      <c r="H270" s="2" t="s">
        <v>11</v>
      </c>
      <c r="I270" s="2" t="s">
        <v>11</v>
      </c>
      <c r="J270" s="2" t="str">
        <f t="shared" si="4"/>
        <v>YES</v>
      </c>
    </row>
    <row r="271" spans="1:10" x14ac:dyDescent="0.25">
      <c r="A271" s="2" t="s">
        <v>371</v>
      </c>
      <c r="B271" s="2" t="s">
        <v>49</v>
      </c>
      <c r="C271" s="2" t="s">
        <v>18</v>
      </c>
      <c r="D271" s="2" t="s">
        <v>14</v>
      </c>
      <c r="E271" s="2" t="s">
        <v>50</v>
      </c>
      <c r="F271" s="6" t="s">
        <v>464</v>
      </c>
      <c r="G271" s="2">
        <v>1</v>
      </c>
      <c r="H271" s="2" t="s">
        <v>11</v>
      </c>
      <c r="I271" s="2" t="s">
        <v>11</v>
      </c>
      <c r="J271" s="2" t="str">
        <f t="shared" si="4"/>
        <v>YES</v>
      </c>
    </row>
    <row r="272" spans="1:10" x14ac:dyDescent="0.25">
      <c r="A272" s="2" t="s">
        <v>371</v>
      </c>
      <c r="B272" s="2" t="s">
        <v>52</v>
      </c>
      <c r="C272" s="2" t="s">
        <v>53</v>
      </c>
      <c r="D272" s="2" t="s">
        <v>54</v>
      </c>
      <c r="E272" s="2" t="s">
        <v>55</v>
      </c>
      <c r="F272" s="6" t="s">
        <v>465</v>
      </c>
      <c r="G272" s="2">
        <v>1</v>
      </c>
      <c r="H272" s="2" t="s">
        <v>51</v>
      </c>
      <c r="I272" s="2" t="s">
        <v>466</v>
      </c>
      <c r="J272" s="2" t="str">
        <f t="shared" si="4"/>
        <v>YES</v>
      </c>
    </row>
    <row r="273" spans="1:10" x14ac:dyDescent="0.25">
      <c r="A273" s="2" t="s">
        <v>371</v>
      </c>
      <c r="B273" s="2" t="s">
        <v>57</v>
      </c>
      <c r="C273" s="2" t="s">
        <v>58</v>
      </c>
      <c r="D273" s="2" t="s">
        <v>14</v>
      </c>
      <c r="E273" s="2" t="s">
        <v>59</v>
      </c>
      <c r="F273" s="6" t="s">
        <v>467</v>
      </c>
      <c r="G273" s="2">
        <v>1</v>
      </c>
      <c r="H273" s="2" t="s">
        <v>51</v>
      </c>
      <c r="I273" s="2" t="s">
        <v>468</v>
      </c>
      <c r="J273" s="2" t="str">
        <f t="shared" si="4"/>
        <v>YES</v>
      </c>
    </row>
    <row r="274" spans="1:10" x14ac:dyDescent="0.25">
      <c r="A274" s="2" t="s">
        <v>371</v>
      </c>
      <c r="B274" s="2" t="s">
        <v>63</v>
      </c>
      <c r="C274" s="2" t="s">
        <v>64</v>
      </c>
      <c r="D274" s="2" t="s">
        <v>65</v>
      </c>
      <c r="E274" s="2" t="s">
        <v>66</v>
      </c>
      <c r="F274" s="6" t="s">
        <v>469</v>
      </c>
      <c r="G274" s="2">
        <v>1</v>
      </c>
      <c r="H274" s="2" t="s">
        <v>11</v>
      </c>
      <c r="I274" s="2" t="s">
        <v>470</v>
      </c>
      <c r="J274" s="2" t="str">
        <f t="shared" si="4"/>
        <v>YES</v>
      </c>
    </row>
    <row r="275" spans="1:10" x14ac:dyDescent="0.25">
      <c r="A275" s="2" t="s">
        <v>371</v>
      </c>
      <c r="B275" s="2" t="s">
        <v>68</v>
      </c>
      <c r="C275" s="2" t="s">
        <v>69</v>
      </c>
      <c r="D275" s="2" t="s">
        <v>65</v>
      </c>
      <c r="E275" s="2" t="s">
        <v>70</v>
      </c>
      <c r="F275" s="6" t="s">
        <v>471</v>
      </c>
      <c r="G275" s="2">
        <v>1</v>
      </c>
      <c r="H275" s="2" t="s">
        <v>11</v>
      </c>
      <c r="I275" s="2" t="s">
        <v>472</v>
      </c>
      <c r="J275" s="2" t="str">
        <f t="shared" si="4"/>
        <v>YES</v>
      </c>
    </row>
    <row r="276" spans="1:10" x14ac:dyDescent="0.25">
      <c r="A276" s="2" t="s">
        <v>371</v>
      </c>
      <c r="B276" s="2" t="s">
        <v>68</v>
      </c>
      <c r="C276" s="2" t="s">
        <v>69</v>
      </c>
      <c r="D276" s="2" t="s">
        <v>65</v>
      </c>
      <c r="E276" s="2" t="s">
        <v>70</v>
      </c>
      <c r="F276" s="6" t="s">
        <v>473</v>
      </c>
      <c r="G276" s="2">
        <v>1</v>
      </c>
      <c r="H276" s="2" t="s">
        <v>11</v>
      </c>
      <c r="I276" s="2" t="s">
        <v>474</v>
      </c>
      <c r="J276" s="2" t="str">
        <f t="shared" si="4"/>
        <v>YES</v>
      </c>
    </row>
    <row r="277" spans="1:10" x14ac:dyDescent="0.25">
      <c r="A277" s="2" t="s">
        <v>371</v>
      </c>
      <c r="B277" s="2" t="s">
        <v>63</v>
      </c>
      <c r="C277" s="2" t="s">
        <v>64</v>
      </c>
      <c r="D277" s="2" t="s">
        <v>65</v>
      </c>
      <c r="E277" s="2" t="s">
        <v>66</v>
      </c>
      <c r="F277" s="6" t="s">
        <v>475</v>
      </c>
      <c r="G277" s="2">
        <v>1</v>
      </c>
      <c r="H277" s="2" t="s">
        <v>11</v>
      </c>
      <c r="I277" s="2" t="s">
        <v>476</v>
      </c>
      <c r="J277" s="2" t="str">
        <f t="shared" si="4"/>
        <v>YES</v>
      </c>
    </row>
    <row r="278" spans="1:10" x14ac:dyDescent="0.25">
      <c r="A278" s="2" t="s">
        <v>371</v>
      </c>
      <c r="B278" s="2" t="s">
        <v>68</v>
      </c>
      <c r="C278" s="2" t="s">
        <v>69</v>
      </c>
      <c r="D278" s="2" t="s">
        <v>65</v>
      </c>
      <c r="E278" s="2" t="s">
        <v>70</v>
      </c>
      <c r="F278" s="6" t="s">
        <v>477</v>
      </c>
      <c r="G278" s="2">
        <v>1</v>
      </c>
      <c r="H278" s="2" t="s">
        <v>11</v>
      </c>
      <c r="I278" s="2" t="s">
        <v>478</v>
      </c>
      <c r="J278" s="2" t="str">
        <f t="shared" si="4"/>
        <v>YES</v>
      </c>
    </row>
    <row r="279" spans="1:10" x14ac:dyDescent="0.25">
      <c r="A279" s="2" t="s">
        <v>371</v>
      </c>
      <c r="B279" s="2" t="s">
        <v>68</v>
      </c>
      <c r="C279" s="2" t="s">
        <v>69</v>
      </c>
      <c r="D279" s="2" t="s">
        <v>65</v>
      </c>
      <c r="E279" s="2" t="s">
        <v>70</v>
      </c>
      <c r="F279" s="6" t="s">
        <v>479</v>
      </c>
      <c r="G279" s="2">
        <v>1</v>
      </c>
      <c r="H279" s="2" t="s">
        <v>11</v>
      </c>
      <c r="I279" s="2" t="s">
        <v>480</v>
      </c>
      <c r="J279" s="2" t="str">
        <f t="shared" si="4"/>
        <v>YES</v>
      </c>
    </row>
    <row r="280" spans="1:10" x14ac:dyDescent="0.25">
      <c r="A280" s="2" t="s">
        <v>371</v>
      </c>
      <c r="B280" s="2" t="s">
        <v>63</v>
      </c>
      <c r="C280" s="2" t="s">
        <v>64</v>
      </c>
      <c r="D280" s="2" t="s">
        <v>65</v>
      </c>
      <c r="E280" s="2" t="s">
        <v>66</v>
      </c>
      <c r="F280" s="6" t="s">
        <v>481</v>
      </c>
      <c r="G280" s="2">
        <v>1</v>
      </c>
      <c r="H280" s="2" t="s">
        <v>11</v>
      </c>
      <c r="I280" s="2" t="s">
        <v>482</v>
      </c>
      <c r="J280" s="2" t="str">
        <f t="shared" si="4"/>
        <v>YES</v>
      </c>
    </row>
    <row r="281" spans="1:10" x14ac:dyDescent="0.25">
      <c r="A281" s="2" t="s">
        <v>371</v>
      </c>
      <c r="B281" s="2" t="s">
        <v>68</v>
      </c>
      <c r="C281" s="2" t="s">
        <v>69</v>
      </c>
      <c r="D281" s="2" t="s">
        <v>65</v>
      </c>
      <c r="E281" s="2" t="s">
        <v>70</v>
      </c>
      <c r="F281" s="6" t="s">
        <v>483</v>
      </c>
      <c r="G281" s="2">
        <v>1</v>
      </c>
      <c r="H281" s="2" t="s">
        <v>11</v>
      </c>
      <c r="I281" s="2" t="s">
        <v>484</v>
      </c>
      <c r="J281" s="2" t="str">
        <f t="shared" si="4"/>
        <v>YES</v>
      </c>
    </row>
    <row r="282" spans="1:10" x14ac:dyDescent="0.25">
      <c r="A282" s="2" t="s">
        <v>371</v>
      </c>
      <c r="B282" s="2" t="s">
        <v>68</v>
      </c>
      <c r="C282" s="2" t="s">
        <v>69</v>
      </c>
      <c r="D282" s="2" t="s">
        <v>65</v>
      </c>
      <c r="E282" s="2" t="s">
        <v>70</v>
      </c>
      <c r="F282" s="6" t="s">
        <v>485</v>
      </c>
      <c r="G282" s="2">
        <v>1</v>
      </c>
      <c r="H282" s="2" t="s">
        <v>11</v>
      </c>
      <c r="I282" s="2" t="s">
        <v>486</v>
      </c>
      <c r="J282" s="2" t="str">
        <f t="shared" si="4"/>
        <v>YES</v>
      </c>
    </row>
    <row r="283" spans="1:10" x14ac:dyDescent="0.25">
      <c r="A283" s="2" t="s">
        <v>371</v>
      </c>
      <c r="B283" s="2" t="s">
        <v>63</v>
      </c>
      <c r="C283" s="2" t="s">
        <v>64</v>
      </c>
      <c r="D283" s="2" t="s">
        <v>65</v>
      </c>
      <c r="E283" s="2" t="s">
        <v>66</v>
      </c>
      <c r="F283" s="6" t="s">
        <v>487</v>
      </c>
      <c r="G283" s="2">
        <v>1</v>
      </c>
      <c r="H283" s="2" t="s">
        <v>11</v>
      </c>
      <c r="I283" s="2" t="s">
        <v>488</v>
      </c>
      <c r="J283" s="2" t="str">
        <f t="shared" si="4"/>
        <v>YES</v>
      </c>
    </row>
    <row r="284" spans="1:10" x14ac:dyDescent="0.25">
      <c r="A284" s="2" t="s">
        <v>371</v>
      </c>
      <c r="B284" s="2" t="s">
        <v>68</v>
      </c>
      <c r="C284" s="2" t="s">
        <v>69</v>
      </c>
      <c r="D284" s="2" t="s">
        <v>65</v>
      </c>
      <c r="E284" s="2" t="s">
        <v>70</v>
      </c>
      <c r="F284" s="6" t="s">
        <v>489</v>
      </c>
      <c r="G284" s="2">
        <v>1</v>
      </c>
      <c r="H284" s="2" t="s">
        <v>11</v>
      </c>
      <c r="I284" s="2" t="s">
        <v>490</v>
      </c>
      <c r="J284" s="2" t="str">
        <f t="shared" si="4"/>
        <v>YES</v>
      </c>
    </row>
    <row r="285" spans="1:10" x14ac:dyDescent="0.25">
      <c r="A285" s="2" t="s">
        <v>371</v>
      </c>
      <c r="B285" s="2" t="s">
        <v>68</v>
      </c>
      <c r="C285" s="2" t="s">
        <v>69</v>
      </c>
      <c r="D285" s="2" t="s">
        <v>65</v>
      </c>
      <c r="E285" s="2" t="s">
        <v>70</v>
      </c>
      <c r="F285" s="6" t="s">
        <v>491</v>
      </c>
      <c r="G285" s="2">
        <v>1</v>
      </c>
      <c r="H285" s="2" t="s">
        <v>11</v>
      </c>
      <c r="I285" s="2" t="s">
        <v>492</v>
      </c>
      <c r="J285" s="2" t="str">
        <f t="shared" si="4"/>
        <v>YES</v>
      </c>
    </row>
    <row r="286" spans="1:10" x14ac:dyDescent="0.25">
      <c r="A286" s="2" t="s">
        <v>371</v>
      </c>
      <c r="B286" s="2" t="s">
        <v>63</v>
      </c>
      <c r="C286" s="2" t="s">
        <v>64</v>
      </c>
      <c r="D286" s="2" t="s">
        <v>65</v>
      </c>
      <c r="E286" s="2" t="s">
        <v>66</v>
      </c>
      <c r="F286" s="6" t="s">
        <v>493</v>
      </c>
      <c r="G286" s="2">
        <v>1</v>
      </c>
      <c r="H286" s="2" t="s">
        <v>11</v>
      </c>
      <c r="I286" s="2" t="s">
        <v>494</v>
      </c>
      <c r="J286" s="2" t="str">
        <f t="shared" si="4"/>
        <v>YES</v>
      </c>
    </row>
    <row r="287" spans="1:10" x14ac:dyDescent="0.25">
      <c r="A287" s="2" t="s">
        <v>371</v>
      </c>
      <c r="B287" s="2" t="s">
        <v>68</v>
      </c>
      <c r="C287" s="2" t="s">
        <v>69</v>
      </c>
      <c r="D287" s="2" t="s">
        <v>65</v>
      </c>
      <c r="E287" s="2" t="s">
        <v>70</v>
      </c>
      <c r="F287" s="6" t="s">
        <v>495</v>
      </c>
      <c r="G287" s="2">
        <v>1</v>
      </c>
      <c r="H287" s="2" t="s">
        <v>11</v>
      </c>
      <c r="I287" s="2" t="s">
        <v>496</v>
      </c>
      <c r="J287" s="2" t="str">
        <f t="shared" si="4"/>
        <v>YES</v>
      </c>
    </row>
    <row r="288" spans="1:10" x14ac:dyDescent="0.25">
      <c r="A288" s="2" t="s">
        <v>371</v>
      </c>
      <c r="B288" s="2" t="s">
        <v>68</v>
      </c>
      <c r="C288" s="2" t="s">
        <v>69</v>
      </c>
      <c r="D288" s="2" t="s">
        <v>65</v>
      </c>
      <c r="E288" s="2" t="s">
        <v>70</v>
      </c>
      <c r="F288" s="6" t="s">
        <v>497</v>
      </c>
      <c r="G288" s="2">
        <v>1</v>
      </c>
      <c r="H288" s="2" t="s">
        <v>11</v>
      </c>
      <c r="I288" s="2" t="s">
        <v>498</v>
      </c>
      <c r="J288" s="2" t="str">
        <f t="shared" si="4"/>
        <v>YES</v>
      </c>
    </row>
    <row r="289" spans="1:10" x14ac:dyDescent="0.25">
      <c r="A289" s="2" t="s">
        <v>371</v>
      </c>
      <c r="B289" s="2" t="s">
        <v>63</v>
      </c>
      <c r="C289" s="2" t="s">
        <v>64</v>
      </c>
      <c r="D289" s="2" t="s">
        <v>65</v>
      </c>
      <c r="E289" s="2" t="s">
        <v>66</v>
      </c>
      <c r="F289" s="6" t="s">
        <v>499</v>
      </c>
      <c r="G289" s="2">
        <v>1</v>
      </c>
      <c r="H289" s="2" t="s">
        <v>11</v>
      </c>
      <c r="I289" s="2" t="s">
        <v>500</v>
      </c>
      <c r="J289" s="2" t="str">
        <f t="shared" si="4"/>
        <v>YES</v>
      </c>
    </row>
    <row r="290" spans="1:10" x14ac:dyDescent="0.25">
      <c r="A290" s="2" t="s">
        <v>371</v>
      </c>
      <c r="B290" s="2" t="s">
        <v>68</v>
      </c>
      <c r="C290" s="2" t="s">
        <v>69</v>
      </c>
      <c r="D290" s="2" t="s">
        <v>65</v>
      </c>
      <c r="E290" s="2" t="s">
        <v>70</v>
      </c>
      <c r="F290" s="6" t="s">
        <v>501</v>
      </c>
      <c r="G290" s="2">
        <v>1</v>
      </c>
      <c r="H290" s="2" t="s">
        <v>11</v>
      </c>
      <c r="I290" s="2" t="s">
        <v>502</v>
      </c>
      <c r="J290" s="2" t="str">
        <f t="shared" si="4"/>
        <v>YES</v>
      </c>
    </row>
    <row r="291" spans="1:10" x14ac:dyDescent="0.25">
      <c r="A291" s="2" t="s">
        <v>371</v>
      </c>
      <c r="B291" s="2" t="s">
        <v>68</v>
      </c>
      <c r="C291" s="2" t="s">
        <v>69</v>
      </c>
      <c r="D291" s="2" t="s">
        <v>65</v>
      </c>
      <c r="E291" s="2" t="s">
        <v>70</v>
      </c>
      <c r="F291" s="6" t="s">
        <v>503</v>
      </c>
      <c r="G291" s="2">
        <v>1</v>
      </c>
      <c r="H291" s="2" t="s">
        <v>11</v>
      </c>
      <c r="I291" s="2" t="s">
        <v>504</v>
      </c>
      <c r="J291" s="2" t="str">
        <f t="shared" si="4"/>
        <v>YES</v>
      </c>
    </row>
    <row r="292" spans="1:10" x14ac:dyDescent="0.25">
      <c r="A292" s="2" t="s">
        <v>371</v>
      </c>
      <c r="B292" s="2" t="s">
        <v>505</v>
      </c>
      <c r="C292" s="2" t="s">
        <v>505</v>
      </c>
      <c r="D292" s="2" t="s">
        <v>505</v>
      </c>
      <c r="E292" s="2" t="s">
        <v>505</v>
      </c>
      <c r="F292" s="6" t="s">
        <v>505</v>
      </c>
      <c r="G292" s="2">
        <v>1</v>
      </c>
      <c r="H292" s="2" t="s">
        <v>505</v>
      </c>
      <c r="I292" s="2" t="s">
        <v>505</v>
      </c>
      <c r="J292" s="2" t="str">
        <f t="shared" si="4"/>
        <v>NO</v>
      </c>
    </row>
    <row r="293" spans="1:10" x14ac:dyDescent="0.25">
      <c r="A293" s="2" t="s">
        <v>371</v>
      </c>
      <c r="B293" s="2" t="s">
        <v>63</v>
      </c>
      <c r="C293" s="2" t="s">
        <v>64</v>
      </c>
      <c r="D293" s="2" t="s">
        <v>65</v>
      </c>
      <c r="E293" s="2" t="s">
        <v>66</v>
      </c>
      <c r="F293" s="6" t="s">
        <v>506</v>
      </c>
      <c r="G293" s="2">
        <v>1</v>
      </c>
      <c r="H293" s="2" t="s">
        <v>11</v>
      </c>
      <c r="I293" s="2" t="s">
        <v>507</v>
      </c>
      <c r="J293" s="2" t="str">
        <f t="shared" si="4"/>
        <v>YES</v>
      </c>
    </row>
    <row r="294" spans="1:10" x14ac:dyDescent="0.25">
      <c r="A294" s="2" t="s">
        <v>371</v>
      </c>
      <c r="B294" s="2" t="s">
        <v>68</v>
      </c>
      <c r="C294" s="2" t="s">
        <v>69</v>
      </c>
      <c r="D294" s="2" t="s">
        <v>65</v>
      </c>
      <c r="E294" s="2" t="s">
        <v>70</v>
      </c>
      <c r="F294" s="6" t="s">
        <v>508</v>
      </c>
      <c r="G294" s="2">
        <v>1</v>
      </c>
      <c r="H294" s="2" t="s">
        <v>11</v>
      </c>
      <c r="I294" s="2" t="s">
        <v>509</v>
      </c>
      <c r="J294" s="2" t="str">
        <f t="shared" si="4"/>
        <v>YES</v>
      </c>
    </row>
    <row r="295" spans="1:10" x14ac:dyDescent="0.25">
      <c r="A295" s="2" t="s">
        <v>371</v>
      </c>
      <c r="B295" s="2" t="s">
        <v>68</v>
      </c>
      <c r="C295" s="2" t="s">
        <v>69</v>
      </c>
      <c r="D295" s="2" t="s">
        <v>65</v>
      </c>
      <c r="E295" s="2" t="s">
        <v>70</v>
      </c>
      <c r="F295" s="6" t="s">
        <v>510</v>
      </c>
      <c r="G295" s="2">
        <v>1</v>
      </c>
      <c r="H295" s="2" t="s">
        <v>11</v>
      </c>
      <c r="I295" s="2" t="s">
        <v>511</v>
      </c>
      <c r="J295" s="2" t="str">
        <f t="shared" si="4"/>
        <v>YES</v>
      </c>
    </row>
    <row r="296" spans="1:10" x14ac:dyDescent="0.25">
      <c r="A296" s="2" t="s">
        <v>512</v>
      </c>
      <c r="B296" s="2" t="s">
        <v>12</v>
      </c>
      <c r="C296" s="2" t="s">
        <v>13</v>
      </c>
      <c r="D296" s="2" t="s">
        <v>14</v>
      </c>
      <c r="E296" s="2" t="s">
        <v>15</v>
      </c>
      <c r="F296" s="6" t="s">
        <v>513</v>
      </c>
      <c r="G296" s="2">
        <v>1</v>
      </c>
      <c r="H296" s="2" t="s">
        <v>9</v>
      </c>
      <c r="I296" s="2" t="s">
        <v>514</v>
      </c>
      <c r="J296" s="2" t="str">
        <f t="shared" si="4"/>
        <v>YES</v>
      </c>
    </row>
    <row r="297" spans="1:10" x14ac:dyDescent="0.25">
      <c r="A297" s="2" t="s">
        <v>512</v>
      </c>
      <c r="B297" s="2" t="s">
        <v>17</v>
      </c>
      <c r="C297" s="2" t="s">
        <v>18</v>
      </c>
      <c r="D297" s="2" t="s">
        <v>14</v>
      </c>
      <c r="E297" s="2" t="s">
        <v>19</v>
      </c>
      <c r="F297" s="6" t="s">
        <v>515</v>
      </c>
      <c r="G297" s="2">
        <v>1</v>
      </c>
      <c r="H297" s="2" t="s">
        <v>11</v>
      </c>
      <c r="I297" s="2" t="s">
        <v>11</v>
      </c>
      <c r="J297" s="2" t="str">
        <f t="shared" si="4"/>
        <v>YES</v>
      </c>
    </row>
    <row r="298" spans="1:10" x14ac:dyDescent="0.25">
      <c r="A298" s="2" t="s">
        <v>512</v>
      </c>
      <c r="B298" s="2" t="s">
        <v>17</v>
      </c>
      <c r="C298" s="2" t="s">
        <v>18</v>
      </c>
      <c r="D298" s="2" t="s">
        <v>14</v>
      </c>
      <c r="E298" s="2" t="s">
        <v>19</v>
      </c>
      <c r="F298" s="6" t="s">
        <v>516</v>
      </c>
      <c r="G298" s="2">
        <v>1</v>
      </c>
      <c r="H298" s="2" t="s">
        <v>11</v>
      </c>
      <c r="I298" s="2" t="s">
        <v>11</v>
      </c>
      <c r="J298" s="2" t="str">
        <f t="shared" si="4"/>
        <v>YES</v>
      </c>
    </row>
    <row r="299" spans="1:10" x14ac:dyDescent="0.25">
      <c r="A299" s="2" t="s">
        <v>512</v>
      </c>
      <c r="B299" s="2" t="s">
        <v>20</v>
      </c>
      <c r="C299" s="2" t="s">
        <v>18</v>
      </c>
      <c r="D299" s="2" t="s">
        <v>14</v>
      </c>
      <c r="E299" s="2" t="s">
        <v>21</v>
      </c>
      <c r="F299" s="6" t="s">
        <v>517</v>
      </c>
      <c r="G299" s="2">
        <v>1</v>
      </c>
      <c r="H299" s="2" t="s">
        <v>11</v>
      </c>
      <c r="I299" s="2" t="s">
        <v>11</v>
      </c>
      <c r="J299" s="2" t="str">
        <f t="shared" si="4"/>
        <v>YES</v>
      </c>
    </row>
    <row r="300" spans="1:10" x14ac:dyDescent="0.25">
      <c r="A300" s="2" t="s">
        <v>512</v>
      </c>
      <c r="B300" s="2" t="s">
        <v>20</v>
      </c>
      <c r="C300" s="2" t="s">
        <v>18</v>
      </c>
      <c r="D300" s="2" t="s">
        <v>14</v>
      </c>
      <c r="E300" s="2" t="s">
        <v>21</v>
      </c>
      <c r="F300" s="6" t="s">
        <v>518</v>
      </c>
      <c r="G300" s="2">
        <v>1</v>
      </c>
      <c r="H300" s="2" t="s">
        <v>11</v>
      </c>
      <c r="I300" s="2" t="s">
        <v>11</v>
      </c>
      <c r="J300" s="2" t="str">
        <f t="shared" si="4"/>
        <v>YES</v>
      </c>
    </row>
    <row r="301" spans="1:10" x14ac:dyDescent="0.25">
      <c r="A301" s="2" t="s">
        <v>512</v>
      </c>
      <c r="B301" s="2" t="s">
        <v>12</v>
      </c>
      <c r="C301" s="2" t="s">
        <v>13</v>
      </c>
      <c r="D301" s="2" t="s">
        <v>14</v>
      </c>
      <c r="E301" s="2" t="s">
        <v>15</v>
      </c>
      <c r="F301" s="6" t="s">
        <v>519</v>
      </c>
      <c r="G301" s="2">
        <v>1</v>
      </c>
      <c r="H301" s="2" t="s">
        <v>9</v>
      </c>
      <c r="I301" s="2" t="s">
        <v>520</v>
      </c>
      <c r="J301" s="2" t="str">
        <f t="shared" si="4"/>
        <v>YES</v>
      </c>
    </row>
    <row r="302" spans="1:10" x14ac:dyDescent="0.25">
      <c r="A302" s="2" t="s">
        <v>512</v>
      </c>
      <c r="B302" s="2" t="s">
        <v>17</v>
      </c>
      <c r="C302" s="2" t="s">
        <v>18</v>
      </c>
      <c r="D302" s="2" t="s">
        <v>14</v>
      </c>
      <c r="E302" s="2" t="s">
        <v>19</v>
      </c>
      <c r="F302" s="6" t="s">
        <v>521</v>
      </c>
      <c r="G302" s="2">
        <v>1</v>
      </c>
      <c r="H302" s="2" t="s">
        <v>11</v>
      </c>
      <c r="I302" s="2" t="s">
        <v>11</v>
      </c>
      <c r="J302" s="2" t="str">
        <f t="shared" si="4"/>
        <v>YES</v>
      </c>
    </row>
    <row r="303" spans="1:10" x14ac:dyDescent="0.25">
      <c r="A303" s="2" t="s">
        <v>512</v>
      </c>
      <c r="B303" s="2" t="s">
        <v>17</v>
      </c>
      <c r="C303" s="2" t="s">
        <v>18</v>
      </c>
      <c r="D303" s="2" t="s">
        <v>14</v>
      </c>
      <c r="E303" s="2" t="s">
        <v>19</v>
      </c>
      <c r="F303" s="6" t="s">
        <v>522</v>
      </c>
      <c r="G303" s="2">
        <v>1</v>
      </c>
      <c r="H303" s="2" t="s">
        <v>11</v>
      </c>
      <c r="I303" s="2" t="s">
        <v>11</v>
      </c>
      <c r="J303" s="2" t="str">
        <f t="shared" si="4"/>
        <v>YES</v>
      </c>
    </row>
    <row r="304" spans="1:10" x14ac:dyDescent="0.25">
      <c r="A304" s="2" t="s">
        <v>512</v>
      </c>
      <c r="B304" s="2" t="s">
        <v>20</v>
      </c>
      <c r="C304" s="2" t="s">
        <v>18</v>
      </c>
      <c r="D304" s="2" t="s">
        <v>14</v>
      </c>
      <c r="E304" s="2" t="s">
        <v>21</v>
      </c>
      <c r="F304" s="6" t="s">
        <v>523</v>
      </c>
      <c r="G304" s="2">
        <v>1</v>
      </c>
      <c r="H304" s="2" t="s">
        <v>11</v>
      </c>
      <c r="I304" s="2" t="s">
        <v>11</v>
      </c>
      <c r="J304" s="2" t="str">
        <f t="shared" si="4"/>
        <v>YES</v>
      </c>
    </row>
    <row r="305" spans="1:10" x14ac:dyDescent="0.25">
      <c r="A305" s="2" t="s">
        <v>512</v>
      </c>
      <c r="B305" s="2" t="s">
        <v>20</v>
      </c>
      <c r="C305" s="2" t="s">
        <v>18</v>
      </c>
      <c r="D305" s="2" t="s">
        <v>14</v>
      </c>
      <c r="E305" s="2" t="s">
        <v>21</v>
      </c>
      <c r="F305" s="6" t="s">
        <v>524</v>
      </c>
      <c r="G305" s="2">
        <v>1</v>
      </c>
      <c r="H305" s="2" t="s">
        <v>11</v>
      </c>
      <c r="I305" s="2" t="s">
        <v>11</v>
      </c>
      <c r="J305" s="2" t="str">
        <f t="shared" si="4"/>
        <v>YES</v>
      </c>
    </row>
    <row r="306" spans="1:10" x14ac:dyDescent="0.25">
      <c r="A306" s="2" t="s">
        <v>512</v>
      </c>
      <c r="B306" s="2" t="s">
        <v>23</v>
      </c>
      <c r="C306" s="2" t="s">
        <v>24</v>
      </c>
      <c r="D306" s="2" t="s">
        <v>25</v>
      </c>
      <c r="E306" s="2" t="s">
        <v>26</v>
      </c>
      <c r="F306" s="6" t="s">
        <v>525</v>
      </c>
      <c r="G306" s="2">
        <v>1</v>
      </c>
      <c r="H306" s="2" t="s">
        <v>9</v>
      </c>
      <c r="I306" s="2" t="s">
        <v>526</v>
      </c>
      <c r="J306" s="2" t="str">
        <f t="shared" si="4"/>
        <v>YES</v>
      </c>
    </row>
    <row r="307" spans="1:10" x14ac:dyDescent="0.25">
      <c r="A307" s="2" t="s">
        <v>512</v>
      </c>
      <c r="B307" s="2" t="s">
        <v>28</v>
      </c>
      <c r="C307" s="2" t="s">
        <v>18</v>
      </c>
      <c r="D307" s="2" t="s">
        <v>25</v>
      </c>
      <c r="E307" s="2" t="s">
        <v>29</v>
      </c>
      <c r="F307" s="6" t="s">
        <v>527</v>
      </c>
      <c r="G307" s="2">
        <v>1</v>
      </c>
      <c r="H307" s="2" t="s">
        <v>11</v>
      </c>
      <c r="I307" s="2" t="s">
        <v>11</v>
      </c>
      <c r="J307" s="2" t="str">
        <f t="shared" si="4"/>
        <v>YES</v>
      </c>
    </row>
    <row r="308" spans="1:10" x14ac:dyDescent="0.25">
      <c r="A308" s="2" t="s">
        <v>512</v>
      </c>
      <c r="B308" s="2" t="s">
        <v>28</v>
      </c>
      <c r="C308" s="2" t="s">
        <v>18</v>
      </c>
      <c r="D308" s="2" t="s">
        <v>25</v>
      </c>
      <c r="E308" s="2" t="s">
        <v>29</v>
      </c>
      <c r="F308" s="6" t="s">
        <v>528</v>
      </c>
      <c r="G308" s="2">
        <v>1</v>
      </c>
      <c r="H308" s="2" t="s">
        <v>11</v>
      </c>
      <c r="I308" s="2" t="s">
        <v>11</v>
      </c>
      <c r="J308" s="2" t="str">
        <f t="shared" si="4"/>
        <v>YES</v>
      </c>
    </row>
    <row r="309" spans="1:10" x14ac:dyDescent="0.25">
      <c r="A309" s="2" t="s">
        <v>512</v>
      </c>
      <c r="B309" s="2" t="s">
        <v>28</v>
      </c>
      <c r="C309" s="2" t="s">
        <v>18</v>
      </c>
      <c r="D309" s="2" t="s">
        <v>25</v>
      </c>
      <c r="E309" s="2" t="s">
        <v>29</v>
      </c>
      <c r="F309" s="6" t="s">
        <v>529</v>
      </c>
      <c r="G309" s="2">
        <v>1</v>
      </c>
      <c r="H309" s="2" t="s">
        <v>11</v>
      </c>
      <c r="I309" s="2" t="s">
        <v>11</v>
      </c>
      <c r="J309" s="2" t="str">
        <f t="shared" si="4"/>
        <v>YES</v>
      </c>
    </row>
    <row r="310" spans="1:10" x14ac:dyDescent="0.25">
      <c r="A310" s="2" t="s">
        <v>512</v>
      </c>
      <c r="B310" s="2" t="s">
        <v>28</v>
      </c>
      <c r="C310" s="2" t="s">
        <v>18</v>
      </c>
      <c r="D310" s="2" t="s">
        <v>25</v>
      </c>
      <c r="E310" s="2" t="s">
        <v>29</v>
      </c>
      <c r="F310" s="6" t="s">
        <v>530</v>
      </c>
      <c r="G310" s="2">
        <v>1</v>
      </c>
      <c r="H310" s="2" t="s">
        <v>11</v>
      </c>
      <c r="I310" s="2" t="s">
        <v>11</v>
      </c>
      <c r="J310" s="2" t="str">
        <f t="shared" si="4"/>
        <v>YES</v>
      </c>
    </row>
    <row r="311" spans="1:10" x14ac:dyDescent="0.25">
      <c r="A311" s="2" t="s">
        <v>512</v>
      </c>
      <c r="B311" s="2" t="s">
        <v>28</v>
      </c>
      <c r="C311" s="2" t="s">
        <v>18</v>
      </c>
      <c r="D311" s="2" t="s">
        <v>25</v>
      </c>
      <c r="E311" s="2" t="s">
        <v>29</v>
      </c>
      <c r="F311" s="6" t="s">
        <v>531</v>
      </c>
      <c r="G311" s="2">
        <v>1</v>
      </c>
      <c r="H311" s="2" t="s">
        <v>11</v>
      </c>
      <c r="I311" s="2" t="s">
        <v>11</v>
      </c>
      <c r="J311" s="2" t="str">
        <f t="shared" si="4"/>
        <v>YES</v>
      </c>
    </row>
    <row r="312" spans="1:10" x14ac:dyDescent="0.25">
      <c r="A312" s="2" t="s">
        <v>512</v>
      </c>
      <c r="B312" s="2" t="s">
        <v>30</v>
      </c>
      <c r="C312" s="2" t="s">
        <v>18</v>
      </c>
      <c r="D312" s="2" t="s">
        <v>25</v>
      </c>
      <c r="E312" s="2" t="s">
        <v>31</v>
      </c>
      <c r="F312" s="6" t="s">
        <v>532</v>
      </c>
      <c r="G312" s="2">
        <v>1</v>
      </c>
      <c r="H312" s="2" t="s">
        <v>11</v>
      </c>
      <c r="I312" s="2" t="s">
        <v>11</v>
      </c>
      <c r="J312" s="2" t="str">
        <f t="shared" si="4"/>
        <v>YES</v>
      </c>
    </row>
    <row r="313" spans="1:10" x14ac:dyDescent="0.25">
      <c r="A313" s="2" t="s">
        <v>512</v>
      </c>
      <c r="B313" s="2" t="s">
        <v>30</v>
      </c>
      <c r="C313" s="2" t="s">
        <v>18</v>
      </c>
      <c r="D313" s="2" t="s">
        <v>25</v>
      </c>
      <c r="E313" s="2" t="s">
        <v>31</v>
      </c>
      <c r="F313" s="6" t="s">
        <v>533</v>
      </c>
      <c r="G313" s="2">
        <v>1</v>
      </c>
      <c r="H313" s="2" t="s">
        <v>11</v>
      </c>
      <c r="I313" s="2" t="s">
        <v>11</v>
      </c>
      <c r="J313" s="2" t="str">
        <f t="shared" si="4"/>
        <v>YES</v>
      </c>
    </row>
    <row r="314" spans="1:10" x14ac:dyDescent="0.25">
      <c r="A314" s="2" t="s">
        <v>512</v>
      </c>
      <c r="B314" s="2" t="s">
        <v>30</v>
      </c>
      <c r="C314" s="2" t="s">
        <v>18</v>
      </c>
      <c r="D314" s="2" t="s">
        <v>25</v>
      </c>
      <c r="E314" s="2" t="s">
        <v>31</v>
      </c>
      <c r="F314" s="6" t="s">
        <v>534</v>
      </c>
      <c r="G314" s="2">
        <v>1</v>
      </c>
      <c r="H314" s="2" t="s">
        <v>11</v>
      </c>
      <c r="I314" s="2" t="s">
        <v>11</v>
      </c>
      <c r="J314" s="2" t="str">
        <f t="shared" si="4"/>
        <v>YES</v>
      </c>
    </row>
    <row r="315" spans="1:10" x14ac:dyDescent="0.25">
      <c r="A315" s="2" t="s">
        <v>512</v>
      </c>
      <c r="B315" s="2" t="s">
        <v>30</v>
      </c>
      <c r="C315" s="2" t="s">
        <v>18</v>
      </c>
      <c r="D315" s="2" t="s">
        <v>25</v>
      </c>
      <c r="E315" s="2" t="s">
        <v>31</v>
      </c>
      <c r="F315" s="6" t="s">
        <v>535</v>
      </c>
      <c r="G315" s="2">
        <v>1</v>
      </c>
      <c r="H315" s="2" t="s">
        <v>11</v>
      </c>
      <c r="I315" s="2" t="s">
        <v>11</v>
      </c>
      <c r="J315" s="2" t="str">
        <f t="shared" si="4"/>
        <v>YES</v>
      </c>
    </row>
    <row r="316" spans="1:10" x14ac:dyDescent="0.25">
      <c r="A316" s="2" t="s">
        <v>512</v>
      </c>
      <c r="B316" s="2" t="s">
        <v>30</v>
      </c>
      <c r="C316" s="2" t="s">
        <v>18</v>
      </c>
      <c r="D316" s="2" t="s">
        <v>25</v>
      </c>
      <c r="E316" s="2" t="s">
        <v>31</v>
      </c>
      <c r="F316" s="6" t="s">
        <v>536</v>
      </c>
      <c r="G316" s="2">
        <v>1</v>
      </c>
      <c r="H316" s="2" t="s">
        <v>11</v>
      </c>
      <c r="I316" s="2" t="s">
        <v>11</v>
      </c>
      <c r="J316" s="2" t="str">
        <f t="shared" si="4"/>
        <v>YES</v>
      </c>
    </row>
    <row r="317" spans="1:10" x14ac:dyDescent="0.25">
      <c r="A317" s="2" t="s">
        <v>512</v>
      </c>
      <c r="B317" s="2" t="s">
        <v>30</v>
      </c>
      <c r="C317" s="2" t="s">
        <v>18</v>
      </c>
      <c r="D317" s="2" t="s">
        <v>25</v>
      </c>
      <c r="E317" s="2" t="s">
        <v>31</v>
      </c>
      <c r="F317" s="6" t="s">
        <v>537</v>
      </c>
      <c r="G317" s="2">
        <v>1</v>
      </c>
      <c r="H317" s="2" t="s">
        <v>11</v>
      </c>
      <c r="I317" s="2" t="s">
        <v>11</v>
      </c>
      <c r="J317" s="2" t="str">
        <f t="shared" si="4"/>
        <v>YES</v>
      </c>
    </row>
    <row r="318" spans="1:10" x14ac:dyDescent="0.25">
      <c r="A318" s="2" t="s">
        <v>512</v>
      </c>
      <c r="B318" s="2" t="s">
        <v>30</v>
      </c>
      <c r="C318" s="2" t="s">
        <v>18</v>
      </c>
      <c r="D318" s="2" t="s">
        <v>25</v>
      </c>
      <c r="E318" s="2" t="s">
        <v>31</v>
      </c>
      <c r="F318" s="6" t="s">
        <v>538</v>
      </c>
      <c r="G318" s="2">
        <v>1</v>
      </c>
      <c r="H318" s="2" t="s">
        <v>11</v>
      </c>
      <c r="I318" s="2" t="s">
        <v>11</v>
      </c>
      <c r="J318" s="2" t="str">
        <f t="shared" si="4"/>
        <v>YES</v>
      </c>
    </row>
    <row r="319" spans="1:10" x14ac:dyDescent="0.25">
      <c r="A319" s="2" t="s">
        <v>512</v>
      </c>
      <c r="B319" s="2" t="s">
        <v>30</v>
      </c>
      <c r="C319" s="2" t="s">
        <v>18</v>
      </c>
      <c r="D319" s="2" t="s">
        <v>25</v>
      </c>
      <c r="E319" s="2" t="s">
        <v>31</v>
      </c>
      <c r="F319" s="6" t="s">
        <v>539</v>
      </c>
      <c r="G319" s="2">
        <v>1</v>
      </c>
      <c r="H319" s="2" t="s">
        <v>11</v>
      </c>
      <c r="I319" s="2" t="s">
        <v>11</v>
      </c>
      <c r="J319" s="2" t="str">
        <f t="shared" si="4"/>
        <v>YES</v>
      </c>
    </row>
    <row r="320" spans="1:10" x14ac:dyDescent="0.25">
      <c r="A320" s="2" t="s">
        <v>512</v>
      </c>
      <c r="B320" s="2" t="s">
        <v>30</v>
      </c>
      <c r="C320" s="2" t="s">
        <v>18</v>
      </c>
      <c r="D320" s="2" t="s">
        <v>25</v>
      </c>
      <c r="E320" s="2" t="s">
        <v>31</v>
      </c>
      <c r="F320" s="6" t="s">
        <v>540</v>
      </c>
      <c r="G320" s="2">
        <v>1</v>
      </c>
      <c r="H320" s="2" t="s">
        <v>11</v>
      </c>
      <c r="I320" s="2" t="s">
        <v>11</v>
      </c>
      <c r="J320" s="2" t="str">
        <f t="shared" si="4"/>
        <v>YES</v>
      </c>
    </row>
    <row r="321" spans="1:10" x14ac:dyDescent="0.25">
      <c r="A321" s="2" t="s">
        <v>512</v>
      </c>
      <c r="B321" s="2" t="s">
        <v>32</v>
      </c>
      <c r="C321" s="2" t="s">
        <v>18</v>
      </c>
      <c r="D321" s="2" t="s">
        <v>25</v>
      </c>
      <c r="E321" s="2" t="s">
        <v>33</v>
      </c>
      <c r="F321" s="6" t="s">
        <v>541</v>
      </c>
      <c r="G321" s="2">
        <v>1</v>
      </c>
      <c r="H321" s="2" t="s">
        <v>11</v>
      </c>
      <c r="I321" s="2" t="s">
        <v>11</v>
      </c>
      <c r="J321" s="2" t="str">
        <f t="shared" si="4"/>
        <v>YES</v>
      </c>
    </row>
    <row r="322" spans="1:10" x14ac:dyDescent="0.25">
      <c r="A322" s="2" t="s">
        <v>512</v>
      </c>
      <c r="B322" s="2" t="s">
        <v>32</v>
      </c>
      <c r="C322" s="2" t="s">
        <v>18</v>
      </c>
      <c r="D322" s="2" t="s">
        <v>25</v>
      </c>
      <c r="E322" s="2" t="s">
        <v>33</v>
      </c>
      <c r="F322" s="6" t="s">
        <v>542</v>
      </c>
      <c r="G322" s="2">
        <v>1</v>
      </c>
      <c r="H322" s="2" t="s">
        <v>11</v>
      </c>
      <c r="I322" s="2" t="s">
        <v>11</v>
      </c>
      <c r="J322" s="2" t="str">
        <f t="shared" si="4"/>
        <v>YES</v>
      </c>
    </row>
    <row r="323" spans="1:10" x14ac:dyDescent="0.25">
      <c r="A323" s="2" t="s">
        <v>512</v>
      </c>
      <c r="B323" s="2" t="s">
        <v>32</v>
      </c>
      <c r="C323" s="2" t="s">
        <v>18</v>
      </c>
      <c r="D323" s="2" t="s">
        <v>25</v>
      </c>
      <c r="E323" s="2" t="s">
        <v>33</v>
      </c>
      <c r="F323" s="6" t="s">
        <v>543</v>
      </c>
      <c r="G323" s="2">
        <v>1</v>
      </c>
      <c r="H323" s="2" t="s">
        <v>11</v>
      </c>
      <c r="I323" s="2" t="s">
        <v>11</v>
      </c>
      <c r="J323" s="2" t="str">
        <f t="shared" ref="J323:J386" si="5">IF(OR(F323="",F323="_",LEFT(F323,5)="SPARE"),"NO","YES")</f>
        <v>YES</v>
      </c>
    </row>
    <row r="324" spans="1:10" x14ac:dyDescent="0.25">
      <c r="A324" s="2" t="s">
        <v>512</v>
      </c>
      <c r="B324" s="2" t="s">
        <v>32</v>
      </c>
      <c r="C324" s="2" t="s">
        <v>18</v>
      </c>
      <c r="D324" s="2" t="s">
        <v>25</v>
      </c>
      <c r="E324" s="2" t="s">
        <v>33</v>
      </c>
      <c r="F324" s="6" t="s">
        <v>544</v>
      </c>
      <c r="G324" s="2">
        <v>1</v>
      </c>
      <c r="H324" s="2" t="s">
        <v>11</v>
      </c>
      <c r="I324" s="2" t="s">
        <v>11</v>
      </c>
      <c r="J324" s="2" t="str">
        <f t="shared" si="5"/>
        <v>YES</v>
      </c>
    </row>
    <row r="325" spans="1:10" x14ac:dyDescent="0.25">
      <c r="A325" s="2" t="s">
        <v>512</v>
      </c>
      <c r="B325" s="2" t="s">
        <v>23</v>
      </c>
      <c r="C325" s="2" t="s">
        <v>24</v>
      </c>
      <c r="D325" s="2" t="s">
        <v>25</v>
      </c>
      <c r="E325" s="2" t="s">
        <v>26</v>
      </c>
      <c r="F325" s="6" t="s">
        <v>545</v>
      </c>
      <c r="G325" s="2">
        <v>1</v>
      </c>
      <c r="H325" s="2" t="s">
        <v>9</v>
      </c>
      <c r="I325" s="2" t="s">
        <v>546</v>
      </c>
      <c r="J325" s="2" t="str">
        <f t="shared" si="5"/>
        <v>YES</v>
      </c>
    </row>
    <row r="326" spans="1:10" x14ac:dyDescent="0.25">
      <c r="A326" s="2" t="s">
        <v>512</v>
      </c>
      <c r="B326" s="2" t="s">
        <v>28</v>
      </c>
      <c r="C326" s="2" t="s">
        <v>18</v>
      </c>
      <c r="D326" s="2" t="s">
        <v>25</v>
      </c>
      <c r="E326" s="2" t="s">
        <v>29</v>
      </c>
      <c r="F326" s="6" t="s">
        <v>547</v>
      </c>
      <c r="G326" s="2">
        <v>1</v>
      </c>
      <c r="H326" s="2" t="s">
        <v>11</v>
      </c>
      <c r="I326" s="2" t="s">
        <v>11</v>
      </c>
      <c r="J326" s="2" t="str">
        <f t="shared" si="5"/>
        <v>YES</v>
      </c>
    </row>
    <row r="327" spans="1:10" x14ac:dyDescent="0.25">
      <c r="A327" s="2" t="s">
        <v>512</v>
      </c>
      <c r="B327" s="2" t="s">
        <v>28</v>
      </c>
      <c r="C327" s="2" t="s">
        <v>18</v>
      </c>
      <c r="D327" s="2" t="s">
        <v>25</v>
      </c>
      <c r="E327" s="2" t="s">
        <v>29</v>
      </c>
      <c r="F327" s="6" t="s">
        <v>548</v>
      </c>
      <c r="G327" s="2">
        <v>1</v>
      </c>
      <c r="H327" s="2" t="s">
        <v>11</v>
      </c>
      <c r="I327" s="2" t="s">
        <v>11</v>
      </c>
      <c r="J327" s="2" t="str">
        <f t="shared" si="5"/>
        <v>YES</v>
      </c>
    </row>
    <row r="328" spans="1:10" x14ac:dyDescent="0.25">
      <c r="A328" s="2" t="s">
        <v>512</v>
      </c>
      <c r="B328" s="2" t="s">
        <v>28</v>
      </c>
      <c r="C328" s="2" t="s">
        <v>18</v>
      </c>
      <c r="D328" s="2" t="s">
        <v>25</v>
      </c>
      <c r="E328" s="2" t="s">
        <v>29</v>
      </c>
      <c r="F328" s="6" t="s">
        <v>549</v>
      </c>
      <c r="G328" s="2">
        <v>1</v>
      </c>
      <c r="H328" s="2" t="s">
        <v>11</v>
      </c>
      <c r="I328" s="2" t="s">
        <v>11</v>
      </c>
      <c r="J328" s="2" t="str">
        <f t="shared" si="5"/>
        <v>YES</v>
      </c>
    </row>
    <row r="329" spans="1:10" x14ac:dyDescent="0.25">
      <c r="A329" s="2" t="s">
        <v>512</v>
      </c>
      <c r="B329" s="2" t="s">
        <v>28</v>
      </c>
      <c r="C329" s="2" t="s">
        <v>18</v>
      </c>
      <c r="D329" s="2" t="s">
        <v>25</v>
      </c>
      <c r="E329" s="2" t="s">
        <v>29</v>
      </c>
      <c r="F329" s="6" t="s">
        <v>550</v>
      </c>
      <c r="G329" s="2">
        <v>1</v>
      </c>
      <c r="H329" s="2" t="s">
        <v>11</v>
      </c>
      <c r="I329" s="2" t="s">
        <v>11</v>
      </c>
      <c r="J329" s="2" t="str">
        <f t="shared" si="5"/>
        <v>YES</v>
      </c>
    </row>
    <row r="330" spans="1:10" x14ac:dyDescent="0.25">
      <c r="A330" s="2" t="s">
        <v>512</v>
      </c>
      <c r="B330" s="2" t="s">
        <v>28</v>
      </c>
      <c r="C330" s="2" t="s">
        <v>18</v>
      </c>
      <c r="D330" s="2" t="s">
        <v>25</v>
      </c>
      <c r="E330" s="2" t="s">
        <v>29</v>
      </c>
      <c r="F330" s="6" t="s">
        <v>551</v>
      </c>
      <c r="G330" s="2">
        <v>1</v>
      </c>
      <c r="H330" s="2" t="s">
        <v>11</v>
      </c>
      <c r="I330" s="2" t="s">
        <v>11</v>
      </c>
      <c r="J330" s="2" t="str">
        <f t="shared" si="5"/>
        <v>YES</v>
      </c>
    </row>
    <row r="331" spans="1:10" x14ac:dyDescent="0.25">
      <c r="A331" s="2" t="s">
        <v>512</v>
      </c>
      <c r="B331" s="2" t="s">
        <v>30</v>
      </c>
      <c r="C331" s="2" t="s">
        <v>18</v>
      </c>
      <c r="D331" s="2" t="s">
        <v>25</v>
      </c>
      <c r="E331" s="2" t="s">
        <v>31</v>
      </c>
      <c r="F331" s="6" t="s">
        <v>552</v>
      </c>
      <c r="G331" s="2">
        <v>1</v>
      </c>
      <c r="H331" s="2" t="s">
        <v>11</v>
      </c>
      <c r="I331" s="2" t="s">
        <v>11</v>
      </c>
      <c r="J331" s="2" t="str">
        <f t="shared" si="5"/>
        <v>YES</v>
      </c>
    </row>
    <row r="332" spans="1:10" x14ac:dyDescent="0.25">
      <c r="A332" s="2" t="s">
        <v>512</v>
      </c>
      <c r="B332" s="2" t="s">
        <v>30</v>
      </c>
      <c r="C332" s="2" t="s">
        <v>18</v>
      </c>
      <c r="D332" s="2" t="s">
        <v>25</v>
      </c>
      <c r="E332" s="2" t="s">
        <v>31</v>
      </c>
      <c r="F332" s="6" t="s">
        <v>553</v>
      </c>
      <c r="G332" s="2">
        <v>1</v>
      </c>
      <c r="H332" s="2" t="s">
        <v>11</v>
      </c>
      <c r="I332" s="2" t="s">
        <v>11</v>
      </c>
      <c r="J332" s="2" t="str">
        <f t="shared" si="5"/>
        <v>YES</v>
      </c>
    </row>
    <row r="333" spans="1:10" x14ac:dyDescent="0.25">
      <c r="A333" s="2" t="s">
        <v>512</v>
      </c>
      <c r="B333" s="2" t="s">
        <v>30</v>
      </c>
      <c r="C333" s="2" t="s">
        <v>18</v>
      </c>
      <c r="D333" s="2" t="s">
        <v>25</v>
      </c>
      <c r="E333" s="2" t="s">
        <v>31</v>
      </c>
      <c r="F333" s="6" t="s">
        <v>554</v>
      </c>
      <c r="G333" s="2">
        <v>1</v>
      </c>
      <c r="H333" s="2" t="s">
        <v>11</v>
      </c>
      <c r="I333" s="2" t="s">
        <v>11</v>
      </c>
      <c r="J333" s="2" t="str">
        <f t="shared" si="5"/>
        <v>YES</v>
      </c>
    </row>
    <row r="334" spans="1:10" x14ac:dyDescent="0.25">
      <c r="A334" s="2" t="s">
        <v>512</v>
      </c>
      <c r="B334" s="2" t="s">
        <v>30</v>
      </c>
      <c r="C334" s="2" t="s">
        <v>18</v>
      </c>
      <c r="D334" s="2" t="s">
        <v>25</v>
      </c>
      <c r="E334" s="2" t="s">
        <v>31</v>
      </c>
      <c r="F334" s="6" t="s">
        <v>555</v>
      </c>
      <c r="G334" s="2">
        <v>1</v>
      </c>
      <c r="H334" s="2" t="s">
        <v>11</v>
      </c>
      <c r="I334" s="2" t="s">
        <v>11</v>
      </c>
      <c r="J334" s="2" t="str">
        <f t="shared" si="5"/>
        <v>YES</v>
      </c>
    </row>
    <row r="335" spans="1:10" x14ac:dyDescent="0.25">
      <c r="A335" s="2" t="s">
        <v>512</v>
      </c>
      <c r="B335" s="2" t="s">
        <v>30</v>
      </c>
      <c r="C335" s="2" t="s">
        <v>18</v>
      </c>
      <c r="D335" s="2" t="s">
        <v>25</v>
      </c>
      <c r="E335" s="2" t="s">
        <v>31</v>
      </c>
      <c r="F335" s="6" t="s">
        <v>556</v>
      </c>
      <c r="G335" s="2">
        <v>1</v>
      </c>
      <c r="H335" s="2" t="s">
        <v>11</v>
      </c>
      <c r="I335" s="2" t="s">
        <v>11</v>
      </c>
      <c r="J335" s="2" t="str">
        <f t="shared" si="5"/>
        <v>YES</v>
      </c>
    </row>
    <row r="336" spans="1:10" x14ac:dyDescent="0.25">
      <c r="A336" s="2" t="s">
        <v>512</v>
      </c>
      <c r="B336" s="2" t="s">
        <v>30</v>
      </c>
      <c r="C336" s="2" t="s">
        <v>18</v>
      </c>
      <c r="D336" s="2" t="s">
        <v>25</v>
      </c>
      <c r="E336" s="2" t="s">
        <v>31</v>
      </c>
      <c r="F336" s="6" t="s">
        <v>557</v>
      </c>
      <c r="G336" s="2">
        <v>1</v>
      </c>
      <c r="H336" s="2" t="s">
        <v>11</v>
      </c>
      <c r="I336" s="2" t="s">
        <v>11</v>
      </c>
      <c r="J336" s="2" t="str">
        <f t="shared" si="5"/>
        <v>YES</v>
      </c>
    </row>
    <row r="337" spans="1:10" x14ac:dyDescent="0.25">
      <c r="A337" s="2" t="s">
        <v>512</v>
      </c>
      <c r="B337" s="2" t="s">
        <v>30</v>
      </c>
      <c r="C337" s="2" t="s">
        <v>18</v>
      </c>
      <c r="D337" s="2" t="s">
        <v>25</v>
      </c>
      <c r="E337" s="2" t="s">
        <v>31</v>
      </c>
      <c r="F337" s="6" t="s">
        <v>558</v>
      </c>
      <c r="G337" s="2">
        <v>1</v>
      </c>
      <c r="H337" s="2" t="s">
        <v>11</v>
      </c>
      <c r="I337" s="2" t="s">
        <v>11</v>
      </c>
      <c r="J337" s="2" t="str">
        <f t="shared" si="5"/>
        <v>YES</v>
      </c>
    </row>
    <row r="338" spans="1:10" x14ac:dyDescent="0.25">
      <c r="A338" s="2" t="s">
        <v>512</v>
      </c>
      <c r="B338" s="2" t="s">
        <v>30</v>
      </c>
      <c r="C338" s="2" t="s">
        <v>18</v>
      </c>
      <c r="D338" s="2" t="s">
        <v>25</v>
      </c>
      <c r="E338" s="2" t="s">
        <v>31</v>
      </c>
      <c r="F338" s="6" t="s">
        <v>559</v>
      </c>
      <c r="G338" s="2">
        <v>1</v>
      </c>
      <c r="H338" s="2" t="s">
        <v>11</v>
      </c>
      <c r="I338" s="2" t="s">
        <v>11</v>
      </c>
      <c r="J338" s="2" t="str">
        <f t="shared" si="5"/>
        <v>YES</v>
      </c>
    </row>
    <row r="339" spans="1:10" x14ac:dyDescent="0.25">
      <c r="A339" s="2" t="s">
        <v>512</v>
      </c>
      <c r="B339" s="2" t="s">
        <v>32</v>
      </c>
      <c r="C339" s="2" t="s">
        <v>18</v>
      </c>
      <c r="D339" s="2" t="s">
        <v>25</v>
      </c>
      <c r="E339" s="2" t="s">
        <v>33</v>
      </c>
      <c r="F339" s="6" t="s">
        <v>560</v>
      </c>
      <c r="G339" s="2">
        <v>1</v>
      </c>
      <c r="H339" s="2" t="s">
        <v>11</v>
      </c>
      <c r="I339" s="2" t="s">
        <v>11</v>
      </c>
      <c r="J339" s="2" t="str">
        <f t="shared" si="5"/>
        <v>YES</v>
      </c>
    </row>
    <row r="340" spans="1:10" x14ac:dyDescent="0.25">
      <c r="A340" s="2" t="s">
        <v>512</v>
      </c>
      <c r="B340" s="2" t="s">
        <v>32</v>
      </c>
      <c r="C340" s="2" t="s">
        <v>18</v>
      </c>
      <c r="D340" s="2" t="s">
        <v>25</v>
      </c>
      <c r="E340" s="2" t="s">
        <v>33</v>
      </c>
      <c r="F340" s="6" t="s">
        <v>561</v>
      </c>
      <c r="G340" s="2">
        <v>1</v>
      </c>
      <c r="H340" s="2" t="s">
        <v>11</v>
      </c>
      <c r="I340" s="2" t="s">
        <v>11</v>
      </c>
      <c r="J340" s="2" t="str">
        <f t="shared" si="5"/>
        <v>YES</v>
      </c>
    </row>
    <row r="341" spans="1:10" x14ac:dyDescent="0.25">
      <c r="A341" s="2" t="s">
        <v>512</v>
      </c>
      <c r="B341" s="2" t="s">
        <v>32</v>
      </c>
      <c r="C341" s="2" t="s">
        <v>18</v>
      </c>
      <c r="D341" s="2" t="s">
        <v>25</v>
      </c>
      <c r="E341" s="2" t="s">
        <v>33</v>
      </c>
      <c r="F341" s="6" t="s">
        <v>562</v>
      </c>
      <c r="G341" s="2">
        <v>1</v>
      </c>
      <c r="H341" s="2" t="s">
        <v>11</v>
      </c>
      <c r="I341" s="2" t="s">
        <v>11</v>
      </c>
      <c r="J341" s="2" t="str">
        <f t="shared" si="5"/>
        <v>YES</v>
      </c>
    </row>
    <row r="342" spans="1:10" x14ac:dyDescent="0.25">
      <c r="A342" s="2" t="s">
        <v>512</v>
      </c>
      <c r="B342" s="2" t="s">
        <v>32</v>
      </c>
      <c r="C342" s="2" t="s">
        <v>18</v>
      </c>
      <c r="D342" s="2" t="s">
        <v>25</v>
      </c>
      <c r="E342" s="2" t="s">
        <v>33</v>
      </c>
      <c r="F342" s="6" t="s">
        <v>563</v>
      </c>
      <c r="G342" s="2">
        <v>1</v>
      </c>
      <c r="H342" s="2" t="s">
        <v>11</v>
      </c>
      <c r="I342" s="2" t="s">
        <v>11</v>
      </c>
      <c r="J342" s="2" t="str">
        <f t="shared" si="5"/>
        <v>YES</v>
      </c>
    </row>
    <row r="343" spans="1:10" x14ac:dyDescent="0.25">
      <c r="A343" s="2" t="s">
        <v>512</v>
      </c>
      <c r="B343" s="2" t="s">
        <v>12</v>
      </c>
      <c r="C343" s="2" t="s">
        <v>13</v>
      </c>
      <c r="D343" s="2" t="s">
        <v>14</v>
      </c>
      <c r="E343" s="2" t="s">
        <v>15</v>
      </c>
      <c r="F343" s="6" t="s">
        <v>564</v>
      </c>
      <c r="G343" s="2">
        <v>1</v>
      </c>
      <c r="H343" s="2" t="s">
        <v>35</v>
      </c>
      <c r="I343" s="2" t="s">
        <v>565</v>
      </c>
      <c r="J343" s="2" t="str">
        <f t="shared" si="5"/>
        <v>YES</v>
      </c>
    </row>
    <row r="344" spans="1:10" x14ac:dyDescent="0.25">
      <c r="A344" s="2" t="s">
        <v>512</v>
      </c>
      <c r="B344" s="2" t="s">
        <v>17</v>
      </c>
      <c r="C344" s="2" t="s">
        <v>18</v>
      </c>
      <c r="D344" s="2" t="s">
        <v>14</v>
      </c>
      <c r="E344" s="2" t="s">
        <v>19</v>
      </c>
      <c r="F344" s="6" t="s">
        <v>566</v>
      </c>
      <c r="G344" s="2">
        <v>1</v>
      </c>
      <c r="H344" s="2" t="s">
        <v>11</v>
      </c>
      <c r="I344" s="2" t="s">
        <v>11</v>
      </c>
      <c r="J344" s="2" t="str">
        <f t="shared" si="5"/>
        <v>YES</v>
      </c>
    </row>
    <row r="345" spans="1:10" x14ac:dyDescent="0.25">
      <c r="A345" s="2" t="s">
        <v>512</v>
      </c>
      <c r="B345" s="2" t="s">
        <v>17</v>
      </c>
      <c r="C345" s="2" t="s">
        <v>18</v>
      </c>
      <c r="D345" s="2" t="s">
        <v>14</v>
      </c>
      <c r="E345" s="2" t="s">
        <v>19</v>
      </c>
      <c r="F345" s="6" t="s">
        <v>567</v>
      </c>
      <c r="G345" s="2">
        <v>1</v>
      </c>
      <c r="H345" s="2" t="s">
        <v>11</v>
      </c>
      <c r="I345" s="2" t="s">
        <v>11</v>
      </c>
      <c r="J345" s="2" t="str">
        <f t="shared" si="5"/>
        <v>YES</v>
      </c>
    </row>
    <row r="346" spans="1:10" x14ac:dyDescent="0.25">
      <c r="A346" s="2" t="s">
        <v>512</v>
      </c>
      <c r="B346" s="2" t="s">
        <v>20</v>
      </c>
      <c r="C346" s="2" t="s">
        <v>18</v>
      </c>
      <c r="D346" s="2" t="s">
        <v>14</v>
      </c>
      <c r="E346" s="2" t="s">
        <v>21</v>
      </c>
      <c r="F346" s="6" t="s">
        <v>568</v>
      </c>
      <c r="G346" s="2">
        <v>1</v>
      </c>
      <c r="H346" s="2" t="s">
        <v>11</v>
      </c>
      <c r="I346" s="2" t="s">
        <v>11</v>
      </c>
      <c r="J346" s="2" t="str">
        <f t="shared" si="5"/>
        <v>YES</v>
      </c>
    </row>
    <row r="347" spans="1:10" x14ac:dyDescent="0.25">
      <c r="A347" s="2" t="s">
        <v>512</v>
      </c>
      <c r="B347" s="2" t="s">
        <v>20</v>
      </c>
      <c r="C347" s="2" t="s">
        <v>18</v>
      </c>
      <c r="D347" s="2" t="s">
        <v>14</v>
      </c>
      <c r="E347" s="2" t="s">
        <v>21</v>
      </c>
      <c r="F347" s="6" t="s">
        <v>569</v>
      </c>
      <c r="G347" s="2">
        <v>1</v>
      </c>
      <c r="H347" s="2" t="s">
        <v>11</v>
      </c>
      <c r="I347" s="2" t="s">
        <v>11</v>
      </c>
      <c r="J347" s="2" t="str">
        <f t="shared" si="5"/>
        <v>YES</v>
      </c>
    </row>
    <row r="348" spans="1:10" x14ac:dyDescent="0.25">
      <c r="A348" s="2" t="s">
        <v>512</v>
      </c>
      <c r="B348" s="2" t="s">
        <v>12</v>
      </c>
      <c r="C348" s="2" t="s">
        <v>13</v>
      </c>
      <c r="D348" s="2" t="s">
        <v>14</v>
      </c>
      <c r="E348" s="2" t="s">
        <v>15</v>
      </c>
      <c r="F348" s="6" t="s">
        <v>570</v>
      </c>
      <c r="G348" s="2">
        <v>1</v>
      </c>
      <c r="H348" s="2" t="s">
        <v>35</v>
      </c>
      <c r="I348" s="2" t="s">
        <v>571</v>
      </c>
      <c r="J348" s="2" t="str">
        <f t="shared" si="5"/>
        <v>YES</v>
      </c>
    </row>
    <row r="349" spans="1:10" x14ac:dyDescent="0.25">
      <c r="A349" s="2" t="s">
        <v>512</v>
      </c>
      <c r="B349" s="2" t="s">
        <v>17</v>
      </c>
      <c r="C349" s="2" t="s">
        <v>18</v>
      </c>
      <c r="D349" s="2" t="s">
        <v>14</v>
      </c>
      <c r="E349" s="2" t="s">
        <v>19</v>
      </c>
      <c r="F349" s="6" t="s">
        <v>572</v>
      </c>
      <c r="G349" s="2">
        <v>1</v>
      </c>
      <c r="H349" s="2" t="s">
        <v>11</v>
      </c>
      <c r="I349" s="2" t="s">
        <v>11</v>
      </c>
      <c r="J349" s="2" t="str">
        <f t="shared" si="5"/>
        <v>YES</v>
      </c>
    </row>
    <row r="350" spans="1:10" x14ac:dyDescent="0.25">
      <c r="A350" s="2" t="s">
        <v>512</v>
      </c>
      <c r="B350" s="2" t="s">
        <v>17</v>
      </c>
      <c r="C350" s="2" t="s">
        <v>18</v>
      </c>
      <c r="D350" s="2" t="s">
        <v>14</v>
      </c>
      <c r="E350" s="2" t="s">
        <v>19</v>
      </c>
      <c r="F350" s="6" t="s">
        <v>573</v>
      </c>
      <c r="G350" s="2">
        <v>1</v>
      </c>
      <c r="H350" s="2" t="s">
        <v>11</v>
      </c>
      <c r="I350" s="2" t="s">
        <v>11</v>
      </c>
      <c r="J350" s="2" t="str">
        <f t="shared" si="5"/>
        <v>YES</v>
      </c>
    </row>
    <row r="351" spans="1:10" x14ac:dyDescent="0.25">
      <c r="A351" s="2" t="s">
        <v>512</v>
      </c>
      <c r="B351" s="2" t="s">
        <v>20</v>
      </c>
      <c r="C351" s="2" t="s">
        <v>18</v>
      </c>
      <c r="D351" s="2" t="s">
        <v>14</v>
      </c>
      <c r="E351" s="2" t="s">
        <v>21</v>
      </c>
      <c r="F351" s="6" t="s">
        <v>574</v>
      </c>
      <c r="G351" s="2">
        <v>1</v>
      </c>
      <c r="H351" s="2" t="s">
        <v>11</v>
      </c>
      <c r="I351" s="2" t="s">
        <v>11</v>
      </c>
      <c r="J351" s="2" t="str">
        <f t="shared" si="5"/>
        <v>YES</v>
      </c>
    </row>
    <row r="352" spans="1:10" x14ac:dyDescent="0.25">
      <c r="A352" s="2" t="s">
        <v>512</v>
      </c>
      <c r="B352" s="2" t="s">
        <v>20</v>
      </c>
      <c r="C352" s="2" t="s">
        <v>18</v>
      </c>
      <c r="D352" s="2" t="s">
        <v>14</v>
      </c>
      <c r="E352" s="2" t="s">
        <v>21</v>
      </c>
      <c r="F352" s="6" t="s">
        <v>575</v>
      </c>
      <c r="G352" s="2">
        <v>1</v>
      </c>
      <c r="H352" s="2" t="s">
        <v>11</v>
      </c>
      <c r="I352" s="2" t="s">
        <v>11</v>
      </c>
      <c r="J352" s="2" t="str">
        <f t="shared" si="5"/>
        <v>YES</v>
      </c>
    </row>
    <row r="353" spans="1:10" x14ac:dyDescent="0.25">
      <c r="A353" s="2" t="s">
        <v>512</v>
      </c>
      <c r="B353" s="2" t="s">
        <v>38</v>
      </c>
      <c r="C353" s="2" t="s">
        <v>39</v>
      </c>
      <c r="D353" s="2" t="s">
        <v>14</v>
      </c>
      <c r="E353" s="2" t="s">
        <v>40</v>
      </c>
      <c r="F353" s="6" t="s">
        <v>576</v>
      </c>
      <c r="G353" s="2">
        <v>1</v>
      </c>
      <c r="H353" s="2" t="s">
        <v>577</v>
      </c>
      <c r="I353" s="2" t="s">
        <v>11</v>
      </c>
      <c r="J353" s="2" t="str">
        <f t="shared" si="5"/>
        <v>YES</v>
      </c>
    </row>
    <row r="354" spans="1:10" x14ac:dyDescent="0.25">
      <c r="A354" s="2" t="s">
        <v>512</v>
      </c>
      <c r="B354" s="2" t="s">
        <v>38</v>
      </c>
      <c r="C354" s="2" t="s">
        <v>39</v>
      </c>
      <c r="D354" s="2" t="s">
        <v>14</v>
      </c>
      <c r="E354" s="2" t="s">
        <v>40</v>
      </c>
      <c r="F354" s="6" t="s">
        <v>578</v>
      </c>
      <c r="G354" s="2">
        <v>1</v>
      </c>
      <c r="H354" s="2" t="s">
        <v>579</v>
      </c>
      <c r="I354" s="2" t="s">
        <v>11</v>
      </c>
      <c r="J354" s="2" t="str">
        <f t="shared" si="5"/>
        <v>YES</v>
      </c>
    </row>
    <row r="355" spans="1:10" x14ac:dyDescent="0.25">
      <c r="A355" s="2" t="s">
        <v>512</v>
      </c>
      <c r="B355" s="2" t="s">
        <v>41</v>
      </c>
      <c r="C355" s="2" t="s">
        <v>42</v>
      </c>
      <c r="D355" s="2" t="s">
        <v>14</v>
      </c>
      <c r="E355" s="2" t="s">
        <v>43</v>
      </c>
      <c r="F355" s="6" t="s">
        <v>580</v>
      </c>
      <c r="G355" s="2">
        <v>1</v>
      </c>
      <c r="H355" s="2" t="s">
        <v>35</v>
      </c>
      <c r="I355" s="2" t="s">
        <v>581</v>
      </c>
      <c r="J355" s="2" t="str">
        <f t="shared" si="5"/>
        <v>YES</v>
      </c>
    </row>
    <row r="356" spans="1:10" x14ac:dyDescent="0.25">
      <c r="A356" s="2" t="s">
        <v>512</v>
      </c>
      <c r="B356" s="2" t="s">
        <v>45</v>
      </c>
      <c r="C356" s="2" t="s">
        <v>42</v>
      </c>
      <c r="D356" s="2" t="s">
        <v>14</v>
      </c>
      <c r="E356" s="2" t="s">
        <v>46</v>
      </c>
      <c r="F356" s="6" t="s">
        <v>582</v>
      </c>
      <c r="G356" s="2">
        <v>1</v>
      </c>
      <c r="H356" s="2" t="s">
        <v>11</v>
      </c>
      <c r="I356" s="2" t="s">
        <v>11</v>
      </c>
      <c r="J356" s="2" t="str">
        <f t="shared" si="5"/>
        <v>YES</v>
      </c>
    </row>
    <row r="357" spans="1:10" x14ac:dyDescent="0.25">
      <c r="A357" s="2" t="s">
        <v>512</v>
      </c>
      <c r="B357" s="2" t="s">
        <v>45</v>
      </c>
      <c r="C357" s="2" t="s">
        <v>42</v>
      </c>
      <c r="D357" s="2" t="s">
        <v>14</v>
      </c>
      <c r="E357" s="2" t="s">
        <v>46</v>
      </c>
      <c r="F357" s="6" t="s">
        <v>583</v>
      </c>
      <c r="G357" s="2">
        <v>1</v>
      </c>
      <c r="H357" s="2" t="s">
        <v>11</v>
      </c>
      <c r="I357" s="2" t="s">
        <v>11</v>
      </c>
      <c r="J357" s="2" t="str">
        <f t="shared" si="5"/>
        <v>YES</v>
      </c>
    </row>
    <row r="358" spans="1:10" x14ac:dyDescent="0.25">
      <c r="A358" s="2" t="s">
        <v>512</v>
      </c>
      <c r="B358" s="2" t="s">
        <v>47</v>
      </c>
      <c r="C358" s="2" t="s">
        <v>39</v>
      </c>
      <c r="D358" s="2" t="s">
        <v>14</v>
      </c>
      <c r="E358" s="2" t="s">
        <v>48</v>
      </c>
      <c r="F358" s="6" t="s">
        <v>584</v>
      </c>
      <c r="G358" s="2">
        <v>1</v>
      </c>
      <c r="H358" s="2" t="s">
        <v>585</v>
      </c>
      <c r="I358" s="2" t="s">
        <v>11</v>
      </c>
      <c r="J358" s="2" t="str">
        <f t="shared" si="5"/>
        <v>YES</v>
      </c>
    </row>
    <row r="359" spans="1:10" x14ac:dyDescent="0.25">
      <c r="A359" s="2" t="s">
        <v>512</v>
      </c>
      <c r="B359" s="2" t="s">
        <v>47</v>
      </c>
      <c r="C359" s="2" t="s">
        <v>39</v>
      </c>
      <c r="D359" s="2" t="s">
        <v>14</v>
      </c>
      <c r="E359" s="2" t="s">
        <v>48</v>
      </c>
      <c r="F359" s="6" t="s">
        <v>586</v>
      </c>
      <c r="G359" s="2">
        <v>1</v>
      </c>
      <c r="H359" s="2" t="s">
        <v>587</v>
      </c>
      <c r="I359" s="2" t="s">
        <v>11</v>
      </c>
      <c r="J359" s="2" t="str">
        <f t="shared" si="5"/>
        <v>YES</v>
      </c>
    </row>
    <row r="360" spans="1:10" x14ac:dyDescent="0.25">
      <c r="A360" s="2" t="s">
        <v>512</v>
      </c>
      <c r="B360" s="2" t="s">
        <v>47</v>
      </c>
      <c r="C360" s="2" t="s">
        <v>39</v>
      </c>
      <c r="D360" s="2" t="s">
        <v>14</v>
      </c>
      <c r="E360" s="2" t="s">
        <v>48</v>
      </c>
      <c r="F360" s="6" t="s">
        <v>588</v>
      </c>
      <c r="G360" s="2">
        <v>1</v>
      </c>
      <c r="H360" s="2" t="s">
        <v>589</v>
      </c>
      <c r="I360" s="2" t="s">
        <v>11</v>
      </c>
      <c r="J360" s="2" t="str">
        <f t="shared" si="5"/>
        <v>YES</v>
      </c>
    </row>
    <row r="361" spans="1:10" x14ac:dyDescent="0.25">
      <c r="A361" s="2" t="s">
        <v>512</v>
      </c>
      <c r="B361" s="2" t="s">
        <v>47</v>
      </c>
      <c r="C361" s="2" t="s">
        <v>39</v>
      </c>
      <c r="D361" s="2" t="s">
        <v>14</v>
      </c>
      <c r="E361" s="2" t="s">
        <v>48</v>
      </c>
      <c r="F361" s="6" t="s">
        <v>590</v>
      </c>
      <c r="G361" s="2">
        <v>1</v>
      </c>
      <c r="H361" s="2" t="s">
        <v>591</v>
      </c>
      <c r="I361" s="2" t="s">
        <v>11</v>
      </c>
      <c r="J361" s="2" t="str">
        <f t="shared" si="5"/>
        <v>YES</v>
      </c>
    </row>
    <row r="362" spans="1:10" x14ac:dyDescent="0.25">
      <c r="A362" s="2" t="s">
        <v>512</v>
      </c>
      <c r="B362" s="2" t="s">
        <v>47</v>
      </c>
      <c r="C362" s="2" t="s">
        <v>39</v>
      </c>
      <c r="D362" s="2" t="s">
        <v>14</v>
      </c>
      <c r="E362" s="2" t="s">
        <v>48</v>
      </c>
      <c r="F362" s="6" t="s">
        <v>592</v>
      </c>
      <c r="G362" s="2">
        <v>1</v>
      </c>
      <c r="H362" s="2" t="s">
        <v>593</v>
      </c>
      <c r="I362" s="2" t="s">
        <v>11</v>
      </c>
      <c r="J362" s="2" t="str">
        <f t="shared" si="5"/>
        <v>YES</v>
      </c>
    </row>
    <row r="363" spans="1:10" x14ac:dyDescent="0.25">
      <c r="A363" s="2" t="s">
        <v>512</v>
      </c>
      <c r="B363" s="2" t="s">
        <v>47</v>
      </c>
      <c r="C363" s="2" t="s">
        <v>39</v>
      </c>
      <c r="D363" s="2" t="s">
        <v>14</v>
      </c>
      <c r="E363" s="2" t="s">
        <v>48</v>
      </c>
      <c r="F363" s="6" t="s">
        <v>594</v>
      </c>
      <c r="G363" s="2">
        <v>1</v>
      </c>
      <c r="H363" s="2" t="s">
        <v>595</v>
      </c>
      <c r="I363" s="2" t="s">
        <v>11</v>
      </c>
      <c r="J363" s="2" t="str">
        <f t="shared" si="5"/>
        <v>YES</v>
      </c>
    </row>
    <row r="364" spans="1:10" x14ac:dyDescent="0.25">
      <c r="A364" s="2" t="s">
        <v>512</v>
      </c>
      <c r="B364" s="2" t="s">
        <v>47</v>
      </c>
      <c r="C364" s="2" t="s">
        <v>39</v>
      </c>
      <c r="D364" s="2" t="s">
        <v>14</v>
      </c>
      <c r="E364" s="2" t="s">
        <v>48</v>
      </c>
      <c r="F364" s="6" t="s">
        <v>596</v>
      </c>
      <c r="G364" s="2">
        <v>1</v>
      </c>
      <c r="H364" s="2" t="s">
        <v>597</v>
      </c>
      <c r="I364" s="2" t="s">
        <v>11</v>
      </c>
      <c r="J364" s="2" t="str">
        <f t="shared" si="5"/>
        <v>YES</v>
      </c>
    </row>
    <row r="365" spans="1:10" x14ac:dyDescent="0.25">
      <c r="A365" s="2" t="s">
        <v>512</v>
      </c>
      <c r="B365" s="2" t="s">
        <v>47</v>
      </c>
      <c r="C365" s="2" t="s">
        <v>39</v>
      </c>
      <c r="D365" s="2" t="s">
        <v>14</v>
      </c>
      <c r="E365" s="2" t="s">
        <v>48</v>
      </c>
      <c r="F365" s="6" t="s">
        <v>598</v>
      </c>
      <c r="G365" s="2">
        <v>1</v>
      </c>
      <c r="H365" s="2" t="s">
        <v>599</v>
      </c>
      <c r="I365" s="2" t="s">
        <v>11</v>
      </c>
      <c r="J365" s="2" t="str">
        <f t="shared" si="5"/>
        <v>YES</v>
      </c>
    </row>
    <row r="366" spans="1:10" x14ac:dyDescent="0.25">
      <c r="A366" s="2" t="s">
        <v>512</v>
      </c>
      <c r="B366" s="2" t="s">
        <v>47</v>
      </c>
      <c r="C366" s="2" t="s">
        <v>39</v>
      </c>
      <c r="D366" s="2" t="s">
        <v>14</v>
      </c>
      <c r="E366" s="2" t="s">
        <v>48</v>
      </c>
      <c r="F366" s="6" t="s">
        <v>600</v>
      </c>
      <c r="G366" s="2">
        <v>1</v>
      </c>
      <c r="H366" s="2" t="s">
        <v>601</v>
      </c>
      <c r="I366" s="2" t="s">
        <v>11</v>
      </c>
      <c r="J366" s="2" t="str">
        <f t="shared" si="5"/>
        <v>YES</v>
      </c>
    </row>
    <row r="367" spans="1:10" x14ac:dyDescent="0.25">
      <c r="A367" s="2" t="s">
        <v>512</v>
      </c>
      <c r="B367" s="2" t="s">
        <v>47</v>
      </c>
      <c r="C367" s="2" t="s">
        <v>39</v>
      </c>
      <c r="D367" s="2" t="s">
        <v>14</v>
      </c>
      <c r="E367" s="2" t="s">
        <v>48</v>
      </c>
      <c r="F367" s="6" t="s">
        <v>602</v>
      </c>
      <c r="G367" s="2">
        <v>1</v>
      </c>
      <c r="H367" s="2" t="s">
        <v>603</v>
      </c>
      <c r="I367" s="2" t="s">
        <v>11</v>
      </c>
      <c r="J367" s="2" t="str">
        <f t="shared" si="5"/>
        <v>YES</v>
      </c>
    </row>
    <row r="368" spans="1:10" x14ac:dyDescent="0.25">
      <c r="A368" s="2" t="s">
        <v>512</v>
      </c>
      <c r="B368" s="2" t="s">
        <v>47</v>
      </c>
      <c r="C368" s="2" t="s">
        <v>39</v>
      </c>
      <c r="D368" s="2" t="s">
        <v>14</v>
      </c>
      <c r="E368" s="2" t="s">
        <v>48</v>
      </c>
      <c r="F368" s="6" t="s">
        <v>604</v>
      </c>
      <c r="G368" s="2">
        <v>1</v>
      </c>
      <c r="H368" s="2" t="s">
        <v>605</v>
      </c>
      <c r="I368" s="2" t="s">
        <v>11</v>
      </c>
      <c r="J368" s="2" t="str">
        <f t="shared" si="5"/>
        <v>YES</v>
      </c>
    </row>
    <row r="369" spans="1:10" x14ac:dyDescent="0.25">
      <c r="A369" s="2" t="s">
        <v>512</v>
      </c>
      <c r="B369" s="2" t="s">
        <v>47</v>
      </c>
      <c r="C369" s="2" t="s">
        <v>39</v>
      </c>
      <c r="D369" s="2" t="s">
        <v>14</v>
      </c>
      <c r="E369" s="2" t="s">
        <v>48</v>
      </c>
      <c r="F369" s="6" t="s">
        <v>606</v>
      </c>
      <c r="G369" s="2">
        <v>1</v>
      </c>
      <c r="H369" s="2" t="s">
        <v>607</v>
      </c>
      <c r="I369" s="2" t="s">
        <v>11</v>
      </c>
      <c r="J369" s="2" t="str">
        <f t="shared" si="5"/>
        <v>YES</v>
      </c>
    </row>
    <row r="370" spans="1:10" x14ac:dyDescent="0.25">
      <c r="A370" s="2" t="s">
        <v>512</v>
      </c>
      <c r="B370" s="2" t="s">
        <v>49</v>
      </c>
      <c r="C370" s="2" t="s">
        <v>18</v>
      </c>
      <c r="D370" s="2" t="s">
        <v>14</v>
      </c>
      <c r="E370" s="2" t="s">
        <v>50</v>
      </c>
      <c r="F370" s="6" t="s">
        <v>608</v>
      </c>
      <c r="G370" s="2">
        <v>1</v>
      </c>
      <c r="H370" s="2" t="s">
        <v>11</v>
      </c>
      <c r="I370" s="2" t="s">
        <v>11</v>
      </c>
      <c r="J370" s="2" t="str">
        <f t="shared" si="5"/>
        <v>YES</v>
      </c>
    </row>
    <row r="371" spans="1:10" x14ac:dyDescent="0.25">
      <c r="A371" s="2" t="s">
        <v>512</v>
      </c>
      <c r="B371" s="2" t="s">
        <v>49</v>
      </c>
      <c r="C371" s="2" t="s">
        <v>18</v>
      </c>
      <c r="D371" s="2" t="s">
        <v>14</v>
      </c>
      <c r="E371" s="2" t="s">
        <v>50</v>
      </c>
      <c r="F371" s="6" t="s">
        <v>609</v>
      </c>
      <c r="G371" s="2">
        <v>1</v>
      </c>
      <c r="H371" s="2" t="s">
        <v>11</v>
      </c>
      <c r="I371" s="2" t="s">
        <v>11</v>
      </c>
      <c r="J371" s="2" t="str">
        <f t="shared" si="5"/>
        <v>YES</v>
      </c>
    </row>
    <row r="372" spans="1:10" x14ac:dyDescent="0.25">
      <c r="A372" s="2" t="s">
        <v>512</v>
      </c>
      <c r="B372" s="2" t="s">
        <v>49</v>
      </c>
      <c r="C372" s="2" t="s">
        <v>18</v>
      </c>
      <c r="D372" s="2" t="s">
        <v>14</v>
      </c>
      <c r="E372" s="2" t="s">
        <v>50</v>
      </c>
      <c r="F372" s="6" t="s">
        <v>610</v>
      </c>
      <c r="G372" s="2">
        <v>1</v>
      </c>
      <c r="H372" s="2" t="s">
        <v>11</v>
      </c>
      <c r="I372" s="2" t="s">
        <v>11</v>
      </c>
      <c r="J372" s="2" t="str">
        <f t="shared" si="5"/>
        <v>YES</v>
      </c>
    </row>
    <row r="373" spans="1:10" x14ac:dyDescent="0.25">
      <c r="A373" s="2" t="s">
        <v>512</v>
      </c>
      <c r="B373" s="2" t="s">
        <v>49</v>
      </c>
      <c r="C373" s="2" t="s">
        <v>18</v>
      </c>
      <c r="D373" s="2" t="s">
        <v>14</v>
      </c>
      <c r="E373" s="2" t="s">
        <v>50</v>
      </c>
      <c r="F373" s="6" t="s">
        <v>611</v>
      </c>
      <c r="G373" s="2">
        <v>1</v>
      </c>
      <c r="H373" s="2" t="s">
        <v>11</v>
      </c>
      <c r="I373" s="2" t="s">
        <v>11</v>
      </c>
      <c r="J373" s="2" t="str">
        <f t="shared" si="5"/>
        <v>YES</v>
      </c>
    </row>
    <row r="374" spans="1:10" x14ac:dyDescent="0.25">
      <c r="A374" s="2" t="s">
        <v>512</v>
      </c>
      <c r="B374" s="2" t="s">
        <v>49</v>
      </c>
      <c r="C374" s="2" t="s">
        <v>18</v>
      </c>
      <c r="D374" s="2" t="s">
        <v>14</v>
      </c>
      <c r="E374" s="2" t="s">
        <v>50</v>
      </c>
      <c r="F374" s="6" t="s">
        <v>612</v>
      </c>
      <c r="G374" s="2">
        <v>1</v>
      </c>
      <c r="H374" s="2" t="s">
        <v>11</v>
      </c>
      <c r="I374" s="2" t="s">
        <v>11</v>
      </c>
      <c r="J374" s="2" t="str">
        <f t="shared" si="5"/>
        <v>YES</v>
      </c>
    </row>
    <row r="375" spans="1:10" x14ac:dyDescent="0.25">
      <c r="A375" s="2" t="s">
        <v>512</v>
      </c>
      <c r="B375" s="2" t="s">
        <v>49</v>
      </c>
      <c r="C375" s="2" t="s">
        <v>18</v>
      </c>
      <c r="D375" s="2" t="s">
        <v>14</v>
      </c>
      <c r="E375" s="2" t="s">
        <v>50</v>
      </c>
      <c r="F375" s="6" t="s">
        <v>613</v>
      </c>
      <c r="G375" s="2">
        <v>1</v>
      </c>
      <c r="H375" s="2" t="s">
        <v>11</v>
      </c>
      <c r="I375" s="2" t="s">
        <v>11</v>
      </c>
      <c r="J375" s="2" t="str">
        <f t="shared" si="5"/>
        <v>YES</v>
      </c>
    </row>
    <row r="376" spans="1:10" x14ac:dyDescent="0.25">
      <c r="A376" s="2" t="s">
        <v>512</v>
      </c>
      <c r="B376" s="2" t="s">
        <v>49</v>
      </c>
      <c r="C376" s="2" t="s">
        <v>18</v>
      </c>
      <c r="D376" s="2" t="s">
        <v>14</v>
      </c>
      <c r="E376" s="2" t="s">
        <v>50</v>
      </c>
      <c r="F376" s="6" t="s">
        <v>614</v>
      </c>
      <c r="G376" s="2">
        <v>1</v>
      </c>
      <c r="H376" s="2" t="s">
        <v>11</v>
      </c>
      <c r="I376" s="2" t="s">
        <v>11</v>
      </c>
      <c r="J376" s="2" t="str">
        <f t="shared" si="5"/>
        <v>YES</v>
      </c>
    </row>
    <row r="377" spans="1:10" x14ac:dyDescent="0.25">
      <c r="A377" s="2" t="s">
        <v>512</v>
      </c>
      <c r="B377" s="2" t="s">
        <v>49</v>
      </c>
      <c r="C377" s="2" t="s">
        <v>18</v>
      </c>
      <c r="D377" s="2" t="s">
        <v>14</v>
      </c>
      <c r="E377" s="2" t="s">
        <v>50</v>
      </c>
      <c r="F377" s="6" t="s">
        <v>615</v>
      </c>
      <c r="G377" s="2">
        <v>1</v>
      </c>
      <c r="H377" s="2" t="s">
        <v>11</v>
      </c>
      <c r="I377" s="2" t="s">
        <v>11</v>
      </c>
      <c r="J377" s="2" t="str">
        <f t="shared" si="5"/>
        <v>YES</v>
      </c>
    </row>
    <row r="378" spans="1:10" x14ac:dyDescent="0.25">
      <c r="A378" s="2" t="s">
        <v>512</v>
      </c>
      <c r="B378" s="2" t="s">
        <v>52</v>
      </c>
      <c r="C378" s="2" t="s">
        <v>53</v>
      </c>
      <c r="D378" s="2" t="s">
        <v>54</v>
      </c>
      <c r="E378" s="2" t="s">
        <v>55</v>
      </c>
      <c r="F378" s="6" t="s">
        <v>616</v>
      </c>
      <c r="G378" s="2">
        <v>1</v>
      </c>
      <c r="H378" s="2" t="s">
        <v>51</v>
      </c>
      <c r="I378" s="2" t="s">
        <v>617</v>
      </c>
      <c r="J378" s="2" t="str">
        <f t="shared" si="5"/>
        <v>YES</v>
      </c>
    </row>
    <row r="379" spans="1:10" x14ac:dyDescent="0.25">
      <c r="A379" s="2" t="s">
        <v>512</v>
      </c>
      <c r="B379" s="2" t="s">
        <v>57</v>
      </c>
      <c r="C379" s="2" t="s">
        <v>58</v>
      </c>
      <c r="D379" s="2" t="s">
        <v>14</v>
      </c>
      <c r="E379" s="2" t="s">
        <v>59</v>
      </c>
      <c r="F379" s="6" t="s">
        <v>618</v>
      </c>
      <c r="G379" s="2">
        <v>1</v>
      </c>
      <c r="H379" s="2" t="s">
        <v>51</v>
      </c>
      <c r="I379" s="2" t="s">
        <v>619</v>
      </c>
      <c r="J379" s="2" t="str">
        <f t="shared" si="5"/>
        <v>YES</v>
      </c>
    </row>
    <row r="380" spans="1:10" x14ac:dyDescent="0.25">
      <c r="A380" s="2" t="s">
        <v>512</v>
      </c>
      <c r="B380" s="2" t="s">
        <v>63</v>
      </c>
      <c r="C380" s="2" t="s">
        <v>64</v>
      </c>
      <c r="D380" s="2" t="s">
        <v>65</v>
      </c>
      <c r="E380" s="2" t="s">
        <v>66</v>
      </c>
      <c r="F380" s="6" t="s">
        <v>620</v>
      </c>
      <c r="G380" s="2">
        <v>1</v>
      </c>
      <c r="H380" s="2" t="s">
        <v>11</v>
      </c>
      <c r="I380" s="2" t="s">
        <v>621</v>
      </c>
      <c r="J380" s="2" t="str">
        <f t="shared" si="5"/>
        <v>YES</v>
      </c>
    </row>
    <row r="381" spans="1:10" x14ac:dyDescent="0.25">
      <c r="A381" s="2" t="s">
        <v>512</v>
      </c>
      <c r="B381" s="2" t="s">
        <v>68</v>
      </c>
      <c r="C381" s="2" t="s">
        <v>69</v>
      </c>
      <c r="D381" s="2" t="s">
        <v>65</v>
      </c>
      <c r="E381" s="2" t="s">
        <v>70</v>
      </c>
      <c r="F381" s="6" t="s">
        <v>622</v>
      </c>
      <c r="G381" s="2">
        <v>1</v>
      </c>
      <c r="H381" s="2" t="s">
        <v>11</v>
      </c>
      <c r="I381" s="2" t="s">
        <v>623</v>
      </c>
      <c r="J381" s="2" t="str">
        <f t="shared" si="5"/>
        <v>YES</v>
      </c>
    </row>
    <row r="382" spans="1:10" x14ac:dyDescent="0.25">
      <c r="A382" s="2" t="s">
        <v>512</v>
      </c>
      <c r="B382" s="2" t="s">
        <v>68</v>
      </c>
      <c r="C382" s="2" t="s">
        <v>69</v>
      </c>
      <c r="D382" s="2" t="s">
        <v>65</v>
      </c>
      <c r="E382" s="2" t="s">
        <v>70</v>
      </c>
      <c r="F382" s="6" t="s">
        <v>624</v>
      </c>
      <c r="G382" s="2">
        <v>1</v>
      </c>
      <c r="H382" s="2" t="s">
        <v>11</v>
      </c>
      <c r="I382" s="2" t="s">
        <v>625</v>
      </c>
      <c r="J382" s="2" t="str">
        <f t="shared" si="5"/>
        <v>YES</v>
      </c>
    </row>
    <row r="383" spans="1:10" x14ac:dyDescent="0.25">
      <c r="A383" s="2" t="s">
        <v>512</v>
      </c>
      <c r="B383" s="2" t="s">
        <v>63</v>
      </c>
      <c r="C383" s="2" t="s">
        <v>64</v>
      </c>
      <c r="D383" s="2" t="s">
        <v>65</v>
      </c>
      <c r="E383" s="2" t="s">
        <v>66</v>
      </c>
      <c r="F383" s="6" t="s">
        <v>626</v>
      </c>
      <c r="G383" s="2">
        <v>1</v>
      </c>
      <c r="H383" s="2" t="s">
        <v>11</v>
      </c>
      <c r="I383" s="2" t="s">
        <v>627</v>
      </c>
      <c r="J383" s="2" t="str">
        <f t="shared" si="5"/>
        <v>YES</v>
      </c>
    </row>
    <row r="384" spans="1:10" x14ac:dyDescent="0.25">
      <c r="A384" s="2" t="s">
        <v>512</v>
      </c>
      <c r="B384" s="2" t="s">
        <v>68</v>
      </c>
      <c r="C384" s="2" t="s">
        <v>69</v>
      </c>
      <c r="D384" s="2" t="s">
        <v>65</v>
      </c>
      <c r="E384" s="2" t="s">
        <v>70</v>
      </c>
      <c r="F384" s="6" t="s">
        <v>628</v>
      </c>
      <c r="G384" s="2">
        <v>1</v>
      </c>
      <c r="H384" s="2" t="s">
        <v>11</v>
      </c>
      <c r="I384" s="2" t="s">
        <v>629</v>
      </c>
      <c r="J384" s="2" t="str">
        <f t="shared" si="5"/>
        <v>YES</v>
      </c>
    </row>
    <row r="385" spans="1:10" x14ac:dyDescent="0.25">
      <c r="A385" s="2" t="s">
        <v>512</v>
      </c>
      <c r="B385" s="2" t="s">
        <v>68</v>
      </c>
      <c r="C385" s="2" t="s">
        <v>69</v>
      </c>
      <c r="D385" s="2" t="s">
        <v>65</v>
      </c>
      <c r="E385" s="2" t="s">
        <v>70</v>
      </c>
      <c r="F385" s="6" t="s">
        <v>630</v>
      </c>
      <c r="G385" s="2">
        <v>1</v>
      </c>
      <c r="H385" s="2" t="s">
        <v>11</v>
      </c>
      <c r="I385" s="2" t="s">
        <v>631</v>
      </c>
      <c r="J385" s="2" t="str">
        <f t="shared" si="5"/>
        <v>YES</v>
      </c>
    </row>
    <row r="386" spans="1:10" x14ac:dyDescent="0.25">
      <c r="A386" s="2" t="s">
        <v>512</v>
      </c>
      <c r="B386" s="2" t="s">
        <v>63</v>
      </c>
      <c r="C386" s="2" t="s">
        <v>64</v>
      </c>
      <c r="D386" s="2" t="s">
        <v>65</v>
      </c>
      <c r="E386" s="2" t="s">
        <v>66</v>
      </c>
      <c r="F386" s="6" t="s">
        <v>632</v>
      </c>
      <c r="G386" s="2">
        <v>1</v>
      </c>
      <c r="H386" s="2" t="s">
        <v>11</v>
      </c>
      <c r="I386" s="2" t="s">
        <v>633</v>
      </c>
      <c r="J386" s="2" t="str">
        <f t="shared" si="5"/>
        <v>YES</v>
      </c>
    </row>
    <row r="387" spans="1:10" x14ac:dyDescent="0.25">
      <c r="A387" s="2" t="s">
        <v>512</v>
      </c>
      <c r="B387" s="2" t="s">
        <v>68</v>
      </c>
      <c r="C387" s="2" t="s">
        <v>69</v>
      </c>
      <c r="D387" s="2" t="s">
        <v>65</v>
      </c>
      <c r="E387" s="2" t="s">
        <v>70</v>
      </c>
      <c r="F387" s="6" t="s">
        <v>634</v>
      </c>
      <c r="G387" s="2">
        <v>1</v>
      </c>
      <c r="H387" s="2" t="s">
        <v>11</v>
      </c>
      <c r="I387" s="2" t="s">
        <v>635</v>
      </c>
      <c r="J387" s="2" t="str">
        <f t="shared" ref="J387:J450" si="6">IF(OR(F387="",F387="_",LEFT(F387,5)="SPARE"),"NO","YES")</f>
        <v>YES</v>
      </c>
    </row>
    <row r="388" spans="1:10" x14ac:dyDescent="0.25">
      <c r="A388" s="2" t="s">
        <v>512</v>
      </c>
      <c r="B388" s="2" t="s">
        <v>68</v>
      </c>
      <c r="C388" s="2" t="s">
        <v>69</v>
      </c>
      <c r="D388" s="2" t="s">
        <v>65</v>
      </c>
      <c r="E388" s="2" t="s">
        <v>70</v>
      </c>
      <c r="F388" s="6" t="s">
        <v>636</v>
      </c>
      <c r="G388" s="2">
        <v>1</v>
      </c>
      <c r="H388" s="2" t="s">
        <v>11</v>
      </c>
      <c r="I388" s="2" t="s">
        <v>637</v>
      </c>
      <c r="J388" s="2" t="str">
        <f t="shared" si="6"/>
        <v>YES</v>
      </c>
    </row>
    <row r="389" spans="1:10" x14ac:dyDescent="0.25">
      <c r="A389" s="2" t="s">
        <v>512</v>
      </c>
      <c r="B389" s="2" t="s">
        <v>63</v>
      </c>
      <c r="C389" s="2" t="s">
        <v>64</v>
      </c>
      <c r="D389" s="2" t="s">
        <v>65</v>
      </c>
      <c r="E389" s="2" t="s">
        <v>66</v>
      </c>
      <c r="F389" s="6" t="s">
        <v>638</v>
      </c>
      <c r="G389" s="2">
        <v>1</v>
      </c>
      <c r="H389" s="2" t="s">
        <v>11</v>
      </c>
      <c r="I389" s="2" t="s">
        <v>639</v>
      </c>
      <c r="J389" s="2" t="str">
        <f t="shared" si="6"/>
        <v>YES</v>
      </c>
    </row>
    <row r="390" spans="1:10" x14ac:dyDescent="0.25">
      <c r="A390" s="2" t="s">
        <v>512</v>
      </c>
      <c r="B390" s="2" t="s">
        <v>68</v>
      </c>
      <c r="C390" s="2" t="s">
        <v>69</v>
      </c>
      <c r="D390" s="2" t="s">
        <v>65</v>
      </c>
      <c r="E390" s="2" t="s">
        <v>70</v>
      </c>
      <c r="F390" s="6" t="s">
        <v>640</v>
      </c>
      <c r="G390" s="2">
        <v>1</v>
      </c>
      <c r="H390" s="2" t="s">
        <v>11</v>
      </c>
      <c r="I390" s="2" t="s">
        <v>641</v>
      </c>
      <c r="J390" s="2" t="str">
        <f t="shared" si="6"/>
        <v>YES</v>
      </c>
    </row>
    <row r="391" spans="1:10" x14ac:dyDescent="0.25">
      <c r="A391" s="2" t="s">
        <v>512</v>
      </c>
      <c r="B391" s="2" t="s">
        <v>68</v>
      </c>
      <c r="C391" s="2" t="s">
        <v>69</v>
      </c>
      <c r="D391" s="2" t="s">
        <v>65</v>
      </c>
      <c r="E391" s="2" t="s">
        <v>70</v>
      </c>
      <c r="F391" s="6" t="s">
        <v>642</v>
      </c>
      <c r="G391" s="2">
        <v>1</v>
      </c>
      <c r="H391" s="2" t="s">
        <v>11</v>
      </c>
      <c r="I391" s="2" t="s">
        <v>643</v>
      </c>
      <c r="J391" s="2" t="str">
        <f t="shared" si="6"/>
        <v>YES</v>
      </c>
    </row>
    <row r="392" spans="1:10" x14ac:dyDescent="0.25">
      <c r="A392" s="2" t="s">
        <v>512</v>
      </c>
      <c r="B392" s="2" t="s">
        <v>63</v>
      </c>
      <c r="C392" s="2" t="s">
        <v>64</v>
      </c>
      <c r="D392" s="2" t="s">
        <v>65</v>
      </c>
      <c r="E392" s="2" t="s">
        <v>66</v>
      </c>
      <c r="F392" s="6" t="s">
        <v>644</v>
      </c>
      <c r="G392" s="2">
        <v>1</v>
      </c>
      <c r="H392" s="2" t="s">
        <v>11</v>
      </c>
      <c r="I392" s="2" t="s">
        <v>645</v>
      </c>
      <c r="J392" s="2" t="str">
        <f t="shared" si="6"/>
        <v>YES</v>
      </c>
    </row>
    <row r="393" spans="1:10" x14ac:dyDescent="0.25">
      <c r="A393" s="2" t="s">
        <v>512</v>
      </c>
      <c r="B393" s="2" t="s">
        <v>68</v>
      </c>
      <c r="C393" s="2" t="s">
        <v>69</v>
      </c>
      <c r="D393" s="2" t="s">
        <v>65</v>
      </c>
      <c r="E393" s="2" t="s">
        <v>70</v>
      </c>
      <c r="F393" s="6" t="s">
        <v>646</v>
      </c>
      <c r="G393" s="2">
        <v>1</v>
      </c>
      <c r="H393" s="2" t="s">
        <v>11</v>
      </c>
      <c r="I393" s="2" t="s">
        <v>647</v>
      </c>
      <c r="J393" s="2" t="str">
        <f t="shared" si="6"/>
        <v>YES</v>
      </c>
    </row>
    <row r="394" spans="1:10" x14ac:dyDescent="0.25">
      <c r="A394" s="2" t="s">
        <v>512</v>
      </c>
      <c r="B394" s="2" t="s">
        <v>68</v>
      </c>
      <c r="C394" s="2" t="s">
        <v>69</v>
      </c>
      <c r="D394" s="2" t="s">
        <v>65</v>
      </c>
      <c r="E394" s="2" t="s">
        <v>70</v>
      </c>
      <c r="F394" s="6" t="s">
        <v>648</v>
      </c>
      <c r="G394" s="2">
        <v>1</v>
      </c>
      <c r="H394" s="2" t="s">
        <v>11</v>
      </c>
      <c r="I394" s="2" t="s">
        <v>649</v>
      </c>
      <c r="J394" s="2" t="str">
        <f t="shared" si="6"/>
        <v>YES</v>
      </c>
    </row>
    <row r="395" spans="1:10" x14ac:dyDescent="0.25">
      <c r="A395" s="2" t="s">
        <v>512</v>
      </c>
      <c r="B395" s="2" t="s">
        <v>63</v>
      </c>
      <c r="C395" s="2" t="s">
        <v>64</v>
      </c>
      <c r="D395" s="2" t="s">
        <v>65</v>
      </c>
      <c r="E395" s="2" t="s">
        <v>66</v>
      </c>
      <c r="F395" s="6" t="s">
        <v>650</v>
      </c>
      <c r="G395" s="2">
        <v>1</v>
      </c>
      <c r="H395" s="2" t="s">
        <v>11</v>
      </c>
      <c r="I395" s="2" t="s">
        <v>651</v>
      </c>
      <c r="J395" s="2" t="str">
        <f t="shared" si="6"/>
        <v>YES</v>
      </c>
    </row>
    <row r="396" spans="1:10" x14ac:dyDescent="0.25">
      <c r="A396" s="2" t="s">
        <v>512</v>
      </c>
      <c r="B396" s="2" t="s">
        <v>68</v>
      </c>
      <c r="C396" s="2" t="s">
        <v>69</v>
      </c>
      <c r="D396" s="2" t="s">
        <v>65</v>
      </c>
      <c r="E396" s="2" t="s">
        <v>70</v>
      </c>
      <c r="F396" s="6" t="s">
        <v>652</v>
      </c>
      <c r="G396" s="2">
        <v>1</v>
      </c>
      <c r="H396" s="2" t="s">
        <v>11</v>
      </c>
      <c r="I396" s="2" t="s">
        <v>653</v>
      </c>
      <c r="J396" s="2" t="str">
        <f t="shared" si="6"/>
        <v>YES</v>
      </c>
    </row>
    <row r="397" spans="1:10" x14ac:dyDescent="0.25">
      <c r="A397" s="2" t="s">
        <v>512</v>
      </c>
      <c r="B397" s="2" t="s">
        <v>68</v>
      </c>
      <c r="C397" s="2" t="s">
        <v>69</v>
      </c>
      <c r="D397" s="2" t="s">
        <v>65</v>
      </c>
      <c r="E397" s="2" t="s">
        <v>70</v>
      </c>
      <c r="F397" s="6" t="s">
        <v>654</v>
      </c>
      <c r="G397" s="2">
        <v>1</v>
      </c>
      <c r="H397" s="2" t="s">
        <v>11</v>
      </c>
      <c r="I397" s="2" t="s">
        <v>655</v>
      </c>
      <c r="J397" s="2" t="str">
        <f t="shared" si="6"/>
        <v>YES</v>
      </c>
    </row>
    <row r="398" spans="1:10" x14ac:dyDescent="0.25">
      <c r="A398" s="2" t="s">
        <v>512</v>
      </c>
      <c r="B398" s="2" t="s">
        <v>63</v>
      </c>
      <c r="C398" s="2" t="s">
        <v>64</v>
      </c>
      <c r="D398" s="2" t="s">
        <v>65</v>
      </c>
      <c r="E398" s="2" t="s">
        <v>66</v>
      </c>
      <c r="F398" s="6" t="s">
        <v>656</v>
      </c>
      <c r="G398" s="2">
        <v>1</v>
      </c>
      <c r="H398" s="2" t="s">
        <v>11</v>
      </c>
      <c r="I398" s="2" t="s">
        <v>657</v>
      </c>
      <c r="J398" s="2" t="str">
        <f t="shared" si="6"/>
        <v>YES</v>
      </c>
    </row>
    <row r="399" spans="1:10" x14ac:dyDescent="0.25">
      <c r="A399" s="2" t="s">
        <v>512</v>
      </c>
      <c r="B399" s="2" t="s">
        <v>68</v>
      </c>
      <c r="C399" s="2" t="s">
        <v>69</v>
      </c>
      <c r="D399" s="2" t="s">
        <v>65</v>
      </c>
      <c r="E399" s="2" t="s">
        <v>70</v>
      </c>
      <c r="F399" s="6" t="s">
        <v>658</v>
      </c>
      <c r="G399" s="2">
        <v>1</v>
      </c>
      <c r="H399" s="2" t="s">
        <v>11</v>
      </c>
      <c r="I399" s="2" t="s">
        <v>659</v>
      </c>
      <c r="J399" s="2" t="str">
        <f t="shared" si="6"/>
        <v>YES</v>
      </c>
    </row>
    <row r="400" spans="1:10" x14ac:dyDescent="0.25">
      <c r="A400" s="2" t="s">
        <v>512</v>
      </c>
      <c r="B400" s="2" t="s">
        <v>68</v>
      </c>
      <c r="C400" s="2" t="s">
        <v>69</v>
      </c>
      <c r="D400" s="2" t="s">
        <v>65</v>
      </c>
      <c r="E400" s="2" t="s">
        <v>70</v>
      </c>
      <c r="F400" s="6" t="s">
        <v>660</v>
      </c>
      <c r="G400" s="2">
        <v>1</v>
      </c>
      <c r="H400" s="2" t="s">
        <v>11</v>
      </c>
      <c r="I400" s="2" t="s">
        <v>661</v>
      </c>
      <c r="J400" s="2" t="str">
        <f t="shared" si="6"/>
        <v>YES</v>
      </c>
    </row>
    <row r="401" spans="1:10" x14ac:dyDescent="0.25">
      <c r="A401" s="2" t="s">
        <v>512</v>
      </c>
      <c r="B401" s="2" t="s">
        <v>63</v>
      </c>
      <c r="C401" s="2" t="s">
        <v>64</v>
      </c>
      <c r="D401" s="2" t="s">
        <v>65</v>
      </c>
      <c r="E401" s="2" t="s">
        <v>66</v>
      </c>
      <c r="F401" s="6" t="s">
        <v>662</v>
      </c>
      <c r="G401" s="2">
        <v>1</v>
      </c>
      <c r="H401" s="2" t="s">
        <v>11</v>
      </c>
      <c r="I401" s="2" t="s">
        <v>663</v>
      </c>
      <c r="J401" s="2" t="str">
        <f t="shared" si="6"/>
        <v>YES</v>
      </c>
    </row>
    <row r="402" spans="1:10" x14ac:dyDescent="0.25">
      <c r="A402" s="2" t="s">
        <v>512</v>
      </c>
      <c r="B402" s="2" t="s">
        <v>68</v>
      </c>
      <c r="C402" s="2" t="s">
        <v>69</v>
      </c>
      <c r="D402" s="2" t="s">
        <v>65</v>
      </c>
      <c r="E402" s="2" t="s">
        <v>70</v>
      </c>
      <c r="F402" s="6" t="s">
        <v>664</v>
      </c>
      <c r="G402" s="2">
        <v>1</v>
      </c>
      <c r="H402" s="2" t="s">
        <v>11</v>
      </c>
      <c r="I402" s="2" t="s">
        <v>665</v>
      </c>
      <c r="J402" s="2" t="str">
        <f t="shared" si="6"/>
        <v>YES</v>
      </c>
    </row>
    <row r="403" spans="1:10" x14ac:dyDescent="0.25">
      <c r="A403" s="2" t="s">
        <v>512</v>
      </c>
      <c r="B403" s="2" t="s">
        <v>68</v>
      </c>
      <c r="C403" s="2" t="s">
        <v>69</v>
      </c>
      <c r="D403" s="2" t="s">
        <v>65</v>
      </c>
      <c r="E403" s="2" t="s">
        <v>70</v>
      </c>
      <c r="F403" s="6" t="s">
        <v>666</v>
      </c>
      <c r="G403" s="2">
        <v>1</v>
      </c>
      <c r="H403" s="2" t="s">
        <v>11</v>
      </c>
      <c r="I403" s="2" t="s">
        <v>667</v>
      </c>
      <c r="J403" s="2" t="str">
        <f t="shared" si="6"/>
        <v>YES</v>
      </c>
    </row>
    <row r="404" spans="1:10" x14ac:dyDescent="0.25">
      <c r="A404" s="2" t="s">
        <v>512</v>
      </c>
      <c r="B404" s="2" t="s">
        <v>668</v>
      </c>
      <c r="C404" s="2" t="s">
        <v>668</v>
      </c>
      <c r="D404" s="2" t="s">
        <v>668</v>
      </c>
      <c r="E404" s="2" t="s">
        <v>668</v>
      </c>
      <c r="F404" s="6" t="s">
        <v>668</v>
      </c>
      <c r="G404" s="2">
        <v>1</v>
      </c>
      <c r="H404" s="2" t="s">
        <v>668</v>
      </c>
      <c r="I404" s="2" t="s">
        <v>668</v>
      </c>
      <c r="J404" s="2" t="str">
        <f t="shared" si="6"/>
        <v>NO</v>
      </c>
    </row>
    <row r="405" spans="1:10" x14ac:dyDescent="0.25">
      <c r="A405" s="2" t="s">
        <v>512</v>
      </c>
      <c r="B405" s="2" t="s">
        <v>63</v>
      </c>
      <c r="C405" s="2" t="s">
        <v>64</v>
      </c>
      <c r="D405" s="2" t="s">
        <v>65</v>
      </c>
      <c r="E405" s="2" t="s">
        <v>66</v>
      </c>
      <c r="F405" s="6" t="s">
        <v>669</v>
      </c>
      <c r="G405" s="2">
        <v>1</v>
      </c>
      <c r="H405" s="2" t="s">
        <v>11</v>
      </c>
      <c r="I405" s="2" t="s">
        <v>670</v>
      </c>
      <c r="J405" s="2" t="str">
        <f t="shared" si="6"/>
        <v>YES</v>
      </c>
    </row>
    <row r="406" spans="1:10" x14ac:dyDescent="0.25">
      <c r="A406" s="2" t="s">
        <v>512</v>
      </c>
      <c r="B406" s="2" t="s">
        <v>68</v>
      </c>
      <c r="C406" s="2" t="s">
        <v>69</v>
      </c>
      <c r="D406" s="2" t="s">
        <v>65</v>
      </c>
      <c r="E406" s="2" t="s">
        <v>70</v>
      </c>
      <c r="F406" s="6" t="s">
        <v>671</v>
      </c>
      <c r="G406" s="2">
        <v>1</v>
      </c>
      <c r="H406" s="2" t="s">
        <v>11</v>
      </c>
      <c r="I406" s="2" t="s">
        <v>623</v>
      </c>
      <c r="J406" s="2" t="str">
        <f t="shared" si="6"/>
        <v>YES</v>
      </c>
    </row>
    <row r="407" spans="1:10" x14ac:dyDescent="0.25">
      <c r="A407" s="2" t="s">
        <v>512</v>
      </c>
      <c r="B407" s="2" t="s">
        <v>68</v>
      </c>
      <c r="C407" s="2" t="s">
        <v>69</v>
      </c>
      <c r="D407" s="2" t="s">
        <v>65</v>
      </c>
      <c r="E407" s="2" t="s">
        <v>70</v>
      </c>
      <c r="F407" s="6" t="s">
        <v>672</v>
      </c>
      <c r="G407" s="2">
        <v>1</v>
      </c>
      <c r="H407" s="2" t="s">
        <v>11</v>
      </c>
      <c r="I407" s="2" t="s">
        <v>625</v>
      </c>
      <c r="J407" s="2" t="str">
        <f t="shared" si="6"/>
        <v>YES</v>
      </c>
    </row>
    <row r="408" spans="1:10" x14ac:dyDescent="0.25">
      <c r="A408" s="2" t="s">
        <v>512</v>
      </c>
      <c r="B408" s="2" t="s">
        <v>63</v>
      </c>
      <c r="C408" s="2" t="s">
        <v>64</v>
      </c>
      <c r="D408" s="2" t="s">
        <v>65</v>
      </c>
      <c r="E408" s="2" t="s">
        <v>66</v>
      </c>
      <c r="F408" s="6" t="s">
        <v>673</v>
      </c>
      <c r="G408" s="2">
        <v>1</v>
      </c>
      <c r="H408" s="2" t="s">
        <v>11</v>
      </c>
      <c r="I408" s="2" t="s">
        <v>674</v>
      </c>
      <c r="J408" s="2" t="str">
        <f t="shared" si="6"/>
        <v>YES</v>
      </c>
    </row>
    <row r="409" spans="1:10" x14ac:dyDescent="0.25">
      <c r="A409" s="2" t="s">
        <v>512</v>
      </c>
      <c r="B409" s="2" t="s">
        <v>68</v>
      </c>
      <c r="C409" s="2" t="s">
        <v>69</v>
      </c>
      <c r="D409" s="2" t="s">
        <v>65</v>
      </c>
      <c r="E409" s="2" t="s">
        <v>70</v>
      </c>
      <c r="F409" s="6" t="s">
        <v>675</v>
      </c>
      <c r="G409" s="2">
        <v>1</v>
      </c>
      <c r="H409" s="2" t="s">
        <v>11</v>
      </c>
      <c r="I409" s="2" t="s">
        <v>629</v>
      </c>
      <c r="J409" s="2" t="str">
        <f t="shared" si="6"/>
        <v>YES</v>
      </c>
    </row>
    <row r="410" spans="1:10" x14ac:dyDescent="0.25">
      <c r="A410" s="2" t="s">
        <v>512</v>
      </c>
      <c r="B410" s="2" t="s">
        <v>68</v>
      </c>
      <c r="C410" s="2" t="s">
        <v>69</v>
      </c>
      <c r="D410" s="2" t="s">
        <v>65</v>
      </c>
      <c r="E410" s="2" t="s">
        <v>70</v>
      </c>
      <c r="F410" s="6" t="s">
        <v>676</v>
      </c>
      <c r="G410" s="2">
        <v>1</v>
      </c>
      <c r="H410" s="2" t="s">
        <v>11</v>
      </c>
      <c r="I410" s="2" t="s">
        <v>631</v>
      </c>
      <c r="J410" s="2" t="str">
        <f t="shared" si="6"/>
        <v>YES</v>
      </c>
    </row>
    <row r="411" spans="1:10" x14ac:dyDescent="0.25">
      <c r="A411" s="2" t="s">
        <v>512</v>
      </c>
      <c r="B411" s="2" t="s">
        <v>68</v>
      </c>
      <c r="C411" s="2" t="s">
        <v>69</v>
      </c>
      <c r="D411" s="2" t="s">
        <v>65</v>
      </c>
      <c r="E411" s="2" t="s">
        <v>70</v>
      </c>
      <c r="F411" s="6" t="s">
        <v>677</v>
      </c>
      <c r="G411" s="2">
        <v>1</v>
      </c>
      <c r="H411" s="2" t="s">
        <v>11</v>
      </c>
      <c r="I411" s="2" t="s">
        <v>635</v>
      </c>
      <c r="J411" s="2" t="str">
        <f t="shared" si="6"/>
        <v>YES</v>
      </c>
    </row>
    <row r="412" spans="1:10" x14ac:dyDescent="0.25">
      <c r="A412" s="2" t="s">
        <v>685</v>
      </c>
      <c r="B412" s="2" t="s">
        <v>9</v>
      </c>
      <c r="C412" s="2" t="s">
        <v>10</v>
      </c>
      <c r="D412" s="2" t="s">
        <v>11</v>
      </c>
      <c r="E412" s="2" t="s">
        <v>11</v>
      </c>
      <c r="F412" s="6" t="s">
        <v>11</v>
      </c>
      <c r="G412" s="2">
        <v>1</v>
      </c>
      <c r="H412" s="2" t="s">
        <v>9</v>
      </c>
      <c r="I412" s="2" t="s">
        <v>11</v>
      </c>
      <c r="J412" s="2" t="str">
        <f t="shared" si="6"/>
        <v>NO</v>
      </c>
    </row>
    <row r="413" spans="1:10" x14ac:dyDescent="0.25">
      <c r="A413" s="2" t="s">
        <v>685</v>
      </c>
      <c r="B413" s="2" t="s">
        <v>12</v>
      </c>
      <c r="C413" s="2" t="s">
        <v>13</v>
      </c>
      <c r="D413" s="2" t="s">
        <v>14</v>
      </c>
      <c r="E413" s="2" t="s">
        <v>15</v>
      </c>
      <c r="F413" s="6" t="s">
        <v>686</v>
      </c>
      <c r="G413" s="2">
        <v>1</v>
      </c>
      <c r="H413" s="2" t="s">
        <v>9</v>
      </c>
      <c r="I413" s="2" t="s">
        <v>687</v>
      </c>
      <c r="J413" s="2" t="str">
        <f t="shared" si="6"/>
        <v>YES</v>
      </c>
    </row>
    <row r="414" spans="1:10" x14ac:dyDescent="0.25">
      <c r="A414" s="2" t="s">
        <v>685</v>
      </c>
      <c r="B414" s="2" t="s">
        <v>17</v>
      </c>
      <c r="C414" s="2" t="s">
        <v>18</v>
      </c>
      <c r="D414" s="2" t="s">
        <v>14</v>
      </c>
      <c r="E414" s="2" t="s">
        <v>19</v>
      </c>
      <c r="F414" s="6" t="s">
        <v>688</v>
      </c>
      <c r="G414" s="2">
        <v>1</v>
      </c>
      <c r="H414" s="2" t="s">
        <v>11</v>
      </c>
      <c r="I414" s="2" t="s">
        <v>11</v>
      </c>
      <c r="J414" s="2" t="str">
        <f t="shared" si="6"/>
        <v>YES</v>
      </c>
    </row>
    <row r="415" spans="1:10" x14ac:dyDescent="0.25">
      <c r="A415" s="2" t="s">
        <v>685</v>
      </c>
      <c r="B415" s="2" t="s">
        <v>17</v>
      </c>
      <c r="C415" s="2" t="s">
        <v>18</v>
      </c>
      <c r="D415" s="2" t="s">
        <v>14</v>
      </c>
      <c r="E415" s="2" t="s">
        <v>19</v>
      </c>
      <c r="F415" s="6" t="s">
        <v>689</v>
      </c>
      <c r="G415" s="2">
        <v>1</v>
      </c>
      <c r="H415" s="2" t="s">
        <v>11</v>
      </c>
      <c r="I415" s="2" t="s">
        <v>11</v>
      </c>
      <c r="J415" s="2" t="str">
        <f t="shared" si="6"/>
        <v>YES</v>
      </c>
    </row>
    <row r="416" spans="1:10" x14ac:dyDescent="0.25">
      <c r="A416" s="2" t="s">
        <v>685</v>
      </c>
      <c r="B416" s="2" t="s">
        <v>20</v>
      </c>
      <c r="C416" s="2" t="s">
        <v>18</v>
      </c>
      <c r="D416" s="2" t="s">
        <v>14</v>
      </c>
      <c r="E416" s="2" t="s">
        <v>21</v>
      </c>
      <c r="F416" s="6" t="s">
        <v>690</v>
      </c>
      <c r="G416" s="2">
        <v>1</v>
      </c>
      <c r="H416" s="2" t="s">
        <v>11</v>
      </c>
      <c r="I416" s="2" t="s">
        <v>11</v>
      </c>
      <c r="J416" s="2" t="str">
        <f t="shared" si="6"/>
        <v>YES</v>
      </c>
    </row>
    <row r="417" spans="1:10" x14ac:dyDescent="0.25">
      <c r="A417" s="2" t="s">
        <v>685</v>
      </c>
      <c r="B417" s="2" t="s">
        <v>20</v>
      </c>
      <c r="C417" s="2" t="s">
        <v>18</v>
      </c>
      <c r="D417" s="2" t="s">
        <v>14</v>
      </c>
      <c r="E417" s="2" t="s">
        <v>21</v>
      </c>
      <c r="F417" s="6" t="s">
        <v>691</v>
      </c>
      <c r="G417" s="2">
        <v>1</v>
      </c>
      <c r="H417" s="2" t="s">
        <v>11</v>
      </c>
      <c r="I417" s="2" t="s">
        <v>11</v>
      </c>
      <c r="J417" s="2" t="str">
        <f t="shared" si="6"/>
        <v>YES</v>
      </c>
    </row>
    <row r="418" spans="1:10" x14ac:dyDescent="0.25">
      <c r="A418" s="2" t="s">
        <v>685</v>
      </c>
      <c r="B418" s="2" t="s">
        <v>12</v>
      </c>
      <c r="C418" s="2" t="s">
        <v>13</v>
      </c>
      <c r="D418" s="2" t="s">
        <v>14</v>
      </c>
      <c r="E418" s="2" t="s">
        <v>15</v>
      </c>
      <c r="F418" s="6" t="s">
        <v>692</v>
      </c>
      <c r="G418" s="2">
        <v>1</v>
      </c>
      <c r="H418" s="2" t="s">
        <v>9</v>
      </c>
      <c r="I418" s="2" t="s">
        <v>693</v>
      </c>
      <c r="J418" s="2" t="str">
        <f t="shared" si="6"/>
        <v>YES</v>
      </c>
    </row>
    <row r="419" spans="1:10" x14ac:dyDescent="0.25">
      <c r="A419" s="2" t="s">
        <v>685</v>
      </c>
      <c r="B419" s="2" t="s">
        <v>17</v>
      </c>
      <c r="C419" s="2" t="s">
        <v>18</v>
      </c>
      <c r="D419" s="2" t="s">
        <v>14</v>
      </c>
      <c r="E419" s="2" t="s">
        <v>19</v>
      </c>
      <c r="F419" s="6" t="s">
        <v>694</v>
      </c>
      <c r="G419" s="2">
        <v>1</v>
      </c>
      <c r="H419" s="2" t="s">
        <v>11</v>
      </c>
      <c r="I419" s="2" t="s">
        <v>11</v>
      </c>
      <c r="J419" s="2" t="str">
        <f t="shared" si="6"/>
        <v>YES</v>
      </c>
    </row>
    <row r="420" spans="1:10" x14ac:dyDescent="0.25">
      <c r="A420" s="2" t="s">
        <v>685</v>
      </c>
      <c r="B420" s="2" t="s">
        <v>17</v>
      </c>
      <c r="C420" s="2" t="s">
        <v>18</v>
      </c>
      <c r="D420" s="2" t="s">
        <v>14</v>
      </c>
      <c r="E420" s="2" t="s">
        <v>19</v>
      </c>
      <c r="F420" s="6" t="s">
        <v>695</v>
      </c>
      <c r="G420" s="2">
        <v>1</v>
      </c>
      <c r="H420" s="2" t="s">
        <v>11</v>
      </c>
      <c r="I420" s="2" t="s">
        <v>11</v>
      </c>
      <c r="J420" s="2" t="str">
        <f t="shared" si="6"/>
        <v>YES</v>
      </c>
    </row>
    <row r="421" spans="1:10" x14ac:dyDescent="0.25">
      <c r="A421" s="2" t="s">
        <v>685</v>
      </c>
      <c r="B421" s="2" t="s">
        <v>20</v>
      </c>
      <c r="C421" s="2" t="s">
        <v>18</v>
      </c>
      <c r="D421" s="2" t="s">
        <v>14</v>
      </c>
      <c r="E421" s="2" t="s">
        <v>21</v>
      </c>
      <c r="F421" s="6" t="s">
        <v>696</v>
      </c>
      <c r="G421" s="2">
        <v>1</v>
      </c>
      <c r="H421" s="2" t="s">
        <v>11</v>
      </c>
      <c r="I421" s="2" t="s">
        <v>11</v>
      </c>
      <c r="J421" s="2" t="str">
        <f t="shared" si="6"/>
        <v>YES</v>
      </c>
    </row>
    <row r="422" spans="1:10" x14ac:dyDescent="0.25">
      <c r="A422" s="2" t="s">
        <v>685</v>
      </c>
      <c r="B422" s="2" t="s">
        <v>20</v>
      </c>
      <c r="C422" s="2" t="s">
        <v>18</v>
      </c>
      <c r="D422" s="2" t="s">
        <v>14</v>
      </c>
      <c r="E422" s="2" t="s">
        <v>21</v>
      </c>
      <c r="F422" s="6" t="s">
        <v>697</v>
      </c>
      <c r="G422" s="2">
        <v>1</v>
      </c>
      <c r="H422" s="2" t="s">
        <v>11</v>
      </c>
      <c r="I422" s="2" t="s">
        <v>11</v>
      </c>
      <c r="J422" s="2" t="str">
        <f t="shared" si="6"/>
        <v>YES</v>
      </c>
    </row>
    <row r="423" spans="1:10" x14ac:dyDescent="0.25">
      <c r="A423" s="2" t="s">
        <v>685</v>
      </c>
      <c r="B423" s="2" t="s">
        <v>23</v>
      </c>
      <c r="C423" s="2" t="s">
        <v>24</v>
      </c>
      <c r="D423" s="2" t="s">
        <v>25</v>
      </c>
      <c r="E423" s="2" t="s">
        <v>26</v>
      </c>
      <c r="F423" s="6" t="s">
        <v>698</v>
      </c>
      <c r="G423" s="2">
        <v>1</v>
      </c>
      <c r="H423" s="2" t="s">
        <v>9</v>
      </c>
      <c r="I423" s="2" t="s">
        <v>699</v>
      </c>
      <c r="J423" s="2" t="str">
        <f t="shared" si="6"/>
        <v>YES</v>
      </c>
    </row>
    <row r="424" spans="1:10" x14ac:dyDescent="0.25">
      <c r="A424" s="2" t="s">
        <v>685</v>
      </c>
      <c r="B424" s="2" t="s">
        <v>28</v>
      </c>
      <c r="C424" s="2" t="s">
        <v>18</v>
      </c>
      <c r="D424" s="2" t="s">
        <v>25</v>
      </c>
      <c r="E424" s="2" t="s">
        <v>29</v>
      </c>
      <c r="F424" s="6" t="s">
        <v>700</v>
      </c>
      <c r="G424" s="2">
        <v>1</v>
      </c>
      <c r="H424" s="2" t="s">
        <v>11</v>
      </c>
      <c r="I424" s="2" t="s">
        <v>11</v>
      </c>
      <c r="J424" s="2" t="str">
        <f t="shared" si="6"/>
        <v>YES</v>
      </c>
    </row>
    <row r="425" spans="1:10" x14ac:dyDescent="0.25">
      <c r="A425" s="2" t="s">
        <v>685</v>
      </c>
      <c r="B425" s="2" t="s">
        <v>28</v>
      </c>
      <c r="C425" s="2" t="s">
        <v>18</v>
      </c>
      <c r="D425" s="2" t="s">
        <v>25</v>
      </c>
      <c r="E425" s="2" t="s">
        <v>29</v>
      </c>
      <c r="F425" s="6" t="s">
        <v>701</v>
      </c>
      <c r="G425" s="2">
        <v>1</v>
      </c>
      <c r="H425" s="2" t="s">
        <v>11</v>
      </c>
      <c r="I425" s="2" t="s">
        <v>11</v>
      </c>
      <c r="J425" s="2" t="str">
        <f t="shared" si="6"/>
        <v>YES</v>
      </c>
    </row>
    <row r="426" spans="1:10" x14ac:dyDescent="0.25">
      <c r="A426" s="2" t="s">
        <v>685</v>
      </c>
      <c r="B426" s="2" t="s">
        <v>28</v>
      </c>
      <c r="C426" s="2" t="s">
        <v>18</v>
      </c>
      <c r="D426" s="2" t="s">
        <v>25</v>
      </c>
      <c r="E426" s="2" t="s">
        <v>29</v>
      </c>
      <c r="F426" s="6" t="s">
        <v>702</v>
      </c>
      <c r="G426" s="2">
        <v>1</v>
      </c>
      <c r="H426" s="2" t="s">
        <v>11</v>
      </c>
      <c r="I426" s="2" t="s">
        <v>11</v>
      </c>
      <c r="J426" s="2" t="str">
        <f t="shared" si="6"/>
        <v>YES</v>
      </c>
    </row>
    <row r="427" spans="1:10" x14ac:dyDescent="0.25">
      <c r="A427" s="2" t="s">
        <v>685</v>
      </c>
      <c r="B427" s="2" t="s">
        <v>28</v>
      </c>
      <c r="C427" s="2" t="s">
        <v>18</v>
      </c>
      <c r="D427" s="2" t="s">
        <v>25</v>
      </c>
      <c r="E427" s="2" t="s">
        <v>29</v>
      </c>
      <c r="F427" s="6" t="s">
        <v>703</v>
      </c>
      <c r="G427" s="2">
        <v>1</v>
      </c>
      <c r="H427" s="2" t="s">
        <v>11</v>
      </c>
      <c r="I427" s="2" t="s">
        <v>11</v>
      </c>
      <c r="J427" s="2" t="str">
        <f t="shared" si="6"/>
        <v>YES</v>
      </c>
    </row>
    <row r="428" spans="1:10" x14ac:dyDescent="0.25">
      <c r="A428" s="2" t="s">
        <v>685</v>
      </c>
      <c r="B428" s="2" t="s">
        <v>28</v>
      </c>
      <c r="C428" s="2" t="s">
        <v>18</v>
      </c>
      <c r="D428" s="2" t="s">
        <v>25</v>
      </c>
      <c r="E428" s="2" t="s">
        <v>29</v>
      </c>
      <c r="F428" s="6" t="s">
        <v>704</v>
      </c>
      <c r="G428" s="2">
        <v>1</v>
      </c>
      <c r="H428" s="2" t="s">
        <v>11</v>
      </c>
      <c r="I428" s="2" t="s">
        <v>11</v>
      </c>
      <c r="J428" s="2" t="str">
        <f t="shared" si="6"/>
        <v>YES</v>
      </c>
    </row>
    <row r="429" spans="1:10" x14ac:dyDescent="0.25">
      <c r="A429" s="2" t="s">
        <v>685</v>
      </c>
      <c r="B429" s="2" t="s">
        <v>30</v>
      </c>
      <c r="C429" s="2" t="s">
        <v>18</v>
      </c>
      <c r="D429" s="2" t="s">
        <v>25</v>
      </c>
      <c r="E429" s="2" t="s">
        <v>31</v>
      </c>
      <c r="F429" s="6" t="s">
        <v>705</v>
      </c>
      <c r="G429" s="2">
        <v>1</v>
      </c>
      <c r="H429" s="2" t="s">
        <v>11</v>
      </c>
      <c r="I429" s="2" t="s">
        <v>11</v>
      </c>
      <c r="J429" s="2" t="str">
        <f t="shared" si="6"/>
        <v>YES</v>
      </c>
    </row>
    <row r="430" spans="1:10" x14ac:dyDescent="0.25">
      <c r="A430" s="2" t="s">
        <v>685</v>
      </c>
      <c r="B430" s="2" t="s">
        <v>30</v>
      </c>
      <c r="C430" s="2" t="s">
        <v>18</v>
      </c>
      <c r="D430" s="2" t="s">
        <v>25</v>
      </c>
      <c r="E430" s="2" t="s">
        <v>31</v>
      </c>
      <c r="F430" s="6" t="s">
        <v>706</v>
      </c>
      <c r="G430" s="2">
        <v>1</v>
      </c>
      <c r="H430" s="2" t="s">
        <v>11</v>
      </c>
      <c r="I430" s="2" t="s">
        <v>11</v>
      </c>
      <c r="J430" s="2" t="str">
        <f t="shared" si="6"/>
        <v>YES</v>
      </c>
    </row>
    <row r="431" spans="1:10" x14ac:dyDescent="0.25">
      <c r="A431" s="2" t="s">
        <v>685</v>
      </c>
      <c r="B431" s="2" t="s">
        <v>30</v>
      </c>
      <c r="C431" s="2" t="s">
        <v>18</v>
      </c>
      <c r="D431" s="2" t="s">
        <v>25</v>
      </c>
      <c r="E431" s="2" t="s">
        <v>31</v>
      </c>
      <c r="F431" s="6" t="s">
        <v>707</v>
      </c>
      <c r="G431" s="2">
        <v>1</v>
      </c>
      <c r="H431" s="2" t="s">
        <v>11</v>
      </c>
      <c r="I431" s="2" t="s">
        <v>11</v>
      </c>
      <c r="J431" s="2" t="str">
        <f t="shared" si="6"/>
        <v>YES</v>
      </c>
    </row>
    <row r="432" spans="1:10" x14ac:dyDescent="0.25">
      <c r="A432" s="2" t="s">
        <v>685</v>
      </c>
      <c r="B432" s="2" t="s">
        <v>30</v>
      </c>
      <c r="C432" s="2" t="s">
        <v>18</v>
      </c>
      <c r="D432" s="2" t="s">
        <v>25</v>
      </c>
      <c r="E432" s="2" t="s">
        <v>31</v>
      </c>
      <c r="F432" s="6" t="s">
        <v>708</v>
      </c>
      <c r="G432" s="2">
        <v>1</v>
      </c>
      <c r="H432" s="2" t="s">
        <v>11</v>
      </c>
      <c r="I432" s="2" t="s">
        <v>11</v>
      </c>
      <c r="J432" s="2" t="str">
        <f t="shared" si="6"/>
        <v>YES</v>
      </c>
    </row>
    <row r="433" spans="1:10" x14ac:dyDescent="0.25">
      <c r="A433" s="2" t="s">
        <v>685</v>
      </c>
      <c r="B433" s="2" t="s">
        <v>32</v>
      </c>
      <c r="C433" s="2" t="s">
        <v>18</v>
      </c>
      <c r="D433" s="2" t="s">
        <v>25</v>
      </c>
      <c r="E433" s="2" t="s">
        <v>33</v>
      </c>
      <c r="F433" s="6" t="s">
        <v>709</v>
      </c>
      <c r="G433" s="2">
        <v>1</v>
      </c>
      <c r="H433" s="2" t="s">
        <v>11</v>
      </c>
      <c r="I433" s="2" t="s">
        <v>11</v>
      </c>
      <c r="J433" s="2" t="str">
        <f t="shared" si="6"/>
        <v>YES</v>
      </c>
    </row>
    <row r="434" spans="1:10" x14ac:dyDescent="0.25">
      <c r="A434" s="2" t="s">
        <v>685</v>
      </c>
      <c r="B434" s="2" t="s">
        <v>32</v>
      </c>
      <c r="C434" s="2" t="s">
        <v>18</v>
      </c>
      <c r="D434" s="2" t="s">
        <v>25</v>
      </c>
      <c r="E434" s="2" t="s">
        <v>33</v>
      </c>
      <c r="F434" s="6" t="s">
        <v>710</v>
      </c>
      <c r="G434" s="2">
        <v>1</v>
      </c>
      <c r="H434" s="2" t="s">
        <v>11</v>
      </c>
      <c r="I434" s="2" t="s">
        <v>11</v>
      </c>
      <c r="J434" s="2" t="str">
        <f t="shared" si="6"/>
        <v>YES</v>
      </c>
    </row>
    <row r="435" spans="1:10" x14ac:dyDescent="0.25">
      <c r="A435" s="2" t="s">
        <v>685</v>
      </c>
      <c r="B435" s="2" t="s">
        <v>32</v>
      </c>
      <c r="C435" s="2" t="s">
        <v>18</v>
      </c>
      <c r="D435" s="2" t="s">
        <v>25</v>
      </c>
      <c r="E435" s="2" t="s">
        <v>33</v>
      </c>
      <c r="F435" s="6" t="s">
        <v>711</v>
      </c>
      <c r="G435" s="2">
        <v>1</v>
      </c>
      <c r="H435" s="2" t="s">
        <v>11</v>
      </c>
      <c r="I435" s="2" t="s">
        <v>11</v>
      </c>
      <c r="J435" s="2" t="str">
        <f t="shared" si="6"/>
        <v>YES</v>
      </c>
    </row>
    <row r="436" spans="1:10" x14ac:dyDescent="0.25">
      <c r="A436" s="2" t="s">
        <v>685</v>
      </c>
      <c r="B436" s="2" t="s">
        <v>32</v>
      </c>
      <c r="C436" s="2" t="s">
        <v>18</v>
      </c>
      <c r="D436" s="2" t="s">
        <v>25</v>
      </c>
      <c r="E436" s="2" t="s">
        <v>33</v>
      </c>
      <c r="F436" s="6" t="s">
        <v>712</v>
      </c>
      <c r="G436" s="2">
        <v>1</v>
      </c>
      <c r="H436" s="2" t="s">
        <v>11</v>
      </c>
      <c r="I436" s="2" t="s">
        <v>11</v>
      </c>
      <c r="J436" s="2" t="str">
        <f t="shared" si="6"/>
        <v>YES</v>
      </c>
    </row>
    <row r="437" spans="1:10" x14ac:dyDescent="0.25">
      <c r="A437" s="2" t="s">
        <v>685</v>
      </c>
      <c r="B437" s="2" t="s">
        <v>23</v>
      </c>
      <c r="C437" s="2" t="s">
        <v>24</v>
      </c>
      <c r="D437" s="2" t="s">
        <v>25</v>
      </c>
      <c r="E437" s="2" t="s">
        <v>26</v>
      </c>
      <c r="F437" s="6" t="s">
        <v>713</v>
      </c>
      <c r="G437" s="2">
        <v>1</v>
      </c>
      <c r="H437" s="2" t="s">
        <v>9</v>
      </c>
      <c r="I437" s="2" t="s">
        <v>714</v>
      </c>
      <c r="J437" s="2" t="str">
        <f t="shared" si="6"/>
        <v>YES</v>
      </c>
    </row>
    <row r="438" spans="1:10" x14ac:dyDescent="0.25">
      <c r="A438" s="2" t="s">
        <v>685</v>
      </c>
      <c r="B438" s="2" t="s">
        <v>28</v>
      </c>
      <c r="C438" s="2" t="s">
        <v>18</v>
      </c>
      <c r="D438" s="2" t="s">
        <v>25</v>
      </c>
      <c r="E438" s="2" t="s">
        <v>29</v>
      </c>
      <c r="F438" s="6" t="s">
        <v>715</v>
      </c>
      <c r="G438" s="2">
        <v>1</v>
      </c>
      <c r="H438" s="2" t="s">
        <v>11</v>
      </c>
      <c r="I438" s="2" t="s">
        <v>11</v>
      </c>
      <c r="J438" s="2" t="str">
        <f t="shared" si="6"/>
        <v>YES</v>
      </c>
    </row>
    <row r="439" spans="1:10" x14ac:dyDescent="0.25">
      <c r="A439" s="2" t="s">
        <v>685</v>
      </c>
      <c r="B439" s="2" t="s">
        <v>28</v>
      </c>
      <c r="C439" s="2" t="s">
        <v>18</v>
      </c>
      <c r="D439" s="2" t="s">
        <v>25</v>
      </c>
      <c r="E439" s="2" t="s">
        <v>29</v>
      </c>
      <c r="F439" s="6" t="s">
        <v>716</v>
      </c>
      <c r="G439" s="2">
        <v>1</v>
      </c>
      <c r="H439" s="2" t="s">
        <v>11</v>
      </c>
      <c r="I439" s="2" t="s">
        <v>11</v>
      </c>
      <c r="J439" s="2" t="str">
        <f t="shared" si="6"/>
        <v>YES</v>
      </c>
    </row>
    <row r="440" spans="1:10" x14ac:dyDescent="0.25">
      <c r="A440" s="2" t="s">
        <v>685</v>
      </c>
      <c r="B440" s="2" t="s">
        <v>28</v>
      </c>
      <c r="C440" s="2" t="s">
        <v>18</v>
      </c>
      <c r="D440" s="2" t="s">
        <v>25</v>
      </c>
      <c r="E440" s="2" t="s">
        <v>29</v>
      </c>
      <c r="F440" s="6" t="s">
        <v>717</v>
      </c>
      <c r="G440" s="2">
        <v>1</v>
      </c>
      <c r="H440" s="2" t="s">
        <v>11</v>
      </c>
      <c r="I440" s="2" t="s">
        <v>11</v>
      </c>
      <c r="J440" s="2" t="str">
        <f t="shared" si="6"/>
        <v>YES</v>
      </c>
    </row>
    <row r="441" spans="1:10" x14ac:dyDescent="0.25">
      <c r="A441" s="2" t="s">
        <v>685</v>
      </c>
      <c r="B441" s="2" t="s">
        <v>28</v>
      </c>
      <c r="C441" s="2" t="s">
        <v>18</v>
      </c>
      <c r="D441" s="2" t="s">
        <v>25</v>
      </c>
      <c r="E441" s="2" t="s">
        <v>29</v>
      </c>
      <c r="F441" s="6" t="s">
        <v>718</v>
      </c>
      <c r="G441" s="2">
        <v>1</v>
      </c>
      <c r="H441" s="2" t="s">
        <v>11</v>
      </c>
      <c r="I441" s="2" t="s">
        <v>11</v>
      </c>
      <c r="J441" s="2" t="str">
        <f t="shared" si="6"/>
        <v>YES</v>
      </c>
    </row>
    <row r="442" spans="1:10" x14ac:dyDescent="0.25">
      <c r="A442" s="2" t="s">
        <v>685</v>
      </c>
      <c r="B442" s="2" t="s">
        <v>28</v>
      </c>
      <c r="C442" s="2" t="s">
        <v>18</v>
      </c>
      <c r="D442" s="2" t="s">
        <v>25</v>
      </c>
      <c r="E442" s="2" t="s">
        <v>29</v>
      </c>
      <c r="F442" s="6" t="s">
        <v>719</v>
      </c>
      <c r="G442" s="2">
        <v>1</v>
      </c>
      <c r="H442" s="2" t="s">
        <v>11</v>
      </c>
      <c r="I442" s="2" t="s">
        <v>11</v>
      </c>
      <c r="J442" s="2" t="str">
        <f t="shared" si="6"/>
        <v>YES</v>
      </c>
    </row>
    <row r="443" spans="1:10" x14ac:dyDescent="0.25">
      <c r="A443" s="2" t="s">
        <v>685</v>
      </c>
      <c r="B443" s="2" t="s">
        <v>30</v>
      </c>
      <c r="C443" s="2" t="s">
        <v>18</v>
      </c>
      <c r="D443" s="2" t="s">
        <v>25</v>
      </c>
      <c r="E443" s="2" t="s">
        <v>31</v>
      </c>
      <c r="F443" s="6" t="s">
        <v>720</v>
      </c>
      <c r="G443" s="2">
        <v>1</v>
      </c>
      <c r="H443" s="2" t="s">
        <v>11</v>
      </c>
      <c r="I443" s="2" t="s">
        <v>11</v>
      </c>
      <c r="J443" s="2" t="str">
        <f t="shared" si="6"/>
        <v>YES</v>
      </c>
    </row>
    <row r="444" spans="1:10" x14ac:dyDescent="0.25">
      <c r="A444" s="2" t="s">
        <v>685</v>
      </c>
      <c r="B444" s="2" t="s">
        <v>30</v>
      </c>
      <c r="C444" s="2" t="s">
        <v>18</v>
      </c>
      <c r="D444" s="2" t="s">
        <v>25</v>
      </c>
      <c r="E444" s="2" t="s">
        <v>31</v>
      </c>
      <c r="F444" s="6" t="s">
        <v>721</v>
      </c>
      <c r="G444" s="2">
        <v>1</v>
      </c>
      <c r="H444" s="2" t="s">
        <v>11</v>
      </c>
      <c r="I444" s="2" t="s">
        <v>11</v>
      </c>
      <c r="J444" s="2" t="str">
        <f t="shared" si="6"/>
        <v>YES</v>
      </c>
    </row>
    <row r="445" spans="1:10" x14ac:dyDescent="0.25">
      <c r="A445" s="2" t="s">
        <v>685</v>
      </c>
      <c r="B445" s="2" t="s">
        <v>30</v>
      </c>
      <c r="C445" s="2" t="s">
        <v>18</v>
      </c>
      <c r="D445" s="2" t="s">
        <v>25</v>
      </c>
      <c r="E445" s="2" t="s">
        <v>31</v>
      </c>
      <c r="F445" s="6" t="s">
        <v>722</v>
      </c>
      <c r="G445" s="2">
        <v>1</v>
      </c>
      <c r="H445" s="2" t="s">
        <v>11</v>
      </c>
      <c r="I445" s="2" t="s">
        <v>11</v>
      </c>
      <c r="J445" s="2" t="str">
        <f t="shared" si="6"/>
        <v>YES</v>
      </c>
    </row>
    <row r="446" spans="1:10" x14ac:dyDescent="0.25">
      <c r="A446" s="2" t="s">
        <v>685</v>
      </c>
      <c r="B446" s="2" t="s">
        <v>30</v>
      </c>
      <c r="C446" s="2" t="s">
        <v>18</v>
      </c>
      <c r="D446" s="2" t="s">
        <v>25</v>
      </c>
      <c r="E446" s="2" t="s">
        <v>31</v>
      </c>
      <c r="F446" s="6" t="s">
        <v>723</v>
      </c>
      <c r="G446" s="2">
        <v>1</v>
      </c>
      <c r="H446" s="2" t="s">
        <v>11</v>
      </c>
      <c r="I446" s="2" t="s">
        <v>11</v>
      </c>
      <c r="J446" s="2" t="str">
        <f t="shared" si="6"/>
        <v>YES</v>
      </c>
    </row>
    <row r="447" spans="1:10" x14ac:dyDescent="0.25">
      <c r="A447" s="2" t="s">
        <v>685</v>
      </c>
      <c r="B447" s="2" t="s">
        <v>32</v>
      </c>
      <c r="C447" s="2" t="s">
        <v>18</v>
      </c>
      <c r="D447" s="2" t="s">
        <v>25</v>
      </c>
      <c r="E447" s="2" t="s">
        <v>33</v>
      </c>
      <c r="F447" s="6" t="s">
        <v>724</v>
      </c>
      <c r="G447" s="2">
        <v>1</v>
      </c>
      <c r="H447" s="2" t="s">
        <v>11</v>
      </c>
      <c r="I447" s="2" t="s">
        <v>11</v>
      </c>
      <c r="J447" s="2" t="str">
        <f t="shared" si="6"/>
        <v>YES</v>
      </c>
    </row>
    <row r="448" spans="1:10" x14ac:dyDescent="0.25">
      <c r="A448" s="2" t="s">
        <v>685</v>
      </c>
      <c r="B448" s="2" t="s">
        <v>32</v>
      </c>
      <c r="C448" s="2" t="s">
        <v>18</v>
      </c>
      <c r="D448" s="2" t="s">
        <v>25</v>
      </c>
      <c r="E448" s="2" t="s">
        <v>33</v>
      </c>
      <c r="F448" s="6" t="s">
        <v>725</v>
      </c>
      <c r="G448" s="2">
        <v>1</v>
      </c>
      <c r="H448" s="2" t="s">
        <v>11</v>
      </c>
      <c r="I448" s="2" t="s">
        <v>11</v>
      </c>
      <c r="J448" s="2" t="str">
        <f t="shared" si="6"/>
        <v>YES</v>
      </c>
    </row>
    <row r="449" spans="1:10" x14ac:dyDescent="0.25">
      <c r="A449" s="2" t="s">
        <v>685</v>
      </c>
      <c r="B449" s="2" t="s">
        <v>32</v>
      </c>
      <c r="C449" s="2" t="s">
        <v>18</v>
      </c>
      <c r="D449" s="2" t="s">
        <v>25</v>
      </c>
      <c r="E449" s="2" t="s">
        <v>33</v>
      </c>
      <c r="F449" s="6" t="s">
        <v>726</v>
      </c>
      <c r="G449" s="2">
        <v>1</v>
      </c>
      <c r="H449" s="2" t="s">
        <v>11</v>
      </c>
      <c r="I449" s="2" t="s">
        <v>11</v>
      </c>
      <c r="J449" s="2" t="str">
        <f t="shared" si="6"/>
        <v>YES</v>
      </c>
    </row>
    <row r="450" spans="1:10" x14ac:dyDescent="0.25">
      <c r="A450" s="2" t="s">
        <v>685</v>
      </c>
      <c r="B450" s="2" t="s">
        <v>32</v>
      </c>
      <c r="C450" s="2" t="s">
        <v>18</v>
      </c>
      <c r="D450" s="2" t="s">
        <v>25</v>
      </c>
      <c r="E450" s="2" t="s">
        <v>33</v>
      </c>
      <c r="F450" s="6" t="s">
        <v>727</v>
      </c>
      <c r="G450" s="2">
        <v>1</v>
      </c>
      <c r="H450" s="2" t="s">
        <v>11</v>
      </c>
      <c r="I450" s="2" t="s">
        <v>11</v>
      </c>
      <c r="J450" s="2" t="str">
        <f t="shared" si="6"/>
        <v>YES</v>
      </c>
    </row>
    <row r="451" spans="1:10" x14ac:dyDescent="0.25">
      <c r="A451" s="2" t="s">
        <v>685</v>
      </c>
      <c r="B451" s="2" t="s">
        <v>35</v>
      </c>
      <c r="C451" s="2" t="s">
        <v>10</v>
      </c>
      <c r="D451" s="2" t="s">
        <v>11</v>
      </c>
      <c r="E451" s="2" t="s">
        <v>11</v>
      </c>
      <c r="F451" s="6" t="s">
        <v>11</v>
      </c>
      <c r="G451" s="2">
        <v>1</v>
      </c>
      <c r="H451" s="2" t="s">
        <v>35</v>
      </c>
      <c r="I451" s="2" t="s">
        <v>11</v>
      </c>
      <c r="J451" s="2" t="str">
        <f t="shared" ref="J451:J514" si="7">IF(OR(F451="",F451="_",LEFT(F451,5)="SPARE"),"NO","YES")</f>
        <v>NO</v>
      </c>
    </row>
    <row r="452" spans="1:10" x14ac:dyDescent="0.25">
      <c r="A452" s="2" t="s">
        <v>685</v>
      </c>
      <c r="B452" s="2" t="s">
        <v>12</v>
      </c>
      <c r="C452" s="2" t="s">
        <v>13</v>
      </c>
      <c r="D452" s="2" t="s">
        <v>14</v>
      </c>
      <c r="E452" s="2" t="s">
        <v>15</v>
      </c>
      <c r="F452" s="6" t="s">
        <v>728</v>
      </c>
      <c r="G452" s="2">
        <v>1</v>
      </c>
      <c r="H452" s="2" t="s">
        <v>35</v>
      </c>
      <c r="I452" s="2" t="s">
        <v>729</v>
      </c>
      <c r="J452" s="2" t="str">
        <f t="shared" si="7"/>
        <v>YES</v>
      </c>
    </row>
    <row r="453" spans="1:10" x14ac:dyDescent="0.25">
      <c r="A453" s="2" t="s">
        <v>685</v>
      </c>
      <c r="B453" s="2" t="s">
        <v>17</v>
      </c>
      <c r="C453" s="2" t="s">
        <v>18</v>
      </c>
      <c r="D453" s="2" t="s">
        <v>14</v>
      </c>
      <c r="E453" s="2" t="s">
        <v>19</v>
      </c>
      <c r="F453" s="6" t="s">
        <v>730</v>
      </c>
      <c r="G453" s="2">
        <v>1</v>
      </c>
      <c r="H453" s="2" t="s">
        <v>11</v>
      </c>
      <c r="I453" s="2" t="s">
        <v>11</v>
      </c>
      <c r="J453" s="2" t="str">
        <f t="shared" si="7"/>
        <v>YES</v>
      </c>
    </row>
    <row r="454" spans="1:10" x14ac:dyDescent="0.25">
      <c r="A454" s="2" t="s">
        <v>685</v>
      </c>
      <c r="B454" s="2" t="s">
        <v>17</v>
      </c>
      <c r="C454" s="2" t="s">
        <v>18</v>
      </c>
      <c r="D454" s="2" t="s">
        <v>14</v>
      </c>
      <c r="E454" s="2" t="s">
        <v>19</v>
      </c>
      <c r="F454" s="6" t="s">
        <v>731</v>
      </c>
      <c r="G454" s="2">
        <v>1</v>
      </c>
      <c r="H454" s="2" t="s">
        <v>11</v>
      </c>
      <c r="I454" s="2" t="s">
        <v>11</v>
      </c>
      <c r="J454" s="2" t="str">
        <f t="shared" si="7"/>
        <v>YES</v>
      </c>
    </row>
    <row r="455" spans="1:10" x14ac:dyDescent="0.25">
      <c r="A455" s="2" t="s">
        <v>685</v>
      </c>
      <c r="B455" s="2" t="s">
        <v>20</v>
      </c>
      <c r="C455" s="2" t="s">
        <v>18</v>
      </c>
      <c r="D455" s="2" t="s">
        <v>14</v>
      </c>
      <c r="E455" s="2" t="s">
        <v>21</v>
      </c>
      <c r="F455" s="6" t="s">
        <v>732</v>
      </c>
      <c r="G455" s="2">
        <v>1</v>
      </c>
      <c r="H455" s="2" t="s">
        <v>11</v>
      </c>
      <c r="I455" s="2" t="s">
        <v>11</v>
      </c>
      <c r="J455" s="2" t="str">
        <f t="shared" si="7"/>
        <v>YES</v>
      </c>
    </row>
    <row r="456" spans="1:10" x14ac:dyDescent="0.25">
      <c r="A456" s="2" t="s">
        <v>685</v>
      </c>
      <c r="B456" s="2" t="s">
        <v>20</v>
      </c>
      <c r="C456" s="2" t="s">
        <v>18</v>
      </c>
      <c r="D456" s="2" t="s">
        <v>14</v>
      </c>
      <c r="E456" s="2" t="s">
        <v>21</v>
      </c>
      <c r="F456" s="6" t="s">
        <v>733</v>
      </c>
      <c r="G456" s="2">
        <v>1</v>
      </c>
      <c r="H456" s="2" t="s">
        <v>11</v>
      </c>
      <c r="I456" s="2" t="s">
        <v>11</v>
      </c>
      <c r="J456" s="2" t="str">
        <f t="shared" si="7"/>
        <v>YES</v>
      </c>
    </row>
    <row r="457" spans="1:10" x14ac:dyDescent="0.25">
      <c r="A457" s="2" t="s">
        <v>685</v>
      </c>
      <c r="B457" s="2" t="s">
        <v>12</v>
      </c>
      <c r="C457" s="2" t="s">
        <v>13</v>
      </c>
      <c r="D457" s="2" t="s">
        <v>14</v>
      </c>
      <c r="E457" s="2" t="s">
        <v>15</v>
      </c>
      <c r="F457" s="6" t="s">
        <v>734</v>
      </c>
      <c r="G457" s="2">
        <v>1</v>
      </c>
      <c r="H457" s="2" t="s">
        <v>35</v>
      </c>
      <c r="I457" s="2" t="s">
        <v>735</v>
      </c>
      <c r="J457" s="2" t="str">
        <f t="shared" si="7"/>
        <v>NO</v>
      </c>
    </row>
    <row r="458" spans="1:10" x14ac:dyDescent="0.25">
      <c r="A458" s="2" t="s">
        <v>685</v>
      </c>
      <c r="B458" s="2" t="s">
        <v>17</v>
      </c>
      <c r="C458" s="2" t="s">
        <v>18</v>
      </c>
      <c r="D458" s="2" t="s">
        <v>14</v>
      </c>
      <c r="E458" s="2" t="s">
        <v>19</v>
      </c>
      <c r="F458" s="6" t="s">
        <v>736</v>
      </c>
      <c r="G458" s="2">
        <v>1</v>
      </c>
      <c r="H458" s="2" t="s">
        <v>11</v>
      </c>
      <c r="I458" s="2" t="s">
        <v>11</v>
      </c>
      <c r="J458" s="2" t="str">
        <f t="shared" si="7"/>
        <v>YES</v>
      </c>
    </row>
    <row r="459" spans="1:10" x14ac:dyDescent="0.25">
      <c r="A459" s="2" t="s">
        <v>685</v>
      </c>
      <c r="B459" s="2" t="s">
        <v>17</v>
      </c>
      <c r="C459" s="2" t="s">
        <v>18</v>
      </c>
      <c r="D459" s="2" t="s">
        <v>14</v>
      </c>
      <c r="E459" s="2" t="s">
        <v>19</v>
      </c>
      <c r="F459" s="6" t="s">
        <v>737</v>
      </c>
      <c r="G459" s="2">
        <v>1</v>
      </c>
      <c r="H459" s="2" t="s">
        <v>11</v>
      </c>
      <c r="I459" s="2" t="s">
        <v>11</v>
      </c>
      <c r="J459" s="2" t="str">
        <f t="shared" si="7"/>
        <v>YES</v>
      </c>
    </row>
    <row r="460" spans="1:10" x14ac:dyDescent="0.25">
      <c r="A460" s="2" t="s">
        <v>685</v>
      </c>
      <c r="B460" s="2" t="s">
        <v>20</v>
      </c>
      <c r="C460" s="2" t="s">
        <v>18</v>
      </c>
      <c r="D460" s="2" t="s">
        <v>14</v>
      </c>
      <c r="E460" s="2" t="s">
        <v>21</v>
      </c>
      <c r="F460" s="6" t="s">
        <v>738</v>
      </c>
      <c r="G460" s="2">
        <v>1</v>
      </c>
      <c r="H460" s="2" t="s">
        <v>11</v>
      </c>
      <c r="I460" s="2" t="s">
        <v>11</v>
      </c>
      <c r="J460" s="2" t="str">
        <f t="shared" si="7"/>
        <v>YES</v>
      </c>
    </row>
    <row r="461" spans="1:10" x14ac:dyDescent="0.25">
      <c r="A461" s="2" t="s">
        <v>685</v>
      </c>
      <c r="B461" s="2" t="s">
        <v>20</v>
      </c>
      <c r="C461" s="2" t="s">
        <v>18</v>
      </c>
      <c r="D461" s="2" t="s">
        <v>14</v>
      </c>
      <c r="E461" s="2" t="s">
        <v>21</v>
      </c>
      <c r="F461" s="6" t="s">
        <v>739</v>
      </c>
      <c r="G461" s="2">
        <v>1</v>
      </c>
      <c r="H461" s="2" t="s">
        <v>11</v>
      </c>
      <c r="I461" s="2" t="s">
        <v>11</v>
      </c>
      <c r="J461" s="2" t="str">
        <f t="shared" si="7"/>
        <v>YES</v>
      </c>
    </row>
    <row r="462" spans="1:10" x14ac:dyDescent="0.25">
      <c r="A462" s="2" t="s">
        <v>685</v>
      </c>
      <c r="B462" s="2" t="s">
        <v>38</v>
      </c>
      <c r="C462" s="2" t="s">
        <v>39</v>
      </c>
      <c r="D462" s="2" t="s">
        <v>14</v>
      </c>
      <c r="E462" s="2" t="s">
        <v>40</v>
      </c>
      <c r="F462" s="6" t="s">
        <v>740</v>
      </c>
      <c r="G462" s="2">
        <v>1</v>
      </c>
      <c r="H462" s="2" t="s">
        <v>741</v>
      </c>
      <c r="I462" s="2" t="s">
        <v>11</v>
      </c>
      <c r="J462" s="2" t="str">
        <f t="shared" si="7"/>
        <v>YES</v>
      </c>
    </row>
    <row r="463" spans="1:10" x14ac:dyDescent="0.25">
      <c r="A463" s="2" t="s">
        <v>685</v>
      </c>
      <c r="B463" s="2" t="s">
        <v>38</v>
      </c>
      <c r="C463" s="2" t="s">
        <v>39</v>
      </c>
      <c r="D463" s="2" t="s">
        <v>14</v>
      </c>
      <c r="E463" s="2" t="s">
        <v>40</v>
      </c>
      <c r="F463" s="6" t="s">
        <v>742</v>
      </c>
      <c r="G463" s="2">
        <v>1</v>
      </c>
      <c r="H463" s="2" t="s">
        <v>743</v>
      </c>
      <c r="I463" s="2" t="s">
        <v>11</v>
      </c>
      <c r="J463" s="2" t="str">
        <f t="shared" si="7"/>
        <v>YES</v>
      </c>
    </row>
    <row r="464" spans="1:10" x14ac:dyDescent="0.25">
      <c r="A464" s="2" t="s">
        <v>685</v>
      </c>
      <c r="B464" s="2" t="s">
        <v>41</v>
      </c>
      <c r="C464" s="2" t="s">
        <v>42</v>
      </c>
      <c r="D464" s="2" t="s">
        <v>14</v>
      </c>
      <c r="E464" s="2" t="s">
        <v>43</v>
      </c>
      <c r="F464" s="6" t="s">
        <v>744</v>
      </c>
      <c r="G464" s="2">
        <v>1</v>
      </c>
      <c r="H464" s="2" t="s">
        <v>35</v>
      </c>
      <c r="I464" s="2" t="s">
        <v>745</v>
      </c>
      <c r="J464" s="2" t="str">
        <f t="shared" si="7"/>
        <v>YES</v>
      </c>
    </row>
    <row r="465" spans="1:10" x14ac:dyDescent="0.25">
      <c r="A465" s="2" t="s">
        <v>685</v>
      </c>
      <c r="B465" s="2" t="s">
        <v>45</v>
      </c>
      <c r="C465" s="2" t="s">
        <v>42</v>
      </c>
      <c r="D465" s="2" t="s">
        <v>14</v>
      </c>
      <c r="E465" s="2" t="s">
        <v>46</v>
      </c>
      <c r="F465" s="6" t="s">
        <v>746</v>
      </c>
      <c r="G465" s="2">
        <v>1</v>
      </c>
      <c r="H465" s="2" t="s">
        <v>11</v>
      </c>
      <c r="I465" s="2" t="s">
        <v>11</v>
      </c>
      <c r="J465" s="2" t="str">
        <f t="shared" si="7"/>
        <v>YES</v>
      </c>
    </row>
    <row r="466" spans="1:10" x14ac:dyDescent="0.25">
      <c r="A466" s="2" t="s">
        <v>685</v>
      </c>
      <c r="B466" s="2" t="s">
        <v>45</v>
      </c>
      <c r="C466" s="2" t="s">
        <v>42</v>
      </c>
      <c r="D466" s="2" t="s">
        <v>14</v>
      </c>
      <c r="E466" s="2" t="s">
        <v>46</v>
      </c>
      <c r="F466" s="6" t="s">
        <v>747</v>
      </c>
      <c r="G466" s="2">
        <v>1</v>
      </c>
      <c r="H466" s="2" t="s">
        <v>11</v>
      </c>
      <c r="I466" s="2" t="s">
        <v>11</v>
      </c>
      <c r="J466" s="2" t="str">
        <f t="shared" si="7"/>
        <v>YES</v>
      </c>
    </row>
    <row r="467" spans="1:10" x14ac:dyDescent="0.25">
      <c r="A467" s="2" t="s">
        <v>685</v>
      </c>
      <c r="B467" s="2" t="s">
        <v>47</v>
      </c>
      <c r="C467" s="2" t="s">
        <v>39</v>
      </c>
      <c r="D467" s="2" t="s">
        <v>14</v>
      </c>
      <c r="E467" s="2" t="s">
        <v>48</v>
      </c>
      <c r="F467" s="6" t="s">
        <v>748</v>
      </c>
      <c r="G467" s="2">
        <v>1</v>
      </c>
      <c r="H467" s="2" t="s">
        <v>749</v>
      </c>
      <c r="I467" s="2" t="s">
        <v>11</v>
      </c>
      <c r="J467" s="2" t="str">
        <f t="shared" si="7"/>
        <v>YES</v>
      </c>
    </row>
    <row r="468" spans="1:10" x14ac:dyDescent="0.25">
      <c r="A468" s="2" t="s">
        <v>685</v>
      </c>
      <c r="B468" s="2" t="s">
        <v>47</v>
      </c>
      <c r="C468" s="2" t="s">
        <v>39</v>
      </c>
      <c r="D468" s="2" t="s">
        <v>14</v>
      </c>
      <c r="E468" s="2" t="s">
        <v>48</v>
      </c>
      <c r="F468" s="6" t="s">
        <v>750</v>
      </c>
      <c r="G468" s="2">
        <v>1</v>
      </c>
      <c r="H468" s="2" t="s">
        <v>751</v>
      </c>
      <c r="I468" s="2" t="s">
        <v>11</v>
      </c>
      <c r="J468" s="2" t="str">
        <f t="shared" si="7"/>
        <v>YES</v>
      </c>
    </row>
    <row r="469" spans="1:10" x14ac:dyDescent="0.25">
      <c r="A469" s="2" t="s">
        <v>685</v>
      </c>
      <c r="B469" s="2" t="s">
        <v>47</v>
      </c>
      <c r="C469" s="2" t="s">
        <v>39</v>
      </c>
      <c r="D469" s="2" t="s">
        <v>14</v>
      </c>
      <c r="E469" s="2" t="s">
        <v>48</v>
      </c>
      <c r="F469" s="6" t="s">
        <v>752</v>
      </c>
      <c r="G469" s="2">
        <v>1</v>
      </c>
      <c r="H469" s="2" t="s">
        <v>753</v>
      </c>
      <c r="I469" s="2" t="s">
        <v>11</v>
      </c>
      <c r="J469" s="2" t="str">
        <f t="shared" si="7"/>
        <v>YES</v>
      </c>
    </row>
    <row r="470" spans="1:10" x14ac:dyDescent="0.25">
      <c r="A470" s="2" t="s">
        <v>685</v>
      </c>
      <c r="B470" s="2" t="s">
        <v>47</v>
      </c>
      <c r="C470" s="2" t="s">
        <v>39</v>
      </c>
      <c r="D470" s="2" t="s">
        <v>14</v>
      </c>
      <c r="E470" s="2" t="s">
        <v>48</v>
      </c>
      <c r="F470" s="6" t="s">
        <v>754</v>
      </c>
      <c r="G470" s="2">
        <v>1</v>
      </c>
      <c r="H470" s="2" t="s">
        <v>755</v>
      </c>
      <c r="I470" s="2" t="s">
        <v>11</v>
      </c>
      <c r="J470" s="2" t="str">
        <f t="shared" si="7"/>
        <v>YES</v>
      </c>
    </row>
    <row r="471" spans="1:10" x14ac:dyDescent="0.25">
      <c r="A471" s="2" t="s">
        <v>685</v>
      </c>
      <c r="B471" s="2" t="s">
        <v>47</v>
      </c>
      <c r="C471" s="2" t="s">
        <v>39</v>
      </c>
      <c r="D471" s="2" t="s">
        <v>14</v>
      </c>
      <c r="E471" s="2" t="s">
        <v>48</v>
      </c>
      <c r="F471" s="6" t="s">
        <v>756</v>
      </c>
      <c r="G471" s="2">
        <v>1</v>
      </c>
      <c r="H471" s="2" t="s">
        <v>757</v>
      </c>
      <c r="I471" s="2" t="s">
        <v>11</v>
      </c>
      <c r="J471" s="2" t="str">
        <f t="shared" si="7"/>
        <v>YES</v>
      </c>
    </row>
    <row r="472" spans="1:10" x14ac:dyDescent="0.25">
      <c r="A472" s="2" t="s">
        <v>685</v>
      </c>
      <c r="B472" s="2" t="s">
        <v>47</v>
      </c>
      <c r="C472" s="2" t="s">
        <v>39</v>
      </c>
      <c r="D472" s="2" t="s">
        <v>14</v>
      </c>
      <c r="E472" s="2" t="s">
        <v>48</v>
      </c>
      <c r="F472" s="6" t="s">
        <v>758</v>
      </c>
      <c r="G472" s="2">
        <v>1</v>
      </c>
      <c r="H472" s="2" t="s">
        <v>759</v>
      </c>
      <c r="I472" s="2" t="s">
        <v>11</v>
      </c>
      <c r="J472" s="2" t="str">
        <f t="shared" si="7"/>
        <v>YES</v>
      </c>
    </row>
    <row r="473" spans="1:10" x14ac:dyDescent="0.25">
      <c r="A473" s="2" t="s">
        <v>685</v>
      </c>
      <c r="B473" s="2" t="s">
        <v>47</v>
      </c>
      <c r="C473" s="2" t="s">
        <v>39</v>
      </c>
      <c r="D473" s="2" t="s">
        <v>14</v>
      </c>
      <c r="E473" s="2" t="s">
        <v>48</v>
      </c>
      <c r="F473" s="6" t="s">
        <v>760</v>
      </c>
      <c r="G473" s="2">
        <v>1</v>
      </c>
      <c r="H473" s="2" t="s">
        <v>761</v>
      </c>
      <c r="I473" s="2" t="s">
        <v>11</v>
      </c>
      <c r="J473" s="2" t="str">
        <f t="shared" si="7"/>
        <v>YES</v>
      </c>
    </row>
    <row r="474" spans="1:10" x14ac:dyDescent="0.25">
      <c r="A474" s="2" t="s">
        <v>685</v>
      </c>
      <c r="B474" s="2" t="s">
        <v>47</v>
      </c>
      <c r="C474" s="2" t="s">
        <v>39</v>
      </c>
      <c r="D474" s="2" t="s">
        <v>14</v>
      </c>
      <c r="E474" s="2" t="s">
        <v>48</v>
      </c>
      <c r="F474" s="6" t="s">
        <v>762</v>
      </c>
      <c r="G474" s="2">
        <v>1</v>
      </c>
      <c r="H474" s="2" t="s">
        <v>763</v>
      </c>
      <c r="I474" s="2" t="s">
        <v>11</v>
      </c>
      <c r="J474" s="2" t="str">
        <f t="shared" si="7"/>
        <v>YES</v>
      </c>
    </row>
    <row r="475" spans="1:10" x14ac:dyDescent="0.25">
      <c r="A475" s="2" t="s">
        <v>685</v>
      </c>
      <c r="B475" s="2" t="s">
        <v>47</v>
      </c>
      <c r="C475" s="2" t="s">
        <v>39</v>
      </c>
      <c r="D475" s="2" t="s">
        <v>14</v>
      </c>
      <c r="E475" s="2" t="s">
        <v>48</v>
      </c>
      <c r="F475" s="6" t="s">
        <v>764</v>
      </c>
      <c r="G475" s="2">
        <v>1</v>
      </c>
      <c r="H475" s="2" t="s">
        <v>765</v>
      </c>
      <c r="I475" s="2" t="s">
        <v>11</v>
      </c>
      <c r="J475" s="2" t="str">
        <f t="shared" si="7"/>
        <v>YES</v>
      </c>
    </row>
    <row r="476" spans="1:10" x14ac:dyDescent="0.25">
      <c r="A476" s="2" t="s">
        <v>685</v>
      </c>
      <c r="B476" s="2" t="s">
        <v>47</v>
      </c>
      <c r="C476" s="2" t="s">
        <v>39</v>
      </c>
      <c r="D476" s="2" t="s">
        <v>14</v>
      </c>
      <c r="E476" s="2" t="s">
        <v>48</v>
      </c>
      <c r="F476" s="6" t="s">
        <v>766</v>
      </c>
      <c r="G476" s="2">
        <v>1</v>
      </c>
      <c r="H476" s="2" t="s">
        <v>767</v>
      </c>
      <c r="I476" s="2" t="s">
        <v>11</v>
      </c>
      <c r="J476" s="2" t="str">
        <f t="shared" si="7"/>
        <v>YES</v>
      </c>
    </row>
    <row r="477" spans="1:10" x14ac:dyDescent="0.25">
      <c r="A477" s="2" t="s">
        <v>685</v>
      </c>
      <c r="B477" s="2" t="s">
        <v>47</v>
      </c>
      <c r="C477" s="2" t="s">
        <v>39</v>
      </c>
      <c r="D477" s="2" t="s">
        <v>14</v>
      </c>
      <c r="E477" s="2" t="s">
        <v>48</v>
      </c>
      <c r="F477" s="6" t="s">
        <v>768</v>
      </c>
      <c r="G477" s="2">
        <v>1</v>
      </c>
      <c r="H477" s="2" t="s">
        <v>769</v>
      </c>
      <c r="I477" s="2" t="s">
        <v>11</v>
      </c>
      <c r="J477" s="2" t="str">
        <f t="shared" si="7"/>
        <v>YES</v>
      </c>
    </row>
    <row r="478" spans="1:10" x14ac:dyDescent="0.25">
      <c r="A478" s="2" t="s">
        <v>685</v>
      </c>
      <c r="B478" s="2" t="s">
        <v>47</v>
      </c>
      <c r="C478" s="2" t="s">
        <v>39</v>
      </c>
      <c r="D478" s="2" t="s">
        <v>14</v>
      </c>
      <c r="E478" s="2" t="s">
        <v>48</v>
      </c>
      <c r="F478" s="6" t="s">
        <v>770</v>
      </c>
      <c r="G478" s="2">
        <v>1</v>
      </c>
      <c r="H478" s="2" t="s">
        <v>771</v>
      </c>
      <c r="I478" s="2" t="s">
        <v>11</v>
      </c>
      <c r="J478" s="2" t="str">
        <f t="shared" si="7"/>
        <v>YES</v>
      </c>
    </row>
    <row r="479" spans="1:10" x14ac:dyDescent="0.25">
      <c r="A479" s="2" t="s">
        <v>685</v>
      </c>
      <c r="B479" s="2" t="s">
        <v>49</v>
      </c>
      <c r="C479" s="2" t="s">
        <v>18</v>
      </c>
      <c r="D479" s="2" t="s">
        <v>14</v>
      </c>
      <c r="E479" s="2" t="s">
        <v>50</v>
      </c>
      <c r="F479" s="6" t="s">
        <v>772</v>
      </c>
      <c r="G479" s="2">
        <v>1</v>
      </c>
      <c r="H479" s="2" t="s">
        <v>11</v>
      </c>
      <c r="I479" s="2" t="s">
        <v>11</v>
      </c>
      <c r="J479" s="2" t="str">
        <f t="shared" si="7"/>
        <v>YES</v>
      </c>
    </row>
    <row r="480" spans="1:10" x14ac:dyDescent="0.25">
      <c r="A480" s="2" t="s">
        <v>685</v>
      </c>
      <c r="B480" s="2" t="s">
        <v>49</v>
      </c>
      <c r="C480" s="2" t="s">
        <v>18</v>
      </c>
      <c r="D480" s="2" t="s">
        <v>14</v>
      </c>
      <c r="E480" s="2" t="s">
        <v>50</v>
      </c>
      <c r="F480" s="6" t="s">
        <v>773</v>
      </c>
      <c r="G480" s="2">
        <v>1</v>
      </c>
      <c r="H480" s="2" t="s">
        <v>11</v>
      </c>
      <c r="I480" s="2" t="s">
        <v>11</v>
      </c>
      <c r="J480" s="2" t="str">
        <f t="shared" si="7"/>
        <v>YES</v>
      </c>
    </row>
    <row r="481" spans="1:10" x14ac:dyDescent="0.25">
      <c r="A481" s="2" t="s">
        <v>685</v>
      </c>
      <c r="B481" s="2" t="s">
        <v>49</v>
      </c>
      <c r="C481" s="2" t="s">
        <v>18</v>
      </c>
      <c r="D481" s="2" t="s">
        <v>14</v>
      </c>
      <c r="E481" s="2" t="s">
        <v>50</v>
      </c>
      <c r="F481" s="6" t="s">
        <v>774</v>
      </c>
      <c r="G481" s="2">
        <v>1</v>
      </c>
      <c r="H481" s="2" t="s">
        <v>11</v>
      </c>
      <c r="I481" s="2" t="s">
        <v>11</v>
      </c>
      <c r="J481" s="2" t="str">
        <f t="shared" si="7"/>
        <v>YES</v>
      </c>
    </row>
    <row r="482" spans="1:10" x14ac:dyDescent="0.25">
      <c r="A482" s="2" t="s">
        <v>685</v>
      </c>
      <c r="B482" s="2" t="s">
        <v>49</v>
      </c>
      <c r="C482" s="2" t="s">
        <v>18</v>
      </c>
      <c r="D482" s="2" t="s">
        <v>14</v>
      </c>
      <c r="E482" s="2" t="s">
        <v>50</v>
      </c>
      <c r="F482" s="6" t="s">
        <v>775</v>
      </c>
      <c r="G482" s="2">
        <v>1</v>
      </c>
      <c r="H482" s="2" t="s">
        <v>11</v>
      </c>
      <c r="I482" s="2" t="s">
        <v>11</v>
      </c>
      <c r="J482" s="2" t="str">
        <f t="shared" si="7"/>
        <v>YES</v>
      </c>
    </row>
    <row r="483" spans="1:10" x14ac:dyDescent="0.25">
      <c r="A483" s="2" t="s">
        <v>685</v>
      </c>
      <c r="B483" s="2" t="s">
        <v>49</v>
      </c>
      <c r="C483" s="2" t="s">
        <v>18</v>
      </c>
      <c r="D483" s="2" t="s">
        <v>14</v>
      </c>
      <c r="E483" s="2" t="s">
        <v>50</v>
      </c>
      <c r="F483" s="6" t="s">
        <v>776</v>
      </c>
      <c r="G483" s="2">
        <v>1</v>
      </c>
      <c r="H483" s="2" t="s">
        <v>11</v>
      </c>
      <c r="I483" s="2" t="s">
        <v>11</v>
      </c>
      <c r="J483" s="2" t="str">
        <f t="shared" si="7"/>
        <v>YES</v>
      </c>
    </row>
    <row r="484" spans="1:10" x14ac:dyDescent="0.25">
      <c r="A484" s="2" t="s">
        <v>685</v>
      </c>
      <c r="B484" s="2" t="s">
        <v>49</v>
      </c>
      <c r="C484" s="2" t="s">
        <v>18</v>
      </c>
      <c r="D484" s="2" t="s">
        <v>14</v>
      </c>
      <c r="E484" s="2" t="s">
        <v>50</v>
      </c>
      <c r="F484" s="6" t="s">
        <v>777</v>
      </c>
      <c r="G484" s="2">
        <v>1</v>
      </c>
      <c r="H484" s="2" t="s">
        <v>11</v>
      </c>
      <c r="I484" s="2" t="s">
        <v>11</v>
      </c>
      <c r="J484" s="2" t="str">
        <f t="shared" si="7"/>
        <v>YES</v>
      </c>
    </row>
    <row r="485" spans="1:10" x14ac:dyDescent="0.25">
      <c r="A485" s="2" t="s">
        <v>685</v>
      </c>
      <c r="B485" s="2" t="s">
        <v>49</v>
      </c>
      <c r="C485" s="2" t="s">
        <v>18</v>
      </c>
      <c r="D485" s="2" t="s">
        <v>14</v>
      </c>
      <c r="E485" s="2" t="s">
        <v>50</v>
      </c>
      <c r="F485" s="6" t="s">
        <v>778</v>
      </c>
      <c r="G485" s="2">
        <v>1</v>
      </c>
      <c r="H485" s="2" t="s">
        <v>11</v>
      </c>
      <c r="I485" s="2" t="s">
        <v>11</v>
      </c>
      <c r="J485" s="2" t="str">
        <f t="shared" si="7"/>
        <v>YES</v>
      </c>
    </row>
    <row r="486" spans="1:10" x14ac:dyDescent="0.25">
      <c r="A486" s="2" t="s">
        <v>685</v>
      </c>
      <c r="B486" s="2" t="s">
        <v>49</v>
      </c>
      <c r="C486" s="2" t="s">
        <v>18</v>
      </c>
      <c r="D486" s="2" t="s">
        <v>14</v>
      </c>
      <c r="E486" s="2" t="s">
        <v>50</v>
      </c>
      <c r="F486" s="6" t="s">
        <v>779</v>
      </c>
      <c r="G486" s="2">
        <v>1</v>
      </c>
      <c r="H486" s="2" t="s">
        <v>11</v>
      </c>
      <c r="I486" s="2" t="s">
        <v>11</v>
      </c>
      <c r="J486" s="2" t="str">
        <f t="shared" si="7"/>
        <v>YES</v>
      </c>
    </row>
    <row r="487" spans="1:10" x14ac:dyDescent="0.25">
      <c r="A487" s="2" t="s">
        <v>685</v>
      </c>
      <c r="B487" s="2" t="s">
        <v>51</v>
      </c>
      <c r="C487" s="2" t="s">
        <v>10</v>
      </c>
      <c r="D487" s="2" t="s">
        <v>11</v>
      </c>
      <c r="E487" s="2" t="s">
        <v>11</v>
      </c>
      <c r="F487" s="6" t="s">
        <v>11</v>
      </c>
      <c r="G487" s="2">
        <v>1</v>
      </c>
      <c r="H487" s="2" t="s">
        <v>51</v>
      </c>
      <c r="I487" s="2" t="s">
        <v>11</v>
      </c>
      <c r="J487" s="2" t="str">
        <f t="shared" si="7"/>
        <v>NO</v>
      </c>
    </row>
    <row r="488" spans="1:10" x14ac:dyDescent="0.25">
      <c r="A488" s="2" t="s">
        <v>685</v>
      </c>
      <c r="B488" s="2" t="s">
        <v>52</v>
      </c>
      <c r="C488" s="2" t="s">
        <v>53</v>
      </c>
      <c r="D488" s="2" t="s">
        <v>54</v>
      </c>
      <c r="E488" s="2" t="s">
        <v>55</v>
      </c>
      <c r="F488" s="6" t="s">
        <v>780</v>
      </c>
      <c r="G488" s="2">
        <v>1</v>
      </c>
      <c r="H488" s="2" t="s">
        <v>51</v>
      </c>
      <c r="I488" s="2" t="s">
        <v>781</v>
      </c>
      <c r="J488" s="2" t="str">
        <f t="shared" si="7"/>
        <v>YES</v>
      </c>
    </row>
    <row r="489" spans="1:10" x14ac:dyDescent="0.25">
      <c r="A489" s="2" t="s">
        <v>685</v>
      </c>
      <c r="B489" s="2" t="s">
        <v>57</v>
      </c>
      <c r="C489" s="2" t="s">
        <v>58</v>
      </c>
      <c r="D489" s="2" t="s">
        <v>14</v>
      </c>
      <c r="E489" s="2" t="s">
        <v>59</v>
      </c>
      <c r="F489" s="6" t="s">
        <v>782</v>
      </c>
      <c r="G489" s="2">
        <v>1</v>
      </c>
      <c r="H489" s="2" t="s">
        <v>51</v>
      </c>
      <c r="I489" s="2" t="s">
        <v>783</v>
      </c>
      <c r="J489" s="2" t="str">
        <f t="shared" si="7"/>
        <v>YES</v>
      </c>
    </row>
    <row r="490" spans="1:10" x14ac:dyDescent="0.25">
      <c r="A490" s="2" t="s">
        <v>685</v>
      </c>
      <c r="B490" s="2" t="s">
        <v>784</v>
      </c>
      <c r="C490" s="2" t="s">
        <v>62</v>
      </c>
      <c r="D490" s="2" t="s">
        <v>11</v>
      </c>
      <c r="E490" s="2" t="s">
        <v>11</v>
      </c>
      <c r="F490" s="6" t="s">
        <v>11</v>
      </c>
      <c r="G490" s="2">
        <v>1</v>
      </c>
      <c r="H490" s="2" t="s">
        <v>784</v>
      </c>
      <c r="I490" s="2" t="s">
        <v>11</v>
      </c>
      <c r="J490" s="2" t="str">
        <f t="shared" si="7"/>
        <v>NO</v>
      </c>
    </row>
    <row r="491" spans="1:10" x14ac:dyDescent="0.25">
      <c r="A491" s="2" t="s">
        <v>685</v>
      </c>
      <c r="B491" s="2" t="s">
        <v>63</v>
      </c>
      <c r="C491" s="2" t="s">
        <v>64</v>
      </c>
      <c r="D491" s="2" t="s">
        <v>65</v>
      </c>
      <c r="E491" s="2" t="s">
        <v>66</v>
      </c>
      <c r="F491" s="6" t="s">
        <v>785</v>
      </c>
      <c r="G491" s="2">
        <v>1</v>
      </c>
      <c r="H491" s="2" t="s">
        <v>11</v>
      </c>
      <c r="I491" s="2" t="s">
        <v>786</v>
      </c>
      <c r="J491" s="2" t="str">
        <f t="shared" si="7"/>
        <v>YES</v>
      </c>
    </row>
    <row r="492" spans="1:10" x14ac:dyDescent="0.25">
      <c r="A492" s="2" t="s">
        <v>685</v>
      </c>
      <c r="B492" s="2" t="s">
        <v>68</v>
      </c>
      <c r="C492" s="2" t="s">
        <v>69</v>
      </c>
      <c r="D492" s="2" t="s">
        <v>65</v>
      </c>
      <c r="E492" s="2" t="s">
        <v>70</v>
      </c>
      <c r="F492" s="6" t="s">
        <v>787</v>
      </c>
      <c r="G492" s="2">
        <v>1</v>
      </c>
      <c r="H492" s="2" t="s">
        <v>11</v>
      </c>
      <c r="I492" s="2" t="s">
        <v>788</v>
      </c>
      <c r="J492" s="2" t="str">
        <f t="shared" si="7"/>
        <v>YES</v>
      </c>
    </row>
    <row r="493" spans="1:10" x14ac:dyDescent="0.25">
      <c r="A493" s="2" t="s">
        <v>685</v>
      </c>
      <c r="B493" s="2" t="s">
        <v>68</v>
      </c>
      <c r="C493" s="2" t="s">
        <v>69</v>
      </c>
      <c r="D493" s="2" t="s">
        <v>65</v>
      </c>
      <c r="E493" s="2" t="s">
        <v>70</v>
      </c>
      <c r="F493" s="6" t="s">
        <v>789</v>
      </c>
      <c r="G493" s="2">
        <v>1</v>
      </c>
      <c r="H493" s="2" t="s">
        <v>11</v>
      </c>
      <c r="I493" s="2" t="s">
        <v>790</v>
      </c>
      <c r="J493" s="2" t="str">
        <f t="shared" si="7"/>
        <v>YES</v>
      </c>
    </row>
    <row r="494" spans="1:10" x14ac:dyDescent="0.25">
      <c r="A494" s="2" t="s">
        <v>685</v>
      </c>
      <c r="B494" s="2" t="s">
        <v>63</v>
      </c>
      <c r="C494" s="2" t="s">
        <v>64</v>
      </c>
      <c r="D494" s="2" t="s">
        <v>65</v>
      </c>
      <c r="E494" s="2" t="s">
        <v>66</v>
      </c>
      <c r="F494" s="6" t="s">
        <v>791</v>
      </c>
      <c r="G494" s="2">
        <v>1</v>
      </c>
      <c r="H494" s="2" t="s">
        <v>11</v>
      </c>
      <c r="I494" s="2" t="s">
        <v>792</v>
      </c>
      <c r="J494" s="2" t="str">
        <f t="shared" si="7"/>
        <v>YES</v>
      </c>
    </row>
    <row r="495" spans="1:10" x14ac:dyDescent="0.25">
      <c r="A495" s="2" t="s">
        <v>685</v>
      </c>
      <c r="B495" s="2" t="s">
        <v>68</v>
      </c>
      <c r="C495" s="2" t="s">
        <v>69</v>
      </c>
      <c r="D495" s="2" t="s">
        <v>65</v>
      </c>
      <c r="E495" s="2" t="s">
        <v>70</v>
      </c>
      <c r="F495" s="6" t="s">
        <v>793</v>
      </c>
      <c r="G495" s="2">
        <v>1</v>
      </c>
      <c r="H495" s="2" t="s">
        <v>11</v>
      </c>
      <c r="I495" s="2" t="s">
        <v>794</v>
      </c>
      <c r="J495" s="2" t="str">
        <f t="shared" si="7"/>
        <v>YES</v>
      </c>
    </row>
    <row r="496" spans="1:10" x14ac:dyDescent="0.25">
      <c r="A496" s="2" t="s">
        <v>685</v>
      </c>
      <c r="B496" s="2" t="s">
        <v>68</v>
      </c>
      <c r="C496" s="2" t="s">
        <v>69</v>
      </c>
      <c r="D496" s="2" t="s">
        <v>65</v>
      </c>
      <c r="E496" s="2" t="s">
        <v>70</v>
      </c>
      <c r="F496" s="6" t="s">
        <v>795</v>
      </c>
      <c r="G496" s="2">
        <v>1</v>
      </c>
      <c r="H496" s="2" t="s">
        <v>11</v>
      </c>
      <c r="I496" s="2" t="s">
        <v>796</v>
      </c>
      <c r="J496" s="2" t="str">
        <f t="shared" si="7"/>
        <v>YES</v>
      </c>
    </row>
    <row r="497" spans="1:10" x14ac:dyDescent="0.25">
      <c r="A497" s="2" t="s">
        <v>685</v>
      </c>
      <c r="B497" s="2" t="s">
        <v>797</v>
      </c>
      <c r="C497" s="2" t="s">
        <v>77</v>
      </c>
      <c r="D497" s="2" t="s">
        <v>11</v>
      </c>
      <c r="E497" s="2" t="s">
        <v>11</v>
      </c>
      <c r="F497" s="6" t="s">
        <v>11</v>
      </c>
      <c r="G497" s="2">
        <v>1</v>
      </c>
      <c r="H497" s="2" t="s">
        <v>797</v>
      </c>
      <c r="I497" s="2" t="s">
        <v>11</v>
      </c>
      <c r="J497" s="2" t="str">
        <f t="shared" si="7"/>
        <v>NO</v>
      </c>
    </row>
    <row r="498" spans="1:10" x14ac:dyDescent="0.25">
      <c r="A498" s="2" t="s">
        <v>685</v>
      </c>
      <c r="B498" s="2" t="s">
        <v>63</v>
      </c>
      <c r="C498" s="2" t="s">
        <v>64</v>
      </c>
      <c r="D498" s="2" t="s">
        <v>65</v>
      </c>
      <c r="E498" s="2" t="s">
        <v>66</v>
      </c>
      <c r="F498" s="6" t="s">
        <v>798</v>
      </c>
      <c r="G498" s="2">
        <v>1</v>
      </c>
      <c r="H498" s="2" t="s">
        <v>11</v>
      </c>
      <c r="I498" s="2" t="s">
        <v>799</v>
      </c>
      <c r="J498" s="2" t="str">
        <f t="shared" si="7"/>
        <v>YES</v>
      </c>
    </row>
    <row r="499" spans="1:10" x14ac:dyDescent="0.25">
      <c r="A499" s="2" t="s">
        <v>685</v>
      </c>
      <c r="B499" s="2" t="s">
        <v>68</v>
      </c>
      <c r="C499" s="2" t="s">
        <v>69</v>
      </c>
      <c r="D499" s="2" t="s">
        <v>65</v>
      </c>
      <c r="E499" s="2" t="s">
        <v>70</v>
      </c>
      <c r="F499" s="6" t="s">
        <v>800</v>
      </c>
      <c r="G499" s="2">
        <v>1</v>
      </c>
      <c r="H499" s="2" t="s">
        <v>11</v>
      </c>
      <c r="I499" s="2" t="s">
        <v>801</v>
      </c>
      <c r="J499" s="2" t="str">
        <f t="shared" si="7"/>
        <v>YES</v>
      </c>
    </row>
    <row r="500" spans="1:10" x14ac:dyDescent="0.25">
      <c r="A500" s="2" t="s">
        <v>685</v>
      </c>
      <c r="B500" s="2" t="s">
        <v>68</v>
      </c>
      <c r="C500" s="2" t="s">
        <v>69</v>
      </c>
      <c r="D500" s="2" t="s">
        <v>65</v>
      </c>
      <c r="E500" s="2" t="s">
        <v>70</v>
      </c>
      <c r="F500" s="6" t="s">
        <v>802</v>
      </c>
      <c r="G500" s="2">
        <v>1</v>
      </c>
      <c r="H500" s="2" t="s">
        <v>11</v>
      </c>
      <c r="I500" s="2" t="s">
        <v>803</v>
      </c>
      <c r="J500" s="2" t="str">
        <f t="shared" si="7"/>
        <v>YES</v>
      </c>
    </row>
    <row r="501" spans="1:10" x14ac:dyDescent="0.25">
      <c r="A501" s="2" t="s">
        <v>685</v>
      </c>
      <c r="B501" s="2" t="s">
        <v>63</v>
      </c>
      <c r="C501" s="2" t="s">
        <v>64</v>
      </c>
      <c r="D501" s="2" t="s">
        <v>65</v>
      </c>
      <c r="E501" s="2" t="s">
        <v>66</v>
      </c>
      <c r="F501" s="6" t="s">
        <v>804</v>
      </c>
      <c r="G501" s="2">
        <v>1</v>
      </c>
      <c r="H501" s="2" t="s">
        <v>11</v>
      </c>
      <c r="I501" s="2" t="s">
        <v>805</v>
      </c>
      <c r="J501" s="2" t="str">
        <f t="shared" si="7"/>
        <v>YES</v>
      </c>
    </row>
    <row r="502" spans="1:10" x14ac:dyDescent="0.25">
      <c r="A502" s="2" t="s">
        <v>685</v>
      </c>
      <c r="B502" s="2" t="s">
        <v>68</v>
      </c>
      <c r="C502" s="2" t="s">
        <v>69</v>
      </c>
      <c r="D502" s="2" t="s">
        <v>65</v>
      </c>
      <c r="E502" s="2" t="s">
        <v>70</v>
      </c>
      <c r="F502" s="6" t="s">
        <v>806</v>
      </c>
      <c r="G502" s="2">
        <v>1</v>
      </c>
      <c r="H502" s="2" t="s">
        <v>11</v>
      </c>
      <c r="I502" s="2" t="s">
        <v>807</v>
      </c>
      <c r="J502" s="2" t="str">
        <f t="shared" si="7"/>
        <v>YES</v>
      </c>
    </row>
    <row r="503" spans="1:10" x14ac:dyDescent="0.25">
      <c r="A503" s="2" t="s">
        <v>685</v>
      </c>
      <c r="B503" s="2" t="s">
        <v>68</v>
      </c>
      <c r="C503" s="2" t="s">
        <v>69</v>
      </c>
      <c r="D503" s="2" t="s">
        <v>65</v>
      </c>
      <c r="E503" s="2" t="s">
        <v>70</v>
      </c>
      <c r="F503" s="6" t="s">
        <v>808</v>
      </c>
      <c r="G503" s="2">
        <v>1</v>
      </c>
      <c r="H503" s="2" t="s">
        <v>11</v>
      </c>
      <c r="I503" s="2" t="s">
        <v>809</v>
      </c>
      <c r="J503" s="2" t="str">
        <f t="shared" si="7"/>
        <v>YES</v>
      </c>
    </row>
    <row r="504" spans="1:10" x14ac:dyDescent="0.25">
      <c r="A504" s="2" t="s">
        <v>685</v>
      </c>
      <c r="B504" s="2" t="s">
        <v>810</v>
      </c>
      <c r="C504" s="2" t="s">
        <v>85</v>
      </c>
      <c r="D504" s="2" t="s">
        <v>11</v>
      </c>
      <c r="E504" s="2" t="s">
        <v>11</v>
      </c>
      <c r="F504" s="6" t="s">
        <v>11</v>
      </c>
      <c r="G504" s="2">
        <v>1</v>
      </c>
      <c r="H504" s="2" t="s">
        <v>810</v>
      </c>
      <c r="I504" s="2" t="s">
        <v>11</v>
      </c>
      <c r="J504" s="2" t="str">
        <f t="shared" si="7"/>
        <v>NO</v>
      </c>
    </row>
    <row r="505" spans="1:10" x14ac:dyDescent="0.25">
      <c r="A505" s="2" t="s">
        <v>685</v>
      </c>
      <c r="B505" s="2" t="s">
        <v>63</v>
      </c>
      <c r="C505" s="2" t="s">
        <v>64</v>
      </c>
      <c r="D505" s="2" t="s">
        <v>65</v>
      </c>
      <c r="E505" s="2" t="s">
        <v>66</v>
      </c>
      <c r="F505" s="6" t="s">
        <v>811</v>
      </c>
      <c r="G505" s="2">
        <v>1</v>
      </c>
      <c r="H505" s="2" t="s">
        <v>11</v>
      </c>
      <c r="I505" s="2" t="s">
        <v>812</v>
      </c>
      <c r="J505" s="2" t="str">
        <f t="shared" si="7"/>
        <v>YES</v>
      </c>
    </row>
    <row r="506" spans="1:10" x14ac:dyDescent="0.25">
      <c r="A506" s="2" t="s">
        <v>685</v>
      </c>
      <c r="B506" s="2" t="s">
        <v>68</v>
      </c>
      <c r="C506" s="2" t="s">
        <v>69</v>
      </c>
      <c r="D506" s="2" t="s">
        <v>65</v>
      </c>
      <c r="E506" s="2" t="s">
        <v>70</v>
      </c>
      <c r="F506" s="6" t="s">
        <v>813</v>
      </c>
      <c r="G506" s="2">
        <v>1</v>
      </c>
      <c r="H506" s="2" t="s">
        <v>11</v>
      </c>
      <c r="I506" s="2" t="s">
        <v>814</v>
      </c>
      <c r="J506" s="2" t="str">
        <f t="shared" si="7"/>
        <v>YES</v>
      </c>
    </row>
    <row r="507" spans="1:10" x14ac:dyDescent="0.25">
      <c r="A507" s="2" t="s">
        <v>685</v>
      </c>
      <c r="B507" s="2" t="s">
        <v>68</v>
      </c>
      <c r="C507" s="2" t="s">
        <v>69</v>
      </c>
      <c r="D507" s="2" t="s">
        <v>65</v>
      </c>
      <c r="E507" s="2" t="s">
        <v>70</v>
      </c>
      <c r="F507" s="6" t="s">
        <v>815</v>
      </c>
      <c r="G507" s="2">
        <v>1</v>
      </c>
      <c r="H507" s="2" t="s">
        <v>11</v>
      </c>
      <c r="I507" s="2" t="s">
        <v>816</v>
      </c>
      <c r="J507" s="2" t="str">
        <f t="shared" si="7"/>
        <v>YES</v>
      </c>
    </row>
    <row r="508" spans="1:10" x14ac:dyDescent="0.25">
      <c r="A508" s="2" t="s">
        <v>685</v>
      </c>
      <c r="B508" s="2" t="s">
        <v>63</v>
      </c>
      <c r="C508" s="2" t="s">
        <v>64</v>
      </c>
      <c r="D508" s="2" t="s">
        <v>65</v>
      </c>
      <c r="E508" s="2" t="s">
        <v>66</v>
      </c>
      <c r="F508" s="6" t="s">
        <v>817</v>
      </c>
      <c r="G508" s="2">
        <v>1</v>
      </c>
      <c r="H508" s="2" t="s">
        <v>11</v>
      </c>
      <c r="I508" s="2" t="s">
        <v>818</v>
      </c>
      <c r="J508" s="2" t="str">
        <f t="shared" si="7"/>
        <v>YES</v>
      </c>
    </row>
    <row r="509" spans="1:10" x14ac:dyDescent="0.25">
      <c r="A509" s="2" t="s">
        <v>685</v>
      </c>
      <c r="B509" s="2" t="s">
        <v>68</v>
      </c>
      <c r="C509" s="2" t="s">
        <v>69</v>
      </c>
      <c r="D509" s="2" t="s">
        <v>65</v>
      </c>
      <c r="E509" s="2" t="s">
        <v>70</v>
      </c>
      <c r="F509" s="6" t="s">
        <v>819</v>
      </c>
      <c r="G509" s="2">
        <v>1</v>
      </c>
      <c r="H509" s="2" t="s">
        <v>11</v>
      </c>
      <c r="I509" s="2" t="s">
        <v>820</v>
      </c>
      <c r="J509" s="2" t="str">
        <f t="shared" si="7"/>
        <v>YES</v>
      </c>
    </row>
    <row r="510" spans="1:10" x14ac:dyDescent="0.25">
      <c r="A510" s="2" t="s">
        <v>685</v>
      </c>
      <c r="B510" s="2" t="s">
        <v>68</v>
      </c>
      <c r="C510" s="2" t="s">
        <v>69</v>
      </c>
      <c r="D510" s="2" t="s">
        <v>65</v>
      </c>
      <c r="E510" s="2" t="s">
        <v>70</v>
      </c>
      <c r="F510" s="6" t="s">
        <v>821</v>
      </c>
      <c r="G510" s="2">
        <v>1</v>
      </c>
      <c r="H510" s="2" t="s">
        <v>11</v>
      </c>
      <c r="I510" s="2" t="s">
        <v>822</v>
      </c>
      <c r="J510" s="2" t="str">
        <f t="shared" si="7"/>
        <v>YES</v>
      </c>
    </row>
    <row r="511" spans="1:10" x14ac:dyDescent="0.25">
      <c r="A511" s="2" t="s">
        <v>685</v>
      </c>
      <c r="B511" s="2" t="s">
        <v>823</v>
      </c>
      <c r="C511" s="2" t="s">
        <v>93</v>
      </c>
      <c r="D511" s="2" t="s">
        <v>11</v>
      </c>
      <c r="E511" s="2" t="s">
        <v>11</v>
      </c>
      <c r="F511" s="6" t="s">
        <v>11</v>
      </c>
      <c r="G511" s="2">
        <v>1</v>
      </c>
      <c r="H511" s="2" t="s">
        <v>823</v>
      </c>
      <c r="I511" s="2" t="s">
        <v>11</v>
      </c>
      <c r="J511" s="2" t="str">
        <f t="shared" si="7"/>
        <v>NO</v>
      </c>
    </row>
    <row r="512" spans="1:10" x14ac:dyDescent="0.25">
      <c r="A512" s="2" t="s">
        <v>685</v>
      </c>
      <c r="B512" s="2" t="s">
        <v>63</v>
      </c>
      <c r="C512" s="2" t="s">
        <v>64</v>
      </c>
      <c r="D512" s="2" t="s">
        <v>65</v>
      </c>
      <c r="E512" s="2" t="s">
        <v>66</v>
      </c>
      <c r="F512" s="6" t="s">
        <v>824</v>
      </c>
      <c r="G512" s="2">
        <v>1</v>
      </c>
      <c r="H512" s="2" t="s">
        <v>11</v>
      </c>
      <c r="I512" s="2" t="s">
        <v>825</v>
      </c>
      <c r="J512" s="2" t="str">
        <f t="shared" si="7"/>
        <v>YES</v>
      </c>
    </row>
    <row r="513" spans="1:10" x14ac:dyDescent="0.25">
      <c r="A513" s="2" t="s">
        <v>685</v>
      </c>
      <c r="B513" s="2" t="s">
        <v>219</v>
      </c>
      <c r="C513" s="2" t="s">
        <v>69</v>
      </c>
      <c r="D513" s="2" t="s">
        <v>65</v>
      </c>
      <c r="E513" s="2" t="s">
        <v>220</v>
      </c>
      <c r="F513" s="6" t="s">
        <v>826</v>
      </c>
      <c r="G513" s="2">
        <v>1</v>
      </c>
      <c r="H513" s="2" t="s">
        <v>11</v>
      </c>
      <c r="I513" s="2" t="s">
        <v>827</v>
      </c>
      <c r="J513" s="2" t="str">
        <f t="shared" si="7"/>
        <v>YES</v>
      </c>
    </row>
    <row r="514" spans="1:10" x14ac:dyDescent="0.25">
      <c r="A514" s="2" t="s">
        <v>685</v>
      </c>
      <c r="B514" s="2" t="s">
        <v>219</v>
      </c>
      <c r="C514" s="2" t="s">
        <v>69</v>
      </c>
      <c r="D514" s="2" t="s">
        <v>65</v>
      </c>
      <c r="E514" s="2" t="s">
        <v>220</v>
      </c>
      <c r="F514" s="6" t="s">
        <v>828</v>
      </c>
      <c r="G514" s="2">
        <v>1</v>
      </c>
      <c r="H514" s="2" t="s">
        <v>11</v>
      </c>
      <c r="I514" s="2" t="s">
        <v>829</v>
      </c>
      <c r="J514" s="2" t="str">
        <f t="shared" si="7"/>
        <v>YES</v>
      </c>
    </row>
    <row r="515" spans="1:10" x14ac:dyDescent="0.25">
      <c r="A515" s="2" t="s">
        <v>685</v>
      </c>
      <c r="B515" s="2" t="s">
        <v>830</v>
      </c>
      <c r="C515" s="2" t="s">
        <v>98</v>
      </c>
      <c r="D515" s="2" t="s">
        <v>11</v>
      </c>
      <c r="E515" s="2" t="s">
        <v>11</v>
      </c>
      <c r="F515" s="6" t="s">
        <v>11</v>
      </c>
      <c r="G515" s="2">
        <v>1</v>
      </c>
      <c r="H515" s="2" t="s">
        <v>830</v>
      </c>
      <c r="I515" s="2" t="s">
        <v>11</v>
      </c>
      <c r="J515" s="2" t="str">
        <f t="shared" ref="J515:J578" si="8">IF(OR(F515="",F515="_",LEFT(F515,5)="SPARE"),"NO","YES")</f>
        <v>NO</v>
      </c>
    </row>
    <row r="516" spans="1:10" x14ac:dyDescent="0.25">
      <c r="A516" s="2" t="s">
        <v>685</v>
      </c>
      <c r="B516" s="2" t="s">
        <v>63</v>
      </c>
      <c r="C516" s="2" t="s">
        <v>64</v>
      </c>
      <c r="D516" s="2" t="s">
        <v>65</v>
      </c>
      <c r="E516" s="2" t="s">
        <v>66</v>
      </c>
      <c r="F516" s="6" t="s">
        <v>831</v>
      </c>
      <c r="G516" s="2">
        <v>1</v>
      </c>
      <c r="H516" s="2" t="s">
        <v>11</v>
      </c>
      <c r="I516" s="2" t="s">
        <v>832</v>
      </c>
      <c r="J516" s="2" t="str">
        <f t="shared" si="8"/>
        <v>YES</v>
      </c>
    </row>
    <row r="517" spans="1:10" x14ac:dyDescent="0.25">
      <c r="A517" s="2" t="s">
        <v>685</v>
      </c>
      <c r="B517" s="2" t="s">
        <v>68</v>
      </c>
      <c r="C517" s="2" t="s">
        <v>69</v>
      </c>
      <c r="D517" s="2" t="s">
        <v>65</v>
      </c>
      <c r="E517" s="2" t="s">
        <v>70</v>
      </c>
      <c r="F517" s="6" t="s">
        <v>833</v>
      </c>
      <c r="G517" s="2">
        <v>1</v>
      </c>
      <c r="H517" s="2" t="s">
        <v>11</v>
      </c>
      <c r="I517" s="2" t="s">
        <v>834</v>
      </c>
      <c r="J517" s="2" t="str">
        <f t="shared" si="8"/>
        <v>YES</v>
      </c>
    </row>
    <row r="518" spans="1:10" x14ac:dyDescent="0.25">
      <c r="A518" s="2" t="s">
        <v>685</v>
      </c>
      <c r="B518" s="2" t="s">
        <v>68</v>
      </c>
      <c r="C518" s="2" t="s">
        <v>69</v>
      </c>
      <c r="D518" s="2" t="s">
        <v>65</v>
      </c>
      <c r="E518" s="2" t="s">
        <v>70</v>
      </c>
      <c r="F518" s="6" t="s">
        <v>835</v>
      </c>
      <c r="G518" s="2">
        <v>1</v>
      </c>
      <c r="H518" s="2" t="s">
        <v>11</v>
      </c>
      <c r="I518" s="2" t="s">
        <v>836</v>
      </c>
      <c r="J518" s="2" t="str">
        <f t="shared" si="8"/>
        <v>YES</v>
      </c>
    </row>
    <row r="519" spans="1:10" x14ac:dyDescent="0.25">
      <c r="A519" s="2" t="s">
        <v>685</v>
      </c>
      <c r="B519" s="2" t="s">
        <v>219</v>
      </c>
      <c r="C519" s="2" t="s">
        <v>69</v>
      </c>
      <c r="D519" s="2" t="s">
        <v>65</v>
      </c>
      <c r="E519" s="2" t="s">
        <v>220</v>
      </c>
      <c r="F519" s="6" t="s">
        <v>837</v>
      </c>
      <c r="G519" s="2">
        <v>1</v>
      </c>
      <c r="H519" s="2" t="s">
        <v>11</v>
      </c>
      <c r="I519" s="2" t="s">
        <v>838</v>
      </c>
      <c r="J519" s="2" t="str">
        <f t="shared" si="8"/>
        <v>YES</v>
      </c>
    </row>
    <row r="520" spans="1:10" x14ac:dyDescent="0.25">
      <c r="J520" s="2" t="str">
        <f t="shared" si="8"/>
        <v>NO</v>
      </c>
    </row>
    <row r="521" spans="1:10" x14ac:dyDescent="0.25">
      <c r="J521" s="2" t="str">
        <f t="shared" si="8"/>
        <v>NO</v>
      </c>
    </row>
    <row r="522" spans="1:10" x14ac:dyDescent="0.25">
      <c r="J522" s="2" t="str">
        <f t="shared" si="8"/>
        <v>NO</v>
      </c>
    </row>
    <row r="523" spans="1:10" x14ac:dyDescent="0.25">
      <c r="J523" s="2" t="str">
        <f t="shared" si="8"/>
        <v>NO</v>
      </c>
    </row>
    <row r="524" spans="1:10" x14ac:dyDescent="0.25">
      <c r="J524" s="2" t="str">
        <f t="shared" si="8"/>
        <v>NO</v>
      </c>
    </row>
    <row r="525" spans="1:10" x14ac:dyDescent="0.25">
      <c r="J525" s="2" t="str">
        <f t="shared" si="8"/>
        <v>NO</v>
      </c>
    </row>
    <row r="526" spans="1:10" x14ac:dyDescent="0.25">
      <c r="J526" s="2" t="str">
        <f t="shared" si="8"/>
        <v>NO</v>
      </c>
    </row>
    <row r="527" spans="1:10" x14ac:dyDescent="0.25">
      <c r="J527" s="2" t="str">
        <f t="shared" si="8"/>
        <v>NO</v>
      </c>
    </row>
    <row r="528" spans="1:10" x14ac:dyDescent="0.25">
      <c r="J528" s="2" t="str">
        <f t="shared" si="8"/>
        <v>NO</v>
      </c>
    </row>
    <row r="529" spans="10:10" x14ac:dyDescent="0.25">
      <c r="J529" s="2" t="str">
        <f t="shared" si="8"/>
        <v>NO</v>
      </c>
    </row>
    <row r="530" spans="10:10" x14ac:dyDescent="0.25">
      <c r="J530" s="2" t="str">
        <f t="shared" si="8"/>
        <v>NO</v>
      </c>
    </row>
    <row r="531" spans="10:10" x14ac:dyDescent="0.25">
      <c r="J531" s="2" t="str">
        <f t="shared" si="8"/>
        <v>NO</v>
      </c>
    </row>
    <row r="532" spans="10:10" x14ac:dyDescent="0.25">
      <c r="J532" s="2" t="str">
        <f t="shared" si="8"/>
        <v>NO</v>
      </c>
    </row>
    <row r="533" spans="10:10" x14ac:dyDescent="0.25">
      <c r="J533" s="2" t="str">
        <f t="shared" si="8"/>
        <v>NO</v>
      </c>
    </row>
    <row r="534" spans="10:10" x14ac:dyDescent="0.25">
      <c r="J534" s="2" t="str">
        <f t="shared" si="8"/>
        <v>NO</v>
      </c>
    </row>
    <row r="535" spans="10:10" x14ac:dyDescent="0.25">
      <c r="J535" s="2" t="str">
        <f t="shared" si="8"/>
        <v>NO</v>
      </c>
    </row>
    <row r="536" spans="10:10" x14ac:dyDescent="0.25">
      <c r="J536" s="2" t="str">
        <f t="shared" si="8"/>
        <v>NO</v>
      </c>
    </row>
    <row r="537" spans="10:10" x14ac:dyDescent="0.25">
      <c r="J537" s="2" t="str">
        <f t="shared" si="8"/>
        <v>NO</v>
      </c>
    </row>
    <row r="538" spans="10:10" x14ac:dyDescent="0.25">
      <c r="J538" s="2" t="str">
        <f t="shared" si="8"/>
        <v>NO</v>
      </c>
    </row>
    <row r="539" spans="10:10" x14ac:dyDescent="0.25">
      <c r="J539" s="2" t="str">
        <f t="shared" si="8"/>
        <v>NO</v>
      </c>
    </row>
    <row r="540" spans="10:10" x14ac:dyDescent="0.25">
      <c r="J540" s="2" t="str">
        <f t="shared" si="8"/>
        <v>NO</v>
      </c>
    </row>
    <row r="541" spans="10:10" x14ac:dyDescent="0.25">
      <c r="J541" s="2" t="str">
        <f t="shared" si="8"/>
        <v>NO</v>
      </c>
    </row>
    <row r="542" spans="10:10" x14ac:dyDescent="0.25">
      <c r="J542" s="2" t="str">
        <f t="shared" si="8"/>
        <v>NO</v>
      </c>
    </row>
    <row r="543" spans="10:10" x14ac:dyDescent="0.25">
      <c r="J543" s="2" t="str">
        <f t="shared" si="8"/>
        <v>NO</v>
      </c>
    </row>
    <row r="544" spans="10:10" x14ac:dyDescent="0.25">
      <c r="J544" s="2" t="str">
        <f t="shared" si="8"/>
        <v>NO</v>
      </c>
    </row>
    <row r="545" spans="10:10" x14ac:dyDescent="0.25">
      <c r="J545" s="2" t="str">
        <f t="shared" si="8"/>
        <v>NO</v>
      </c>
    </row>
    <row r="546" spans="10:10" x14ac:dyDescent="0.25">
      <c r="J546" s="2" t="str">
        <f t="shared" si="8"/>
        <v>NO</v>
      </c>
    </row>
    <row r="547" spans="10:10" x14ac:dyDescent="0.25">
      <c r="J547" s="2" t="str">
        <f t="shared" si="8"/>
        <v>NO</v>
      </c>
    </row>
    <row r="548" spans="10:10" x14ac:dyDescent="0.25">
      <c r="J548" s="2" t="str">
        <f t="shared" si="8"/>
        <v>NO</v>
      </c>
    </row>
    <row r="549" spans="10:10" x14ac:dyDescent="0.25">
      <c r="J549" s="2" t="str">
        <f t="shared" si="8"/>
        <v>NO</v>
      </c>
    </row>
    <row r="550" spans="10:10" x14ac:dyDescent="0.25">
      <c r="J550" s="2" t="str">
        <f t="shared" si="8"/>
        <v>NO</v>
      </c>
    </row>
    <row r="551" spans="10:10" x14ac:dyDescent="0.25">
      <c r="J551" s="2" t="str">
        <f t="shared" si="8"/>
        <v>NO</v>
      </c>
    </row>
    <row r="552" spans="10:10" x14ac:dyDescent="0.25">
      <c r="J552" s="2" t="str">
        <f t="shared" si="8"/>
        <v>NO</v>
      </c>
    </row>
    <row r="553" spans="10:10" x14ac:dyDescent="0.25">
      <c r="J553" s="2" t="str">
        <f t="shared" si="8"/>
        <v>NO</v>
      </c>
    </row>
    <row r="554" spans="10:10" x14ac:dyDescent="0.25">
      <c r="J554" s="2" t="str">
        <f t="shared" si="8"/>
        <v>NO</v>
      </c>
    </row>
    <row r="555" spans="10:10" x14ac:dyDescent="0.25">
      <c r="J555" s="2" t="str">
        <f t="shared" si="8"/>
        <v>NO</v>
      </c>
    </row>
    <row r="556" spans="10:10" x14ac:dyDescent="0.25">
      <c r="J556" s="2" t="str">
        <f t="shared" si="8"/>
        <v>NO</v>
      </c>
    </row>
    <row r="557" spans="10:10" x14ac:dyDescent="0.25">
      <c r="J557" s="2" t="str">
        <f t="shared" si="8"/>
        <v>NO</v>
      </c>
    </row>
    <row r="558" spans="10:10" x14ac:dyDescent="0.25">
      <c r="J558" s="2" t="str">
        <f t="shared" si="8"/>
        <v>NO</v>
      </c>
    </row>
    <row r="559" spans="10:10" x14ac:dyDescent="0.25">
      <c r="J559" s="2" t="str">
        <f t="shared" si="8"/>
        <v>NO</v>
      </c>
    </row>
    <row r="560" spans="10:10" x14ac:dyDescent="0.25">
      <c r="J560" s="2" t="str">
        <f t="shared" si="8"/>
        <v>NO</v>
      </c>
    </row>
    <row r="561" spans="10:10" x14ac:dyDescent="0.25">
      <c r="J561" s="2" t="str">
        <f t="shared" si="8"/>
        <v>NO</v>
      </c>
    </row>
    <row r="562" spans="10:10" x14ac:dyDescent="0.25">
      <c r="J562" s="2" t="str">
        <f t="shared" si="8"/>
        <v>NO</v>
      </c>
    </row>
    <row r="563" spans="10:10" x14ac:dyDescent="0.25">
      <c r="J563" s="2" t="str">
        <f t="shared" si="8"/>
        <v>NO</v>
      </c>
    </row>
    <row r="564" spans="10:10" x14ac:dyDescent="0.25">
      <c r="J564" s="2" t="str">
        <f t="shared" si="8"/>
        <v>NO</v>
      </c>
    </row>
    <row r="565" spans="10:10" x14ac:dyDescent="0.25">
      <c r="J565" s="2" t="str">
        <f t="shared" si="8"/>
        <v>NO</v>
      </c>
    </row>
    <row r="566" spans="10:10" x14ac:dyDescent="0.25">
      <c r="J566" s="2" t="str">
        <f t="shared" si="8"/>
        <v>NO</v>
      </c>
    </row>
    <row r="567" spans="10:10" x14ac:dyDescent="0.25">
      <c r="J567" s="2" t="str">
        <f t="shared" si="8"/>
        <v>NO</v>
      </c>
    </row>
    <row r="568" spans="10:10" x14ac:dyDescent="0.25">
      <c r="J568" s="2" t="str">
        <f t="shared" si="8"/>
        <v>NO</v>
      </c>
    </row>
    <row r="569" spans="10:10" x14ac:dyDescent="0.25">
      <c r="J569" s="2" t="str">
        <f t="shared" si="8"/>
        <v>NO</v>
      </c>
    </row>
    <row r="570" spans="10:10" x14ac:dyDescent="0.25">
      <c r="J570" s="2" t="str">
        <f t="shared" si="8"/>
        <v>NO</v>
      </c>
    </row>
    <row r="571" spans="10:10" x14ac:dyDescent="0.25">
      <c r="J571" s="2" t="str">
        <f t="shared" si="8"/>
        <v>NO</v>
      </c>
    </row>
    <row r="572" spans="10:10" x14ac:dyDescent="0.25">
      <c r="J572" s="2" t="str">
        <f t="shared" si="8"/>
        <v>NO</v>
      </c>
    </row>
    <row r="573" spans="10:10" x14ac:dyDescent="0.25">
      <c r="J573" s="2" t="str">
        <f t="shared" si="8"/>
        <v>NO</v>
      </c>
    </row>
    <row r="574" spans="10:10" x14ac:dyDescent="0.25">
      <c r="J574" s="2" t="str">
        <f t="shared" si="8"/>
        <v>NO</v>
      </c>
    </row>
    <row r="575" spans="10:10" x14ac:dyDescent="0.25">
      <c r="J575" s="2" t="str">
        <f t="shared" si="8"/>
        <v>NO</v>
      </c>
    </row>
    <row r="576" spans="10:10" x14ac:dyDescent="0.25">
      <c r="J576" s="2" t="str">
        <f t="shared" si="8"/>
        <v>NO</v>
      </c>
    </row>
    <row r="577" spans="10:10" x14ac:dyDescent="0.25">
      <c r="J577" s="2" t="str">
        <f t="shared" si="8"/>
        <v>NO</v>
      </c>
    </row>
    <row r="578" spans="10:10" x14ac:dyDescent="0.25">
      <c r="J578" s="2" t="str">
        <f t="shared" si="8"/>
        <v>NO</v>
      </c>
    </row>
    <row r="579" spans="10:10" x14ac:dyDescent="0.25">
      <c r="J579" s="2" t="str">
        <f t="shared" ref="J579:J642" si="9">IF(OR(F579="",F579="_",LEFT(F579,5)="SPARE"),"NO","YES")</f>
        <v>NO</v>
      </c>
    </row>
    <row r="580" spans="10:10" x14ac:dyDescent="0.25">
      <c r="J580" s="2" t="str">
        <f t="shared" si="9"/>
        <v>NO</v>
      </c>
    </row>
    <row r="581" spans="10:10" x14ac:dyDescent="0.25">
      <c r="J581" s="2" t="str">
        <f t="shared" si="9"/>
        <v>NO</v>
      </c>
    </row>
    <row r="582" spans="10:10" x14ac:dyDescent="0.25">
      <c r="J582" s="2" t="str">
        <f t="shared" si="9"/>
        <v>NO</v>
      </c>
    </row>
    <row r="583" spans="10:10" x14ac:dyDescent="0.25">
      <c r="J583" s="2" t="str">
        <f t="shared" si="9"/>
        <v>NO</v>
      </c>
    </row>
    <row r="584" spans="10:10" x14ac:dyDescent="0.25">
      <c r="J584" s="2" t="str">
        <f t="shared" si="9"/>
        <v>NO</v>
      </c>
    </row>
    <row r="585" spans="10:10" x14ac:dyDescent="0.25">
      <c r="J585" s="2" t="str">
        <f t="shared" si="9"/>
        <v>NO</v>
      </c>
    </row>
    <row r="586" spans="10:10" x14ac:dyDescent="0.25">
      <c r="J586" s="2" t="str">
        <f t="shared" si="9"/>
        <v>NO</v>
      </c>
    </row>
    <row r="587" spans="10:10" x14ac:dyDescent="0.25">
      <c r="J587" s="2" t="str">
        <f t="shared" si="9"/>
        <v>NO</v>
      </c>
    </row>
    <row r="588" spans="10:10" x14ac:dyDescent="0.25">
      <c r="J588" s="2" t="str">
        <f t="shared" si="9"/>
        <v>NO</v>
      </c>
    </row>
    <row r="589" spans="10:10" x14ac:dyDescent="0.25">
      <c r="J589" s="2" t="str">
        <f t="shared" si="9"/>
        <v>NO</v>
      </c>
    </row>
    <row r="590" spans="10:10" x14ac:dyDescent="0.25">
      <c r="J590" s="2" t="str">
        <f t="shared" si="9"/>
        <v>NO</v>
      </c>
    </row>
    <row r="591" spans="10:10" x14ac:dyDescent="0.25">
      <c r="J591" s="2" t="str">
        <f t="shared" si="9"/>
        <v>NO</v>
      </c>
    </row>
    <row r="592" spans="10:10" x14ac:dyDescent="0.25">
      <c r="J592" s="2" t="str">
        <f t="shared" si="9"/>
        <v>NO</v>
      </c>
    </row>
    <row r="593" spans="10:10" x14ac:dyDescent="0.25">
      <c r="J593" s="2" t="str">
        <f t="shared" si="9"/>
        <v>NO</v>
      </c>
    </row>
    <row r="594" spans="10:10" x14ac:dyDescent="0.25">
      <c r="J594" s="2" t="str">
        <f t="shared" si="9"/>
        <v>NO</v>
      </c>
    </row>
    <row r="595" spans="10:10" x14ac:dyDescent="0.25">
      <c r="J595" s="2" t="str">
        <f t="shared" si="9"/>
        <v>NO</v>
      </c>
    </row>
    <row r="596" spans="10:10" x14ac:dyDescent="0.25">
      <c r="J596" s="2" t="str">
        <f t="shared" si="9"/>
        <v>NO</v>
      </c>
    </row>
    <row r="597" spans="10:10" x14ac:dyDescent="0.25">
      <c r="J597" s="2" t="str">
        <f t="shared" si="9"/>
        <v>NO</v>
      </c>
    </row>
    <row r="598" spans="10:10" x14ac:dyDescent="0.25">
      <c r="J598" s="2" t="str">
        <f t="shared" si="9"/>
        <v>NO</v>
      </c>
    </row>
    <row r="599" spans="10:10" x14ac:dyDescent="0.25">
      <c r="J599" s="2" t="str">
        <f t="shared" si="9"/>
        <v>NO</v>
      </c>
    </row>
    <row r="600" spans="10:10" x14ac:dyDescent="0.25">
      <c r="J600" s="2" t="str">
        <f t="shared" si="9"/>
        <v>NO</v>
      </c>
    </row>
    <row r="601" spans="10:10" x14ac:dyDescent="0.25">
      <c r="J601" s="2" t="str">
        <f t="shared" si="9"/>
        <v>NO</v>
      </c>
    </row>
    <row r="602" spans="10:10" x14ac:dyDescent="0.25">
      <c r="J602" s="2" t="str">
        <f t="shared" si="9"/>
        <v>NO</v>
      </c>
    </row>
    <row r="603" spans="10:10" x14ac:dyDescent="0.25">
      <c r="J603" s="2" t="str">
        <f t="shared" si="9"/>
        <v>NO</v>
      </c>
    </row>
    <row r="604" spans="10:10" x14ac:dyDescent="0.25">
      <c r="J604" s="2" t="str">
        <f t="shared" si="9"/>
        <v>NO</v>
      </c>
    </row>
    <row r="605" spans="10:10" x14ac:dyDescent="0.25">
      <c r="J605" s="2" t="str">
        <f t="shared" si="9"/>
        <v>NO</v>
      </c>
    </row>
    <row r="606" spans="10:10" x14ac:dyDescent="0.25">
      <c r="J606" s="2" t="str">
        <f t="shared" si="9"/>
        <v>NO</v>
      </c>
    </row>
    <row r="607" spans="10:10" x14ac:dyDescent="0.25">
      <c r="J607" s="2" t="str">
        <f t="shared" si="9"/>
        <v>NO</v>
      </c>
    </row>
    <row r="608" spans="10:10" x14ac:dyDescent="0.25">
      <c r="J608" s="2" t="str">
        <f t="shared" si="9"/>
        <v>NO</v>
      </c>
    </row>
    <row r="609" spans="10:10" x14ac:dyDescent="0.25">
      <c r="J609" s="2" t="str">
        <f t="shared" si="9"/>
        <v>NO</v>
      </c>
    </row>
    <row r="610" spans="10:10" x14ac:dyDescent="0.25">
      <c r="J610" s="2" t="str">
        <f t="shared" si="9"/>
        <v>NO</v>
      </c>
    </row>
    <row r="611" spans="10:10" x14ac:dyDescent="0.25">
      <c r="J611" s="2" t="str">
        <f t="shared" si="9"/>
        <v>NO</v>
      </c>
    </row>
    <row r="612" spans="10:10" x14ac:dyDescent="0.25">
      <c r="J612" s="2" t="str">
        <f t="shared" si="9"/>
        <v>NO</v>
      </c>
    </row>
    <row r="613" spans="10:10" x14ac:dyDescent="0.25">
      <c r="J613" s="2" t="str">
        <f t="shared" si="9"/>
        <v>NO</v>
      </c>
    </row>
    <row r="614" spans="10:10" x14ac:dyDescent="0.25">
      <c r="J614" s="2" t="str">
        <f t="shared" si="9"/>
        <v>NO</v>
      </c>
    </row>
    <row r="615" spans="10:10" x14ac:dyDescent="0.25">
      <c r="J615" s="2" t="str">
        <f t="shared" si="9"/>
        <v>NO</v>
      </c>
    </row>
    <row r="616" spans="10:10" x14ac:dyDescent="0.25">
      <c r="J616" s="2" t="str">
        <f t="shared" si="9"/>
        <v>NO</v>
      </c>
    </row>
    <row r="617" spans="10:10" x14ac:dyDescent="0.25">
      <c r="J617" s="2" t="str">
        <f t="shared" si="9"/>
        <v>NO</v>
      </c>
    </row>
    <row r="618" spans="10:10" x14ac:dyDescent="0.25">
      <c r="J618" s="2" t="str">
        <f t="shared" si="9"/>
        <v>NO</v>
      </c>
    </row>
    <row r="619" spans="10:10" x14ac:dyDescent="0.25">
      <c r="J619" s="2" t="str">
        <f t="shared" si="9"/>
        <v>NO</v>
      </c>
    </row>
    <row r="620" spans="10:10" x14ac:dyDescent="0.25">
      <c r="J620" s="2" t="str">
        <f t="shared" si="9"/>
        <v>NO</v>
      </c>
    </row>
    <row r="621" spans="10:10" x14ac:dyDescent="0.25">
      <c r="J621" s="2" t="str">
        <f t="shared" si="9"/>
        <v>NO</v>
      </c>
    </row>
    <row r="622" spans="10:10" x14ac:dyDescent="0.25">
      <c r="J622" s="2" t="str">
        <f t="shared" si="9"/>
        <v>NO</v>
      </c>
    </row>
    <row r="623" spans="10:10" x14ac:dyDescent="0.25">
      <c r="J623" s="2" t="str">
        <f t="shared" si="9"/>
        <v>NO</v>
      </c>
    </row>
    <row r="624" spans="10:10" x14ac:dyDescent="0.25">
      <c r="J624" s="2" t="str">
        <f t="shared" si="9"/>
        <v>NO</v>
      </c>
    </row>
    <row r="625" spans="10:10" x14ac:dyDescent="0.25">
      <c r="J625" s="2" t="str">
        <f t="shared" si="9"/>
        <v>NO</v>
      </c>
    </row>
    <row r="626" spans="10:10" x14ac:dyDescent="0.25">
      <c r="J626" s="2" t="str">
        <f t="shared" si="9"/>
        <v>NO</v>
      </c>
    </row>
    <row r="627" spans="10:10" x14ac:dyDescent="0.25">
      <c r="J627" s="2" t="str">
        <f t="shared" si="9"/>
        <v>NO</v>
      </c>
    </row>
    <row r="628" spans="10:10" x14ac:dyDescent="0.25">
      <c r="J628" s="2" t="str">
        <f t="shared" si="9"/>
        <v>NO</v>
      </c>
    </row>
    <row r="629" spans="10:10" x14ac:dyDescent="0.25">
      <c r="J629" s="2" t="str">
        <f t="shared" si="9"/>
        <v>NO</v>
      </c>
    </row>
    <row r="630" spans="10:10" x14ac:dyDescent="0.25">
      <c r="J630" s="2" t="str">
        <f t="shared" si="9"/>
        <v>NO</v>
      </c>
    </row>
    <row r="631" spans="10:10" x14ac:dyDescent="0.25">
      <c r="J631" s="2" t="str">
        <f t="shared" si="9"/>
        <v>NO</v>
      </c>
    </row>
    <row r="632" spans="10:10" x14ac:dyDescent="0.25">
      <c r="J632" s="2" t="str">
        <f t="shared" si="9"/>
        <v>NO</v>
      </c>
    </row>
    <row r="633" spans="10:10" x14ac:dyDescent="0.25">
      <c r="J633" s="2" t="str">
        <f t="shared" si="9"/>
        <v>NO</v>
      </c>
    </row>
    <row r="634" spans="10:10" x14ac:dyDescent="0.25">
      <c r="J634" s="2" t="str">
        <f t="shared" si="9"/>
        <v>NO</v>
      </c>
    </row>
    <row r="635" spans="10:10" x14ac:dyDescent="0.25">
      <c r="J635" s="2" t="str">
        <f t="shared" si="9"/>
        <v>NO</v>
      </c>
    </row>
    <row r="636" spans="10:10" x14ac:dyDescent="0.25">
      <c r="J636" s="2" t="str">
        <f t="shared" si="9"/>
        <v>NO</v>
      </c>
    </row>
    <row r="637" spans="10:10" x14ac:dyDescent="0.25">
      <c r="J637" s="2" t="str">
        <f t="shared" si="9"/>
        <v>NO</v>
      </c>
    </row>
    <row r="638" spans="10:10" x14ac:dyDescent="0.25">
      <c r="J638" s="2" t="str">
        <f t="shared" si="9"/>
        <v>NO</v>
      </c>
    </row>
    <row r="639" spans="10:10" x14ac:dyDescent="0.25">
      <c r="J639" s="2" t="str">
        <f t="shared" si="9"/>
        <v>NO</v>
      </c>
    </row>
    <row r="640" spans="10:10" x14ac:dyDescent="0.25">
      <c r="J640" s="2" t="str">
        <f t="shared" si="9"/>
        <v>NO</v>
      </c>
    </row>
    <row r="641" spans="10:10" x14ac:dyDescent="0.25">
      <c r="J641" s="2" t="str">
        <f t="shared" si="9"/>
        <v>NO</v>
      </c>
    </row>
    <row r="642" spans="10:10" x14ac:dyDescent="0.25">
      <c r="J642" s="2" t="str">
        <f t="shared" si="9"/>
        <v>NO</v>
      </c>
    </row>
    <row r="643" spans="10:10" x14ac:dyDescent="0.25">
      <c r="J643" s="2" t="str">
        <f t="shared" ref="J643:J706" si="10">IF(OR(F643="",F643="_",LEFT(F643,5)="SPARE"),"NO","YES")</f>
        <v>NO</v>
      </c>
    </row>
    <row r="644" spans="10:10" x14ac:dyDescent="0.25">
      <c r="J644" s="2" t="str">
        <f t="shared" si="10"/>
        <v>NO</v>
      </c>
    </row>
    <row r="645" spans="10:10" x14ac:dyDescent="0.25">
      <c r="J645" s="2" t="str">
        <f t="shared" si="10"/>
        <v>NO</v>
      </c>
    </row>
    <row r="646" spans="10:10" x14ac:dyDescent="0.25">
      <c r="J646" s="2" t="str">
        <f t="shared" si="10"/>
        <v>NO</v>
      </c>
    </row>
    <row r="647" spans="10:10" x14ac:dyDescent="0.25">
      <c r="J647" s="2" t="str">
        <f t="shared" si="10"/>
        <v>NO</v>
      </c>
    </row>
    <row r="648" spans="10:10" x14ac:dyDescent="0.25">
      <c r="J648" s="2" t="str">
        <f t="shared" si="10"/>
        <v>NO</v>
      </c>
    </row>
    <row r="649" spans="10:10" x14ac:dyDescent="0.25">
      <c r="J649" s="2" t="str">
        <f t="shared" si="10"/>
        <v>NO</v>
      </c>
    </row>
    <row r="650" spans="10:10" x14ac:dyDescent="0.25">
      <c r="J650" s="2" t="str">
        <f t="shared" si="10"/>
        <v>NO</v>
      </c>
    </row>
    <row r="651" spans="10:10" x14ac:dyDescent="0.25">
      <c r="J651" s="2" t="str">
        <f t="shared" si="10"/>
        <v>NO</v>
      </c>
    </row>
    <row r="652" spans="10:10" x14ac:dyDescent="0.25">
      <c r="J652" s="2" t="str">
        <f t="shared" si="10"/>
        <v>NO</v>
      </c>
    </row>
    <row r="653" spans="10:10" x14ac:dyDescent="0.25">
      <c r="J653" s="2" t="str">
        <f t="shared" si="10"/>
        <v>NO</v>
      </c>
    </row>
    <row r="654" spans="10:10" x14ac:dyDescent="0.25">
      <c r="J654" s="2" t="str">
        <f t="shared" si="10"/>
        <v>NO</v>
      </c>
    </row>
    <row r="655" spans="10:10" x14ac:dyDescent="0.25">
      <c r="J655" s="2" t="str">
        <f t="shared" si="10"/>
        <v>NO</v>
      </c>
    </row>
    <row r="656" spans="10:10" x14ac:dyDescent="0.25">
      <c r="J656" s="2" t="str">
        <f t="shared" si="10"/>
        <v>NO</v>
      </c>
    </row>
    <row r="657" spans="10:10" x14ac:dyDescent="0.25">
      <c r="J657" s="2" t="str">
        <f t="shared" si="10"/>
        <v>NO</v>
      </c>
    </row>
    <row r="658" spans="10:10" x14ac:dyDescent="0.25">
      <c r="J658" s="2" t="str">
        <f t="shared" si="10"/>
        <v>NO</v>
      </c>
    </row>
    <row r="659" spans="10:10" x14ac:dyDescent="0.25">
      <c r="J659" s="2" t="str">
        <f t="shared" si="10"/>
        <v>NO</v>
      </c>
    </row>
    <row r="660" spans="10:10" x14ac:dyDescent="0.25">
      <c r="J660" s="2" t="str">
        <f t="shared" si="10"/>
        <v>NO</v>
      </c>
    </row>
    <row r="661" spans="10:10" x14ac:dyDescent="0.25">
      <c r="J661" s="2" t="str">
        <f t="shared" si="10"/>
        <v>NO</v>
      </c>
    </row>
    <row r="662" spans="10:10" x14ac:dyDescent="0.25">
      <c r="J662" s="2" t="str">
        <f t="shared" si="10"/>
        <v>NO</v>
      </c>
    </row>
    <row r="663" spans="10:10" x14ac:dyDescent="0.25">
      <c r="J663" s="2" t="str">
        <f t="shared" si="10"/>
        <v>NO</v>
      </c>
    </row>
    <row r="664" spans="10:10" x14ac:dyDescent="0.25">
      <c r="J664" s="2" t="str">
        <f t="shared" si="10"/>
        <v>NO</v>
      </c>
    </row>
    <row r="665" spans="10:10" x14ac:dyDescent="0.25">
      <c r="J665" s="2" t="str">
        <f t="shared" si="10"/>
        <v>NO</v>
      </c>
    </row>
    <row r="666" spans="10:10" x14ac:dyDescent="0.25">
      <c r="J666" s="2" t="str">
        <f t="shared" si="10"/>
        <v>NO</v>
      </c>
    </row>
    <row r="667" spans="10:10" x14ac:dyDescent="0.25">
      <c r="J667" s="2" t="str">
        <f t="shared" si="10"/>
        <v>NO</v>
      </c>
    </row>
    <row r="668" spans="10:10" x14ac:dyDescent="0.25">
      <c r="J668" s="2" t="str">
        <f t="shared" si="10"/>
        <v>NO</v>
      </c>
    </row>
    <row r="669" spans="10:10" x14ac:dyDescent="0.25">
      <c r="J669" s="2" t="str">
        <f t="shared" si="10"/>
        <v>NO</v>
      </c>
    </row>
    <row r="670" spans="10:10" x14ac:dyDescent="0.25">
      <c r="J670" s="2" t="str">
        <f t="shared" si="10"/>
        <v>NO</v>
      </c>
    </row>
    <row r="671" spans="10:10" x14ac:dyDescent="0.25">
      <c r="J671" s="2" t="str">
        <f t="shared" si="10"/>
        <v>NO</v>
      </c>
    </row>
    <row r="672" spans="10:10" x14ac:dyDescent="0.25">
      <c r="J672" s="2" t="str">
        <f t="shared" si="10"/>
        <v>NO</v>
      </c>
    </row>
    <row r="673" spans="10:10" x14ac:dyDescent="0.25">
      <c r="J673" s="2" t="str">
        <f t="shared" si="10"/>
        <v>NO</v>
      </c>
    </row>
    <row r="674" spans="10:10" x14ac:dyDescent="0.25">
      <c r="J674" s="2" t="str">
        <f t="shared" si="10"/>
        <v>NO</v>
      </c>
    </row>
    <row r="675" spans="10:10" x14ac:dyDescent="0.25">
      <c r="J675" s="2" t="str">
        <f t="shared" si="10"/>
        <v>NO</v>
      </c>
    </row>
    <row r="676" spans="10:10" x14ac:dyDescent="0.25">
      <c r="J676" s="2" t="str">
        <f t="shared" si="10"/>
        <v>NO</v>
      </c>
    </row>
    <row r="677" spans="10:10" x14ac:dyDescent="0.25">
      <c r="J677" s="2" t="str">
        <f t="shared" si="10"/>
        <v>NO</v>
      </c>
    </row>
    <row r="678" spans="10:10" x14ac:dyDescent="0.25">
      <c r="J678" s="2" t="str">
        <f t="shared" si="10"/>
        <v>NO</v>
      </c>
    </row>
    <row r="679" spans="10:10" x14ac:dyDescent="0.25">
      <c r="J679" s="2" t="str">
        <f t="shared" si="10"/>
        <v>NO</v>
      </c>
    </row>
    <row r="680" spans="10:10" x14ac:dyDescent="0.25">
      <c r="J680" s="2" t="str">
        <f t="shared" si="10"/>
        <v>NO</v>
      </c>
    </row>
    <row r="681" spans="10:10" x14ac:dyDescent="0.25">
      <c r="J681" s="2" t="str">
        <f t="shared" si="10"/>
        <v>NO</v>
      </c>
    </row>
    <row r="682" spans="10:10" x14ac:dyDescent="0.25">
      <c r="J682" s="2" t="str">
        <f t="shared" si="10"/>
        <v>NO</v>
      </c>
    </row>
    <row r="683" spans="10:10" x14ac:dyDescent="0.25">
      <c r="J683" s="2" t="str">
        <f t="shared" si="10"/>
        <v>NO</v>
      </c>
    </row>
    <row r="684" spans="10:10" x14ac:dyDescent="0.25">
      <c r="J684" s="2" t="str">
        <f t="shared" si="10"/>
        <v>NO</v>
      </c>
    </row>
    <row r="685" spans="10:10" x14ac:dyDescent="0.25">
      <c r="J685" s="2" t="str">
        <f t="shared" si="10"/>
        <v>NO</v>
      </c>
    </row>
    <row r="686" spans="10:10" x14ac:dyDescent="0.25">
      <c r="J686" s="2" t="str">
        <f t="shared" si="10"/>
        <v>NO</v>
      </c>
    </row>
    <row r="687" spans="10:10" x14ac:dyDescent="0.25">
      <c r="J687" s="2" t="str">
        <f t="shared" si="10"/>
        <v>NO</v>
      </c>
    </row>
    <row r="688" spans="10:10" x14ac:dyDescent="0.25">
      <c r="J688" s="2" t="str">
        <f t="shared" si="10"/>
        <v>NO</v>
      </c>
    </row>
    <row r="689" spans="10:10" x14ac:dyDescent="0.25">
      <c r="J689" s="2" t="str">
        <f t="shared" si="10"/>
        <v>NO</v>
      </c>
    </row>
    <row r="690" spans="10:10" x14ac:dyDescent="0.25">
      <c r="J690" s="2" t="str">
        <f t="shared" si="10"/>
        <v>NO</v>
      </c>
    </row>
    <row r="691" spans="10:10" x14ac:dyDescent="0.25">
      <c r="J691" s="2" t="str">
        <f t="shared" si="10"/>
        <v>NO</v>
      </c>
    </row>
    <row r="692" spans="10:10" x14ac:dyDescent="0.25">
      <c r="J692" s="2" t="str">
        <f t="shared" si="10"/>
        <v>NO</v>
      </c>
    </row>
    <row r="693" spans="10:10" x14ac:dyDescent="0.25">
      <c r="J693" s="2" t="str">
        <f t="shared" si="10"/>
        <v>NO</v>
      </c>
    </row>
    <row r="694" spans="10:10" x14ac:dyDescent="0.25">
      <c r="J694" s="2" t="str">
        <f t="shared" si="10"/>
        <v>NO</v>
      </c>
    </row>
    <row r="695" spans="10:10" x14ac:dyDescent="0.25">
      <c r="J695" s="2" t="str">
        <f t="shared" si="10"/>
        <v>NO</v>
      </c>
    </row>
    <row r="696" spans="10:10" x14ac:dyDescent="0.25">
      <c r="J696" s="2" t="str">
        <f t="shared" si="10"/>
        <v>NO</v>
      </c>
    </row>
    <row r="697" spans="10:10" x14ac:dyDescent="0.25">
      <c r="J697" s="2" t="str">
        <f t="shared" si="10"/>
        <v>NO</v>
      </c>
    </row>
    <row r="698" spans="10:10" x14ac:dyDescent="0.25">
      <c r="J698" s="2" t="str">
        <f t="shared" si="10"/>
        <v>NO</v>
      </c>
    </row>
    <row r="699" spans="10:10" x14ac:dyDescent="0.25">
      <c r="J699" s="2" t="str">
        <f t="shared" si="10"/>
        <v>NO</v>
      </c>
    </row>
    <row r="700" spans="10:10" x14ac:dyDescent="0.25">
      <c r="J700" s="2" t="str">
        <f t="shared" si="10"/>
        <v>NO</v>
      </c>
    </row>
    <row r="701" spans="10:10" x14ac:dyDescent="0.25">
      <c r="J701" s="2" t="str">
        <f t="shared" si="10"/>
        <v>NO</v>
      </c>
    </row>
    <row r="702" spans="10:10" x14ac:dyDescent="0.25">
      <c r="J702" s="2" t="str">
        <f t="shared" si="10"/>
        <v>NO</v>
      </c>
    </row>
    <row r="703" spans="10:10" x14ac:dyDescent="0.25">
      <c r="J703" s="2" t="str">
        <f t="shared" si="10"/>
        <v>NO</v>
      </c>
    </row>
    <row r="704" spans="10:10" x14ac:dyDescent="0.25">
      <c r="J704" s="2" t="str">
        <f t="shared" si="10"/>
        <v>NO</v>
      </c>
    </row>
    <row r="705" spans="10:10" x14ac:dyDescent="0.25">
      <c r="J705" s="2" t="str">
        <f t="shared" si="10"/>
        <v>NO</v>
      </c>
    </row>
    <row r="706" spans="10:10" x14ac:dyDescent="0.25">
      <c r="J706" s="2" t="str">
        <f t="shared" si="10"/>
        <v>NO</v>
      </c>
    </row>
    <row r="707" spans="10:10" x14ac:dyDescent="0.25">
      <c r="J707" s="2" t="str">
        <f t="shared" ref="J707:J770" si="11">IF(OR(F707="",F707="_",LEFT(F707,5)="SPARE"),"NO","YES")</f>
        <v>NO</v>
      </c>
    </row>
    <row r="708" spans="10:10" x14ac:dyDescent="0.25">
      <c r="J708" s="2" t="str">
        <f t="shared" si="11"/>
        <v>NO</v>
      </c>
    </row>
    <row r="709" spans="10:10" x14ac:dyDescent="0.25">
      <c r="J709" s="2" t="str">
        <f t="shared" si="11"/>
        <v>NO</v>
      </c>
    </row>
    <row r="710" spans="10:10" x14ac:dyDescent="0.25">
      <c r="J710" s="2" t="str">
        <f t="shared" si="11"/>
        <v>NO</v>
      </c>
    </row>
    <row r="711" spans="10:10" x14ac:dyDescent="0.25">
      <c r="J711" s="2" t="str">
        <f t="shared" si="11"/>
        <v>NO</v>
      </c>
    </row>
    <row r="712" spans="10:10" x14ac:dyDescent="0.25">
      <c r="J712" s="2" t="str">
        <f t="shared" si="11"/>
        <v>NO</v>
      </c>
    </row>
    <row r="713" spans="10:10" x14ac:dyDescent="0.25">
      <c r="J713" s="2" t="str">
        <f t="shared" si="11"/>
        <v>NO</v>
      </c>
    </row>
    <row r="714" spans="10:10" x14ac:dyDescent="0.25">
      <c r="J714" s="2" t="str">
        <f t="shared" si="11"/>
        <v>NO</v>
      </c>
    </row>
    <row r="715" spans="10:10" x14ac:dyDescent="0.25">
      <c r="J715" s="2" t="str">
        <f t="shared" si="11"/>
        <v>NO</v>
      </c>
    </row>
    <row r="716" spans="10:10" x14ac:dyDescent="0.25">
      <c r="J716" s="2" t="str">
        <f t="shared" si="11"/>
        <v>NO</v>
      </c>
    </row>
    <row r="717" spans="10:10" x14ac:dyDescent="0.25">
      <c r="J717" s="2" t="str">
        <f t="shared" si="11"/>
        <v>NO</v>
      </c>
    </row>
    <row r="718" spans="10:10" x14ac:dyDescent="0.25">
      <c r="J718" s="2" t="str">
        <f t="shared" si="11"/>
        <v>NO</v>
      </c>
    </row>
    <row r="719" spans="10:10" x14ac:dyDescent="0.25">
      <c r="J719" s="2" t="str">
        <f t="shared" si="11"/>
        <v>NO</v>
      </c>
    </row>
    <row r="720" spans="10:10" x14ac:dyDescent="0.25">
      <c r="J720" s="2" t="str">
        <f t="shared" si="11"/>
        <v>NO</v>
      </c>
    </row>
    <row r="721" spans="10:10" x14ac:dyDescent="0.25">
      <c r="J721" s="2" t="str">
        <f t="shared" si="11"/>
        <v>NO</v>
      </c>
    </row>
    <row r="722" spans="10:10" x14ac:dyDescent="0.25">
      <c r="J722" s="2" t="str">
        <f t="shared" si="11"/>
        <v>NO</v>
      </c>
    </row>
    <row r="723" spans="10:10" x14ac:dyDescent="0.25">
      <c r="J723" s="2" t="str">
        <f t="shared" si="11"/>
        <v>NO</v>
      </c>
    </row>
    <row r="724" spans="10:10" x14ac:dyDescent="0.25">
      <c r="J724" s="2" t="str">
        <f t="shared" si="11"/>
        <v>NO</v>
      </c>
    </row>
    <row r="725" spans="10:10" x14ac:dyDescent="0.25">
      <c r="J725" s="2" t="str">
        <f t="shared" si="11"/>
        <v>NO</v>
      </c>
    </row>
    <row r="726" spans="10:10" x14ac:dyDescent="0.25">
      <c r="J726" s="2" t="str">
        <f t="shared" si="11"/>
        <v>NO</v>
      </c>
    </row>
    <row r="727" spans="10:10" x14ac:dyDescent="0.25">
      <c r="J727" s="2" t="str">
        <f t="shared" si="11"/>
        <v>NO</v>
      </c>
    </row>
    <row r="728" spans="10:10" x14ac:dyDescent="0.25">
      <c r="J728" s="2" t="str">
        <f t="shared" si="11"/>
        <v>NO</v>
      </c>
    </row>
    <row r="729" spans="10:10" x14ac:dyDescent="0.25">
      <c r="J729" s="2" t="str">
        <f t="shared" si="11"/>
        <v>NO</v>
      </c>
    </row>
    <row r="730" spans="10:10" x14ac:dyDescent="0.25">
      <c r="J730" s="2" t="str">
        <f t="shared" si="11"/>
        <v>NO</v>
      </c>
    </row>
    <row r="731" spans="10:10" x14ac:dyDescent="0.25">
      <c r="J731" s="2" t="str">
        <f t="shared" si="11"/>
        <v>NO</v>
      </c>
    </row>
    <row r="732" spans="10:10" x14ac:dyDescent="0.25">
      <c r="J732" s="2" t="str">
        <f t="shared" si="11"/>
        <v>NO</v>
      </c>
    </row>
    <row r="733" spans="10:10" x14ac:dyDescent="0.25">
      <c r="J733" s="2" t="str">
        <f t="shared" si="11"/>
        <v>NO</v>
      </c>
    </row>
    <row r="734" spans="10:10" x14ac:dyDescent="0.25">
      <c r="J734" s="2" t="str">
        <f t="shared" si="11"/>
        <v>NO</v>
      </c>
    </row>
    <row r="735" spans="10:10" x14ac:dyDescent="0.25">
      <c r="J735" s="2" t="str">
        <f t="shared" si="11"/>
        <v>NO</v>
      </c>
    </row>
    <row r="736" spans="10:10" x14ac:dyDescent="0.25">
      <c r="J736" s="2" t="str">
        <f t="shared" si="11"/>
        <v>NO</v>
      </c>
    </row>
    <row r="737" spans="10:10" x14ac:dyDescent="0.25">
      <c r="J737" s="2" t="str">
        <f t="shared" si="11"/>
        <v>NO</v>
      </c>
    </row>
    <row r="738" spans="10:10" x14ac:dyDescent="0.25">
      <c r="J738" s="2" t="str">
        <f t="shared" si="11"/>
        <v>NO</v>
      </c>
    </row>
    <row r="739" spans="10:10" x14ac:dyDescent="0.25">
      <c r="J739" s="2" t="str">
        <f t="shared" si="11"/>
        <v>NO</v>
      </c>
    </row>
    <row r="740" spans="10:10" x14ac:dyDescent="0.25">
      <c r="J740" s="2" t="str">
        <f t="shared" si="11"/>
        <v>NO</v>
      </c>
    </row>
    <row r="741" spans="10:10" x14ac:dyDescent="0.25">
      <c r="J741" s="2" t="str">
        <f t="shared" si="11"/>
        <v>NO</v>
      </c>
    </row>
    <row r="742" spans="10:10" x14ac:dyDescent="0.25">
      <c r="J742" s="2" t="str">
        <f t="shared" si="11"/>
        <v>NO</v>
      </c>
    </row>
    <row r="743" spans="10:10" x14ac:dyDescent="0.25">
      <c r="J743" s="2" t="str">
        <f t="shared" si="11"/>
        <v>NO</v>
      </c>
    </row>
    <row r="744" spans="10:10" x14ac:dyDescent="0.25">
      <c r="J744" s="2" t="str">
        <f t="shared" si="11"/>
        <v>NO</v>
      </c>
    </row>
    <row r="745" spans="10:10" x14ac:dyDescent="0.25">
      <c r="J745" s="2" t="str">
        <f t="shared" si="11"/>
        <v>NO</v>
      </c>
    </row>
    <row r="746" spans="10:10" x14ac:dyDescent="0.25">
      <c r="J746" s="2" t="str">
        <f t="shared" si="11"/>
        <v>NO</v>
      </c>
    </row>
    <row r="747" spans="10:10" x14ac:dyDescent="0.25">
      <c r="J747" s="2" t="str">
        <f t="shared" si="11"/>
        <v>NO</v>
      </c>
    </row>
    <row r="748" spans="10:10" x14ac:dyDescent="0.25">
      <c r="J748" s="2" t="str">
        <f t="shared" si="11"/>
        <v>NO</v>
      </c>
    </row>
    <row r="749" spans="10:10" x14ac:dyDescent="0.25">
      <c r="J749" s="2" t="str">
        <f t="shared" si="11"/>
        <v>NO</v>
      </c>
    </row>
    <row r="750" spans="10:10" x14ac:dyDescent="0.25">
      <c r="J750" s="2" t="str">
        <f t="shared" si="11"/>
        <v>NO</v>
      </c>
    </row>
    <row r="751" spans="10:10" x14ac:dyDescent="0.25">
      <c r="J751" s="2" t="str">
        <f t="shared" si="11"/>
        <v>NO</v>
      </c>
    </row>
    <row r="752" spans="10:10" x14ac:dyDescent="0.25">
      <c r="J752" s="2" t="str">
        <f t="shared" si="11"/>
        <v>NO</v>
      </c>
    </row>
    <row r="753" spans="10:10" x14ac:dyDescent="0.25">
      <c r="J753" s="2" t="str">
        <f t="shared" si="11"/>
        <v>NO</v>
      </c>
    </row>
    <row r="754" spans="10:10" x14ac:dyDescent="0.25">
      <c r="J754" s="2" t="str">
        <f t="shared" si="11"/>
        <v>NO</v>
      </c>
    </row>
    <row r="755" spans="10:10" x14ac:dyDescent="0.25">
      <c r="J755" s="2" t="str">
        <f t="shared" si="11"/>
        <v>NO</v>
      </c>
    </row>
    <row r="756" spans="10:10" x14ac:dyDescent="0.25">
      <c r="J756" s="2" t="str">
        <f t="shared" si="11"/>
        <v>NO</v>
      </c>
    </row>
    <row r="757" spans="10:10" x14ac:dyDescent="0.25">
      <c r="J757" s="2" t="str">
        <f t="shared" si="11"/>
        <v>NO</v>
      </c>
    </row>
    <row r="758" spans="10:10" x14ac:dyDescent="0.25">
      <c r="J758" s="2" t="str">
        <f t="shared" si="11"/>
        <v>NO</v>
      </c>
    </row>
    <row r="759" spans="10:10" x14ac:dyDescent="0.25">
      <c r="J759" s="2" t="str">
        <f t="shared" si="11"/>
        <v>NO</v>
      </c>
    </row>
    <row r="760" spans="10:10" x14ac:dyDescent="0.25">
      <c r="J760" s="2" t="str">
        <f t="shared" si="11"/>
        <v>NO</v>
      </c>
    </row>
    <row r="761" spans="10:10" x14ac:dyDescent="0.25">
      <c r="J761" s="2" t="str">
        <f t="shared" si="11"/>
        <v>NO</v>
      </c>
    </row>
    <row r="762" spans="10:10" x14ac:dyDescent="0.25">
      <c r="J762" s="2" t="str">
        <f t="shared" si="11"/>
        <v>NO</v>
      </c>
    </row>
    <row r="763" spans="10:10" x14ac:dyDescent="0.25">
      <c r="J763" s="2" t="str">
        <f t="shared" si="11"/>
        <v>NO</v>
      </c>
    </row>
    <row r="764" spans="10:10" x14ac:dyDescent="0.25">
      <c r="J764" s="2" t="str">
        <f t="shared" si="11"/>
        <v>NO</v>
      </c>
    </row>
    <row r="765" spans="10:10" x14ac:dyDescent="0.25">
      <c r="J765" s="2" t="str">
        <f t="shared" si="11"/>
        <v>NO</v>
      </c>
    </row>
    <row r="766" spans="10:10" x14ac:dyDescent="0.25">
      <c r="J766" s="2" t="str">
        <f t="shared" si="11"/>
        <v>NO</v>
      </c>
    </row>
    <row r="767" spans="10:10" x14ac:dyDescent="0.25">
      <c r="J767" s="2" t="str">
        <f t="shared" si="11"/>
        <v>NO</v>
      </c>
    </row>
    <row r="768" spans="10:10" x14ac:dyDescent="0.25">
      <c r="J768" s="2" t="str">
        <f t="shared" si="11"/>
        <v>NO</v>
      </c>
    </row>
    <row r="769" spans="10:10" x14ac:dyDescent="0.25">
      <c r="J769" s="2" t="str">
        <f t="shared" si="11"/>
        <v>NO</v>
      </c>
    </row>
    <row r="770" spans="10:10" x14ac:dyDescent="0.25">
      <c r="J770" s="2" t="str">
        <f t="shared" si="11"/>
        <v>NO</v>
      </c>
    </row>
    <row r="771" spans="10:10" x14ac:dyDescent="0.25">
      <c r="J771" s="2" t="str">
        <f t="shared" ref="J771:J834" si="12">IF(OR(F771="",F771="_",LEFT(F771,5)="SPARE"),"NO","YES")</f>
        <v>NO</v>
      </c>
    </row>
    <row r="772" spans="10:10" x14ac:dyDescent="0.25">
      <c r="J772" s="2" t="str">
        <f t="shared" si="12"/>
        <v>NO</v>
      </c>
    </row>
    <row r="773" spans="10:10" x14ac:dyDescent="0.25">
      <c r="J773" s="2" t="str">
        <f t="shared" si="12"/>
        <v>NO</v>
      </c>
    </row>
    <row r="774" spans="10:10" x14ac:dyDescent="0.25">
      <c r="J774" s="2" t="str">
        <f t="shared" si="12"/>
        <v>NO</v>
      </c>
    </row>
    <row r="775" spans="10:10" x14ac:dyDescent="0.25">
      <c r="J775" s="2" t="str">
        <f t="shared" si="12"/>
        <v>NO</v>
      </c>
    </row>
    <row r="776" spans="10:10" x14ac:dyDescent="0.25">
      <c r="J776" s="2" t="str">
        <f t="shared" si="12"/>
        <v>NO</v>
      </c>
    </row>
    <row r="777" spans="10:10" x14ac:dyDescent="0.25">
      <c r="J777" s="2" t="str">
        <f t="shared" si="12"/>
        <v>NO</v>
      </c>
    </row>
    <row r="778" spans="10:10" x14ac:dyDescent="0.25">
      <c r="J778" s="2" t="str">
        <f t="shared" si="12"/>
        <v>NO</v>
      </c>
    </row>
    <row r="779" spans="10:10" x14ac:dyDescent="0.25">
      <c r="J779" s="2" t="str">
        <f t="shared" si="12"/>
        <v>NO</v>
      </c>
    </row>
    <row r="780" spans="10:10" x14ac:dyDescent="0.25">
      <c r="J780" s="2" t="str">
        <f t="shared" si="12"/>
        <v>NO</v>
      </c>
    </row>
    <row r="781" spans="10:10" x14ac:dyDescent="0.25">
      <c r="J781" s="2" t="str">
        <f t="shared" si="12"/>
        <v>NO</v>
      </c>
    </row>
    <row r="782" spans="10:10" x14ac:dyDescent="0.25">
      <c r="J782" s="2" t="str">
        <f t="shared" si="12"/>
        <v>NO</v>
      </c>
    </row>
    <row r="783" spans="10:10" x14ac:dyDescent="0.25">
      <c r="J783" s="2" t="str">
        <f t="shared" si="12"/>
        <v>NO</v>
      </c>
    </row>
    <row r="784" spans="10:10" x14ac:dyDescent="0.25">
      <c r="J784" s="2" t="str">
        <f t="shared" si="12"/>
        <v>NO</v>
      </c>
    </row>
    <row r="785" spans="10:10" x14ac:dyDescent="0.25">
      <c r="J785" s="2" t="str">
        <f t="shared" si="12"/>
        <v>NO</v>
      </c>
    </row>
    <row r="786" spans="10:10" x14ac:dyDescent="0.25">
      <c r="J786" s="2" t="str">
        <f t="shared" si="12"/>
        <v>NO</v>
      </c>
    </row>
    <row r="787" spans="10:10" x14ac:dyDescent="0.25">
      <c r="J787" s="2" t="str">
        <f t="shared" si="12"/>
        <v>NO</v>
      </c>
    </row>
    <row r="788" spans="10:10" x14ac:dyDescent="0.25">
      <c r="J788" s="2" t="str">
        <f t="shared" si="12"/>
        <v>NO</v>
      </c>
    </row>
    <row r="789" spans="10:10" x14ac:dyDescent="0.25">
      <c r="J789" s="2" t="str">
        <f t="shared" si="12"/>
        <v>NO</v>
      </c>
    </row>
    <row r="790" spans="10:10" x14ac:dyDescent="0.25">
      <c r="J790" s="2" t="str">
        <f t="shared" si="12"/>
        <v>NO</v>
      </c>
    </row>
    <row r="791" spans="10:10" x14ac:dyDescent="0.25">
      <c r="J791" s="2" t="str">
        <f t="shared" si="12"/>
        <v>NO</v>
      </c>
    </row>
    <row r="792" spans="10:10" x14ac:dyDescent="0.25">
      <c r="J792" s="2" t="str">
        <f t="shared" si="12"/>
        <v>NO</v>
      </c>
    </row>
    <row r="793" spans="10:10" x14ac:dyDescent="0.25">
      <c r="J793" s="2" t="str">
        <f t="shared" si="12"/>
        <v>NO</v>
      </c>
    </row>
    <row r="794" spans="10:10" x14ac:dyDescent="0.25">
      <c r="J794" s="2" t="str">
        <f t="shared" si="12"/>
        <v>NO</v>
      </c>
    </row>
    <row r="795" spans="10:10" x14ac:dyDescent="0.25">
      <c r="J795" s="2" t="str">
        <f t="shared" si="12"/>
        <v>NO</v>
      </c>
    </row>
    <row r="796" spans="10:10" x14ac:dyDescent="0.25">
      <c r="J796" s="2" t="str">
        <f t="shared" si="12"/>
        <v>NO</v>
      </c>
    </row>
    <row r="797" spans="10:10" x14ac:dyDescent="0.25">
      <c r="J797" s="2" t="str">
        <f t="shared" si="12"/>
        <v>NO</v>
      </c>
    </row>
    <row r="798" spans="10:10" x14ac:dyDescent="0.25">
      <c r="J798" s="2" t="str">
        <f t="shared" si="12"/>
        <v>NO</v>
      </c>
    </row>
    <row r="799" spans="10:10" x14ac:dyDescent="0.25">
      <c r="J799" s="2" t="str">
        <f t="shared" si="12"/>
        <v>NO</v>
      </c>
    </row>
    <row r="800" spans="10:10" x14ac:dyDescent="0.25">
      <c r="J800" s="2" t="str">
        <f t="shared" si="12"/>
        <v>NO</v>
      </c>
    </row>
    <row r="801" spans="10:10" x14ac:dyDescent="0.25">
      <c r="J801" s="2" t="str">
        <f t="shared" si="12"/>
        <v>NO</v>
      </c>
    </row>
    <row r="802" spans="10:10" x14ac:dyDescent="0.25">
      <c r="J802" s="2" t="str">
        <f t="shared" si="12"/>
        <v>NO</v>
      </c>
    </row>
    <row r="803" spans="10:10" x14ac:dyDescent="0.25">
      <c r="J803" s="2" t="str">
        <f t="shared" si="12"/>
        <v>NO</v>
      </c>
    </row>
    <row r="804" spans="10:10" x14ac:dyDescent="0.25">
      <c r="J804" s="2" t="str">
        <f t="shared" si="12"/>
        <v>NO</v>
      </c>
    </row>
    <row r="805" spans="10:10" x14ac:dyDescent="0.25">
      <c r="J805" s="2" t="str">
        <f t="shared" si="12"/>
        <v>NO</v>
      </c>
    </row>
    <row r="806" spans="10:10" x14ac:dyDescent="0.25">
      <c r="J806" s="2" t="str">
        <f t="shared" si="12"/>
        <v>NO</v>
      </c>
    </row>
    <row r="807" spans="10:10" x14ac:dyDescent="0.25">
      <c r="J807" s="2" t="str">
        <f t="shared" si="12"/>
        <v>NO</v>
      </c>
    </row>
    <row r="808" spans="10:10" x14ac:dyDescent="0.25">
      <c r="J808" s="2" t="str">
        <f t="shared" si="12"/>
        <v>NO</v>
      </c>
    </row>
    <row r="809" spans="10:10" x14ac:dyDescent="0.25">
      <c r="J809" s="2" t="str">
        <f t="shared" si="12"/>
        <v>NO</v>
      </c>
    </row>
    <row r="810" spans="10:10" x14ac:dyDescent="0.25">
      <c r="J810" s="2" t="str">
        <f t="shared" si="12"/>
        <v>NO</v>
      </c>
    </row>
    <row r="811" spans="10:10" x14ac:dyDescent="0.25">
      <c r="J811" s="2" t="str">
        <f t="shared" si="12"/>
        <v>NO</v>
      </c>
    </row>
    <row r="812" spans="10:10" x14ac:dyDescent="0.25">
      <c r="J812" s="2" t="str">
        <f t="shared" si="12"/>
        <v>NO</v>
      </c>
    </row>
    <row r="813" spans="10:10" x14ac:dyDescent="0.25">
      <c r="J813" s="2" t="str">
        <f t="shared" si="12"/>
        <v>NO</v>
      </c>
    </row>
    <row r="814" spans="10:10" x14ac:dyDescent="0.25">
      <c r="J814" s="2" t="str">
        <f t="shared" si="12"/>
        <v>NO</v>
      </c>
    </row>
    <row r="815" spans="10:10" x14ac:dyDescent="0.25">
      <c r="J815" s="2" t="str">
        <f t="shared" si="12"/>
        <v>NO</v>
      </c>
    </row>
    <row r="816" spans="10:10" x14ac:dyDescent="0.25">
      <c r="J816" s="2" t="str">
        <f t="shared" si="12"/>
        <v>NO</v>
      </c>
    </row>
    <row r="817" spans="10:10" x14ac:dyDescent="0.25">
      <c r="J817" s="2" t="str">
        <f t="shared" si="12"/>
        <v>NO</v>
      </c>
    </row>
    <row r="818" spans="10:10" x14ac:dyDescent="0.25">
      <c r="J818" s="2" t="str">
        <f t="shared" si="12"/>
        <v>NO</v>
      </c>
    </row>
    <row r="819" spans="10:10" x14ac:dyDescent="0.25">
      <c r="J819" s="2" t="str">
        <f t="shared" si="12"/>
        <v>NO</v>
      </c>
    </row>
    <row r="820" spans="10:10" x14ac:dyDescent="0.25">
      <c r="J820" s="2" t="str">
        <f t="shared" si="12"/>
        <v>NO</v>
      </c>
    </row>
    <row r="821" spans="10:10" x14ac:dyDescent="0.25">
      <c r="J821" s="2" t="str">
        <f t="shared" si="12"/>
        <v>NO</v>
      </c>
    </row>
    <row r="822" spans="10:10" x14ac:dyDescent="0.25">
      <c r="J822" s="2" t="str">
        <f t="shared" si="12"/>
        <v>NO</v>
      </c>
    </row>
    <row r="823" spans="10:10" x14ac:dyDescent="0.25">
      <c r="J823" s="2" t="str">
        <f t="shared" si="12"/>
        <v>NO</v>
      </c>
    </row>
    <row r="824" spans="10:10" x14ac:dyDescent="0.25">
      <c r="J824" s="2" t="str">
        <f t="shared" si="12"/>
        <v>NO</v>
      </c>
    </row>
    <row r="825" spans="10:10" x14ac:dyDescent="0.25">
      <c r="J825" s="2" t="str">
        <f t="shared" si="12"/>
        <v>NO</v>
      </c>
    </row>
    <row r="826" spans="10:10" x14ac:dyDescent="0.25">
      <c r="J826" s="2" t="str">
        <f t="shared" si="12"/>
        <v>NO</v>
      </c>
    </row>
    <row r="827" spans="10:10" x14ac:dyDescent="0.25">
      <c r="J827" s="2" t="str">
        <f t="shared" si="12"/>
        <v>NO</v>
      </c>
    </row>
    <row r="828" spans="10:10" x14ac:dyDescent="0.25">
      <c r="J828" s="2" t="str">
        <f t="shared" si="12"/>
        <v>NO</v>
      </c>
    </row>
    <row r="829" spans="10:10" x14ac:dyDescent="0.25">
      <c r="J829" s="2" t="str">
        <f t="shared" si="12"/>
        <v>NO</v>
      </c>
    </row>
    <row r="830" spans="10:10" x14ac:dyDescent="0.25">
      <c r="J830" s="2" t="str">
        <f t="shared" si="12"/>
        <v>NO</v>
      </c>
    </row>
    <row r="831" spans="10:10" x14ac:dyDescent="0.25">
      <c r="J831" s="2" t="str">
        <f t="shared" si="12"/>
        <v>NO</v>
      </c>
    </row>
    <row r="832" spans="10:10" x14ac:dyDescent="0.25">
      <c r="J832" s="2" t="str">
        <f t="shared" si="12"/>
        <v>NO</v>
      </c>
    </row>
    <row r="833" spans="10:10" x14ac:dyDescent="0.25">
      <c r="J833" s="2" t="str">
        <f t="shared" si="12"/>
        <v>NO</v>
      </c>
    </row>
    <row r="834" spans="10:10" x14ac:dyDescent="0.25">
      <c r="J834" s="2" t="str">
        <f t="shared" si="12"/>
        <v>NO</v>
      </c>
    </row>
    <row r="835" spans="10:10" x14ac:dyDescent="0.25">
      <c r="J835" s="2" t="str">
        <f t="shared" ref="J835:J898" si="13">IF(OR(F835="",F835="_",LEFT(F835,5)="SPARE"),"NO","YES")</f>
        <v>NO</v>
      </c>
    </row>
    <row r="836" spans="10:10" x14ac:dyDescent="0.25">
      <c r="J836" s="2" t="str">
        <f t="shared" si="13"/>
        <v>NO</v>
      </c>
    </row>
    <row r="837" spans="10:10" x14ac:dyDescent="0.25">
      <c r="J837" s="2" t="str">
        <f t="shared" si="13"/>
        <v>NO</v>
      </c>
    </row>
    <row r="838" spans="10:10" x14ac:dyDescent="0.25">
      <c r="J838" s="2" t="str">
        <f t="shared" si="13"/>
        <v>NO</v>
      </c>
    </row>
    <row r="839" spans="10:10" x14ac:dyDescent="0.25">
      <c r="J839" s="2" t="str">
        <f t="shared" si="13"/>
        <v>NO</v>
      </c>
    </row>
    <row r="840" spans="10:10" x14ac:dyDescent="0.25">
      <c r="J840" s="2" t="str">
        <f t="shared" si="13"/>
        <v>NO</v>
      </c>
    </row>
    <row r="841" spans="10:10" x14ac:dyDescent="0.25">
      <c r="J841" s="2" t="str">
        <f t="shared" si="13"/>
        <v>NO</v>
      </c>
    </row>
    <row r="842" spans="10:10" x14ac:dyDescent="0.25">
      <c r="J842" s="2" t="str">
        <f t="shared" si="13"/>
        <v>NO</v>
      </c>
    </row>
    <row r="843" spans="10:10" x14ac:dyDescent="0.25">
      <c r="J843" s="2" t="str">
        <f t="shared" si="13"/>
        <v>NO</v>
      </c>
    </row>
    <row r="844" spans="10:10" x14ac:dyDescent="0.25">
      <c r="J844" s="2" t="str">
        <f t="shared" si="13"/>
        <v>NO</v>
      </c>
    </row>
    <row r="845" spans="10:10" x14ac:dyDescent="0.25">
      <c r="J845" s="2" t="str">
        <f t="shared" si="13"/>
        <v>NO</v>
      </c>
    </row>
    <row r="846" spans="10:10" x14ac:dyDescent="0.25">
      <c r="J846" s="2" t="str">
        <f t="shared" si="13"/>
        <v>NO</v>
      </c>
    </row>
    <row r="847" spans="10:10" x14ac:dyDescent="0.25">
      <c r="J847" s="2" t="str">
        <f t="shared" si="13"/>
        <v>NO</v>
      </c>
    </row>
    <row r="848" spans="10:10" x14ac:dyDescent="0.25">
      <c r="J848" s="2" t="str">
        <f t="shared" si="13"/>
        <v>NO</v>
      </c>
    </row>
    <row r="849" spans="10:10" x14ac:dyDescent="0.25">
      <c r="J849" s="2" t="str">
        <f t="shared" si="13"/>
        <v>NO</v>
      </c>
    </row>
    <row r="850" spans="10:10" x14ac:dyDescent="0.25">
      <c r="J850" s="2" t="str">
        <f t="shared" si="13"/>
        <v>NO</v>
      </c>
    </row>
    <row r="851" spans="10:10" x14ac:dyDescent="0.25">
      <c r="J851" s="2" t="str">
        <f t="shared" si="13"/>
        <v>NO</v>
      </c>
    </row>
    <row r="852" spans="10:10" x14ac:dyDescent="0.25">
      <c r="J852" s="2" t="str">
        <f t="shared" si="13"/>
        <v>NO</v>
      </c>
    </row>
    <row r="853" spans="10:10" x14ac:dyDescent="0.25">
      <c r="J853" s="2" t="str">
        <f t="shared" si="13"/>
        <v>NO</v>
      </c>
    </row>
    <row r="854" spans="10:10" x14ac:dyDescent="0.25">
      <c r="J854" s="2" t="str">
        <f t="shared" si="13"/>
        <v>NO</v>
      </c>
    </row>
    <row r="855" spans="10:10" x14ac:dyDescent="0.25">
      <c r="J855" s="2" t="str">
        <f t="shared" si="13"/>
        <v>NO</v>
      </c>
    </row>
    <row r="856" spans="10:10" x14ac:dyDescent="0.25">
      <c r="J856" s="2" t="str">
        <f t="shared" si="13"/>
        <v>NO</v>
      </c>
    </row>
    <row r="857" spans="10:10" x14ac:dyDescent="0.25">
      <c r="J857" s="2" t="str">
        <f t="shared" si="13"/>
        <v>NO</v>
      </c>
    </row>
    <row r="858" spans="10:10" x14ac:dyDescent="0.25">
      <c r="J858" s="2" t="str">
        <f t="shared" si="13"/>
        <v>NO</v>
      </c>
    </row>
    <row r="859" spans="10:10" x14ac:dyDescent="0.25">
      <c r="J859" s="2" t="str">
        <f t="shared" si="13"/>
        <v>NO</v>
      </c>
    </row>
    <row r="860" spans="10:10" x14ac:dyDescent="0.25">
      <c r="J860" s="2" t="str">
        <f t="shared" si="13"/>
        <v>NO</v>
      </c>
    </row>
    <row r="861" spans="10:10" x14ac:dyDescent="0.25">
      <c r="J861" s="2" t="str">
        <f t="shared" si="13"/>
        <v>NO</v>
      </c>
    </row>
    <row r="862" spans="10:10" x14ac:dyDescent="0.25">
      <c r="J862" s="2" t="str">
        <f t="shared" si="13"/>
        <v>NO</v>
      </c>
    </row>
    <row r="863" spans="10:10" x14ac:dyDescent="0.25">
      <c r="J863" s="2" t="str">
        <f t="shared" si="13"/>
        <v>NO</v>
      </c>
    </row>
    <row r="864" spans="10:10" x14ac:dyDescent="0.25">
      <c r="J864" s="2" t="str">
        <f t="shared" si="13"/>
        <v>NO</v>
      </c>
    </row>
    <row r="865" spans="10:10" x14ac:dyDescent="0.25">
      <c r="J865" s="2" t="str">
        <f t="shared" si="13"/>
        <v>NO</v>
      </c>
    </row>
    <row r="866" spans="10:10" x14ac:dyDescent="0.25">
      <c r="J866" s="2" t="str">
        <f t="shared" si="13"/>
        <v>NO</v>
      </c>
    </row>
    <row r="867" spans="10:10" x14ac:dyDescent="0.25">
      <c r="J867" s="2" t="str">
        <f t="shared" si="13"/>
        <v>NO</v>
      </c>
    </row>
    <row r="868" spans="10:10" x14ac:dyDescent="0.25">
      <c r="J868" s="2" t="str">
        <f t="shared" si="13"/>
        <v>NO</v>
      </c>
    </row>
    <row r="869" spans="10:10" x14ac:dyDescent="0.25">
      <c r="J869" s="2" t="str">
        <f t="shared" si="13"/>
        <v>NO</v>
      </c>
    </row>
    <row r="870" spans="10:10" x14ac:dyDescent="0.25">
      <c r="J870" s="2" t="str">
        <f t="shared" si="13"/>
        <v>NO</v>
      </c>
    </row>
    <row r="871" spans="10:10" x14ac:dyDescent="0.25">
      <c r="J871" s="2" t="str">
        <f t="shared" si="13"/>
        <v>NO</v>
      </c>
    </row>
    <row r="872" spans="10:10" x14ac:dyDescent="0.25">
      <c r="J872" s="2" t="str">
        <f t="shared" si="13"/>
        <v>NO</v>
      </c>
    </row>
    <row r="873" spans="10:10" x14ac:dyDescent="0.25">
      <c r="J873" s="2" t="str">
        <f t="shared" si="13"/>
        <v>NO</v>
      </c>
    </row>
    <row r="874" spans="10:10" x14ac:dyDescent="0.25">
      <c r="J874" s="2" t="str">
        <f t="shared" si="13"/>
        <v>NO</v>
      </c>
    </row>
    <row r="875" spans="10:10" x14ac:dyDescent="0.25">
      <c r="J875" s="2" t="str">
        <f t="shared" si="13"/>
        <v>NO</v>
      </c>
    </row>
    <row r="876" spans="10:10" x14ac:dyDescent="0.25">
      <c r="J876" s="2" t="str">
        <f t="shared" si="13"/>
        <v>NO</v>
      </c>
    </row>
    <row r="877" spans="10:10" x14ac:dyDescent="0.25">
      <c r="J877" s="2" t="str">
        <f t="shared" si="13"/>
        <v>NO</v>
      </c>
    </row>
    <row r="878" spans="10:10" x14ac:dyDescent="0.25">
      <c r="J878" s="2" t="str">
        <f t="shared" si="13"/>
        <v>NO</v>
      </c>
    </row>
    <row r="879" spans="10:10" x14ac:dyDescent="0.25">
      <c r="J879" s="2" t="str">
        <f t="shared" si="13"/>
        <v>NO</v>
      </c>
    </row>
    <row r="880" spans="10:10" x14ac:dyDescent="0.25">
      <c r="J880" s="2" t="str">
        <f t="shared" si="13"/>
        <v>NO</v>
      </c>
    </row>
    <row r="881" spans="10:10" x14ac:dyDescent="0.25">
      <c r="J881" s="2" t="str">
        <f t="shared" si="13"/>
        <v>NO</v>
      </c>
    </row>
    <row r="882" spans="10:10" x14ac:dyDescent="0.25">
      <c r="J882" s="2" t="str">
        <f t="shared" si="13"/>
        <v>NO</v>
      </c>
    </row>
    <row r="883" spans="10:10" x14ac:dyDescent="0.25">
      <c r="J883" s="2" t="str">
        <f t="shared" si="13"/>
        <v>NO</v>
      </c>
    </row>
    <row r="884" spans="10:10" x14ac:dyDescent="0.25">
      <c r="J884" s="2" t="str">
        <f t="shared" si="13"/>
        <v>NO</v>
      </c>
    </row>
    <row r="885" spans="10:10" x14ac:dyDescent="0.25">
      <c r="J885" s="2" t="str">
        <f t="shared" si="13"/>
        <v>NO</v>
      </c>
    </row>
    <row r="886" spans="10:10" x14ac:dyDescent="0.25">
      <c r="J886" s="2" t="str">
        <f t="shared" si="13"/>
        <v>NO</v>
      </c>
    </row>
    <row r="887" spans="10:10" x14ac:dyDescent="0.25">
      <c r="J887" s="2" t="str">
        <f t="shared" si="13"/>
        <v>NO</v>
      </c>
    </row>
    <row r="888" spans="10:10" x14ac:dyDescent="0.25">
      <c r="J888" s="2" t="str">
        <f t="shared" si="13"/>
        <v>NO</v>
      </c>
    </row>
    <row r="889" spans="10:10" x14ac:dyDescent="0.25">
      <c r="J889" s="2" t="str">
        <f t="shared" si="13"/>
        <v>NO</v>
      </c>
    </row>
    <row r="890" spans="10:10" x14ac:dyDescent="0.25">
      <c r="J890" s="2" t="str">
        <f t="shared" si="13"/>
        <v>NO</v>
      </c>
    </row>
    <row r="891" spans="10:10" x14ac:dyDescent="0.25">
      <c r="J891" s="2" t="str">
        <f t="shared" si="13"/>
        <v>NO</v>
      </c>
    </row>
    <row r="892" spans="10:10" x14ac:dyDescent="0.25">
      <c r="J892" s="2" t="str">
        <f t="shared" si="13"/>
        <v>NO</v>
      </c>
    </row>
    <row r="893" spans="10:10" x14ac:dyDescent="0.25">
      <c r="J893" s="2" t="str">
        <f t="shared" si="13"/>
        <v>NO</v>
      </c>
    </row>
    <row r="894" spans="10:10" x14ac:dyDescent="0.25">
      <c r="J894" s="2" t="str">
        <f t="shared" si="13"/>
        <v>NO</v>
      </c>
    </row>
    <row r="895" spans="10:10" x14ac:dyDescent="0.25">
      <c r="J895" s="2" t="str">
        <f t="shared" si="13"/>
        <v>NO</v>
      </c>
    </row>
    <row r="896" spans="10:10" x14ac:dyDescent="0.25">
      <c r="J896" s="2" t="str">
        <f t="shared" si="13"/>
        <v>NO</v>
      </c>
    </row>
    <row r="897" spans="10:10" x14ac:dyDescent="0.25">
      <c r="J897" s="2" t="str">
        <f t="shared" si="13"/>
        <v>NO</v>
      </c>
    </row>
    <row r="898" spans="10:10" x14ac:dyDescent="0.25">
      <c r="J898" s="2" t="str">
        <f t="shared" si="13"/>
        <v>NO</v>
      </c>
    </row>
    <row r="899" spans="10:10" x14ac:dyDescent="0.25">
      <c r="J899" s="2" t="str">
        <f t="shared" ref="J899:J962" si="14">IF(OR(F899="",F899="_",LEFT(F899,5)="SPARE"),"NO","YES")</f>
        <v>NO</v>
      </c>
    </row>
    <row r="900" spans="10:10" x14ac:dyDescent="0.25">
      <c r="J900" s="2" t="str">
        <f t="shared" si="14"/>
        <v>NO</v>
      </c>
    </row>
    <row r="901" spans="10:10" x14ac:dyDescent="0.25">
      <c r="J901" s="2" t="str">
        <f t="shared" si="14"/>
        <v>NO</v>
      </c>
    </row>
    <row r="902" spans="10:10" x14ac:dyDescent="0.25">
      <c r="J902" s="2" t="str">
        <f t="shared" si="14"/>
        <v>NO</v>
      </c>
    </row>
    <row r="903" spans="10:10" x14ac:dyDescent="0.25">
      <c r="J903" s="2" t="str">
        <f t="shared" si="14"/>
        <v>NO</v>
      </c>
    </row>
    <row r="904" spans="10:10" x14ac:dyDescent="0.25">
      <c r="J904" s="2" t="str">
        <f t="shared" si="14"/>
        <v>NO</v>
      </c>
    </row>
    <row r="905" spans="10:10" x14ac:dyDescent="0.25">
      <c r="J905" s="2" t="str">
        <f t="shared" si="14"/>
        <v>NO</v>
      </c>
    </row>
    <row r="906" spans="10:10" x14ac:dyDescent="0.25">
      <c r="J906" s="2" t="str">
        <f t="shared" si="14"/>
        <v>NO</v>
      </c>
    </row>
    <row r="907" spans="10:10" x14ac:dyDescent="0.25">
      <c r="J907" s="2" t="str">
        <f t="shared" si="14"/>
        <v>NO</v>
      </c>
    </row>
    <row r="908" spans="10:10" x14ac:dyDescent="0.25">
      <c r="J908" s="2" t="str">
        <f t="shared" si="14"/>
        <v>NO</v>
      </c>
    </row>
    <row r="909" spans="10:10" x14ac:dyDescent="0.25">
      <c r="J909" s="2" t="str">
        <f t="shared" si="14"/>
        <v>NO</v>
      </c>
    </row>
    <row r="910" spans="10:10" x14ac:dyDescent="0.25">
      <c r="J910" s="2" t="str">
        <f t="shared" si="14"/>
        <v>NO</v>
      </c>
    </row>
    <row r="911" spans="10:10" x14ac:dyDescent="0.25">
      <c r="J911" s="2" t="str">
        <f t="shared" si="14"/>
        <v>NO</v>
      </c>
    </row>
    <row r="912" spans="10:10" x14ac:dyDescent="0.25">
      <c r="J912" s="2" t="str">
        <f t="shared" si="14"/>
        <v>NO</v>
      </c>
    </row>
    <row r="913" spans="10:10" x14ac:dyDescent="0.25">
      <c r="J913" s="2" t="str">
        <f t="shared" si="14"/>
        <v>NO</v>
      </c>
    </row>
    <row r="914" spans="10:10" x14ac:dyDescent="0.25">
      <c r="J914" s="2" t="str">
        <f t="shared" si="14"/>
        <v>NO</v>
      </c>
    </row>
    <row r="915" spans="10:10" x14ac:dyDescent="0.25">
      <c r="J915" s="2" t="str">
        <f t="shared" si="14"/>
        <v>NO</v>
      </c>
    </row>
    <row r="916" spans="10:10" x14ac:dyDescent="0.25">
      <c r="J916" s="2" t="str">
        <f t="shared" si="14"/>
        <v>NO</v>
      </c>
    </row>
    <row r="917" spans="10:10" x14ac:dyDescent="0.25">
      <c r="J917" s="2" t="str">
        <f t="shared" si="14"/>
        <v>NO</v>
      </c>
    </row>
    <row r="918" spans="10:10" x14ac:dyDescent="0.25">
      <c r="J918" s="2" t="str">
        <f t="shared" si="14"/>
        <v>NO</v>
      </c>
    </row>
    <row r="919" spans="10:10" x14ac:dyDescent="0.25">
      <c r="J919" s="2" t="str">
        <f t="shared" si="14"/>
        <v>NO</v>
      </c>
    </row>
    <row r="920" spans="10:10" x14ac:dyDescent="0.25">
      <c r="J920" s="2" t="str">
        <f t="shared" si="14"/>
        <v>NO</v>
      </c>
    </row>
    <row r="921" spans="10:10" x14ac:dyDescent="0.25">
      <c r="J921" s="2" t="str">
        <f t="shared" si="14"/>
        <v>NO</v>
      </c>
    </row>
    <row r="922" spans="10:10" x14ac:dyDescent="0.25">
      <c r="J922" s="2" t="str">
        <f t="shared" si="14"/>
        <v>NO</v>
      </c>
    </row>
    <row r="923" spans="10:10" x14ac:dyDescent="0.25">
      <c r="J923" s="2" t="str">
        <f t="shared" si="14"/>
        <v>NO</v>
      </c>
    </row>
    <row r="924" spans="10:10" x14ac:dyDescent="0.25">
      <c r="J924" s="2" t="str">
        <f t="shared" si="14"/>
        <v>NO</v>
      </c>
    </row>
    <row r="925" spans="10:10" x14ac:dyDescent="0.25">
      <c r="J925" s="2" t="str">
        <f t="shared" si="14"/>
        <v>NO</v>
      </c>
    </row>
    <row r="926" spans="10:10" x14ac:dyDescent="0.25">
      <c r="J926" s="2" t="str">
        <f t="shared" si="14"/>
        <v>NO</v>
      </c>
    </row>
    <row r="927" spans="10:10" x14ac:dyDescent="0.25">
      <c r="J927" s="2" t="str">
        <f t="shared" si="14"/>
        <v>NO</v>
      </c>
    </row>
    <row r="928" spans="10:10" x14ac:dyDescent="0.25">
      <c r="J928" s="2" t="str">
        <f t="shared" si="14"/>
        <v>NO</v>
      </c>
    </row>
    <row r="929" spans="6:10" x14ac:dyDescent="0.25">
      <c r="J929" s="2" t="str">
        <f t="shared" si="14"/>
        <v>NO</v>
      </c>
    </row>
    <row r="930" spans="6:10" x14ac:dyDescent="0.25">
      <c r="J930" s="2" t="str">
        <f t="shared" si="14"/>
        <v>NO</v>
      </c>
    </row>
    <row r="931" spans="6:10" x14ac:dyDescent="0.25">
      <c r="J931" s="2" t="str">
        <f t="shared" si="14"/>
        <v>NO</v>
      </c>
    </row>
    <row r="932" spans="6:10" x14ac:dyDescent="0.25">
      <c r="J932" s="2" t="str">
        <f t="shared" si="14"/>
        <v>NO</v>
      </c>
    </row>
    <row r="933" spans="6:10" x14ac:dyDescent="0.25">
      <c r="J933" s="2" t="str">
        <f t="shared" si="14"/>
        <v>NO</v>
      </c>
    </row>
    <row r="934" spans="6:10" x14ac:dyDescent="0.25">
      <c r="J934" s="2" t="str">
        <f t="shared" si="14"/>
        <v>NO</v>
      </c>
    </row>
    <row r="935" spans="6:10" x14ac:dyDescent="0.25">
      <c r="J935" s="2" t="str">
        <f t="shared" si="14"/>
        <v>NO</v>
      </c>
    </row>
    <row r="936" spans="6:10" x14ac:dyDescent="0.25">
      <c r="J936" s="2" t="str">
        <f t="shared" si="14"/>
        <v>NO</v>
      </c>
    </row>
    <row r="937" spans="6:10" x14ac:dyDescent="0.25">
      <c r="J937" s="2" t="str">
        <f t="shared" si="14"/>
        <v>NO</v>
      </c>
    </row>
    <row r="938" spans="6:10" x14ac:dyDescent="0.25">
      <c r="J938" s="2" t="str">
        <f t="shared" si="14"/>
        <v>NO</v>
      </c>
    </row>
    <row r="939" spans="6:10" x14ac:dyDescent="0.25">
      <c r="J939" s="2" t="str">
        <f t="shared" si="14"/>
        <v>NO</v>
      </c>
    </row>
    <row r="940" spans="6:10" x14ac:dyDescent="0.25">
      <c r="J940" s="2" t="str">
        <f t="shared" si="14"/>
        <v>NO</v>
      </c>
    </row>
    <row r="941" spans="6:10" x14ac:dyDescent="0.25">
      <c r="F941" s="3"/>
      <c r="J941" s="2" t="str">
        <f t="shared" si="14"/>
        <v>NO</v>
      </c>
    </row>
    <row r="942" spans="6:10" x14ac:dyDescent="0.25">
      <c r="J942" s="2" t="str">
        <f t="shared" si="14"/>
        <v>NO</v>
      </c>
    </row>
    <row r="943" spans="6:10" x14ac:dyDescent="0.25">
      <c r="J943" s="2" t="str">
        <f t="shared" si="14"/>
        <v>NO</v>
      </c>
    </row>
    <row r="944" spans="6:10" x14ac:dyDescent="0.25">
      <c r="J944" s="2" t="str">
        <f t="shared" si="14"/>
        <v>NO</v>
      </c>
    </row>
    <row r="945" spans="10:10" x14ac:dyDescent="0.25">
      <c r="J945" s="2" t="str">
        <f t="shared" si="14"/>
        <v>NO</v>
      </c>
    </row>
    <row r="946" spans="10:10" x14ac:dyDescent="0.25">
      <c r="J946" s="2" t="str">
        <f t="shared" si="14"/>
        <v>NO</v>
      </c>
    </row>
    <row r="947" spans="10:10" x14ac:dyDescent="0.25">
      <c r="J947" s="2" t="str">
        <f t="shared" si="14"/>
        <v>NO</v>
      </c>
    </row>
    <row r="948" spans="10:10" x14ac:dyDescent="0.25">
      <c r="J948" s="2" t="str">
        <f t="shared" si="14"/>
        <v>NO</v>
      </c>
    </row>
    <row r="949" spans="10:10" x14ac:dyDescent="0.25">
      <c r="J949" s="2" t="str">
        <f t="shared" si="14"/>
        <v>NO</v>
      </c>
    </row>
    <row r="950" spans="10:10" x14ac:dyDescent="0.25">
      <c r="J950" s="2" t="str">
        <f t="shared" si="14"/>
        <v>NO</v>
      </c>
    </row>
    <row r="951" spans="10:10" x14ac:dyDescent="0.25">
      <c r="J951" s="2" t="str">
        <f t="shared" si="14"/>
        <v>NO</v>
      </c>
    </row>
    <row r="952" spans="10:10" x14ac:dyDescent="0.25">
      <c r="J952" s="2" t="str">
        <f t="shared" si="14"/>
        <v>NO</v>
      </c>
    </row>
    <row r="953" spans="10:10" x14ac:dyDescent="0.25">
      <c r="J953" s="2" t="str">
        <f t="shared" si="14"/>
        <v>NO</v>
      </c>
    </row>
    <row r="954" spans="10:10" x14ac:dyDescent="0.25">
      <c r="J954" s="2" t="str">
        <f t="shared" si="14"/>
        <v>NO</v>
      </c>
    </row>
    <row r="955" spans="10:10" x14ac:dyDescent="0.25">
      <c r="J955" s="2" t="str">
        <f t="shared" si="14"/>
        <v>NO</v>
      </c>
    </row>
    <row r="956" spans="10:10" x14ac:dyDescent="0.25">
      <c r="J956" s="2" t="str">
        <f t="shared" si="14"/>
        <v>NO</v>
      </c>
    </row>
    <row r="957" spans="10:10" x14ac:dyDescent="0.25">
      <c r="J957" s="2" t="str">
        <f t="shared" si="14"/>
        <v>NO</v>
      </c>
    </row>
    <row r="958" spans="10:10" x14ac:dyDescent="0.25">
      <c r="J958" s="2" t="str">
        <f t="shared" si="14"/>
        <v>NO</v>
      </c>
    </row>
    <row r="959" spans="10:10" x14ac:dyDescent="0.25">
      <c r="J959" s="2" t="str">
        <f t="shared" si="14"/>
        <v>NO</v>
      </c>
    </row>
    <row r="960" spans="10:10" x14ac:dyDescent="0.25">
      <c r="J960" s="2" t="str">
        <f t="shared" si="14"/>
        <v>NO</v>
      </c>
    </row>
    <row r="961" spans="10:10" x14ac:dyDescent="0.25">
      <c r="J961" s="2" t="str">
        <f t="shared" si="14"/>
        <v>NO</v>
      </c>
    </row>
    <row r="962" spans="10:10" x14ac:dyDescent="0.25">
      <c r="J962" s="2" t="str">
        <f t="shared" si="14"/>
        <v>NO</v>
      </c>
    </row>
    <row r="963" spans="10:10" x14ac:dyDescent="0.25">
      <c r="J963" s="2" t="str">
        <f t="shared" ref="J963:J1026" si="15">IF(OR(F963="",F963="_",LEFT(F963,5)="SPARE"),"NO","YES")</f>
        <v>NO</v>
      </c>
    </row>
    <row r="964" spans="10:10" x14ac:dyDescent="0.25">
      <c r="J964" s="2" t="str">
        <f t="shared" si="15"/>
        <v>NO</v>
      </c>
    </row>
    <row r="965" spans="10:10" x14ac:dyDescent="0.25">
      <c r="J965" s="2" t="str">
        <f t="shared" si="15"/>
        <v>NO</v>
      </c>
    </row>
    <row r="966" spans="10:10" x14ac:dyDescent="0.25">
      <c r="J966" s="2" t="str">
        <f t="shared" si="15"/>
        <v>NO</v>
      </c>
    </row>
    <row r="967" spans="10:10" x14ac:dyDescent="0.25">
      <c r="J967" s="2" t="str">
        <f t="shared" si="15"/>
        <v>NO</v>
      </c>
    </row>
    <row r="968" spans="10:10" x14ac:dyDescent="0.25">
      <c r="J968" s="2" t="str">
        <f t="shared" si="15"/>
        <v>NO</v>
      </c>
    </row>
    <row r="969" spans="10:10" x14ac:dyDescent="0.25">
      <c r="J969" s="2" t="str">
        <f t="shared" si="15"/>
        <v>NO</v>
      </c>
    </row>
    <row r="970" spans="10:10" x14ac:dyDescent="0.25">
      <c r="J970" s="2" t="str">
        <f t="shared" si="15"/>
        <v>NO</v>
      </c>
    </row>
    <row r="971" spans="10:10" x14ac:dyDescent="0.25">
      <c r="J971" s="2" t="str">
        <f t="shared" si="15"/>
        <v>NO</v>
      </c>
    </row>
    <row r="972" spans="10:10" x14ac:dyDescent="0.25">
      <c r="J972" s="2" t="str">
        <f t="shared" si="15"/>
        <v>NO</v>
      </c>
    </row>
    <row r="973" spans="10:10" x14ac:dyDescent="0.25">
      <c r="J973" s="2" t="str">
        <f t="shared" si="15"/>
        <v>NO</v>
      </c>
    </row>
    <row r="974" spans="10:10" x14ac:dyDescent="0.25">
      <c r="J974" s="2" t="str">
        <f t="shared" si="15"/>
        <v>NO</v>
      </c>
    </row>
    <row r="975" spans="10:10" x14ac:dyDescent="0.25">
      <c r="J975" s="2" t="str">
        <f t="shared" si="15"/>
        <v>NO</v>
      </c>
    </row>
    <row r="976" spans="10:10" x14ac:dyDescent="0.25">
      <c r="J976" s="2" t="str">
        <f t="shared" si="15"/>
        <v>NO</v>
      </c>
    </row>
    <row r="977" spans="10:10" x14ac:dyDescent="0.25">
      <c r="J977" s="2" t="str">
        <f t="shared" si="15"/>
        <v>NO</v>
      </c>
    </row>
    <row r="978" spans="10:10" x14ac:dyDescent="0.25">
      <c r="J978" s="2" t="str">
        <f t="shared" si="15"/>
        <v>NO</v>
      </c>
    </row>
    <row r="979" spans="10:10" x14ac:dyDescent="0.25">
      <c r="J979" s="2" t="str">
        <f t="shared" si="15"/>
        <v>NO</v>
      </c>
    </row>
    <row r="980" spans="10:10" x14ac:dyDescent="0.25">
      <c r="J980" s="2" t="str">
        <f t="shared" si="15"/>
        <v>NO</v>
      </c>
    </row>
    <row r="981" spans="10:10" x14ac:dyDescent="0.25">
      <c r="J981" s="2" t="str">
        <f t="shared" si="15"/>
        <v>NO</v>
      </c>
    </row>
    <row r="982" spans="10:10" x14ac:dyDescent="0.25">
      <c r="J982" s="2" t="str">
        <f t="shared" si="15"/>
        <v>NO</v>
      </c>
    </row>
    <row r="983" spans="10:10" x14ac:dyDescent="0.25">
      <c r="J983" s="2" t="str">
        <f t="shared" si="15"/>
        <v>NO</v>
      </c>
    </row>
    <row r="984" spans="10:10" x14ac:dyDescent="0.25">
      <c r="J984" s="2" t="str">
        <f t="shared" si="15"/>
        <v>NO</v>
      </c>
    </row>
    <row r="985" spans="10:10" x14ac:dyDescent="0.25">
      <c r="J985" s="2" t="str">
        <f t="shared" si="15"/>
        <v>NO</v>
      </c>
    </row>
    <row r="986" spans="10:10" x14ac:dyDescent="0.25">
      <c r="J986" s="2" t="str">
        <f t="shared" si="15"/>
        <v>NO</v>
      </c>
    </row>
    <row r="987" spans="10:10" x14ac:dyDescent="0.25">
      <c r="J987" s="2" t="str">
        <f t="shared" si="15"/>
        <v>NO</v>
      </c>
    </row>
    <row r="988" spans="10:10" x14ac:dyDescent="0.25">
      <c r="J988" s="2" t="str">
        <f t="shared" si="15"/>
        <v>NO</v>
      </c>
    </row>
    <row r="989" spans="10:10" x14ac:dyDescent="0.25">
      <c r="J989" s="2" t="str">
        <f t="shared" si="15"/>
        <v>NO</v>
      </c>
    </row>
    <row r="990" spans="10:10" x14ac:dyDescent="0.25">
      <c r="J990" s="2" t="str">
        <f t="shared" si="15"/>
        <v>NO</v>
      </c>
    </row>
    <row r="991" spans="10:10" x14ac:dyDescent="0.25">
      <c r="J991" s="2" t="str">
        <f t="shared" si="15"/>
        <v>NO</v>
      </c>
    </row>
    <row r="992" spans="10:10" x14ac:dyDescent="0.25">
      <c r="J992" s="2" t="str">
        <f t="shared" si="15"/>
        <v>NO</v>
      </c>
    </row>
    <row r="993" spans="10:10" x14ac:dyDescent="0.25">
      <c r="J993" s="2" t="str">
        <f t="shared" si="15"/>
        <v>NO</v>
      </c>
    </row>
    <row r="994" spans="10:10" x14ac:dyDescent="0.25">
      <c r="J994" s="2" t="str">
        <f t="shared" si="15"/>
        <v>NO</v>
      </c>
    </row>
    <row r="995" spans="10:10" x14ac:dyDescent="0.25">
      <c r="J995" s="2" t="str">
        <f t="shared" si="15"/>
        <v>NO</v>
      </c>
    </row>
    <row r="996" spans="10:10" x14ac:dyDescent="0.25">
      <c r="J996" s="2" t="str">
        <f t="shared" si="15"/>
        <v>NO</v>
      </c>
    </row>
    <row r="997" spans="10:10" x14ac:dyDescent="0.25">
      <c r="J997" s="2" t="str">
        <f t="shared" si="15"/>
        <v>NO</v>
      </c>
    </row>
    <row r="998" spans="10:10" x14ac:dyDescent="0.25">
      <c r="J998" s="2" t="str">
        <f t="shared" si="15"/>
        <v>NO</v>
      </c>
    </row>
    <row r="999" spans="10:10" x14ac:dyDescent="0.25">
      <c r="J999" s="2" t="str">
        <f t="shared" si="15"/>
        <v>NO</v>
      </c>
    </row>
    <row r="1000" spans="10:10" x14ac:dyDescent="0.25">
      <c r="J1000" s="2" t="str">
        <f t="shared" si="15"/>
        <v>NO</v>
      </c>
    </row>
    <row r="1001" spans="10:10" x14ac:dyDescent="0.25">
      <c r="J1001" s="2" t="str">
        <f t="shared" si="15"/>
        <v>NO</v>
      </c>
    </row>
    <row r="1002" spans="10:10" x14ac:dyDescent="0.25">
      <c r="J1002" s="2" t="str">
        <f t="shared" si="15"/>
        <v>NO</v>
      </c>
    </row>
    <row r="1003" spans="10:10" x14ac:dyDescent="0.25">
      <c r="J1003" s="2" t="str">
        <f t="shared" si="15"/>
        <v>NO</v>
      </c>
    </row>
    <row r="1004" spans="10:10" x14ac:dyDescent="0.25">
      <c r="J1004" s="2" t="str">
        <f t="shared" si="15"/>
        <v>NO</v>
      </c>
    </row>
    <row r="1005" spans="10:10" x14ac:dyDescent="0.25">
      <c r="J1005" s="2" t="str">
        <f t="shared" si="15"/>
        <v>NO</v>
      </c>
    </row>
    <row r="1006" spans="10:10" x14ac:dyDescent="0.25">
      <c r="J1006" s="2" t="str">
        <f t="shared" si="15"/>
        <v>NO</v>
      </c>
    </row>
    <row r="1007" spans="10:10" x14ac:dyDescent="0.25">
      <c r="J1007" s="2" t="str">
        <f t="shared" si="15"/>
        <v>NO</v>
      </c>
    </row>
    <row r="1008" spans="10:10" x14ac:dyDescent="0.25">
      <c r="J1008" s="2" t="str">
        <f t="shared" si="15"/>
        <v>NO</v>
      </c>
    </row>
    <row r="1009" spans="10:10" x14ac:dyDescent="0.25">
      <c r="J1009" s="2" t="str">
        <f t="shared" si="15"/>
        <v>NO</v>
      </c>
    </row>
    <row r="1010" spans="10:10" x14ac:dyDescent="0.25">
      <c r="J1010" s="2" t="str">
        <f t="shared" si="15"/>
        <v>NO</v>
      </c>
    </row>
    <row r="1011" spans="10:10" x14ac:dyDescent="0.25">
      <c r="J1011" s="2" t="str">
        <f t="shared" si="15"/>
        <v>NO</v>
      </c>
    </row>
    <row r="1012" spans="10:10" x14ac:dyDescent="0.25">
      <c r="J1012" s="2" t="str">
        <f t="shared" si="15"/>
        <v>NO</v>
      </c>
    </row>
    <row r="1013" spans="10:10" x14ac:dyDescent="0.25">
      <c r="J1013" s="2" t="str">
        <f t="shared" si="15"/>
        <v>NO</v>
      </c>
    </row>
    <row r="1014" spans="10:10" x14ac:dyDescent="0.25">
      <c r="J1014" s="2" t="str">
        <f t="shared" si="15"/>
        <v>NO</v>
      </c>
    </row>
    <row r="1015" spans="10:10" x14ac:dyDescent="0.25">
      <c r="J1015" s="2" t="str">
        <f t="shared" si="15"/>
        <v>NO</v>
      </c>
    </row>
    <row r="1016" spans="10:10" x14ac:dyDescent="0.25">
      <c r="J1016" s="2" t="str">
        <f t="shared" si="15"/>
        <v>NO</v>
      </c>
    </row>
    <row r="1017" spans="10:10" x14ac:dyDescent="0.25">
      <c r="J1017" s="2" t="str">
        <f t="shared" si="15"/>
        <v>NO</v>
      </c>
    </row>
    <row r="1018" spans="10:10" x14ac:dyDescent="0.25">
      <c r="J1018" s="2" t="str">
        <f t="shared" si="15"/>
        <v>NO</v>
      </c>
    </row>
    <row r="1019" spans="10:10" x14ac:dyDescent="0.25">
      <c r="J1019" s="2" t="str">
        <f t="shared" si="15"/>
        <v>NO</v>
      </c>
    </row>
    <row r="1020" spans="10:10" x14ac:dyDescent="0.25">
      <c r="J1020" s="2" t="str">
        <f t="shared" si="15"/>
        <v>NO</v>
      </c>
    </row>
    <row r="1021" spans="10:10" x14ac:dyDescent="0.25">
      <c r="J1021" s="2" t="str">
        <f t="shared" si="15"/>
        <v>NO</v>
      </c>
    </row>
    <row r="1022" spans="10:10" x14ac:dyDescent="0.25">
      <c r="J1022" s="2" t="str">
        <f t="shared" si="15"/>
        <v>NO</v>
      </c>
    </row>
    <row r="1023" spans="10:10" x14ac:dyDescent="0.25">
      <c r="J1023" s="2" t="str">
        <f t="shared" si="15"/>
        <v>NO</v>
      </c>
    </row>
    <row r="1024" spans="10:10" x14ac:dyDescent="0.25">
      <c r="J1024" s="2" t="str">
        <f t="shared" si="15"/>
        <v>NO</v>
      </c>
    </row>
    <row r="1025" spans="10:10" x14ac:dyDescent="0.25">
      <c r="J1025" s="2" t="str">
        <f t="shared" si="15"/>
        <v>NO</v>
      </c>
    </row>
    <row r="1026" spans="10:10" x14ac:dyDescent="0.25">
      <c r="J1026" s="2" t="str">
        <f t="shared" si="15"/>
        <v>NO</v>
      </c>
    </row>
    <row r="1027" spans="10:10" x14ac:dyDescent="0.25">
      <c r="J1027" s="2" t="str">
        <f t="shared" ref="J1027:J1090" si="16">IF(OR(F1027="",F1027="_",LEFT(F1027,5)="SPARE"),"NO","YES")</f>
        <v>NO</v>
      </c>
    </row>
    <row r="1028" spans="10:10" x14ac:dyDescent="0.25">
      <c r="J1028" s="2" t="str">
        <f t="shared" si="16"/>
        <v>NO</v>
      </c>
    </row>
    <row r="1029" spans="10:10" x14ac:dyDescent="0.25">
      <c r="J1029" s="2" t="str">
        <f t="shared" si="16"/>
        <v>NO</v>
      </c>
    </row>
    <row r="1030" spans="10:10" x14ac:dyDescent="0.25">
      <c r="J1030" s="2" t="str">
        <f t="shared" si="16"/>
        <v>NO</v>
      </c>
    </row>
    <row r="1031" spans="10:10" x14ac:dyDescent="0.25">
      <c r="J1031" s="2" t="str">
        <f t="shared" si="16"/>
        <v>NO</v>
      </c>
    </row>
    <row r="1032" spans="10:10" x14ac:dyDescent="0.25">
      <c r="J1032" s="2" t="str">
        <f t="shared" si="16"/>
        <v>NO</v>
      </c>
    </row>
    <row r="1033" spans="10:10" x14ac:dyDescent="0.25">
      <c r="J1033" s="2" t="str">
        <f t="shared" si="16"/>
        <v>NO</v>
      </c>
    </row>
    <row r="1034" spans="10:10" x14ac:dyDescent="0.25">
      <c r="J1034" s="2" t="str">
        <f t="shared" si="16"/>
        <v>NO</v>
      </c>
    </row>
    <row r="1035" spans="10:10" x14ac:dyDescent="0.25">
      <c r="J1035" s="2" t="str">
        <f t="shared" si="16"/>
        <v>NO</v>
      </c>
    </row>
    <row r="1036" spans="10:10" x14ac:dyDescent="0.25">
      <c r="J1036" s="2" t="str">
        <f t="shared" si="16"/>
        <v>NO</v>
      </c>
    </row>
    <row r="1037" spans="10:10" x14ac:dyDescent="0.25">
      <c r="J1037" s="2" t="str">
        <f t="shared" si="16"/>
        <v>NO</v>
      </c>
    </row>
    <row r="1038" spans="10:10" x14ac:dyDescent="0.25">
      <c r="J1038" s="2" t="str">
        <f t="shared" si="16"/>
        <v>NO</v>
      </c>
    </row>
    <row r="1039" spans="10:10" x14ac:dyDescent="0.25">
      <c r="J1039" s="2" t="str">
        <f t="shared" si="16"/>
        <v>NO</v>
      </c>
    </row>
    <row r="1040" spans="10:10" x14ac:dyDescent="0.25">
      <c r="J1040" s="2" t="str">
        <f t="shared" si="16"/>
        <v>NO</v>
      </c>
    </row>
    <row r="1041" spans="10:10" x14ac:dyDescent="0.25">
      <c r="J1041" s="2" t="str">
        <f t="shared" si="16"/>
        <v>NO</v>
      </c>
    </row>
    <row r="1042" spans="10:10" x14ac:dyDescent="0.25">
      <c r="J1042" s="2" t="str">
        <f t="shared" si="16"/>
        <v>NO</v>
      </c>
    </row>
    <row r="1043" spans="10:10" x14ac:dyDescent="0.25">
      <c r="J1043" s="2" t="str">
        <f t="shared" si="16"/>
        <v>NO</v>
      </c>
    </row>
    <row r="1044" spans="10:10" x14ac:dyDescent="0.25">
      <c r="J1044" s="2" t="str">
        <f t="shared" si="16"/>
        <v>NO</v>
      </c>
    </row>
    <row r="1045" spans="10:10" x14ac:dyDescent="0.25">
      <c r="J1045" s="2" t="str">
        <f t="shared" si="16"/>
        <v>NO</v>
      </c>
    </row>
    <row r="1046" spans="10:10" x14ac:dyDescent="0.25">
      <c r="J1046" s="2" t="str">
        <f t="shared" si="16"/>
        <v>NO</v>
      </c>
    </row>
    <row r="1047" spans="10:10" x14ac:dyDescent="0.25">
      <c r="J1047" s="2" t="str">
        <f t="shared" si="16"/>
        <v>NO</v>
      </c>
    </row>
    <row r="1048" spans="10:10" x14ac:dyDescent="0.25">
      <c r="J1048" s="2" t="str">
        <f t="shared" si="16"/>
        <v>NO</v>
      </c>
    </row>
    <row r="1049" spans="10:10" x14ac:dyDescent="0.25">
      <c r="J1049" s="2" t="str">
        <f t="shared" si="16"/>
        <v>NO</v>
      </c>
    </row>
    <row r="1050" spans="10:10" x14ac:dyDescent="0.25">
      <c r="J1050" s="2" t="str">
        <f t="shared" si="16"/>
        <v>NO</v>
      </c>
    </row>
    <row r="1051" spans="10:10" x14ac:dyDescent="0.25">
      <c r="J1051" s="2" t="str">
        <f t="shared" si="16"/>
        <v>NO</v>
      </c>
    </row>
    <row r="1052" spans="10:10" x14ac:dyDescent="0.25">
      <c r="J1052" s="2" t="str">
        <f t="shared" si="16"/>
        <v>NO</v>
      </c>
    </row>
    <row r="1053" spans="10:10" x14ac:dyDescent="0.25">
      <c r="J1053" s="2" t="str">
        <f t="shared" si="16"/>
        <v>NO</v>
      </c>
    </row>
    <row r="1054" spans="10:10" x14ac:dyDescent="0.25">
      <c r="J1054" s="2" t="str">
        <f t="shared" si="16"/>
        <v>NO</v>
      </c>
    </row>
    <row r="1055" spans="10:10" x14ac:dyDescent="0.25">
      <c r="J1055" s="2" t="str">
        <f t="shared" si="16"/>
        <v>NO</v>
      </c>
    </row>
    <row r="1056" spans="10:10" x14ac:dyDescent="0.25">
      <c r="J1056" s="2" t="str">
        <f t="shared" si="16"/>
        <v>NO</v>
      </c>
    </row>
    <row r="1057" spans="10:10" x14ac:dyDescent="0.25">
      <c r="J1057" s="2" t="str">
        <f t="shared" si="16"/>
        <v>NO</v>
      </c>
    </row>
    <row r="1058" spans="10:10" x14ac:dyDescent="0.25">
      <c r="J1058" s="2" t="str">
        <f t="shared" si="16"/>
        <v>NO</v>
      </c>
    </row>
    <row r="1059" spans="10:10" x14ac:dyDescent="0.25">
      <c r="J1059" s="2" t="str">
        <f t="shared" si="16"/>
        <v>NO</v>
      </c>
    </row>
    <row r="1060" spans="10:10" x14ac:dyDescent="0.25">
      <c r="J1060" s="2" t="str">
        <f t="shared" si="16"/>
        <v>NO</v>
      </c>
    </row>
    <row r="1061" spans="10:10" x14ac:dyDescent="0.25">
      <c r="J1061" s="2" t="str">
        <f t="shared" si="16"/>
        <v>NO</v>
      </c>
    </row>
    <row r="1062" spans="10:10" x14ac:dyDescent="0.25">
      <c r="J1062" s="2" t="str">
        <f t="shared" si="16"/>
        <v>NO</v>
      </c>
    </row>
    <row r="1063" spans="10:10" x14ac:dyDescent="0.25">
      <c r="J1063" s="2" t="str">
        <f t="shared" si="16"/>
        <v>NO</v>
      </c>
    </row>
    <row r="1064" spans="10:10" x14ac:dyDescent="0.25">
      <c r="J1064" s="2" t="str">
        <f t="shared" si="16"/>
        <v>NO</v>
      </c>
    </row>
    <row r="1065" spans="10:10" x14ac:dyDescent="0.25">
      <c r="J1065" s="2" t="str">
        <f t="shared" si="16"/>
        <v>NO</v>
      </c>
    </row>
    <row r="1066" spans="10:10" x14ac:dyDescent="0.25">
      <c r="J1066" s="2" t="str">
        <f t="shared" si="16"/>
        <v>NO</v>
      </c>
    </row>
    <row r="1067" spans="10:10" x14ac:dyDescent="0.25">
      <c r="J1067" s="2" t="str">
        <f t="shared" si="16"/>
        <v>NO</v>
      </c>
    </row>
    <row r="1068" spans="10:10" x14ac:dyDescent="0.25">
      <c r="J1068" s="2" t="str">
        <f t="shared" si="16"/>
        <v>NO</v>
      </c>
    </row>
    <row r="1069" spans="10:10" x14ac:dyDescent="0.25">
      <c r="J1069" s="2" t="str">
        <f t="shared" si="16"/>
        <v>NO</v>
      </c>
    </row>
    <row r="1070" spans="10:10" x14ac:dyDescent="0.25">
      <c r="J1070" s="2" t="str">
        <f t="shared" si="16"/>
        <v>NO</v>
      </c>
    </row>
    <row r="1071" spans="10:10" x14ac:dyDescent="0.25">
      <c r="J1071" s="2" t="str">
        <f t="shared" si="16"/>
        <v>NO</v>
      </c>
    </row>
    <row r="1072" spans="10:10" x14ac:dyDescent="0.25">
      <c r="J1072" s="2" t="str">
        <f t="shared" si="16"/>
        <v>NO</v>
      </c>
    </row>
    <row r="1073" spans="10:10" x14ac:dyDescent="0.25">
      <c r="J1073" s="2" t="str">
        <f t="shared" si="16"/>
        <v>NO</v>
      </c>
    </row>
    <row r="1074" spans="10:10" x14ac:dyDescent="0.25">
      <c r="J1074" s="2" t="str">
        <f t="shared" si="16"/>
        <v>NO</v>
      </c>
    </row>
    <row r="1075" spans="10:10" x14ac:dyDescent="0.25">
      <c r="J1075" s="2" t="str">
        <f t="shared" si="16"/>
        <v>NO</v>
      </c>
    </row>
    <row r="1076" spans="10:10" x14ac:dyDescent="0.25">
      <c r="J1076" s="2" t="str">
        <f t="shared" si="16"/>
        <v>NO</v>
      </c>
    </row>
    <row r="1077" spans="10:10" x14ac:dyDescent="0.25">
      <c r="J1077" s="2" t="str">
        <f t="shared" si="16"/>
        <v>NO</v>
      </c>
    </row>
    <row r="1078" spans="10:10" x14ac:dyDescent="0.25">
      <c r="J1078" s="2" t="str">
        <f t="shared" si="16"/>
        <v>NO</v>
      </c>
    </row>
    <row r="1079" spans="10:10" x14ac:dyDescent="0.25">
      <c r="J1079" s="2" t="str">
        <f t="shared" si="16"/>
        <v>NO</v>
      </c>
    </row>
    <row r="1080" spans="10:10" x14ac:dyDescent="0.25">
      <c r="J1080" s="2" t="str">
        <f t="shared" si="16"/>
        <v>NO</v>
      </c>
    </row>
    <row r="1081" spans="10:10" x14ac:dyDescent="0.25">
      <c r="J1081" s="2" t="str">
        <f t="shared" si="16"/>
        <v>NO</v>
      </c>
    </row>
    <row r="1082" spans="10:10" x14ac:dyDescent="0.25">
      <c r="J1082" s="2" t="str">
        <f t="shared" si="16"/>
        <v>NO</v>
      </c>
    </row>
    <row r="1083" spans="10:10" x14ac:dyDescent="0.25">
      <c r="J1083" s="2" t="str">
        <f t="shared" si="16"/>
        <v>NO</v>
      </c>
    </row>
    <row r="1084" spans="10:10" x14ac:dyDescent="0.25">
      <c r="J1084" s="2" t="str">
        <f t="shared" si="16"/>
        <v>NO</v>
      </c>
    </row>
    <row r="1085" spans="10:10" x14ac:dyDescent="0.25">
      <c r="J1085" s="2" t="str">
        <f t="shared" si="16"/>
        <v>NO</v>
      </c>
    </row>
    <row r="1086" spans="10:10" x14ac:dyDescent="0.25">
      <c r="J1086" s="2" t="str">
        <f t="shared" si="16"/>
        <v>NO</v>
      </c>
    </row>
    <row r="1087" spans="10:10" x14ac:dyDescent="0.25">
      <c r="J1087" s="2" t="str">
        <f t="shared" si="16"/>
        <v>NO</v>
      </c>
    </row>
    <row r="1088" spans="10:10" x14ac:dyDescent="0.25">
      <c r="J1088" s="2" t="str">
        <f t="shared" si="16"/>
        <v>NO</v>
      </c>
    </row>
    <row r="1089" spans="10:10" x14ac:dyDescent="0.25">
      <c r="J1089" s="2" t="str">
        <f t="shared" si="16"/>
        <v>NO</v>
      </c>
    </row>
    <row r="1090" spans="10:10" x14ac:dyDescent="0.25">
      <c r="J1090" s="2" t="str">
        <f t="shared" si="16"/>
        <v>NO</v>
      </c>
    </row>
    <row r="1091" spans="10:10" x14ac:dyDescent="0.25">
      <c r="J1091" s="2" t="str">
        <f t="shared" ref="J1091:J1154" si="17">IF(OR(F1091="",F1091="_",LEFT(F1091,5)="SPARE"),"NO","YES")</f>
        <v>NO</v>
      </c>
    </row>
    <row r="1092" spans="10:10" x14ac:dyDescent="0.25">
      <c r="J1092" s="2" t="str">
        <f t="shared" si="17"/>
        <v>NO</v>
      </c>
    </row>
    <row r="1093" spans="10:10" x14ac:dyDescent="0.25">
      <c r="J1093" s="2" t="str">
        <f t="shared" si="17"/>
        <v>NO</v>
      </c>
    </row>
    <row r="1094" spans="10:10" x14ac:dyDescent="0.25">
      <c r="J1094" s="2" t="str">
        <f t="shared" si="17"/>
        <v>NO</v>
      </c>
    </row>
    <row r="1095" spans="10:10" x14ac:dyDescent="0.25">
      <c r="J1095" s="2" t="str">
        <f t="shared" si="17"/>
        <v>NO</v>
      </c>
    </row>
    <row r="1096" spans="10:10" x14ac:dyDescent="0.25">
      <c r="J1096" s="2" t="str">
        <f t="shared" si="17"/>
        <v>NO</v>
      </c>
    </row>
    <row r="1097" spans="10:10" x14ac:dyDescent="0.25">
      <c r="J1097" s="2" t="str">
        <f t="shared" si="17"/>
        <v>NO</v>
      </c>
    </row>
    <row r="1098" spans="10:10" x14ac:dyDescent="0.25">
      <c r="J1098" s="2" t="str">
        <f t="shared" si="17"/>
        <v>NO</v>
      </c>
    </row>
    <row r="1099" spans="10:10" x14ac:dyDescent="0.25">
      <c r="J1099" s="2" t="str">
        <f t="shared" si="17"/>
        <v>NO</v>
      </c>
    </row>
    <row r="1100" spans="10:10" x14ac:dyDescent="0.25">
      <c r="J1100" s="2" t="str">
        <f t="shared" si="17"/>
        <v>NO</v>
      </c>
    </row>
    <row r="1101" spans="10:10" x14ac:dyDescent="0.25">
      <c r="J1101" s="2" t="str">
        <f t="shared" si="17"/>
        <v>NO</v>
      </c>
    </row>
    <row r="1102" spans="10:10" x14ac:dyDescent="0.25">
      <c r="J1102" s="2" t="str">
        <f t="shared" si="17"/>
        <v>NO</v>
      </c>
    </row>
    <row r="1103" spans="10:10" x14ac:dyDescent="0.25">
      <c r="J1103" s="2" t="str">
        <f t="shared" si="17"/>
        <v>NO</v>
      </c>
    </row>
    <row r="1104" spans="10:10" x14ac:dyDescent="0.25">
      <c r="J1104" s="2" t="str">
        <f t="shared" si="17"/>
        <v>NO</v>
      </c>
    </row>
    <row r="1105" spans="10:10" x14ac:dyDescent="0.25">
      <c r="J1105" s="2" t="str">
        <f t="shared" si="17"/>
        <v>NO</v>
      </c>
    </row>
    <row r="1106" spans="10:10" x14ac:dyDescent="0.25">
      <c r="J1106" s="2" t="str">
        <f t="shared" si="17"/>
        <v>NO</v>
      </c>
    </row>
    <row r="1107" spans="10:10" x14ac:dyDescent="0.25">
      <c r="J1107" s="2" t="str">
        <f t="shared" si="17"/>
        <v>NO</v>
      </c>
    </row>
    <row r="1108" spans="10:10" x14ac:dyDescent="0.25">
      <c r="J1108" s="2" t="str">
        <f t="shared" si="17"/>
        <v>NO</v>
      </c>
    </row>
    <row r="1109" spans="10:10" x14ac:dyDescent="0.25">
      <c r="J1109" s="2" t="str">
        <f t="shared" si="17"/>
        <v>NO</v>
      </c>
    </row>
    <row r="1110" spans="10:10" x14ac:dyDescent="0.25">
      <c r="J1110" s="2" t="str">
        <f t="shared" si="17"/>
        <v>NO</v>
      </c>
    </row>
    <row r="1111" spans="10:10" x14ac:dyDescent="0.25">
      <c r="J1111" s="2" t="str">
        <f t="shared" si="17"/>
        <v>NO</v>
      </c>
    </row>
    <row r="1112" spans="10:10" x14ac:dyDescent="0.25">
      <c r="J1112" s="2" t="str">
        <f t="shared" si="17"/>
        <v>NO</v>
      </c>
    </row>
    <row r="1113" spans="10:10" x14ac:dyDescent="0.25">
      <c r="J1113" s="2" t="str">
        <f t="shared" si="17"/>
        <v>NO</v>
      </c>
    </row>
    <row r="1114" spans="10:10" x14ac:dyDescent="0.25">
      <c r="J1114" s="2" t="str">
        <f t="shared" si="17"/>
        <v>NO</v>
      </c>
    </row>
    <row r="1115" spans="10:10" x14ac:dyDescent="0.25">
      <c r="J1115" s="2" t="str">
        <f t="shared" si="17"/>
        <v>NO</v>
      </c>
    </row>
    <row r="1116" spans="10:10" x14ac:dyDescent="0.25">
      <c r="J1116" s="2" t="str">
        <f t="shared" si="17"/>
        <v>NO</v>
      </c>
    </row>
    <row r="1117" spans="10:10" x14ac:dyDescent="0.25">
      <c r="J1117" s="2" t="str">
        <f t="shared" si="17"/>
        <v>NO</v>
      </c>
    </row>
    <row r="1118" spans="10:10" x14ac:dyDescent="0.25">
      <c r="J1118" s="2" t="str">
        <f t="shared" si="17"/>
        <v>NO</v>
      </c>
    </row>
    <row r="1119" spans="10:10" x14ac:dyDescent="0.25">
      <c r="J1119" s="2" t="str">
        <f t="shared" si="17"/>
        <v>NO</v>
      </c>
    </row>
    <row r="1120" spans="10:10" x14ac:dyDescent="0.25">
      <c r="J1120" s="2" t="str">
        <f t="shared" si="17"/>
        <v>NO</v>
      </c>
    </row>
    <row r="1121" spans="10:10" x14ac:dyDescent="0.25">
      <c r="J1121" s="2" t="str">
        <f t="shared" si="17"/>
        <v>NO</v>
      </c>
    </row>
    <row r="1122" spans="10:10" x14ac:dyDescent="0.25">
      <c r="J1122" s="2" t="str">
        <f t="shared" si="17"/>
        <v>NO</v>
      </c>
    </row>
    <row r="1123" spans="10:10" x14ac:dyDescent="0.25">
      <c r="J1123" s="2" t="str">
        <f t="shared" si="17"/>
        <v>NO</v>
      </c>
    </row>
    <row r="1124" spans="10:10" x14ac:dyDescent="0.25">
      <c r="J1124" s="2" t="str">
        <f t="shared" si="17"/>
        <v>NO</v>
      </c>
    </row>
    <row r="1125" spans="10:10" x14ac:dyDescent="0.25">
      <c r="J1125" s="2" t="str">
        <f t="shared" si="17"/>
        <v>NO</v>
      </c>
    </row>
    <row r="1126" spans="10:10" x14ac:dyDescent="0.25">
      <c r="J1126" s="2" t="str">
        <f t="shared" si="17"/>
        <v>NO</v>
      </c>
    </row>
    <row r="1127" spans="10:10" x14ac:dyDescent="0.25">
      <c r="J1127" s="2" t="str">
        <f t="shared" si="17"/>
        <v>NO</v>
      </c>
    </row>
    <row r="1128" spans="10:10" x14ac:dyDescent="0.25">
      <c r="J1128" s="2" t="str">
        <f t="shared" si="17"/>
        <v>NO</v>
      </c>
    </row>
    <row r="1129" spans="10:10" x14ac:dyDescent="0.25">
      <c r="J1129" s="2" t="str">
        <f t="shared" si="17"/>
        <v>NO</v>
      </c>
    </row>
    <row r="1130" spans="10:10" x14ac:dyDescent="0.25">
      <c r="J1130" s="2" t="str">
        <f t="shared" si="17"/>
        <v>NO</v>
      </c>
    </row>
    <row r="1131" spans="10:10" x14ac:dyDescent="0.25">
      <c r="J1131" s="2" t="str">
        <f t="shared" si="17"/>
        <v>NO</v>
      </c>
    </row>
    <row r="1132" spans="10:10" x14ac:dyDescent="0.25">
      <c r="J1132" s="2" t="str">
        <f t="shared" si="17"/>
        <v>NO</v>
      </c>
    </row>
    <row r="1133" spans="10:10" x14ac:dyDescent="0.25">
      <c r="J1133" s="2" t="str">
        <f t="shared" si="17"/>
        <v>NO</v>
      </c>
    </row>
    <row r="1134" spans="10:10" x14ac:dyDescent="0.25">
      <c r="J1134" s="2" t="str">
        <f t="shared" si="17"/>
        <v>NO</v>
      </c>
    </row>
    <row r="1135" spans="10:10" x14ac:dyDescent="0.25">
      <c r="J1135" s="2" t="str">
        <f t="shared" si="17"/>
        <v>NO</v>
      </c>
    </row>
    <row r="1136" spans="10:10" x14ac:dyDescent="0.25">
      <c r="J1136" s="2" t="str">
        <f t="shared" si="17"/>
        <v>NO</v>
      </c>
    </row>
    <row r="1137" spans="10:10" x14ac:dyDescent="0.25">
      <c r="J1137" s="2" t="str">
        <f t="shared" si="17"/>
        <v>NO</v>
      </c>
    </row>
    <row r="1138" spans="10:10" x14ac:dyDescent="0.25">
      <c r="J1138" s="2" t="str">
        <f t="shared" si="17"/>
        <v>NO</v>
      </c>
    </row>
    <row r="1139" spans="10:10" x14ac:dyDescent="0.25">
      <c r="J1139" s="2" t="str">
        <f t="shared" si="17"/>
        <v>NO</v>
      </c>
    </row>
    <row r="1140" spans="10:10" x14ac:dyDescent="0.25">
      <c r="J1140" s="2" t="str">
        <f t="shared" si="17"/>
        <v>NO</v>
      </c>
    </row>
    <row r="1141" spans="10:10" x14ac:dyDescent="0.25">
      <c r="J1141" s="2" t="str">
        <f t="shared" si="17"/>
        <v>NO</v>
      </c>
    </row>
    <row r="1142" spans="10:10" x14ac:dyDescent="0.25">
      <c r="J1142" s="2" t="str">
        <f t="shared" si="17"/>
        <v>NO</v>
      </c>
    </row>
    <row r="1143" spans="10:10" x14ac:dyDescent="0.25">
      <c r="J1143" s="2" t="str">
        <f t="shared" si="17"/>
        <v>NO</v>
      </c>
    </row>
    <row r="1144" spans="10:10" x14ac:dyDescent="0.25">
      <c r="J1144" s="2" t="str">
        <f t="shared" si="17"/>
        <v>NO</v>
      </c>
    </row>
    <row r="1145" spans="10:10" x14ac:dyDescent="0.25">
      <c r="J1145" s="2" t="str">
        <f t="shared" si="17"/>
        <v>NO</v>
      </c>
    </row>
    <row r="1146" spans="10:10" x14ac:dyDescent="0.25">
      <c r="J1146" s="2" t="str">
        <f t="shared" si="17"/>
        <v>NO</v>
      </c>
    </row>
    <row r="1147" spans="10:10" x14ac:dyDescent="0.25">
      <c r="J1147" s="2" t="str">
        <f t="shared" si="17"/>
        <v>NO</v>
      </c>
    </row>
    <row r="1148" spans="10:10" x14ac:dyDescent="0.25">
      <c r="J1148" s="2" t="str">
        <f t="shared" si="17"/>
        <v>NO</v>
      </c>
    </row>
    <row r="1149" spans="10:10" x14ac:dyDescent="0.25">
      <c r="J1149" s="2" t="str">
        <f t="shared" si="17"/>
        <v>NO</v>
      </c>
    </row>
    <row r="1150" spans="10:10" x14ac:dyDescent="0.25">
      <c r="J1150" s="2" t="str">
        <f t="shared" si="17"/>
        <v>NO</v>
      </c>
    </row>
    <row r="1151" spans="10:10" x14ac:dyDescent="0.25">
      <c r="J1151" s="2" t="str">
        <f t="shared" si="17"/>
        <v>NO</v>
      </c>
    </row>
    <row r="1152" spans="10:10" x14ac:dyDescent="0.25">
      <c r="J1152" s="2" t="str">
        <f t="shared" si="17"/>
        <v>NO</v>
      </c>
    </row>
    <row r="1153" spans="10:10" x14ac:dyDescent="0.25">
      <c r="J1153" s="2" t="str">
        <f t="shared" si="17"/>
        <v>NO</v>
      </c>
    </row>
    <row r="1154" spans="10:10" x14ac:dyDescent="0.25">
      <c r="J1154" s="2" t="str">
        <f t="shared" si="17"/>
        <v>NO</v>
      </c>
    </row>
    <row r="1155" spans="10:10" x14ac:dyDescent="0.25">
      <c r="J1155" s="2" t="str">
        <f t="shared" ref="J1155:J1218" si="18">IF(OR(F1155="",F1155="_",LEFT(F1155,5)="SPARE"),"NO","YES")</f>
        <v>NO</v>
      </c>
    </row>
    <row r="1156" spans="10:10" x14ac:dyDescent="0.25">
      <c r="J1156" s="2" t="str">
        <f t="shared" si="18"/>
        <v>NO</v>
      </c>
    </row>
    <row r="1157" spans="10:10" x14ac:dyDescent="0.25">
      <c r="J1157" s="2" t="str">
        <f t="shared" si="18"/>
        <v>NO</v>
      </c>
    </row>
    <row r="1158" spans="10:10" x14ac:dyDescent="0.25">
      <c r="J1158" s="2" t="str">
        <f t="shared" si="18"/>
        <v>NO</v>
      </c>
    </row>
    <row r="1159" spans="10:10" x14ac:dyDescent="0.25">
      <c r="J1159" s="2" t="str">
        <f t="shared" si="18"/>
        <v>NO</v>
      </c>
    </row>
    <row r="1160" spans="10:10" x14ac:dyDescent="0.25">
      <c r="J1160" s="2" t="str">
        <f t="shared" si="18"/>
        <v>NO</v>
      </c>
    </row>
    <row r="1161" spans="10:10" x14ac:dyDescent="0.25">
      <c r="J1161" s="2" t="str">
        <f t="shared" si="18"/>
        <v>NO</v>
      </c>
    </row>
    <row r="1162" spans="10:10" x14ac:dyDescent="0.25">
      <c r="J1162" s="2" t="str">
        <f t="shared" si="18"/>
        <v>NO</v>
      </c>
    </row>
    <row r="1163" spans="10:10" x14ac:dyDescent="0.25">
      <c r="J1163" s="2" t="str">
        <f t="shared" si="18"/>
        <v>NO</v>
      </c>
    </row>
    <row r="1164" spans="10:10" x14ac:dyDescent="0.25">
      <c r="J1164" s="2" t="str">
        <f t="shared" si="18"/>
        <v>NO</v>
      </c>
    </row>
    <row r="1165" spans="10:10" x14ac:dyDescent="0.25">
      <c r="J1165" s="2" t="str">
        <f t="shared" si="18"/>
        <v>NO</v>
      </c>
    </row>
    <row r="1166" spans="10:10" x14ac:dyDescent="0.25">
      <c r="J1166" s="2" t="str">
        <f t="shared" si="18"/>
        <v>NO</v>
      </c>
    </row>
    <row r="1167" spans="10:10" x14ac:dyDescent="0.25">
      <c r="J1167" s="2" t="str">
        <f t="shared" si="18"/>
        <v>NO</v>
      </c>
    </row>
    <row r="1168" spans="10:10" x14ac:dyDescent="0.25">
      <c r="J1168" s="2" t="str">
        <f t="shared" si="18"/>
        <v>NO</v>
      </c>
    </row>
    <row r="1169" spans="10:10" x14ac:dyDescent="0.25">
      <c r="J1169" s="2" t="str">
        <f t="shared" si="18"/>
        <v>NO</v>
      </c>
    </row>
    <row r="1170" spans="10:10" x14ac:dyDescent="0.25">
      <c r="J1170" s="2" t="str">
        <f t="shared" si="18"/>
        <v>NO</v>
      </c>
    </row>
    <row r="1171" spans="10:10" x14ac:dyDescent="0.25">
      <c r="J1171" s="2" t="str">
        <f t="shared" si="18"/>
        <v>NO</v>
      </c>
    </row>
    <row r="1172" spans="10:10" x14ac:dyDescent="0.25">
      <c r="J1172" s="2" t="str">
        <f t="shared" si="18"/>
        <v>NO</v>
      </c>
    </row>
    <row r="1173" spans="10:10" x14ac:dyDescent="0.25">
      <c r="J1173" s="2" t="str">
        <f t="shared" si="18"/>
        <v>NO</v>
      </c>
    </row>
    <row r="1174" spans="10:10" x14ac:dyDescent="0.25">
      <c r="J1174" s="2" t="str">
        <f t="shared" si="18"/>
        <v>NO</v>
      </c>
    </row>
    <row r="1175" spans="10:10" x14ac:dyDescent="0.25">
      <c r="J1175" s="2" t="str">
        <f t="shared" si="18"/>
        <v>NO</v>
      </c>
    </row>
    <row r="1176" spans="10:10" x14ac:dyDescent="0.25">
      <c r="J1176" s="2" t="str">
        <f t="shared" si="18"/>
        <v>NO</v>
      </c>
    </row>
    <row r="1177" spans="10:10" x14ac:dyDescent="0.25">
      <c r="J1177" s="2" t="str">
        <f t="shared" si="18"/>
        <v>NO</v>
      </c>
    </row>
    <row r="1178" spans="10:10" x14ac:dyDescent="0.25">
      <c r="J1178" s="2" t="str">
        <f t="shared" si="18"/>
        <v>NO</v>
      </c>
    </row>
    <row r="1179" spans="10:10" x14ac:dyDescent="0.25">
      <c r="J1179" s="2" t="str">
        <f t="shared" si="18"/>
        <v>NO</v>
      </c>
    </row>
    <row r="1180" spans="10:10" x14ac:dyDescent="0.25">
      <c r="J1180" s="2" t="str">
        <f t="shared" si="18"/>
        <v>NO</v>
      </c>
    </row>
    <row r="1181" spans="10:10" x14ac:dyDescent="0.25">
      <c r="J1181" s="2" t="str">
        <f t="shared" si="18"/>
        <v>NO</v>
      </c>
    </row>
    <row r="1182" spans="10:10" x14ac:dyDescent="0.25">
      <c r="J1182" s="2" t="str">
        <f t="shared" si="18"/>
        <v>NO</v>
      </c>
    </row>
    <row r="1183" spans="10:10" x14ac:dyDescent="0.25">
      <c r="J1183" s="2" t="str">
        <f t="shared" si="18"/>
        <v>NO</v>
      </c>
    </row>
    <row r="1184" spans="10:10" x14ac:dyDescent="0.25">
      <c r="J1184" s="2" t="str">
        <f t="shared" si="18"/>
        <v>NO</v>
      </c>
    </row>
    <row r="1185" spans="10:10" x14ac:dyDescent="0.25">
      <c r="J1185" s="2" t="str">
        <f t="shared" si="18"/>
        <v>NO</v>
      </c>
    </row>
    <row r="1186" spans="10:10" x14ac:dyDescent="0.25">
      <c r="J1186" s="2" t="str">
        <f t="shared" si="18"/>
        <v>NO</v>
      </c>
    </row>
    <row r="1187" spans="10:10" x14ac:dyDescent="0.25">
      <c r="J1187" s="2" t="str">
        <f t="shared" si="18"/>
        <v>NO</v>
      </c>
    </row>
    <row r="1188" spans="10:10" x14ac:dyDescent="0.25">
      <c r="J1188" s="2" t="str">
        <f t="shared" si="18"/>
        <v>NO</v>
      </c>
    </row>
    <row r="1189" spans="10:10" x14ac:dyDescent="0.25">
      <c r="J1189" s="2" t="str">
        <f t="shared" si="18"/>
        <v>NO</v>
      </c>
    </row>
    <row r="1190" spans="10:10" x14ac:dyDescent="0.25">
      <c r="J1190" s="2" t="str">
        <f t="shared" si="18"/>
        <v>NO</v>
      </c>
    </row>
    <row r="1191" spans="10:10" x14ac:dyDescent="0.25">
      <c r="J1191" s="2" t="str">
        <f t="shared" si="18"/>
        <v>NO</v>
      </c>
    </row>
    <row r="1192" spans="10:10" x14ac:dyDescent="0.25">
      <c r="J1192" s="2" t="str">
        <f t="shared" si="18"/>
        <v>NO</v>
      </c>
    </row>
    <row r="1193" spans="10:10" x14ac:dyDescent="0.25">
      <c r="J1193" s="2" t="str">
        <f t="shared" si="18"/>
        <v>NO</v>
      </c>
    </row>
    <row r="1194" spans="10:10" x14ac:dyDescent="0.25">
      <c r="J1194" s="2" t="str">
        <f t="shared" si="18"/>
        <v>NO</v>
      </c>
    </row>
    <row r="1195" spans="10:10" x14ac:dyDescent="0.25">
      <c r="J1195" s="2" t="str">
        <f t="shared" si="18"/>
        <v>NO</v>
      </c>
    </row>
    <row r="1196" spans="10:10" x14ac:dyDescent="0.25">
      <c r="J1196" s="2" t="str">
        <f t="shared" si="18"/>
        <v>NO</v>
      </c>
    </row>
    <row r="1197" spans="10:10" x14ac:dyDescent="0.25">
      <c r="J1197" s="2" t="str">
        <f t="shared" si="18"/>
        <v>NO</v>
      </c>
    </row>
    <row r="1198" spans="10:10" x14ac:dyDescent="0.25">
      <c r="J1198" s="2" t="str">
        <f t="shared" si="18"/>
        <v>NO</v>
      </c>
    </row>
    <row r="1199" spans="10:10" x14ac:dyDescent="0.25">
      <c r="J1199" s="2" t="str">
        <f t="shared" si="18"/>
        <v>NO</v>
      </c>
    </row>
    <row r="1200" spans="10:10" x14ac:dyDescent="0.25">
      <c r="J1200" s="2" t="str">
        <f t="shared" si="18"/>
        <v>NO</v>
      </c>
    </row>
    <row r="1201" spans="10:10" x14ac:dyDescent="0.25">
      <c r="J1201" s="2" t="str">
        <f t="shared" si="18"/>
        <v>NO</v>
      </c>
    </row>
    <row r="1202" spans="10:10" x14ac:dyDescent="0.25">
      <c r="J1202" s="2" t="str">
        <f t="shared" si="18"/>
        <v>NO</v>
      </c>
    </row>
    <row r="1203" spans="10:10" x14ac:dyDescent="0.25">
      <c r="J1203" s="2" t="str">
        <f t="shared" si="18"/>
        <v>NO</v>
      </c>
    </row>
    <row r="1204" spans="10:10" x14ac:dyDescent="0.25">
      <c r="J1204" s="2" t="str">
        <f t="shared" si="18"/>
        <v>NO</v>
      </c>
    </row>
    <row r="1205" spans="10:10" x14ac:dyDescent="0.25">
      <c r="J1205" s="2" t="str">
        <f t="shared" si="18"/>
        <v>NO</v>
      </c>
    </row>
    <row r="1206" spans="10:10" x14ac:dyDescent="0.25">
      <c r="J1206" s="2" t="str">
        <f t="shared" si="18"/>
        <v>NO</v>
      </c>
    </row>
    <row r="1207" spans="10:10" x14ac:dyDescent="0.25">
      <c r="J1207" s="2" t="str">
        <f t="shared" si="18"/>
        <v>NO</v>
      </c>
    </row>
    <row r="1208" spans="10:10" x14ac:dyDescent="0.25">
      <c r="J1208" s="2" t="str">
        <f t="shared" si="18"/>
        <v>NO</v>
      </c>
    </row>
    <row r="1209" spans="10:10" x14ac:dyDescent="0.25">
      <c r="J1209" s="2" t="str">
        <f t="shared" si="18"/>
        <v>NO</v>
      </c>
    </row>
    <row r="1210" spans="10:10" x14ac:dyDescent="0.25">
      <c r="J1210" s="2" t="str">
        <f t="shared" si="18"/>
        <v>NO</v>
      </c>
    </row>
    <row r="1211" spans="10:10" x14ac:dyDescent="0.25">
      <c r="J1211" s="2" t="str">
        <f t="shared" si="18"/>
        <v>NO</v>
      </c>
    </row>
    <row r="1212" spans="10:10" x14ac:dyDescent="0.25">
      <c r="J1212" s="2" t="str">
        <f t="shared" si="18"/>
        <v>NO</v>
      </c>
    </row>
    <row r="1213" spans="10:10" x14ac:dyDescent="0.25">
      <c r="J1213" s="2" t="str">
        <f t="shared" si="18"/>
        <v>NO</v>
      </c>
    </row>
    <row r="1214" spans="10:10" x14ac:dyDescent="0.25">
      <c r="J1214" s="2" t="str">
        <f t="shared" si="18"/>
        <v>NO</v>
      </c>
    </row>
    <row r="1215" spans="10:10" x14ac:dyDescent="0.25">
      <c r="J1215" s="2" t="str">
        <f t="shared" si="18"/>
        <v>NO</v>
      </c>
    </row>
    <row r="1216" spans="10:10" x14ac:dyDescent="0.25">
      <c r="J1216" s="2" t="str">
        <f t="shared" si="18"/>
        <v>NO</v>
      </c>
    </row>
    <row r="1217" spans="10:10" x14ac:dyDescent="0.25">
      <c r="J1217" s="2" t="str">
        <f t="shared" si="18"/>
        <v>NO</v>
      </c>
    </row>
    <row r="1218" spans="10:10" x14ac:dyDescent="0.25">
      <c r="J1218" s="2" t="str">
        <f t="shared" si="18"/>
        <v>NO</v>
      </c>
    </row>
    <row r="1219" spans="10:10" x14ac:dyDescent="0.25">
      <c r="J1219" s="2" t="str">
        <f t="shared" ref="J1219:J1282" si="19">IF(OR(F1219="",F1219="_",LEFT(F1219,5)="SPARE"),"NO","YES")</f>
        <v>NO</v>
      </c>
    </row>
    <row r="1220" spans="10:10" x14ac:dyDescent="0.25">
      <c r="J1220" s="2" t="str">
        <f t="shared" si="19"/>
        <v>NO</v>
      </c>
    </row>
    <row r="1221" spans="10:10" x14ac:dyDescent="0.25">
      <c r="J1221" s="2" t="str">
        <f t="shared" si="19"/>
        <v>NO</v>
      </c>
    </row>
    <row r="1222" spans="10:10" x14ac:dyDescent="0.25">
      <c r="J1222" s="2" t="str">
        <f t="shared" si="19"/>
        <v>NO</v>
      </c>
    </row>
    <row r="1223" spans="10:10" x14ac:dyDescent="0.25">
      <c r="J1223" s="2" t="str">
        <f t="shared" si="19"/>
        <v>NO</v>
      </c>
    </row>
    <row r="1224" spans="10:10" x14ac:dyDescent="0.25">
      <c r="J1224" s="2" t="str">
        <f t="shared" si="19"/>
        <v>NO</v>
      </c>
    </row>
    <row r="1225" spans="10:10" x14ac:dyDescent="0.25">
      <c r="J1225" s="2" t="str">
        <f t="shared" si="19"/>
        <v>NO</v>
      </c>
    </row>
    <row r="1226" spans="10:10" x14ac:dyDescent="0.25">
      <c r="J1226" s="2" t="str">
        <f t="shared" si="19"/>
        <v>NO</v>
      </c>
    </row>
    <row r="1227" spans="10:10" x14ac:dyDescent="0.25">
      <c r="J1227" s="2" t="str">
        <f t="shared" si="19"/>
        <v>NO</v>
      </c>
    </row>
    <row r="1228" spans="10:10" x14ac:dyDescent="0.25">
      <c r="J1228" s="2" t="str">
        <f t="shared" si="19"/>
        <v>NO</v>
      </c>
    </row>
    <row r="1229" spans="10:10" x14ac:dyDescent="0.25">
      <c r="J1229" s="2" t="str">
        <f t="shared" si="19"/>
        <v>NO</v>
      </c>
    </row>
    <row r="1230" spans="10:10" x14ac:dyDescent="0.25">
      <c r="J1230" s="2" t="str">
        <f t="shared" si="19"/>
        <v>NO</v>
      </c>
    </row>
    <row r="1231" spans="10:10" x14ac:dyDescent="0.25">
      <c r="J1231" s="2" t="str">
        <f t="shared" si="19"/>
        <v>NO</v>
      </c>
    </row>
    <row r="1232" spans="10:10" x14ac:dyDescent="0.25">
      <c r="J1232" s="2" t="str">
        <f t="shared" si="19"/>
        <v>NO</v>
      </c>
    </row>
    <row r="1233" spans="10:10" x14ac:dyDescent="0.25">
      <c r="J1233" s="2" t="str">
        <f t="shared" si="19"/>
        <v>NO</v>
      </c>
    </row>
    <row r="1234" spans="10:10" x14ac:dyDescent="0.25">
      <c r="J1234" s="2" t="str">
        <f t="shared" si="19"/>
        <v>NO</v>
      </c>
    </row>
    <row r="1235" spans="10:10" x14ac:dyDescent="0.25">
      <c r="J1235" s="2" t="str">
        <f t="shared" si="19"/>
        <v>NO</v>
      </c>
    </row>
    <row r="1236" spans="10:10" x14ac:dyDescent="0.25">
      <c r="J1236" s="2" t="str">
        <f t="shared" si="19"/>
        <v>NO</v>
      </c>
    </row>
    <row r="1237" spans="10:10" x14ac:dyDescent="0.25">
      <c r="J1237" s="2" t="str">
        <f t="shared" si="19"/>
        <v>NO</v>
      </c>
    </row>
    <row r="1238" spans="10:10" x14ac:dyDescent="0.25">
      <c r="J1238" s="2" t="str">
        <f t="shared" si="19"/>
        <v>NO</v>
      </c>
    </row>
    <row r="1239" spans="10:10" x14ac:dyDescent="0.25">
      <c r="J1239" s="2" t="str">
        <f t="shared" si="19"/>
        <v>NO</v>
      </c>
    </row>
    <row r="1240" spans="10:10" x14ac:dyDescent="0.25">
      <c r="J1240" s="2" t="str">
        <f t="shared" si="19"/>
        <v>NO</v>
      </c>
    </row>
    <row r="1241" spans="10:10" x14ac:dyDescent="0.25">
      <c r="J1241" s="2" t="str">
        <f t="shared" si="19"/>
        <v>NO</v>
      </c>
    </row>
    <row r="1242" spans="10:10" x14ac:dyDescent="0.25">
      <c r="J1242" s="2" t="str">
        <f t="shared" si="19"/>
        <v>NO</v>
      </c>
    </row>
    <row r="1243" spans="10:10" x14ac:dyDescent="0.25">
      <c r="J1243" s="2" t="str">
        <f t="shared" si="19"/>
        <v>NO</v>
      </c>
    </row>
    <row r="1244" spans="10:10" x14ac:dyDescent="0.25">
      <c r="J1244" s="2" t="str">
        <f t="shared" si="19"/>
        <v>NO</v>
      </c>
    </row>
    <row r="1245" spans="10:10" x14ac:dyDescent="0.25">
      <c r="J1245" s="2" t="str">
        <f t="shared" si="19"/>
        <v>NO</v>
      </c>
    </row>
    <row r="1246" spans="10:10" x14ac:dyDescent="0.25">
      <c r="J1246" s="2" t="str">
        <f t="shared" si="19"/>
        <v>NO</v>
      </c>
    </row>
    <row r="1247" spans="10:10" x14ac:dyDescent="0.25">
      <c r="J1247" s="2" t="str">
        <f t="shared" si="19"/>
        <v>NO</v>
      </c>
    </row>
    <row r="1248" spans="10:10" x14ac:dyDescent="0.25">
      <c r="J1248" s="2" t="str">
        <f t="shared" si="19"/>
        <v>NO</v>
      </c>
    </row>
    <row r="1249" spans="10:10" x14ac:dyDescent="0.25">
      <c r="J1249" s="2" t="str">
        <f t="shared" si="19"/>
        <v>NO</v>
      </c>
    </row>
    <row r="1250" spans="10:10" x14ac:dyDescent="0.25">
      <c r="J1250" s="2" t="str">
        <f t="shared" si="19"/>
        <v>NO</v>
      </c>
    </row>
    <row r="1251" spans="10:10" x14ac:dyDescent="0.25">
      <c r="J1251" s="2" t="str">
        <f t="shared" si="19"/>
        <v>NO</v>
      </c>
    </row>
    <row r="1252" spans="10:10" x14ac:dyDescent="0.25">
      <c r="J1252" s="2" t="str">
        <f t="shared" si="19"/>
        <v>NO</v>
      </c>
    </row>
    <row r="1253" spans="10:10" x14ac:dyDescent="0.25">
      <c r="J1253" s="2" t="str">
        <f t="shared" si="19"/>
        <v>NO</v>
      </c>
    </row>
    <row r="1254" spans="10:10" x14ac:dyDescent="0.25">
      <c r="J1254" s="2" t="str">
        <f t="shared" si="19"/>
        <v>NO</v>
      </c>
    </row>
    <row r="1255" spans="10:10" x14ac:dyDescent="0.25">
      <c r="J1255" s="2" t="str">
        <f t="shared" si="19"/>
        <v>NO</v>
      </c>
    </row>
    <row r="1256" spans="10:10" x14ac:dyDescent="0.25">
      <c r="J1256" s="2" t="str">
        <f t="shared" si="19"/>
        <v>NO</v>
      </c>
    </row>
    <row r="1257" spans="10:10" x14ac:dyDescent="0.25">
      <c r="J1257" s="2" t="str">
        <f t="shared" si="19"/>
        <v>NO</v>
      </c>
    </row>
    <row r="1258" spans="10:10" x14ac:dyDescent="0.25">
      <c r="J1258" s="2" t="str">
        <f t="shared" si="19"/>
        <v>NO</v>
      </c>
    </row>
    <row r="1259" spans="10:10" x14ac:dyDescent="0.25">
      <c r="J1259" s="2" t="str">
        <f t="shared" si="19"/>
        <v>NO</v>
      </c>
    </row>
    <row r="1260" spans="10:10" x14ac:dyDescent="0.25">
      <c r="J1260" s="2" t="str">
        <f t="shared" si="19"/>
        <v>NO</v>
      </c>
    </row>
    <row r="1261" spans="10:10" x14ac:dyDescent="0.25">
      <c r="J1261" s="2" t="str">
        <f t="shared" si="19"/>
        <v>NO</v>
      </c>
    </row>
    <row r="1262" spans="10:10" x14ac:dyDescent="0.25">
      <c r="J1262" s="2" t="str">
        <f t="shared" si="19"/>
        <v>NO</v>
      </c>
    </row>
    <row r="1263" spans="10:10" x14ac:dyDescent="0.25">
      <c r="J1263" s="2" t="str">
        <f t="shared" si="19"/>
        <v>NO</v>
      </c>
    </row>
    <row r="1264" spans="10:10" x14ac:dyDescent="0.25">
      <c r="J1264" s="2" t="str">
        <f t="shared" si="19"/>
        <v>NO</v>
      </c>
    </row>
    <row r="1265" spans="10:10" x14ac:dyDescent="0.25">
      <c r="J1265" s="2" t="str">
        <f t="shared" si="19"/>
        <v>NO</v>
      </c>
    </row>
    <row r="1266" spans="10:10" x14ac:dyDescent="0.25">
      <c r="J1266" s="2" t="str">
        <f t="shared" si="19"/>
        <v>NO</v>
      </c>
    </row>
    <row r="1267" spans="10:10" x14ac:dyDescent="0.25">
      <c r="J1267" s="2" t="str">
        <f t="shared" si="19"/>
        <v>NO</v>
      </c>
    </row>
    <row r="1268" spans="10:10" x14ac:dyDescent="0.25">
      <c r="J1268" s="2" t="str">
        <f t="shared" si="19"/>
        <v>NO</v>
      </c>
    </row>
    <row r="1269" spans="10:10" x14ac:dyDescent="0.25">
      <c r="J1269" s="2" t="str">
        <f t="shared" si="19"/>
        <v>NO</v>
      </c>
    </row>
    <row r="1270" spans="10:10" x14ac:dyDescent="0.25">
      <c r="J1270" s="2" t="str">
        <f t="shared" si="19"/>
        <v>NO</v>
      </c>
    </row>
    <row r="1271" spans="10:10" x14ac:dyDescent="0.25">
      <c r="J1271" s="2" t="str">
        <f t="shared" si="19"/>
        <v>NO</v>
      </c>
    </row>
    <row r="1272" spans="10:10" x14ac:dyDescent="0.25">
      <c r="J1272" s="2" t="str">
        <f t="shared" si="19"/>
        <v>NO</v>
      </c>
    </row>
    <row r="1273" spans="10:10" x14ac:dyDescent="0.25">
      <c r="J1273" s="2" t="str">
        <f t="shared" si="19"/>
        <v>NO</v>
      </c>
    </row>
    <row r="1274" spans="10:10" x14ac:dyDescent="0.25">
      <c r="J1274" s="2" t="str">
        <f t="shared" si="19"/>
        <v>NO</v>
      </c>
    </row>
    <row r="1275" spans="10:10" x14ac:dyDescent="0.25">
      <c r="J1275" s="2" t="str">
        <f t="shared" si="19"/>
        <v>NO</v>
      </c>
    </row>
    <row r="1276" spans="10:10" x14ac:dyDescent="0.25">
      <c r="J1276" s="2" t="str">
        <f t="shared" si="19"/>
        <v>NO</v>
      </c>
    </row>
    <row r="1277" spans="10:10" x14ac:dyDescent="0.25">
      <c r="J1277" s="2" t="str">
        <f t="shared" si="19"/>
        <v>NO</v>
      </c>
    </row>
    <row r="1278" spans="10:10" x14ac:dyDescent="0.25">
      <c r="J1278" s="2" t="str">
        <f t="shared" si="19"/>
        <v>NO</v>
      </c>
    </row>
    <row r="1279" spans="10:10" x14ac:dyDescent="0.25">
      <c r="J1279" s="2" t="str">
        <f t="shared" si="19"/>
        <v>NO</v>
      </c>
    </row>
    <row r="1280" spans="10:10" x14ac:dyDescent="0.25">
      <c r="J1280" s="2" t="str">
        <f t="shared" si="19"/>
        <v>NO</v>
      </c>
    </row>
    <row r="1281" spans="10:10" x14ac:dyDescent="0.25">
      <c r="J1281" s="2" t="str">
        <f t="shared" si="19"/>
        <v>NO</v>
      </c>
    </row>
    <row r="1282" spans="10:10" x14ac:dyDescent="0.25">
      <c r="J1282" s="2" t="str">
        <f t="shared" si="19"/>
        <v>NO</v>
      </c>
    </row>
    <row r="1283" spans="10:10" x14ac:dyDescent="0.25">
      <c r="J1283" s="2" t="str">
        <f t="shared" ref="J1283:J1346" si="20">IF(OR(F1283="",F1283="_",LEFT(F1283,5)="SPARE"),"NO","YES")</f>
        <v>NO</v>
      </c>
    </row>
    <row r="1284" spans="10:10" x14ac:dyDescent="0.25">
      <c r="J1284" s="2" t="str">
        <f t="shared" si="20"/>
        <v>NO</v>
      </c>
    </row>
    <row r="1285" spans="10:10" x14ac:dyDescent="0.25">
      <c r="J1285" s="2" t="str">
        <f t="shared" si="20"/>
        <v>NO</v>
      </c>
    </row>
    <row r="1286" spans="10:10" x14ac:dyDescent="0.25">
      <c r="J1286" s="2" t="str">
        <f t="shared" si="20"/>
        <v>NO</v>
      </c>
    </row>
    <row r="1287" spans="10:10" x14ac:dyDescent="0.25">
      <c r="J1287" s="2" t="str">
        <f t="shared" si="20"/>
        <v>NO</v>
      </c>
    </row>
    <row r="1288" spans="10:10" x14ac:dyDescent="0.25">
      <c r="J1288" s="2" t="str">
        <f t="shared" si="20"/>
        <v>NO</v>
      </c>
    </row>
    <row r="1289" spans="10:10" x14ac:dyDescent="0.25">
      <c r="J1289" s="2" t="str">
        <f t="shared" si="20"/>
        <v>NO</v>
      </c>
    </row>
    <row r="1290" spans="10:10" x14ac:dyDescent="0.25">
      <c r="J1290" s="2" t="str">
        <f t="shared" si="20"/>
        <v>NO</v>
      </c>
    </row>
    <row r="1291" spans="10:10" x14ac:dyDescent="0.25">
      <c r="J1291" s="2" t="str">
        <f t="shared" si="20"/>
        <v>NO</v>
      </c>
    </row>
    <row r="1292" spans="10:10" x14ac:dyDescent="0.25">
      <c r="J1292" s="2" t="str">
        <f t="shared" si="20"/>
        <v>NO</v>
      </c>
    </row>
    <row r="1293" spans="10:10" x14ac:dyDescent="0.25">
      <c r="J1293" s="2" t="str">
        <f t="shared" si="20"/>
        <v>NO</v>
      </c>
    </row>
    <row r="1294" spans="10:10" x14ac:dyDescent="0.25">
      <c r="J1294" s="2" t="str">
        <f t="shared" si="20"/>
        <v>NO</v>
      </c>
    </row>
    <row r="1295" spans="10:10" x14ac:dyDescent="0.25">
      <c r="J1295" s="2" t="str">
        <f t="shared" si="20"/>
        <v>NO</v>
      </c>
    </row>
    <row r="1296" spans="10:10" x14ac:dyDescent="0.25">
      <c r="J1296" s="2" t="str">
        <f t="shared" si="20"/>
        <v>NO</v>
      </c>
    </row>
    <row r="1297" spans="10:10" x14ac:dyDescent="0.25">
      <c r="J1297" s="2" t="str">
        <f t="shared" si="20"/>
        <v>NO</v>
      </c>
    </row>
    <row r="1298" spans="10:10" x14ac:dyDescent="0.25">
      <c r="J1298" s="2" t="str">
        <f t="shared" si="20"/>
        <v>NO</v>
      </c>
    </row>
    <row r="1299" spans="10:10" x14ac:dyDescent="0.25">
      <c r="J1299" s="2" t="str">
        <f t="shared" si="20"/>
        <v>NO</v>
      </c>
    </row>
    <row r="1300" spans="10:10" x14ac:dyDescent="0.25">
      <c r="J1300" s="2" t="str">
        <f t="shared" si="20"/>
        <v>NO</v>
      </c>
    </row>
    <row r="1301" spans="10:10" x14ac:dyDescent="0.25">
      <c r="J1301" s="2" t="str">
        <f t="shared" si="20"/>
        <v>NO</v>
      </c>
    </row>
    <row r="1302" spans="10:10" x14ac:dyDescent="0.25">
      <c r="J1302" s="2" t="str">
        <f t="shared" si="20"/>
        <v>NO</v>
      </c>
    </row>
    <row r="1303" spans="10:10" x14ac:dyDescent="0.25">
      <c r="J1303" s="2" t="str">
        <f t="shared" si="20"/>
        <v>NO</v>
      </c>
    </row>
    <row r="1304" spans="10:10" x14ac:dyDescent="0.25">
      <c r="J1304" s="2" t="str">
        <f t="shared" si="20"/>
        <v>NO</v>
      </c>
    </row>
    <row r="1305" spans="10:10" x14ac:dyDescent="0.25">
      <c r="J1305" s="2" t="str">
        <f t="shared" si="20"/>
        <v>NO</v>
      </c>
    </row>
    <row r="1306" spans="10:10" x14ac:dyDescent="0.25">
      <c r="J1306" s="2" t="str">
        <f t="shared" si="20"/>
        <v>NO</v>
      </c>
    </row>
    <row r="1307" spans="10:10" x14ac:dyDescent="0.25">
      <c r="J1307" s="2" t="str">
        <f t="shared" si="20"/>
        <v>NO</v>
      </c>
    </row>
    <row r="1308" spans="10:10" x14ac:dyDescent="0.25">
      <c r="J1308" s="2" t="str">
        <f t="shared" si="20"/>
        <v>NO</v>
      </c>
    </row>
    <row r="1309" spans="10:10" x14ac:dyDescent="0.25">
      <c r="J1309" s="2" t="str">
        <f t="shared" si="20"/>
        <v>NO</v>
      </c>
    </row>
    <row r="1310" spans="10:10" x14ac:dyDescent="0.25">
      <c r="J1310" s="2" t="str">
        <f t="shared" si="20"/>
        <v>NO</v>
      </c>
    </row>
    <row r="1311" spans="10:10" x14ac:dyDescent="0.25">
      <c r="J1311" s="2" t="str">
        <f t="shared" si="20"/>
        <v>NO</v>
      </c>
    </row>
    <row r="1312" spans="10:10" x14ac:dyDescent="0.25">
      <c r="J1312" s="2" t="str">
        <f t="shared" si="20"/>
        <v>NO</v>
      </c>
    </row>
    <row r="1313" spans="10:10" x14ac:dyDescent="0.25">
      <c r="J1313" s="2" t="str">
        <f t="shared" si="20"/>
        <v>NO</v>
      </c>
    </row>
    <row r="1314" spans="10:10" x14ac:dyDescent="0.25">
      <c r="J1314" s="2" t="str">
        <f t="shared" si="20"/>
        <v>NO</v>
      </c>
    </row>
    <row r="1315" spans="10:10" x14ac:dyDescent="0.25">
      <c r="J1315" s="2" t="str">
        <f t="shared" si="20"/>
        <v>NO</v>
      </c>
    </row>
    <row r="1316" spans="10:10" x14ac:dyDescent="0.25">
      <c r="J1316" s="2" t="str">
        <f t="shared" si="20"/>
        <v>NO</v>
      </c>
    </row>
    <row r="1317" spans="10:10" x14ac:dyDescent="0.25">
      <c r="J1317" s="2" t="str">
        <f t="shared" si="20"/>
        <v>NO</v>
      </c>
    </row>
    <row r="1318" spans="10:10" x14ac:dyDescent="0.25">
      <c r="J1318" s="2" t="str">
        <f t="shared" si="20"/>
        <v>NO</v>
      </c>
    </row>
    <row r="1319" spans="10:10" x14ac:dyDescent="0.25">
      <c r="J1319" s="2" t="str">
        <f t="shared" si="20"/>
        <v>NO</v>
      </c>
    </row>
    <row r="1320" spans="10:10" x14ac:dyDescent="0.25">
      <c r="J1320" s="2" t="str">
        <f t="shared" si="20"/>
        <v>NO</v>
      </c>
    </row>
    <row r="1321" spans="10:10" x14ac:dyDescent="0.25">
      <c r="J1321" s="2" t="str">
        <f t="shared" si="20"/>
        <v>NO</v>
      </c>
    </row>
    <row r="1322" spans="10:10" x14ac:dyDescent="0.25">
      <c r="J1322" s="2" t="str">
        <f t="shared" si="20"/>
        <v>NO</v>
      </c>
    </row>
    <row r="1323" spans="10:10" x14ac:dyDescent="0.25">
      <c r="J1323" s="2" t="str">
        <f t="shared" si="20"/>
        <v>NO</v>
      </c>
    </row>
    <row r="1324" spans="10:10" x14ac:dyDescent="0.25">
      <c r="J1324" s="2" t="str">
        <f t="shared" si="20"/>
        <v>NO</v>
      </c>
    </row>
    <row r="1325" spans="10:10" x14ac:dyDescent="0.25">
      <c r="J1325" s="2" t="str">
        <f t="shared" si="20"/>
        <v>NO</v>
      </c>
    </row>
    <row r="1326" spans="10:10" x14ac:dyDescent="0.25">
      <c r="J1326" s="2" t="str">
        <f t="shared" si="20"/>
        <v>NO</v>
      </c>
    </row>
    <row r="1327" spans="10:10" x14ac:dyDescent="0.25">
      <c r="J1327" s="2" t="str">
        <f t="shared" si="20"/>
        <v>NO</v>
      </c>
    </row>
    <row r="1328" spans="10:10" x14ac:dyDescent="0.25">
      <c r="J1328" s="2" t="str">
        <f t="shared" si="20"/>
        <v>NO</v>
      </c>
    </row>
    <row r="1329" spans="10:10" x14ac:dyDescent="0.25">
      <c r="J1329" s="2" t="str">
        <f t="shared" si="20"/>
        <v>NO</v>
      </c>
    </row>
    <row r="1330" spans="10:10" x14ac:dyDescent="0.25">
      <c r="J1330" s="2" t="str">
        <f t="shared" si="20"/>
        <v>NO</v>
      </c>
    </row>
    <row r="1331" spans="10:10" x14ac:dyDescent="0.25">
      <c r="J1331" s="2" t="str">
        <f t="shared" si="20"/>
        <v>NO</v>
      </c>
    </row>
    <row r="1332" spans="10:10" x14ac:dyDescent="0.25">
      <c r="J1332" s="2" t="str">
        <f t="shared" si="20"/>
        <v>NO</v>
      </c>
    </row>
    <row r="1333" spans="10:10" x14ac:dyDescent="0.25">
      <c r="J1333" s="2" t="str">
        <f t="shared" si="20"/>
        <v>NO</v>
      </c>
    </row>
    <row r="1334" spans="10:10" x14ac:dyDescent="0.25">
      <c r="J1334" s="2" t="str">
        <f t="shared" si="20"/>
        <v>NO</v>
      </c>
    </row>
    <row r="1335" spans="10:10" x14ac:dyDescent="0.25">
      <c r="J1335" s="2" t="str">
        <f t="shared" si="20"/>
        <v>NO</v>
      </c>
    </row>
    <row r="1336" spans="10:10" x14ac:dyDescent="0.25">
      <c r="J1336" s="2" t="str">
        <f t="shared" si="20"/>
        <v>NO</v>
      </c>
    </row>
    <row r="1337" spans="10:10" x14ac:dyDescent="0.25">
      <c r="J1337" s="2" t="str">
        <f t="shared" si="20"/>
        <v>NO</v>
      </c>
    </row>
    <row r="1338" spans="10:10" x14ac:dyDescent="0.25">
      <c r="J1338" s="2" t="str">
        <f t="shared" si="20"/>
        <v>NO</v>
      </c>
    </row>
    <row r="1339" spans="10:10" x14ac:dyDescent="0.25">
      <c r="J1339" s="2" t="str">
        <f t="shared" si="20"/>
        <v>NO</v>
      </c>
    </row>
    <row r="1340" spans="10:10" x14ac:dyDescent="0.25">
      <c r="J1340" s="2" t="str">
        <f t="shared" si="20"/>
        <v>NO</v>
      </c>
    </row>
    <row r="1341" spans="10:10" x14ac:dyDescent="0.25">
      <c r="J1341" s="2" t="str">
        <f t="shared" si="20"/>
        <v>NO</v>
      </c>
    </row>
    <row r="1342" spans="10:10" x14ac:dyDescent="0.25">
      <c r="J1342" s="2" t="str">
        <f t="shared" si="20"/>
        <v>NO</v>
      </c>
    </row>
    <row r="1343" spans="10:10" x14ac:dyDescent="0.25">
      <c r="J1343" s="2" t="str">
        <f t="shared" si="20"/>
        <v>NO</v>
      </c>
    </row>
    <row r="1344" spans="10:10" x14ac:dyDescent="0.25">
      <c r="J1344" s="2" t="str">
        <f t="shared" si="20"/>
        <v>NO</v>
      </c>
    </row>
    <row r="1345" spans="10:10" x14ac:dyDescent="0.25">
      <c r="J1345" s="2" t="str">
        <f t="shared" si="20"/>
        <v>NO</v>
      </c>
    </row>
    <row r="1346" spans="10:10" x14ac:dyDescent="0.25">
      <c r="J1346" s="2" t="str">
        <f t="shared" si="20"/>
        <v>NO</v>
      </c>
    </row>
    <row r="1347" spans="10:10" x14ac:dyDescent="0.25">
      <c r="J1347" s="2" t="str">
        <f t="shared" ref="J1347:J1410" si="21">IF(OR(F1347="",F1347="_",LEFT(F1347,5)="SPARE"),"NO","YES")</f>
        <v>NO</v>
      </c>
    </row>
    <row r="1348" spans="10:10" x14ac:dyDescent="0.25">
      <c r="J1348" s="2" t="str">
        <f t="shared" si="21"/>
        <v>NO</v>
      </c>
    </row>
    <row r="1349" spans="10:10" x14ac:dyDescent="0.25">
      <c r="J1349" s="2" t="str">
        <f t="shared" si="21"/>
        <v>NO</v>
      </c>
    </row>
    <row r="1350" spans="10:10" x14ac:dyDescent="0.25">
      <c r="J1350" s="2" t="str">
        <f t="shared" si="21"/>
        <v>NO</v>
      </c>
    </row>
    <row r="1351" spans="10:10" x14ac:dyDescent="0.25">
      <c r="J1351" s="2" t="str">
        <f t="shared" si="21"/>
        <v>NO</v>
      </c>
    </row>
    <row r="1352" spans="10:10" x14ac:dyDescent="0.25">
      <c r="J1352" s="2" t="str">
        <f t="shared" si="21"/>
        <v>NO</v>
      </c>
    </row>
    <row r="1353" spans="10:10" x14ac:dyDescent="0.25">
      <c r="J1353" s="2" t="str">
        <f t="shared" si="21"/>
        <v>NO</v>
      </c>
    </row>
    <row r="1354" spans="10:10" x14ac:dyDescent="0.25">
      <c r="J1354" s="2" t="str">
        <f t="shared" si="21"/>
        <v>NO</v>
      </c>
    </row>
    <row r="1355" spans="10:10" x14ac:dyDescent="0.25">
      <c r="J1355" s="2" t="str">
        <f t="shared" si="21"/>
        <v>NO</v>
      </c>
    </row>
    <row r="1356" spans="10:10" x14ac:dyDescent="0.25">
      <c r="J1356" s="2" t="str">
        <f t="shared" si="21"/>
        <v>NO</v>
      </c>
    </row>
    <row r="1357" spans="10:10" x14ac:dyDescent="0.25">
      <c r="J1357" s="2" t="str">
        <f t="shared" si="21"/>
        <v>NO</v>
      </c>
    </row>
    <row r="1358" spans="10:10" x14ac:dyDescent="0.25">
      <c r="J1358" s="2" t="str">
        <f t="shared" si="21"/>
        <v>NO</v>
      </c>
    </row>
    <row r="1359" spans="10:10" x14ac:dyDescent="0.25">
      <c r="J1359" s="2" t="str">
        <f t="shared" si="21"/>
        <v>NO</v>
      </c>
    </row>
    <row r="1360" spans="10:10" x14ac:dyDescent="0.25">
      <c r="J1360" s="2" t="str">
        <f t="shared" si="21"/>
        <v>NO</v>
      </c>
    </row>
    <row r="1361" spans="10:10" x14ac:dyDescent="0.25">
      <c r="J1361" s="2" t="str">
        <f t="shared" si="21"/>
        <v>NO</v>
      </c>
    </row>
    <row r="1362" spans="10:10" x14ac:dyDescent="0.25">
      <c r="J1362" s="2" t="str">
        <f t="shared" si="21"/>
        <v>NO</v>
      </c>
    </row>
    <row r="1363" spans="10:10" x14ac:dyDescent="0.25">
      <c r="J1363" s="2" t="str">
        <f t="shared" si="21"/>
        <v>NO</v>
      </c>
    </row>
    <row r="1364" spans="10:10" x14ac:dyDescent="0.25">
      <c r="J1364" s="2" t="str">
        <f t="shared" si="21"/>
        <v>NO</v>
      </c>
    </row>
    <row r="1365" spans="10:10" x14ac:dyDescent="0.25">
      <c r="J1365" s="2" t="str">
        <f t="shared" si="21"/>
        <v>NO</v>
      </c>
    </row>
    <row r="1366" spans="10:10" x14ac:dyDescent="0.25">
      <c r="J1366" s="2" t="str">
        <f t="shared" si="21"/>
        <v>NO</v>
      </c>
    </row>
    <row r="1367" spans="10:10" x14ac:dyDescent="0.25">
      <c r="J1367" s="2" t="str">
        <f t="shared" si="21"/>
        <v>NO</v>
      </c>
    </row>
    <row r="1368" spans="10:10" x14ac:dyDescent="0.25">
      <c r="J1368" s="2" t="str">
        <f t="shared" si="21"/>
        <v>NO</v>
      </c>
    </row>
    <row r="1369" spans="10:10" x14ac:dyDescent="0.25">
      <c r="J1369" s="2" t="str">
        <f t="shared" si="21"/>
        <v>NO</v>
      </c>
    </row>
    <row r="1370" spans="10:10" x14ac:dyDescent="0.25">
      <c r="J1370" s="2" t="str">
        <f t="shared" si="21"/>
        <v>NO</v>
      </c>
    </row>
    <row r="1371" spans="10:10" x14ac:dyDescent="0.25">
      <c r="J1371" s="2" t="str">
        <f t="shared" si="21"/>
        <v>NO</v>
      </c>
    </row>
    <row r="1372" spans="10:10" x14ac:dyDescent="0.25">
      <c r="J1372" s="2" t="str">
        <f t="shared" si="21"/>
        <v>NO</v>
      </c>
    </row>
    <row r="1373" spans="10:10" x14ac:dyDescent="0.25">
      <c r="J1373" s="2" t="str">
        <f t="shared" si="21"/>
        <v>NO</v>
      </c>
    </row>
    <row r="1374" spans="10:10" x14ac:dyDescent="0.25">
      <c r="J1374" s="2" t="str">
        <f t="shared" si="21"/>
        <v>NO</v>
      </c>
    </row>
    <row r="1375" spans="10:10" x14ac:dyDescent="0.25">
      <c r="J1375" s="2" t="str">
        <f t="shared" si="21"/>
        <v>NO</v>
      </c>
    </row>
    <row r="1376" spans="10:10" x14ac:dyDescent="0.25">
      <c r="J1376" s="2" t="str">
        <f t="shared" si="21"/>
        <v>NO</v>
      </c>
    </row>
    <row r="1377" spans="10:10" x14ac:dyDescent="0.25">
      <c r="J1377" s="2" t="str">
        <f t="shared" si="21"/>
        <v>NO</v>
      </c>
    </row>
    <row r="1378" spans="10:10" x14ac:dyDescent="0.25">
      <c r="J1378" s="2" t="str">
        <f t="shared" si="21"/>
        <v>NO</v>
      </c>
    </row>
    <row r="1379" spans="10:10" x14ac:dyDescent="0.25">
      <c r="J1379" s="2" t="str">
        <f t="shared" si="21"/>
        <v>NO</v>
      </c>
    </row>
    <row r="1380" spans="10:10" x14ac:dyDescent="0.25">
      <c r="J1380" s="2" t="str">
        <f t="shared" si="21"/>
        <v>NO</v>
      </c>
    </row>
    <row r="1381" spans="10:10" x14ac:dyDescent="0.25">
      <c r="J1381" s="2" t="str">
        <f t="shared" si="21"/>
        <v>NO</v>
      </c>
    </row>
    <row r="1382" spans="10:10" x14ac:dyDescent="0.25">
      <c r="J1382" s="2" t="str">
        <f t="shared" si="21"/>
        <v>NO</v>
      </c>
    </row>
    <row r="1383" spans="10:10" x14ac:dyDescent="0.25">
      <c r="J1383" s="2" t="str">
        <f t="shared" si="21"/>
        <v>NO</v>
      </c>
    </row>
    <row r="1384" spans="10:10" x14ac:dyDescent="0.25">
      <c r="J1384" s="2" t="str">
        <f t="shared" si="21"/>
        <v>NO</v>
      </c>
    </row>
    <row r="1385" spans="10:10" x14ac:dyDescent="0.25">
      <c r="J1385" s="2" t="str">
        <f t="shared" si="21"/>
        <v>NO</v>
      </c>
    </row>
    <row r="1386" spans="10:10" x14ac:dyDescent="0.25">
      <c r="J1386" s="2" t="str">
        <f t="shared" si="21"/>
        <v>NO</v>
      </c>
    </row>
    <row r="1387" spans="10:10" x14ac:dyDescent="0.25">
      <c r="J1387" s="2" t="str">
        <f t="shared" si="21"/>
        <v>NO</v>
      </c>
    </row>
    <row r="1388" spans="10:10" x14ac:dyDescent="0.25">
      <c r="J1388" s="2" t="str">
        <f t="shared" si="21"/>
        <v>NO</v>
      </c>
    </row>
    <row r="1389" spans="10:10" x14ac:dyDescent="0.25">
      <c r="J1389" s="2" t="str">
        <f t="shared" si="21"/>
        <v>NO</v>
      </c>
    </row>
    <row r="1390" spans="10:10" x14ac:dyDescent="0.25">
      <c r="J1390" s="2" t="str">
        <f t="shared" si="21"/>
        <v>NO</v>
      </c>
    </row>
    <row r="1391" spans="10:10" x14ac:dyDescent="0.25">
      <c r="J1391" s="2" t="str">
        <f t="shared" si="21"/>
        <v>NO</v>
      </c>
    </row>
    <row r="1392" spans="10:10" x14ac:dyDescent="0.25">
      <c r="J1392" s="2" t="str">
        <f t="shared" si="21"/>
        <v>NO</v>
      </c>
    </row>
    <row r="1393" spans="10:10" x14ac:dyDescent="0.25">
      <c r="J1393" s="2" t="str">
        <f t="shared" si="21"/>
        <v>NO</v>
      </c>
    </row>
    <row r="1394" spans="10:10" x14ac:dyDescent="0.25">
      <c r="J1394" s="2" t="str">
        <f t="shared" si="21"/>
        <v>NO</v>
      </c>
    </row>
    <row r="1395" spans="10:10" x14ac:dyDescent="0.25">
      <c r="J1395" s="2" t="str">
        <f t="shared" si="21"/>
        <v>NO</v>
      </c>
    </row>
    <row r="1396" spans="10:10" x14ac:dyDescent="0.25">
      <c r="J1396" s="2" t="str">
        <f t="shared" si="21"/>
        <v>NO</v>
      </c>
    </row>
    <row r="1397" spans="10:10" x14ac:dyDescent="0.25">
      <c r="J1397" s="2" t="str">
        <f t="shared" si="21"/>
        <v>NO</v>
      </c>
    </row>
    <row r="1398" spans="10:10" x14ac:dyDescent="0.25">
      <c r="J1398" s="2" t="str">
        <f t="shared" si="21"/>
        <v>NO</v>
      </c>
    </row>
    <row r="1399" spans="10:10" x14ac:dyDescent="0.25">
      <c r="J1399" s="2" t="str">
        <f t="shared" si="21"/>
        <v>NO</v>
      </c>
    </row>
    <row r="1400" spans="10:10" x14ac:dyDescent="0.25">
      <c r="J1400" s="2" t="str">
        <f t="shared" si="21"/>
        <v>NO</v>
      </c>
    </row>
    <row r="1401" spans="10:10" x14ac:dyDescent="0.25">
      <c r="J1401" s="2" t="str">
        <f t="shared" si="21"/>
        <v>NO</v>
      </c>
    </row>
    <row r="1402" spans="10:10" x14ac:dyDescent="0.25">
      <c r="J1402" s="2" t="str">
        <f t="shared" si="21"/>
        <v>NO</v>
      </c>
    </row>
    <row r="1403" spans="10:10" x14ac:dyDescent="0.25">
      <c r="J1403" s="2" t="str">
        <f t="shared" si="21"/>
        <v>NO</v>
      </c>
    </row>
    <row r="1404" spans="10:10" x14ac:dyDescent="0.25">
      <c r="J1404" s="2" t="str">
        <f t="shared" si="21"/>
        <v>NO</v>
      </c>
    </row>
    <row r="1405" spans="10:10" x14ac:dyDescent="0.25">
      <c r="J1405" s="2" t="str">
        <f t="shared" si="21"/>
        <v>NO</v>
      </c>
    </row>
    <row r="1406" spans="10:10" x14ac:dyDescent="0.25">
      <c r="J1406" s="2" t="str">
        <f t="shared" si="21"/>
        <v>NO</v>
      </c>
    </row>
    <row r="1407" spans="10:10" x14ac:dyDescent="0.25">
      <c r="J1407" s="2" t="str">
        <f t="shared" si="21"/>
        <v>NO</v>
      </c>
    </row>
    <row r="1408" spans="10:10" x14ac:dyDescent="0.25">
      <c r="J1408" s="2" t="str">
        <f t="shared" si="21"/>
        <v>NO</v>
      </c>
    </row>
    <row r="1409" spans="10:10" x14ac:dyDescent="0.25">
      <c r="J1409" s="2" t="str">
        <f t="shared" si="21"/>
        <v>NO</v>
      </c>
    </row>
    <row r="1410" spans="10:10" x14ac:dyDescent="0.25">
      <c r="J1410" s="2" t="str">
        <f t="shared" si="21"/>
        <v>NO</v>
      </c>
    </row>
    <row r="1411" spans="10:10" x14ac:dyDescent="0.25">
      <c r="J1411" s="2" t="str">
        <f t="shared" ref="J1411:J1474" si="22">IF(OR(F1411="",F1411="_",LEFT(F1411,5)="SPARE"),"NO","YES")</f>
        <v>NO</v>
      </c>
    </row>
    <row r="1412" spans="10:10" x14ac:dyDescent="0.25">
      <c r="J1412" s="2" t="str">
        <f t="shared" si="22"/>
        <v>NO</v>
      </c>
    </row>
    <row r="1413" spans="10:10" x14ac:dyDescent="0.25">
      <c r="J1413" s="2" t="str">
        <f t="shared" si="22"/>
        <v>NO</v>
      </c>
    </row>
    <row r="1414" spans="10:10" x14ac:dyDescent="0.25">
      <c r="J1414" s="2" t="str">
        <f t="shared" si="22"/>
        <v>NO</v>
      </c>
    </row>
    <row r="1415" spans="10:10" x14ac:dyDescent="0.25">
      <c r="J1415" s="2" t="str">
        <f t="shared" si="22"/>
        <v>NO</v>
      </c>
    </row>
    <row r="1416" spans="10:10" x14ac:dyDescent="0.25">
      <c r="J1416" s="2" t="str">
        <f t="shared" si="22"/>
        <v>NO</v>
      </c>
    </row>
    <row r="1417" spans="10:10" x14ac:dyDescent="0.25">
      <c r="J1417" s="2" t="str">
        <f t="shared" si="22"/>
        <v>NO</v>
      </c>
    </row>
    <row r="1418" spans="10:10" x14ac:dyDescent="0.25">
      <c r="J1418" s="2" t="str">
        <f t="shared" si="22"/>
        <v>NO</v>
      </c>
    </row>
    <row r="1419" spans="10:10" x14ac:dyDescent="0.25">
      <c r="J1419" s="2" t="str">
        <f t="shared" si="22"/>
        <v>NO</v>
      </c>
    </row>
    <row r="1420" spans="10:10" x14ac:dyDescent="0.25">
      <c r="J1420" s="2" t="str">
        <f t="shared" si="22"/>
        <v>NO</v>
      </c>
    </row>
    <row r="1421" spans="10:10" x14ac:dyDescent="0.25">
      <c r="J1421" s="2" t="str">
        <f t="shared" si="22"/>
        <v>NO</v>
      </c>
    </row>
    <row r="1422" spans="10:10" x14ac:dyDescent="0.25">
      <c r="J1422" s="2" t="str">
        <f t="shared" si="22"/>
        <v>NO</v>
      </c>
    </row>
    <row r="1423" spans="10:10" x14ac:dyDescent="0.25">
      <c r="J1423" s="2" t="str">
        <f t="shared" si="22"/>
        <v>NO</v>
      </c>
    </row>
    <row r="1424" spans="10:10" x14ac:dyDescent="0.25">
      <c r="J1424" s="2" t="str">
        <f t="shared" si="22"/>
        <v>NO</v>
      </c>
    </row>
    <row r="1425" spans="10:10" x14ac:dyDescent="0.25">
      <c r="J1425" s="2" t="str">
        <f t="shared" si="22"/>
        <v>NO</v>
      </c>
    </row>
    <row r="1426" spans="10:10" x14ac:dyDescent="0.25">
      <c r="J1426" s="2" t="str">
        <f t="shared" si="22"/>
        <v>NO</v>
      </c>
    </row>
    <row r="1427" spans="10:10" x14ac:dyDescent="0.25">
      <c r="J1427" s="2" t="str">
        <f t="shared" si="22"/>
        <v>NO</v>
      </c>
    </row>
    <row r="1428" spans="10:10" x14ac:dyDescent="0.25">
      <c r="J1428" s="2" t="str">
        <f t="shared" si="22"/>
        <v>NO</v>
      </c>
    </row>
    <row r="1429" spans="10:10" x14ac:dyDescent="0.25">
      <c r="J1429" s="2" t="str">
        <f t="shared" si="22"/>
        <v>NO</v>
      </c>
    </row>
    <row r="1430" spans="10:10" x14ac:dyDescent="0.25">
      <c r="J1430" s="2" t="str">
        <f t="shared" si="22"/>
        <v>NO</v>
      </c>
    </row>
    <row r="1431" spans="10:10" x14ac:dyDescent="0.25">
      <c r="J1431" s="2" t="str">
        <f t="shared" si="22"/>
        <v>NO</v>
      </c>
    </row>
    <row r="1432" spans="10:10" x14ac:dyDescent="0.25">
      <c r="J1432" s="2" t="str">
        <f t="shared" si="22"/>
        <v>NO</v>
      </c>
    </row>
    <row r="1433" spans="10:10" x14ac:dyDescent="0.25">
      <c r="J1433" s="2" t="str">
        <f t="shared" si="22"/>
        <v>NO</v>
      </c>
    </row>
    <row r="1434" spans="10:10" x14ac:dyDescent="0.25">
      <c r="J1434" s="2" t="str">
        <f t="shared" si="22"/>
        <v>NO</v>
      </c>
    </row>
    <row r="1435" spans="10:10" x14ac:dyDescent="0.25">
      <c r="J1435" s="2" t="str">
        <f t="shared" si="22"/>
        <v>NO</v>
      </c>
    </row>
    <row r="1436" spans="10:10" x14ac:dyDescent="0.25">
      <c r="J1436" s="2" t="str">
        <f t="shared" si="22"/>
        <v>NO</v>
      </c>
    </row>
    <row r="1437" spans="10:10" x14ac:dyDescent="0.25">
      <c r="J1437" s="2" t="str">
        <f t="shared" si="22"/>
        <v>NO</v>
      </c>
    </row>
    <row r="1438" spans="10:10" x14ac:dyDescent="0.25">
      <c r="J1438" s="2" t="str">
        <f t="shared" si="22"/>
        <v>NO</v>
      </c>
    </row>
    <row r="1439" spans="10:10" x14ac:dyDescent="0.25">
      <c r="J1439" s="2" t="str">
        <f t="shared" si="22"/>
        <v>NO</v>
      </c>
    </row>
    <row r="1440" spans="10:10" x14ac:dyDescent="0.25">
      <c r="J1440" s="2" t="str">
        <f t="shared" si="22"/>
        <v>NO</v>
      </c>
    </row>
    <row r="1441" spans="10:10" x14ac:dyDescent="0.25">
      <c r="J1441" s="2" t="str">
        <f t="shared" si="22"/>
        <v>NO</v>
      </c>
    </row>
    <row r="1442" spans="10:10" x14ac:dyDescent="0.25">
      <c r="J1442" s="2" t="str">
        <f t="shared" si="22"/>
        <v>NO</v>
      </c>
    </row>
    <row r="1443" spans="10:10" x14ac:dyDescent="0.25">
      <c r="J1443" s="2" t="str">
        <f t="shared" si="22"/>
        <v>NO</v>
      </c>
    </row>
    <row r="1444" spans="10:10" x14ac:dyDescent="0.25">
      <c r="J1444" s="2" t="str">
        <f t="shared" si="22"/>
        <v>NO</v>
      </c>
    </row>
    <row r="1445" spans="10:10" x14ac:dyDescent="0.25">
      <c r="J1445" s="2" t="str">
        <f t="shared" si="22"/>
        <v>NO</v>
      </c>
    </row>
    <row r="1446" spans="10:10" x14ac:dyDescent="0.25">
      <c r="J1446" s="2" t="str">
        <f t="shared" si="22"/>
        <v>NO</v>
      </c>
    </row>
    <row r="1447" spans="10:10" x14ac:dyDescent="0.25">
      <c r="J1447" s="2" t="str">
        <f t="shared" si="22"/>
        <v>NO</v>
      </c>
    </row>
    <row r="1448" spans="10:10" x14ac:dyDescent="0.25">
      <c r="J1448" s="2" t="str">
        <f t="shared" si="22"/>
        <v>NO</v>
      </c>
    </row>
    <row r="1449" spans="10:10" x14ac:dyDescent="0.25">
      <c r="J1449" s="2" t="str">
        <f t="shared" si="22"/>
        <v>NO</v>
      </c>
    </row>
    <row r="1450" spans="10:10" x14ac:dyDescent="0.25">
      <c r="J1450" s="2" t="str">
        <f t="shared" si="22"/>
        <v>NO</v>
      </c>
    </row>
    <row r="1451" spans="10:10" x14ac:dyDescent="0.25">
      <c r="J1451" s="2" t="str">
        <f t="shared" si="22"/>
        <v>NO</v>
      </c>
    </row>
    <row r="1452" spans="10:10" x14ac:dyDescent="0.25">
      <c r="J1452" s="2" t="str">
        <f t="shared" si="22"/>
        <v>NO</v>
      </c>
    </row>
    <row r="1453" spans="10:10" x14ac:dyDescent="0.25">
      <c r="J1453" s="2" t="str">
        <f t="shared" si="22"/>
        <v>NO</v>
      </c>
    </row>
    <row r="1454" spans="10:10" x14ac:dyDescent="0.25">
      <c r="J1454" s="2" t="str">
        <f t="shared" si="22"/>
        <v>NO</v>
      </c>
    </row>
    <row r="1455" spans="10:10" x14ac:dyDescent="0.25">
      <c r="J1455" s="2" t="str">
        <f t="shared" si="22"/>
        <v>NO</v>
      </c>
    </row>
    <row r="1456" spans="10:10" x14ac:dyDescent="0.25">
      <c r="J1456" s="2" t="str">
        <f t="shared" si="22"/>
        <v>NO</v>
      </c>
    </row>
    <row r="1457" spans="10:10" x14ac:dyDescent="0.25">
      <c r="J1457" s="2" t="str">
        <f t="shared" si="22"/>
        <v>NO</v>
      </c>
    </row>
    <row r="1458" spans="10:10" x14ac:dyDescent="0.25">
      <c r="J1458" s="2" t="str">
        <f t="shared" si="22"/>
        <v>NO</v>
      </c>
    </row>
    <row r="1459" spans="10:10" x14ac:dyDescent="0.25">
      <c r="J1459" s="2" t="str">
        <f t="shared" si="22"/>
        <v>NO</v>
      </c>
    </row>
    <row r="1460" spans="10:10" x14ac:dyDescent="0.25">
      <c r="J1460" s="2" t="str">
        <f t="shared" si="22"/>
        <v>NO</v>
      </c>
    </row>
    <row r="1461" spans="10:10" x14ac:dyDescent="0.25">
      <c r="J1461" s="2" t="str">
        <f t="shared" si="22"/>
        <v>NO</v>
      </c>
    </row>
    <row r="1462" spans="10:10" x14ac:dyDescent="0.25">
      <c r="J1462" s="2" t="str">
        <f t="shared" si="22"/>
        <v>NO</v>
      </c>
    </row>
    <row r="1463" spans="10:10" x14ac:dyDescent="0.25">
      <c r="J1463" s="2" t="str">
        <f t="shared" si="22"/>
        <v>NO</v>
      </c>
    </row>
    <row r="1464" spans="10:10" x14ac:dyDescent="0.25">
      <c r="J1464" s="2" t="str">
        <f t="shared" si="22"/>
        <v>NO</v>
      </c>
    </row>
    <row r="1465" spans="10:10" x14ac:dyDescent="0.25">
      <c r="J1465" s="2" t="str">
        <f t="shared" si="22"/>
        <v>NO</v>
      </c>
    </row>
    <row r="1466" spans="10:10" x14ac:dyDescent="0.25">
      <c r="J1466" s="2" t="str">
        <f t="shared" si="22"/>
        <v>NO</v>
      </c>
    </row>
    <row r="1467" spans="10:10" x14ac:dyDescent="0.25">
      <c r="J1467" s="2" t="str">
        <f t="shared" si="22"/>
        <v>NO</v>
      </c>
    </row>
    <row r="1468" spans="10:10" x14ac:dyDescent="0.25">
      <c r="J1468" s="2" t="str">
        <f t="shared" si="22"/>
        <v>NO</v>
      </c>
    </row>
    <row r="1469" spans="10:10" x14ac:dyDescent="0.25">
      <c r="J1469" s="2" t="str">
        <f t="shared" si="22"/>
        <v>NO</v>
      </c>
    </row>
    <row r="1470" spans="10:10" x14ac:dyDescent="0.25">
      <c r="J1470" s="2" t="str">
        <f t="shared" si="22"/>
        <v>NO</v>
      </c>
    </row>
    <row r="1471" spans="10:10" x14ac:dyDescent="0.25">
      <c r="J1471" s="2" t="str">
        <f t="shared" si="22"/>
        <v>NO</v>
      </c>
    </row>
    <row r="1472" spans="10:10" x14ac:dyDescent="0.25">
      <c r="J1472" s="2" t="str">
        <f t="shared" si="22"/>
        <v>NO</v>
      </c>
    </row>
    <row r="1473" spans="10:10" x14ac:dyDescent="0.25">
      <c r="J1473" s="2" t="str">
        <f t="shared" si="22"/>
        <v>NO</v>
      </c>
    </row>
    <row r="1474" spans="10:10" x14ac:dyDescent="0.25">
      <c r="J1474" s="2" t="str">
        <f t="shared" si="22"/>
        <v>NO</v>
      </c>
    </row>
    <row r="1475" spans="10:10" x14ac:dyDescent="0.25">
      <c r="J1475" s="2" t="str">
        <f t="shared" ref="J1475:J1538" si="23">IF(OR(F1475="",F1475="_",LEFT(F1475,5)="SPARE"),"NO","YES")</f>
        <v>NO</v>
      </c>
    </row>
    <row r="1476" spans="10:10" x14ac:dyDescent="0.25">
      <c r="J1476" s="2" t="str">
        <f t="shared" si="23"/>
        <v>NO</v>
      </c>
    </row>
    <row r="1477" spans="10:10" x14ac:dyDescent="0.25">
      <c r="J1477" s="2" t="str">
        <f t="shared" si="23"/>
        <v>NO</v>
      </c>
    </row>
    <row r="1478" spans="10:10" x14ac:dyDescent="0.25">
      <c r="J1478" s="2" t="str">
        <f t="shared" si="23"/>
        <v>NO</v>
      </c>
    </row>
    <row r="1479" spans="10:10" x14ac:dyDescent="0.25">
      <c r="J1479" s="2" t="str">
        <f t="shared" si="23"/>
        <v>NO</v>
      </c>
    </row>
    <row r="1480" spans="10:10" x14ac:dyDescent="0.25">
      <c r="J1480" s="2" t="str">
        <f t="shared" si="23"/>
        <v>NO</v>
      </c>
    </row>
    <row r="1481" spans="10:10" x14ac:dyDescent="0.25">
      <c r="J1481" s="2" t="str">
        <f t="shared" si="23"/>
        <v>NO</v>
      </c>
    </row>
    <row r="1482" spans="10:10" x14ac:dyDescent="0.25">
      <c r="J1482" s="2" t="str">
        <f t="shared" si="23"/>
        <v>NO</v>
      </c>
    </row>
    <row r="1483" spans="10:10" x14ac:dyDescent="0.25">
      <c r="J1483" s="2" t="str">
        <f t="shared" si="23"/>
        <v>NO</v>
      </c>
    </row>
    <row r="1484" spans="10:10" x14ac:dyDescent="0.25">
      <c r="J1484" s="2" t="str">
        <f t="shared" si="23"/>
        <v>NO</v>
      </c>
    </row>
    <row r="1485" spans="10:10" x14ac:dyDescent="0.25">
      <c r="J1485" s="2" t="str">
        <f t="shared" si="23"/>
        <v>NO</v>
      </c>
    </row>
    <row r="1486" spans="10:10" x14ac:dyDescent="0.25">
      <c r="J1486" s="2" t="str">
        <f t="shared" si="23"/>
        <v>NO</v>
      </c>
    </row>
    <row r="1487" spans="10:10" x14ac:dyDescent="0.25">
      <c r="J1487" s="2" t="str">
        <f t="shared" si="23"/>
        <v>NO</v>
      </c>
    </row>
    <row r="1488" spans="10:10" x14ac:dyDescent="0.25">
      <c r="J1488" s="2" t="str">
        <f t="shared" si="23"/>
        <v>NO</v>
      </c>
    </row>
    <row r="1489" spans="10:10" x14ac:dyDescent="0.25">
      <c r="J1489" s="2" t="str">
        <f t="shared" si="23"/>
        <v>NO</v>
      </c>
    </row>
    <row r="1490" spans="10:10" x14ac:dyDescent="0.25">
      <c r="J1490" s="2" t="str">
        <f t="shared" si="23"/>
        <v>NO</v>
      </c>
    </row>
    <row r="1491" spans="10:10" x14ac:dyDescent="0.25">
      <c r="J1491" s="2" t="str">
        <f t="shared" si="23"/>
        <v>NO</v>
      </c>
    </row>
    <row r="1492" spans="10:10" x14ac:dyDescent="0.25">
      <c r="J1492" s="2" t="str">
        <f t="shared" si="23"/>
        <v>NO</v>
      </c>
    </row>
    <row r="1493" spans="10:10" x14ac:dyDescent="0.25">
      <c r="J1493" s="2" t="str">
        <f t="shared" si="23"/>
        <v>NO</v>
      </c>
    </row>
    <row r="1494" spans="10:10" x14ac:dyDescent="0.25">
      <c r="J1494" s="2" t="str">
        <f t="shared" si="23"/>
        <v>NO</v>
      </c>
    </row>
    <row r="1495" spans="10:10" x14ac:dyDescent="0.25">
      <c r="J1495" s="2" t="str">
        <f t="shared" si="23"/>
        <v>NO</v>
      </c>
    </row>
    <row r="1496" spans="10:10" x14ac:dyDescent="0.25">
      <c r="J1496" s="2" t="str">
        <f t="shared" si="23"/>
        <v>NO</v>
      </c>
    </row>
    <row r="1497" spans="10:10" x14ac:dyDescent="0.25">
      <c r="J1497" s="2" t="str">
        <f t="shared" si="23"/>
        <v>NO</v>
      </c>
    </row>
    <row r="1498" spans="10:10" x14ac:dyDescent="0.25">
      <c r="J1498" s="2" t="str">
        <f t="shared" si="23"/>
        <v>NO</v>
      </c>
    </row>
    <row r="1499" spans="10:10" x14ac:dyDescent="0.25">
      <c r="J1499" s="2" t="str">
        <f t="shared" si="23"/>
        <v>NO</v>
      </c>
    </row>
    <row r="1500" spans="10:10" x14ac:dyDescent="0.25">
      <c r="J1500" s="2" t="str">
        <f t="shared" si="23"/>
        <v>NO</v>
      </c>
    </row>
    <row r="1501" spans="10:10" x14ac:dyDescent="0.25">
      <c r="J1501" s="2" t="str">
        <f t="shared" si="23"/>
        <v>NO</v>
      </c>
    </row>
    <row r="1502" spans="10:10" x14ac:dyDescent="0.25">
      <c r="J1502" s="2" t="str">
        <f t="shared" si="23"/>
        <v>NO</v>
      </c>
    </row>
    <row r="1503" spans="10:10" x14ac:dyDescent="0.25">
      <c r="J1503" s="2" t="str">
        <f t="shared" si="23"/>
        <v>NO</v>
      </c>
    </row>
    <row r="1504" spans="10:10" x14ac:dyDescent="0.25">
      <c r="J1504" s="2" t="str">
        <f t="shared" si="23"/>
        <v>NO</v>
      </c>
    </row>
    <row r="1505" spans="10:10" x14ac:dyDescent="0.25">
      <c r="J1505" s="2" t="str">
        <f t="shared" si="23"/>
        <v>NO</v>
      </c>
    </row>
    <row r="1506" spans="10:10" x14ac:dyDescent="0.25">
      <c r="J1506" s="2" t="str">
        <f t="shared" si="23"/>
        <v>NO</v>
      </c>
    </row>
    <row r="1507" spans="10:10" x14ac:dyDescent="0.25">
      <c r="J1507" s="2" t="str">
        <f t="shared" si="23"/>
        <v>NO</v>
      </c>
    </row>
    <row r="1508" spans="10:10" x14ac:dyDescent="0.25">
      <c r="J1508" s="2" t="str">
        <f t="shared" si="23"/>
        <v>NO</v>
      </c>
    </row>
    <row r="1509" spans="10:10" x14ac:dyDescent="0.25">
      <c r="J1509" s="2" t="str">
        <f t="shared" si="23"/>
        <v>NO</v>
      </c>
    </row>
    <row r="1510" spans="10:10" x14ac:dyDescent="0.25">
      <c r="J1510" s="2" t="str">
        <f t="shared" si="23"/>
        <v>NO</v>
      </c>
    </row>
    <row r="1511" spans="10:10" x14ac:dyDescent="0.25">
      <c r="J1511" s="2" t="str">
        <f t="shared" si="23"/>
        <v>NO</v>
      </c>
    </row>
    <row r="1512" spans="10:10" x14ac:dyDescent="0.25">
      <c r="J1512" s="2" t="str">
        <f t="shared" si="23"/>
        <v>NO</v>
      </c>
    </row>
    <row r="1513" spans="10:10" x14ac:dyDescent="0.25">
      <c r="J1513" s="2" t="str">
        <f t="shared" si="23"/>
        <v>NO</v>
      </c>
    </row>
    <row r="1514" spans="10:10" x14ac:dyDescent="0.25">
      <c r="J1514" s="2" t="str">
        <f t="shared" si="23"/>
        <v>NO</v>
      </c>
    </row>
    <row r="1515" spans="10:10" x14ac:dyDescent="0.25">
      <c r="J1515" s="2" t="str">
        <f t="shared" si="23"/>
        <v>NO</v>
      </c>
    </row>
    <row r="1516" spans="10:10" x14ac:dyDescent="0.25">
      <c r="J1516" s="2" t="str">
        <f t="shared" si="23"/>
        <v>NO</v>
      </c>
    </row>
    <row r="1517" spans="10:10" x14ac:dyDescent="0.25">
      <c r="J1517" s="2" t="str">
        <f t="shared" si="23"/>
        <v>NO</v>
      </c>
    </row>
    <row r="1518" spans="10:10" x14ac:dyDescent="0.25">
      <c r="J1518" s="2" t="str">
        <f t="shared" si="23"/>
        <v>NO</v>
      </c>
    </row>
    <row r="1519" spans="10:10" x14ac:dyDescent="0.25">
      <c r="J1519" s="2" t="str">
        <f t="shared" si="23"/>
        <v>NO</v>
      </c>
    </row>
    <row r="1520" spans="10:10" x14ac:dyDescent="0.25">
      <c r="J1520" s="2" t="str">
        <f t="shared" si="23"/>
        <v>NO</v>
      </c>
    </row>
    <row r="1521" spans="10:10" x14ac:dyDescent="0.25">
      <c r="J1521" s="2" t="str">
        <f t="shared" si="23"/>
        <v>NO</v>
      </c>
    </row>
    <row r="1522" spans="10:10" x14ac:dyDescent="0.25">
      <c r="J1522" s="2" t="str">
        <f t="shared" si="23"/>
        <v>NO</v>
      </c>
    </row>
    <row r="1523" spans="10:10" x14ac:dyDescent="0.25">
      <c r="J1523" s="2" t="str">
        <f t="shared" si="23"/>
        <v>NO</v>
      </c>
    </row>
    <row r="1524" spans="10:10" x14ac:dyDescent="0.25">
      <c r="J1524" s="2" t="str">
        <f t="shared" si="23"/>
        <v>NO</v>
      </c>
    </row>
    <row r="1525" spans="10:10" x14ac:dyDescent="0.25">
      <c r="J1525" s="2" t="str">
        <f t="shared" si="23"/>
        <v>NO</v>
      </c>
    </row>
    <row r="1526" spans="10:10" x14ac:dyDescent="0.25">
      <c r="J1526" s="2" t="str">
        <f t="shared" si="23"/>
        <v>NO</v>
      </c>
    </row>
    <row r="1527" spans="10:10" x14ac:dyDescent="0.25">
      <c r="J1527" s="2" t="str">
        <f t="shared" si="23"/>
        <v>NO</v>
      </c>
    </row>
    <row r="1528" spans="10:10" x14ac:dyDescent="0.25">
      <c r="J1528" s="2" t="str">
        <f t="shared" si="23"/>
        <v>NO</v>
      </c>
    </row>
    <row r="1529" spans="10:10" x14ac:dyDescent="0.25">
      <c r="J1529" s="2" t="str">
        <f t="shared" si="23"/>
        <v>NO</v>
      </c>
    </row>
    <row r="1530" spans="10:10" x14ac:dyDescent="0.25">
      <c r="J1530" s="2" t="str">
        <f t="shared" si="23"/>
        <v>NO</v>
      </c>
    </row>
    <row r="1531" spans="10:10" x14ac:dyDescent="0.25">
      <c r="J1531" s="2" t="str">
        <f t="shared" si="23"/>
        <v>NO</v>
      </c>
    </row>
    <row r="1532" spans="10:10" x14ac:dyDescent="0.25">
      <c r="J1532" s="2" t="str">
        <f t="shared" si="23"/>
        <v>NO</v>
      </c>
    </row>
    <row r="1533" spans="10:10" x14ac:dyDescent="0.25">
      <c r="J1533" s="2" t="str">
        <f t="shared" si="23"/>
        <v>NO</v>
      </c>
    </row>
    <row r="1534" spans="10:10" x14ac:dyDescent="0.25">
      <c r="J1534" s="2" t="str">
        <f t="shared" si="23"/>
        <v>NO</v>
      </c>
    </row>
    <row r="1535" spans="10:10" x14ac:dyDescent="0.25">
      <c r="J1535" s="2" t="str">
        <f t="shared" si="23"/>
        <v>NO</v>
      </c>
    </row>
    <row r="1536" spans="10:10" x14ac:dyDescent="0.25">
      <c r="J1536" s="2" t="str">
        <f t="shared" si="23"/>
        <v>NO</v>
      </c>
    </row>
    <row r="1537" spans="10:10" x14ac:dyDescent="0.25">
      <c r="J1537" s="2" t="str">
        <f t="shared" si="23"/>
        <v>NO</v>
      </c>
    </row>
    <row r="1538" spans="10:10" x14ac:dyDescent="0.25">
      <c r="J1538" s="2" t="str">
        <f t="shared" si="23"/>
        <v>NO</v>
      </c>
    </row>
    <row r="1539" spans="10:10" x14ac:dyDescent="0.25">
      <c r="J1539" s="2" t="str">
        <f t="shared" ref="J1539:J1602" si="24">IF(OR(F1539="",F1539="_",LEFT(F1539,5)="SPARE"),"NO","YES")</f>
        <v>NO</v>
      </c>
    </row>
    <row r="1540" spans="10:10" x14ac:dyDescent="0.25">
      <c r="J1540" s="2" t="str">
        <f t="shared" si="24"/>
        <v>NO</v>
      </c>
    </row>
    <row r="1541" spans="10:10" x14ac:dyDescent="0.25">
      <c r="J1541" s="2" t="str">
        <f t="shared" si="24"/>
        <v>NO</v>
      </c>
    </row>
    <row r="1542" spans="10:10" x14ac:dyDescent="0.25">
      <c r="J1542" s="2" t="str">
        <f t="shared" si="24"/>
        <v>NO</v>
      </c>
    </row>
    <row r="1543" spans="10:10" x14ac:dyDescent="0.25">
      <c r="J1543" s="2" t="str">
        <f t="shared" si="24"/>
        <v>NO</v>
      </c>
    </row>
    <row r="1544" spans="10:10" x14ac:dyDescent="0.25">
      <c r="J1544" s="2" t="str">
        <f t="shared" si="24"/>
        <v>NO</v>
      </c>
    </row>
    <row r="1545" spans="10:10" x14ac:dyDescent="0.25">
      <c r="J1545" s="2" t="str">
        <f t="shared" si="24"/>
        <v>NO</v>
      </c>
    </row>
    <row r="1546" spans="10:10" x14ac:dyDescent="0.25">
      <c r="J1546" s="2" t="str">
        <f t="shared" si="24"/>
        <v>NO</v>
      </c>
    </row>
    <row r="1547" spans="10:10" x14ac:dyDescent="0.25">
      <c r="J1547" s="2" t="str">
        <f t="shared" si="24"/>
        <v>NO</v>
      </c>
    </row>
    <row r="1548" spans="10:10" x14ac:dyDescent="0.25">
      <c r="J1548" s="2" t="str">
        <f t="shared" si="24"/>
        <v>NO</v>
      </c>
    </row>
    <row r="1549" spans="10:10" x14ac:dyDescent="0.25">
      <c r="J1549" s="2" t="str">
        <f t="shared" si="24"/>
        <v>NO</v>
      </c>
    </row>
    <row r="1550" spans="10:10" x14ac:dyDescent="0.25">
      <c r="J1550" s="2" t="str">
        <f t="shared" si="24"/>
        <v>NO</v>
      </c>
    </row>
    <row r="1551" spans="10:10" x14ac:dyDescent="0.25">
      <c r="J1551" s="2" t="str">
        <f t="shared" si="24"/>
        <v>NO</v>
      </c>
    </row>
    <row r="1552" spans="10:10" x14ac:dyDescent="0.25">
      <c r="J1552" s="2" t="str">
        <f t="shared" si="24"/>
        <v>NO</v>
      </c>
    </row>
    <row r="1553" spans="10:10" x14ac:dyDescent="0.25">
      <c r="J1553" s="2" t="str">
        <f t="shared" si="24"/>
        <v>NO</v>
      </c>
    </row>
    <row r="1554" spans="10:10" x14ac:dyDescent="0.25">
      <c r="J1554" s="2" t="str">
        <f t="shared" si="24"/>
        <v>NO</v>
      </c>
    </row>
    <row r="1555" spans="10:10" x14ac:dyDescent="0.25">
      <c r="J1555" s="2" t="str">
        <f t="shared" si="24"/>
        <v>NO</v>
      </c>
    </row>
    <row r="1556" spans="10:10" x14ac:dyDescent="0.25">
      <c r="J1556" s="2" t="str">
        <f t="shared" si="24"/>
        <v>NO</v>
      </c>
    </row>
    <row r="1557" spans="10:10" x14ac:dyDescent="0.25">
      <c r="J1557" s="2" t="str">
        <f t="shared" si="24"/>
        <v>NO</v>
      </c>
    </row>
    <row r="1558" spans="10:10" x14ac:dyDescent="0.25">
      <c r="J1558" s="2" t="str">
        <f t="shared" si="24"/>
        <v>NO</v>
      </c>
    </row>
    <row r="1559" spans="10:10" x14ac:dyDescent="0.25">
      <c r="J1559" s="2" t="str">
        <f t="shared" si="24"/>
        <v>NO</v>
      </c>
    </row>
    <row r="1560" spans="10:10" x14ac:dyDescent="0.25">
      <c r="J1560" s="2" t="str">
        <f t="shared" si="24"/>
        <v>NO</v>
      </c>
    </row>
    <row r="1561" spans="10:10" x14ac:dyDescent="0.25">
      <c r="J1561" s="2" t="str">
        <f t="shared" si="24"/>
        <v>NO</v>
      </c>
    </row>
    <row r="1562" spans="10:10" x14ac:dyDescent="0.25">
      <c r="J1562" s="2" t="str">
        <f t="shared" si="24"/>
        <v>NO</v>
      </c>
    </row>
    <row r="1563" spans="10:10" x14ac:dyDescent="0.25">
      <c r="J1563" s="2" t="str">
        <f t="shared" si="24"/>
        <v>NO</v>
      </c>
    </row>
    <row r="1564" spans="10:10" x14ac:dyDescent="0.25">
      <c r="J1564" s="2" t="str">
        <f t="shared" si="24"/>
        <v>NO</v>
      </c>
    </row>
    <row r="1565" spans="10:10" x14ac:dyDescent="0.25">
      <c r="J1565" s="2" t="str">
        <f t="shared" si="24"/>
        <v>NO</v>
      </c>
    </row>
    <row r="1566" spans="10:10" x14ac:dyDescent="0.25">
      <c r="J1566" s="2" t="str">
        <f t="shared" si="24"/>
        <v>NO</v>
      </c>
    </row>
    <row r="1567" spans="10:10" x14ac:dyDescent="0.25">
      <c r="J1567" s="2" t="str">
        <f t="shared" si="24"/>
        <v>NO</v>
      </c>
    </row>
    <row r="1568" spans="10:10" x14ac:dyDescent="0.25">
      <c r="J1568" s="2" t="str">
        <f t="shared" si="24"/>
        <v>NO</v>
      </c>
    </row>
    <row r="1569" spans="10:10" x14ac:dyDescent="0.25">
      <c r="J1569" s="2" t="str">
        <f t="shared" si="24"/>
        <v>NO</v>
      </c>
    </row>
    <row r="1570" spans="10:10" x14ac:dyDescent="0.25">
      <c r="J1570" s="2" t="str">
        <f t="shared" si="24"/>
        <v>NO</v>
      </c>
    </row>
    <row r="1571" spans="10:10" x14ac:dyDescent="0.25">
      <c r="J1571" s="2" t="str">
        <f t="shared" si="24"/>
        <v>NO</v>
      </c>
    </row>
    <row r="1572" spans="10:10" x14ac:dyDescent="0.25">
      <c r="J1572" s="2" t="str">
        <f t="shared" si="24"/>
        <v>NO</v>
      </c>
    </row>
    <row r="1573" spans="10:10" x14ac:dyDescent="0.25">
      <c r="J1573" s="2" t="str">
        <f t="shared" si="24"/>
        <v>NO</v>
      </c>
    </row>
    <row r="1574" spans="10:10" x14ac:dyDescent="0.25">
      <c r="J1574" s="2" t="str">
        <f t="shared" si="24"/>
        <v>NO</v>
      </c>
    </row>
    <row r="1575" spans="10:10" x14ac:dyDescent="0.25">
      <c r="J1575" s="2" t="str">
        <f t="shared" si="24"/>
        <v>NO</v>
      </c>
    </row>
    <row r="1576" spans="10:10" x14ac:dyDescent="0.25">
      <c r="J1576" s="2" t="str">
        <f t="shared" si="24"/>
        <v>NO</v>
      </c>
    </row>
    <row r="1577" spans="10:10" x14ac:dyDescent="0.25">
      <c r="J1577" s="2" t="str">
        <f t="shared" si="24"/>
        <v>NO</v>
      </c>
    </row>
    <row r="1578" spans="10:10" x14ac:dyDescent="0.25">
      <c r="J1578" s="2" t="str">
        <f t="shared" si="24"/>
        <v>NO</v>
      </c>
    </row>
    <row r="1579" spans="10:10" x14ac:dyDescent="0.25">
      <c r="J1579" s="2" t="str">
        <f t="shared" si="24"/>
        <v>NO</v>
      </c>
    </row>
    <row r="1580" spans="10:10" x14ac:dyDescent="0.25">
      <c r="J1580" s="2" t="str">
        <f t="shared" si="24"/>
        <v>NO</v>
      </c>
    </row>
    <row r="1581" spans="10:10" x14ac:dyDescent="0.25">
      <c r="J1581" s="2" t="str">
        <f t="shared" si="24"/>
        <v>NO</v>
      </c>
    </row>
    <row r="1582" spans="10:10" x14ac:dyDescent="0.25">
      <c r="J1582" s="2" t="str">
        <f t="shared" si="24"/>
        <v>NO</v>
      </c>
    </row>
    <row r="1583" spans="10:10" x14ac:dyDescent="0.25">
      <c r="J1583" s="2" t="str">
        <f t="shared" si="24"/>
        <v>NO</v>
      </c>
    </row>
    <row r="1584" spans="10:10" x14ac:dyDescent="0.25">
      <c r="J1584" s="2" t="str">
        <f t="shared" si="24"/>
        <v>NO</v>
      </c>
    </row>
    <row r="1585" spans="10:10" x14ac:dyDescent="0.25">
      <c r="J1585" s="2" t="str">
        <f t="shared" si="24"/>
        <v>NO</v>
      </c>
    </row>
    <row r="1586" spans="10:10" x14ac:dyDescent="0.25">
      <c r="J1586" s="2" t="str">
        <f t="shared" si="24"/>
        <v>NO</v>
      </c>
    </row>
    <row r="1587" spans="10:10" x14ac:dyDescent="0.25">
      <c r="J1587" s="2" t="str">
        <f t="shared" si="24"/>
        <v>NO</v>
      </c>
    </row>
    <row r="1588" spans="10:10" x14ac:dyDescent="0.25">
      <c r="J1588" s="2" t="str">
        <f t="shared" si="24"/>
        <v>NO</v>
      </c>
    </row>
    <row r="1589" spans="10:10" x14ac:dyDescent="0.25">
      <c r="J1589" s="2" t="str">
        <f t="shared" si="24"/>
        <v>NO</v>
      </c>
    </row>
    <row r="1590" spans="10:10" x14ac:dyDescent="0.25">
      <c r="J1590" s="2" t="str">
        <f t="shared" si="24"/>
        <v>NO</v>
      </c>
    </row>
    <row r="1591" spans="10:10" x14ac:dyDescent="0.25">
      <c r="J1591" s="2" t="str">
        <f t="shared" si="24"/>
        <v>NO</v>
      </c>
    </row>
    <row r="1592" spans="10:10" x14ac:dyDescent="0.25">
      <c r="J1592" s="2" t="str">
        <f t="shared" si="24"/>
        <v>NO</v>
      </c>
    </row>
    <row r="1593" spans="10:10" x14ac:dyDescent="0.25">
      <c r="J1593" s="2" t="str">
        <f t="shared" si="24"/>
        <v>NO</v>
      </c>
    </row>
    <row r="1594" spans="10:10" x14ac:dyDescent="0.25">
      <c r="J1594" s="2" t="str">
        <f t="shared" si="24"/>
        <v>NO</v>
      </c>
    </row>
    <row r="1595" spans="10:10" x14ac:dyDescent="0.25">
      <c r="J1595" s="2" t="str">
        <f t="shared" si="24"/>
        <v>NO</v>
      </c>
    </row>
    <row r="1596" spans="10:10" x14ac:dyDescent="0.25">
      <c r="J1596" s="2" t="str">
        <f t="shared" si="24"/>
        <v>NO</v>
      </c>
    </row>
    <row r="1597" spans="10:10" x14ac:dyDescent="0.25">
      <c r="J1597" s="2" t="str">
        <f t="shared" si="24"/>
        <v>NO</v>
      </c>
    </row>
    <row r="1598" spans="10:10" x14ac:dyDescent="0.25">
      <c r="J1598" s="2" t="str">
        <f t="shared" si="24"/>
        <v>NO</v>
      </c>
    </row>
    <row r="1599" spans="10:10" x14ac:dyDescent="0.25">
      <c r="J1599" s="2" t="str">
        <f t="shared" si="24"/>
        <v>NO</v>
      </c>
    </row>
    <row r="1600" spans="10:10" x14ac:dyDescent="0.25">
      <c r="J1600" s="2" t="str">
        <f t="shared" si="24"/>
        <v>NO</v>
      </c>
    </row>
    <row r="1601" spans="10:10" x14ac:dyDescent="0.25">
      <c r="J1601" s="2" t="str">
        <f t="shared" si="24"/>
        <v>NO</v>
      </c>
    </row>
    <row r="1602" spans="10:10" x14ac:dyDescent="0.25">
      <c r="J1602" s="2" t="str">
        <f t="shared" si="24"/>
        <v>NO</v>
      </c>
    </row>
    <row r="1603" spans="10:10" x14ac:dyDescent="0.25">
      <c r="J1603" s="2" t="str">
        <f t="shared" ref="J1603:J1666" si="25">IF(OR(F1603="",F1603="_",LEFT(F1603,5)="SPARE"),"NO","YES")</f>
        <v>NO</v>
      </c>
    </row>
    <row r="1604" spans="10:10" x14ac:dyDescent="0.25">
      <c r="J1604" s="2" t="str">
        <f t="shared" si="25"/>
        <v>NO</v>
      </c>
    </row>
    <row r="1605" spans="10:10" x14ac:dyDescent="0.25">
      <c r="J1605" s="2" t="str">
        <f t="shared" si="25"/>
        <v>NO</v>
      </c>
    </row>
    <row r="1606" spans="10:10" x14ac:dyDescent="0.25">
      <c r="J1606" s="2" t="str">
        <f t="shared" si="25"/>
        <v>NO</v>
      </c>
    </row>
    <row r="1607" spans="10:10" x14ac:dyDescent="0.25">
      <c r="J1607" s="2" t="str">
        <f t="shared" si="25"/>
        <v>NO</v>
      </c>
    </row>
    <row r="1608" spans="10:10" x14ac:dyDescent="0.25">
      <c r="J1608" s="2" t="str">
        <f t="shared" si="25"/>
        <v>NO</v>
      </c>
    </row>
    <row r="1609" spans="10:10" x14ac:dyDescent="0.25">
      <c r="J1609" s="2" t="str">
        <f t="shared" si="25"/>
        <v>NO</v>
      </c>
    </row>
    <row r="1610" spans="10:10" x14ac:dyDescent="0.25">
      <c r="J1610" s="2" t="str">
        <f t="shared" si="25"/>
        <v>NO</v>
      </c>
    </row>
    <row r="1611" spans="10:10" x14ac:dyDescent="0.25">
      <c r="J1611" s="2" t="str">
        <f t="shared" si="25"/>
        <v>NO</v>
      </c>
    </row>
    <row r="1612" spans="10:10" x14ac:dyDescent="0.25">
      <c r="J1612" s="2" t="str">
        <f t="shared" si="25"/>
        <v>NO</v>
      </c>
    </row>
    <row r="1613" spans="10:10" x14ac:dyDescent="0.25">
      <c r="J1613" s="2" t="str">
        <f t="shared" si="25"/>
        <v>NO</v>
      </c>
    </row>
    <row r="1614" spans="10:10" x14ac:dyDescent="0.25">
      <c r="J1614" s="2" t="str">
        <f t="shared" si="25"/>
        <v>NO</v>
      </c>
    </row>
    <row r="1615" spans="10:10" x14ac:dyDescent="0.25">
      <c r="J1615" s="2" t="str">
        <f t="shared" si="25"/>
        <v>NO</v>
      </c>
    </row>
    <row r="1616" spans="10:10" x14ac:dyDescent="0.25">
      <c r="J1616" s="2" t="str">
        <f t="shared" si="25"/>
        <v>NO</v>
      </c>
    </row>
    <row r="1617" spans="10:10" x14ac:dyDescent="0.25">
      <c r="J1617" s="2" t="str">
        <f t="shared" si="25"/>
        <v>NO</v>
      </c>
    </row>
    <row r="1618" spans="10:10" x14ac:dyDescent="0.25">
      <c r="J1618" s="2" t="str">
        <f t="shared" si="25"/>
        <v>NO</v>
      </c>
    </row>
    <row r="1619" spans="10:10" x14ac:dyDescent="0.25">
      <c r="J1619" s="2" t="str">
        <f t="shared" si="25"/>
        <v>NO</v>
      </c>
    </row>
    <row r="1620" spans="10:10" x14ac:dyDescent="0.25">
      <c r="J1620" s="2" t="str">
        <f t="shared" si="25"/>
        <v>NO</v>
      </c>
    </row>
    <row r="1621" spans="10:10" x14ac:dyDescent="0.25">
      <c r="J1621" s="2" t="str">
        <f t="shared" si="25"/>
        <v>NO</v>
      </c>
    </row>
    <row r="1622" spans="10:10" x14ac:dyDescent="0.25">
      <c r="J1622" s="2" t="str">
        <f t="shared" si="25"/>
        <v>NO</v>
      </c>
    </row>
    <row r="1623" spans="10:10" x14ac:dyDescent="0.25">
      <c r="J1623" s="2" t="str">
        <f t="shared" si="25"/>
        <v>NO</v>
      </c>
    </row>
    <row r="1624" spans="10:10" x14ac:dyDescent="0.25">
      <c r="J1624" s="2" t="str">
        <f t="shared" si="25"/>
        <v>NO</v>
      </c>
    </row>
    <row r="1625" spans="10:10" x14ac:dyDescent="0.25">
      <c r="J1625" s="2" t="str">
        <f t="shared" si="25"/>
        <v>NO</v>
      </c>
    </row>
    <row r="1626" spans="10:10" x14ac:dyDescent="0.25">
      <c r="J1626" s="2" t="str">
        <f t="shared" si="25"/>
        <v>NO</v>
      </c>
    </row>
    <row r="1627" spans="10:10" x14ac:dyDescent="0.25">
      <c r="J1627" s="2" t="str">
        <f t="shared" si="25"/>
        <v>NO</v>
      </c>
    </row>
    <row r="1628" spans="10:10" x14ac:dyDescent="0.25">
      <c r="J1628" s="2" t="str">
        <f t="shared" si="25"/>
        <v>NO</v>
      </c>
    </row>
    <row r="1629" spans="10:10" x14ac:dyDescent="0.25">
      <c r="J1629" s="2" t="str">
        <f t="shared" si="25"/>
        <v>NO</v>
      </c>
    </row>
    <row r="1630" spans="10:10" x14ac:dyDescent="0.25">
      <c r="J1630" s="2" t="str">
        <f t="shared" si="25"/>
        <v>NO</v>
      </c>
    </row>
    <row r="1631" spans="10:10" x14ac:dyDescent="0.25">
      <c r="J1631" s="2" t="str">
        <f t="shared" si="25"/>
        <v>NO</v>
      </c>
    </row>
    <row r="1632" spans="10:10" x14ac:dyDescent="0.25">
      <c r="J1632" s="2" t="str">
        <f t="shared" si="25"/>
        <v>NO</v>
      </c>
    </row>
    <row r="1633" spans="10:10" x14ac:dyDescent="0.25">
      <c r="J1633" s="2" t="str">
        <f t="shared" si="25"/>
        <v>NO</v>
      </c>
    </row>
    <row r="1634" spans="10:10" x14ac:dyDescent="0.25">
      <c r="J1634" s="2" t="str">
        <f t="shared" si="25"/>
        <v>NO</v>
      </c>
    </row>
    <row r="1635" spans="10:10" x14ac:dyDescent="0.25">
      <c r="J1635" s="2" t="str">
        <f t="shared" si="25"/>
        <v>NO</v>
      </c>
    </row>
    <row r="1636" spans="10:10" x14ac:dyDescent="0.25">
      <c r="J1636" s="2" t="str">
        <f t="shared" si="25"/>
        <v>NO</v>
      </c>
    </row>
    <row r="1637" spans="10:10" x14ac:dyDescent="0.25">
      <c r="J1637" s="2" t="str">
        <f t="shared" si="25"/>
        <v>NO</v>
      </c>
    </row>
    <row r="1638" spans="10:10" x14ac:dyDescent="0.25">
      <c r="J1638" s="2" t="str">
        <f t="shared" si="25"/>
        <v>NO</v>
      </c>
    </row>
    <row r="1639" spans="10:10" x14ac:dyDescent="0.25">
      <c r="J1639" s="2" t="str">
        <f t="shared" si="25"/>
        <v>NO</v>
      </c>
    </row>
    <row r="1640" spans="10:10" x14ac:dyDescent="0.25">
      <c r="J1640" s="2" t="str">
        <f t="shared" si="25"/>
        <v>NO</v>
      </c>
    </row>
    <row r="1641" spans="10:10" x14ac:dyDescent="0.25">
      <c r="J1641" s="2" t="str">
        <f t="shared" si="25"/>
        <v>NO</v>
      </c>
    </row>
    <row r="1642" spans="10:10" x14ac:dyDescent="0.25">
      <c r="J1642" s="2" t="str">
        <f t="shared" si="25"/>
        <v>NO</v>
      </c>
    </row>
    <row r="1643" spans="10:10" x14ac:dyDescent="0.25">
      <c r="J1643" s="2" t="str">
        <f t="shared" si="25"/>
        <v>NO</v>
      </c>
    </row>
    <row r="1644" spans="10:10" x14ac:dyDescent="0.25">
      <c r="J1644" s="2" t="str">
        <f t="shared" si="25"/>
        <v>NO</v>
      </c>
    </row>
    <row r="1645" spans="10:10" x14ac:dyDescent="0.25">
      <c r="J1645" s="2" t="str">
        <f t="shared" si="25"/>
        <v>NO</v>
      </c>
    </row>
    <row r="1646" spans="10:10" x14ac:dyDescent="0.25">
      <c r="J1646" s="2" t="str">
        <f t="shared" si="25"/>
        <v>NO</v>
      </c>
    </row>
    <row r="1647" spans="10:10" x14ac:dyDescent="0.25">
      <c r="J1647" s="2" t="str">
        <f t="shared" si="25"/>
        <v>NO</v>
      </c>
    </row>
    <row r="1648" spans="10:10" x14ac:dyDescent="0.25">
      <c r="J1648" s="2" t="str">
        <f t="shared" si="25"/>
        <v>NO</v>
      </c>
    </row>
    <row r="1649" spans="10:10" x14ac:dyDescent="0.25">
      <c r="J1649" s="2" t="str">
        <f t="shared" si="25"/>
        <v>NO</v>
      </c>
    </row>
    <row r="1650" spans="10:10" x14ac:dyDescent="0.25">
      <c r="J1650" s="2" t="str">
        <f t="shared" si="25"/>
        <v>NO</v>
      </c>
    </row>
    <row r="1651" spans="10:10" x14ac:dyDescent="0.25">
      <c r="J1651" s="2" t="str">
        <f t="shared" si="25"/>
        <v>NO</v>
      </c>
    </row>
    <row r="1652" spans="10:10" x14ac:dyDescent="0.25">
      <c r="J1652" s="2" t="str">
        <f t="shared" si="25"/>
        <v>NO</v>
      </c>
    </row>
    <row r="1653" spans="10:10" x14ac:dyDescent="0.25">
      <c r="J1653" s="2" t="str">
        <f t="shared" si="25"/>
        <v>NO</v>
      </c>
    </row>
    <row r="1654" spans="10:10" x14ac:dyDescent="0.25">
      <c r="J1654" s="2" t="str">
        <f t="shared" si="25"/>
        <v>NO</v>
      </c>
    </row>
    <row r="1655" spans="10:10" x14ac:dyDescent="0.25">
      <c r="J1655" s="2" t="str">
        <f t="shared" si="25"/>
        <v>NO</v>
      </c>
    </row>
    <row r="1656" spans="10:10" x14ac:dyDescent="0.25">
      <c r="J1656" s="2" t="str">
        <f t="shared" si="25"/>
        <v>NO</v>
      </c>
    </row>
    <row r="1657" spans="10:10" x14ac:dyDescent="0.25">
      <c r="J1657" s="2" t="str">
        <f t="shared" si="25"/>
        <v>NO</v>
      </c>
    </row>
    <row r="1658" spans="10:10" x14ac:dyDescent="0.25">
      <c r="J1658" s="2" t="str">
        <f t="shared" si="25"/>
        <v>NO</v>
      </c>
    </row>
    <row r="1659" spans="10:10" x14ac:dyDescent="0.25">
      <c r="J1659" s="2" t="str">
        <f t="shared" si="25"/>
        <v>NO</v>
      </c>
    </row>
    <row r="1660" spans="10:10" x14ac:dyDescent="0.25">
      <c r="J1660" s="2" t="str">
        <f t="shared" si="25"/>
        <v>NO</v>
      </c>
    </row>
    <row r="1661" spans="10:10" x14ac:dyDescent="0.25">
      <c r="J1661" s="2" t="str">
        <f t="shared" si="25"/>
        <v>NO</v>
      </c>
    </row>
    <row r="1662" spans="10:10" x14ac:dyDescent="0.25">
      <c r="J1662" s="2" t="str">
        <f t="shared" si="25"/>
        <v>NO</v>
      </c>
    </row>
    <row r="1663" spans="10:10" x14ac:dyDescent="0.25">
      <c r="J1663" s="2" t="str">
        <f t="shared" si="25"/>
        <v>NO</v>
      </c>
    </row>
    <row r="1664" spans="10:10" x14ac:dyDescent="0.25">
      <c r="J1664" s="2" t="str">
        <f t="shared" si="25"/>
        <v>NO</v>
      </c>
    </row>
    <row r="1665" spans="10:10" x14ac:dyDescent="0.25">
      <c r="J1665" s="2" t="str">
        <f t="shared" si="25"/>
        <v>NO</v>
      </c>
    </row>
    <row r="1666" spans="10:10" x14ac:dyDescent="0.25">
      <c r="J1666" s="2" t="str">
        <f t="shared" si="25"/>
        <v>NO</v>
      </c>
    </row>
    <row r="1667" spans="10:10" x14ac:dyDescent="0.25">
      <c r="J1667" s="2" t="str">
        <f t="shared" ref="J1667:J1730" si="26">IF(OR(F1667="",F1667="_",LEFT(F1667,5)="SPARE"),"NO","YES")</f>
        <v>NO</v>
      </c>
    </row>
    <row r="1668" spans="10:10" x14ac:dyDescent="0.25">
      <c r="J1668" s="2" t="str">
        <f t="shared" si="26"/>
        <v>NO</v>
      </c>
    </row>
    <row r="1669" spans="10:10" x14ac:dyDescent="0.25">
      <c r="J1669" s="2" t="str">
        <f t="shared" si="26"/>
        <v>NO</v>
      </c>
    </row>
    <row r="1670" spans="10:10" x14ac:dyDescent="0.25">
      <c r="J1670" s="2" t="str">
        <f t="shared" si="26"/>
        <v>NO</v>
      </c>
    </row>
    <row r="1671" spans="10:10" x14ac:dyDescent="0.25">
      <c r="J1671" s="2" t="str">
        <f t="shared" si="26"/>
        <v>NO</v>
      </c>
    </row>
    <row r="1672" spans="10:10" x14ac:dyDescent="0.25">
      <c r="J1672" s="2" t="str">
        <f t="shared" si="26"/>
        <v>NO</v>
      </c>
    </row>
    <row r="1673" spans="10:10" x14ac:dyDescent="0.25">
      <c r="J1673" s="2" t="str">
        <f t="shared" si="26"/>
        <v>NO</v>
      </c>
    </row>
    <row r="1674" spans="10:10" x14ac:dyDescent="0.25">
      <c r="J1674" s="2" t="str">
        <f t="shared" si="26"/>
        <v>NO</v>
      </c>
    </row>
    <row r="1675" spans="10:10" x14ac:dyDescent="0.25">
      <c r="J1675" s="2" t="str">
        <f t="shared" si="26"/>
        <v>NO</v>
      </c>
    </row>
    <row r="1676" spans="10:10" x14ac:dyDescent="0.25">
      <c r="J1676" s="2" t="str">
        <f t="shared" si="26"/>
        <v>NO</v>
      </c>
    </row>
    <row r="1677" spans="10:10" x14ac:dyDescent="0.25">
      <c r="J1677" s="2" t="str">
        <f t="shared" si="26"/>
        <v>NO</v>
      </c>
    </row>
    <row r="1678" spans="10:10" x14ac:dyDescent="0.25">
      <c r="J1678" s="2" t="str">
        <f t="shared" si="26"/>
        <v>NO</v>
      </c>
    </row>
    <row r="1679" spans="10:10" x14ac:dyDescent="0.25">
      <c r="J1679" s="2" t="str">
        <f t="shared" si="26"/>
        <v>NO</v>
      </c>
    </row>
    <row r="1680" spans="10:10" x14ac:dyDescent="0.25">
      <c r="J1680" s="2" t="str">
        <f t="shared" si="26"/>
        <v>NO</v>
      </c>
    </row>
    <row r="1681" spans="10:10" x14ac:dyDescent="0.25">
      <c r="J1681" s="2" t="str">
        <f t="shared" si="26"/>
        <v>NO</v>
      </c>
    </row>
    <row r="1682" spans="10:10" x14ac:dyDescent="0.25">
      <c r="J1682" s="2" t="str">
        <f t="shared" si="26"/>
        <v>NO</v>
      </c>
    </row>
    <row r="1683" spans="10:10" x14ac:dyDescent="0.25">
      <c r="J1683" s="2" t="str">
        <f t="shared" si="26"/>
        <v>NO</v>
      </c>
    </row>
    <row r="1684" spans="10:10" x14ac:dyDescent="0.25">
      <c r="J1684" s="2" t="str">
        <f t="shared" si="26"/>
        <v>NO</v>
      </c>
    </row>
    <row r="1685" spans="10:10" x14ac:dyDescent="0.25">
      <c r="J1685" s="2" t="str">
        <f t="shared" si="26"/>
        <v>NO</v>
      </c>
    </row>
    <row r="1686" spans="10:10" x14ac:dyDescent="0.25">
      <c r="J1686" s="2" t="str">
        <f t="shared" si="26"/>
        <v>NO</v>
      </c>
    </row>
    <row r="1687" spans="10:10" x14ac:dyDescent="0.25">
      <c r="J1687" s="2" t="str">
        <f t="shared" si="26"/>
        <v>NO</v>
      </c>
    </row>
    <row r="1688" spans="10:10" x14ac:dyDescent="0.25">
      <c r="J1688" s="2" t="str">
        <f t="shared" si="26"/>
        <v>NO</v>
      </c>
    </row>
    <row r="1689" spans="10:10" x14ac:dyDescent="0.25">
      <c r="J1689" s="2" t="str">
        <f t="shared" si="26"/>
        <v>NO</v>
      </c>
    </row>
    <row r="1690" spans="10:10" x14ac:dyDescent="0.25">
      <c r="J1690" s="2" t="str">
        <f t="shared" si="26"/>
        <v>NO</v>
      </c>
    </row>
    <row r="1691" spans="10:10" x14ac:dyDescent="0.25">
      <c r="J1691" s="2" t="str">
        <f t="shared" si="26"/>
        <v>NO</v>
      </c>
    </row>
    <row r="1692" spans="10:10" x14ac:dyDescent="0.25">
      <c r="J1692" s="2" t="str">
        <f t="shared" si="26"/>
        <v>NO</v>
      </c>
    </row>
    <row r="1693" spans="10:10" x14ac:dyDescent="0.25">
      <c r="J1693" s="2" t="str">
        <f t="shared" si="26"/>
        <v>NO</v>
      </c>
    </row>
    <row r="1694" spans="10:10" x14ac:dyDescent="0.25">
      <c r="J1694" s="2" t="str">
        <f t="shared" si="26"/>
        <v>NO</v>
      </c>
    </row>
    <row r="1695" spans="10:10" x14ac:dyDescent="0.25">
      <c r="J1695" s="2" t="str">
        <f t="shared" si="26"/>
        <v>NO</v>
      </c>
    </row>
    <row r="1696" spans="10:10" x14ac:dyDescent="0.25">
      <c r="J1696" s="2" t="str">
        <f t="shared" si="26"/>
        <v>NO</v>
      </c>
    </row>
    <row r="1697" spans="10:10" x14ac:dyDescent="0.25">
      <c r="J1697" s="2" t="str">
        <f t="shared" si="26"/>
        <v>NO</v>
      </c>
    </row>
    <row r="1698" spans="10:10" x14ac:dyDescent="0.25">
      <c r="J1698" s="2" t="str">
        <f t="shared" si="26"/>
        <v>NO</v>
      </c>
    </row>
    <row r="1699" spans="10:10" x14ac:dyDescent="0.25">
      <c r="J1699" s="2" t="str">
        <f t="shared" si="26"/>
        <v>NO</v>
      </c>
    </row>
    <row r="1700" spans="10:10" x14ac:dyDescent="0.25">
      <c r="J1700" s="2" t="str">
        <f t="shared" si="26"/>
        <v>NO</v>
      </c>
    </row>
    <row r="1701" spans="10:10" x14ac:dyDescent="0.25">
      <c r="J1701" s="2" t="str">
        <f t="shared" si="26"/>
        <v>NO</v>
      </c>
    </row>
    <row r="1702" spans="10:10" x14ac:dyDescent="0.25">
      <c r="J1702" s="2" t="str">
        <f t="shared" si="26"/>
        <v>NO</v>
      </c>
    </row>
    <row r="1703" spans="10:10" x14ac:dyDescent="0.25">
      <c r="J1703" s="2" t="str">
        <f t="shared" si="26"/>
        <v>NO</v>
      </c>
    </row>
    <row r="1704" spans="10:10" x14ac:dyDescent="0.25">
      <c r="J1704" s="2" t="str">
        <f t="shared" si="26"/>
        <v>NO</v>
      </c>
    </row>
    <row r="1705" spans="10:10" x14ac:dyDescent="0.25">
      <c r="J1705" s="2" t="str">
        <f t="shared" si="26"/>
        <v>NO</v>
      </c>
    </row>
    <row r="1706" spans="10:10" x14ac:dyDescent="0.25">
      <c r="J1706" s="2" t="str">
        <f t="shared" si="26"/>
        <v>NO</v>
      </c>
    </row>
    <row r="1707" spans="10:10" x14ac:dyDescent="0.25">
      <c r="J1707" s="2" t="str">
        <f t="shared" si="26"/>
        <v>NO</v>
      </c>
    </row>
    <row r="1708" spans="10:10" x14ac:dyDescent="0.25">
      <c r="J1708" s="2" t="str">
        <f t="shared" si="26"/>
        <v>NO</v>
      </c>
    </row>
    <row r="1709" spans="10:10" x14ac:dyDescent="0.25">
      <c r="J1709" s="2" t="str">
        <f t="shared" si="26"/>
        <v>NO</v>
      </c>
    </row>
    <row r="1710" spans="10:10" x14ac:dyDescent="0.25">
      <c r="J1710" s="2" t="str">
        <f t="shared" si="26"/>
        <v>NO</v>
      </c>
    </row>
    <row r="1711" spans="10:10" x14ac:dyDescent="0.25">
      <c r="J1711" s="2" t="str">
        <f t="shared" si="26"/>
        <v>NO</v>
      </c>
    </row>
    <row r="1712" spans="10:10" x14ac:dyDescent="0.25">
      <c r="J1712" s="2" t="str">
        <f t="shared" si="26"/>
        <v>NO</v>
      </c>
    </row>
    <row r="1713" spans="10:10" x14ac:dyDescent="0.25">
      <c r="J1713" s="2" t="str">
        <f t="shared" si="26"/>
        <v>NO</v>
      </c>
    </row>
    <row r="1714" spans="10:10" x14ac:dyDescent="0.25">
      <c r="J1714" s="2" t="str">
        <f t="shared" si="26"/>
        <v>NO</v>
      </c>
    </row>
    <row r="1715" spans="10:10" x14ac:dyDescent="0.25">
      <c r="J1715" s="2" t="str">
        <f t="shared" si="26"/>
        <v>NO</v>
      </c>
    </row>
    <row r="1716" spans="10:10" x14ac:dyDescent="0.25">
      <c r="J1716" s="2" t="str">
        <f t="shared" si="26"/>
        <v>NO</v>
      </c>
    </row>
    <row r="1717" spans="10:10" x14ac:dyDescent="0.25">
      <c r="J1717" s="2" t="str">
        <f t="shared" si="26"/>
        <v>NO</v>
      </c>
    </row>
    <row r="1718" spans="10:10" x14ac:dyDescent="0.25">
      <c r="J1718" s="2" t="str">
        <f t="shared" si="26"/>
        <v>NO</v>
      </c>
    </row>
    <row r="1719" spans="10:10" x14ac:dyDescent="0.25">
      <c r="J1719" s="2" t="str">
        <f t="shared" si="26"/>
        <v>NO</v>
      </c>
    </row>
    <row r="1720" spans="10:10" x14ac:dyDescent="0.25">
      <c r="J1720" s="2" t="str">
        <f t="shared" si="26"/>
        <v>NO</v>
      </c>
    </row>
    <row r="1721" spans="10:10" x14ac:dyDescent="0.25">
      <c r="J1721" s="2" t="str">
        <f t="shared" si="26"/>
        <v>NO</v>
      </c>
    </row>
    <row r="1722" spans="10:10" x14ac:dyDescent="0.25">
      <c r="J1722" s="2" t="str">
        <f t="shared" si="26"/>
        <v>NO</v>
      </c>
    </row>
    <row r="1723" spans="10:10" x14ac:dyDescent="0.25">
      <c r="J1723" s="2" t="str">
        <f t="shared" si="26"/>
        <v>NO</v>
      </c>
    </row>
    <row r="1724" spans="10:10" x14ac:dyDescent="0.25">
      <c r="J1724" s="2" t="str">
        <f t="shared" si="26"/>
        <v>NO</v>
      </c>
    </row>
    <row r="1725" spans="10:10" x14ac:dyDescent="0.25">
      <c r="J1725" s="2" t="str">
        <f t="shared" si="26"/>
        <v>NO</v>
      </c>
    </row>
    <row r="1726" spans="10:10" x14ac:dyDescent="0.25">
      <c r="J1726" s="2" t="str">
        <f t="shared" si="26"/>
        <v>NO</v>
      </c>
    </row>
    <row r="1727" spans="10:10" x14ac:dyDescent="0.25">
      <c r="J1727" s="2" t="str">
        <f t="shared" si="26"/>
        <v>NO</v>
      </c>
    </row>
    <row r="1728" spans="10:10" x14ac:dyDescent="0.25">
      <c r="J1728" s="2" t="str">
        <f t="shared" si="26"/>
        <v>NO</v>
      </c>
    </row>
    <row r="1729" spans="10:10" x14ac:dyDescent="0.25">
      <c r="J1729" s="2" t="str">
        <f t="shared" si="26"/>
        <v>NO</v>
      </c>
    </row>
    <row r="1730" spans="10:10" x14ac:dyDescent="0.25">
      <c r="J1730" s="2" t="str">
        <f t="shared" si="26"/>
        <v>NO</v>
      </c>
    </row>
    <row r="1731" spans="10:10" x14ac:dyDescent="0.25">
      <c r="J1731" s="2" t="str">
        <f t="shared" ref="J1731:J1794" si="27">IF(OR(F1731="",F1731="_",LEFT(F1731,5)="SPARE"),"NO","YES")</f>
        <v>NO</v>
      </c>
    </row>
    <row r="1732" spans="10:10" x14ac:dyDescent="0.25">
      <c r="J1732" s="2" t="str">
        <f t="shared" si="27"/>
        <v>NO</v>
      </c>
    </row>
    <row r="1733" spans="10:10" x14ac:dyDescent="0.25">
      <c r="J1733" s="2" t="str">
        <f t="shared" si="27"/>
        <v>NO</v>
      </c>
    </row>
    <row r="1734" spans="10:10" x14ac:dyDescent="0.25">
      <c r="J1734" s="2" t="str">
        <f t="shared" si="27"/>
        <v>NO</v>
      </c>
    </row>
    <row r="1735" spans="10:10" x14ac:dyDescent="0.25">
      <c r="J1735" s="2" t="str">
        <f t="shared" si="27"/>
        <v>NO</v>
      </c>
    </row>
    <row r="1736" spans="10:10" x14ac:dyDescent="0.25">
      <c r="J1736" s="2" t="str">
        <f t="shared" si="27"/>
        <v>NO</v>
      </c>
    </row>
    <row r="1737" spans="10:10" x14ac:dyDescent="0.25">
      <c r="J1737" s="2" t="str">
        <f t="shared" si="27"/>
        <v>NO</v>
      </c>
    </row>
    <row r="1738" spans="10:10" x14ac:dyDescent="0.25">
      <c r="J1738" s="2" t="str">
        <f t="shared" si="27"/>
        <v>NO</v>
      </c>
    </row>
    <row r="1739" spans="10:10" x14ac:dyDescent="0.25">
      <c r="J1739" s="2" t="str">
        <f t="shared" si="27"/>
        <v>NO</v>
      </c>
    </row>
    <row r="1740" spans="10:10" x14ac:dyDescent="0.25">
      <c r="J1740" s="2" t="str">
        <f t="shared" si="27"/>
        <v>NO</v>
      </c>
    </row>
    <row r="1741" spans="10:10" x14ac:dyDescent="0.25">
      <c r="J1741" s="2" t="str">
        <f t="shared" si="27"/>
        <v>NO</v>
      </c>
    </row>
    <row r="1742" spans="10:10" x14ac:dyDescent="0.25">
      <c r="J1742" s="2" t="str">
        <f t="shared" si="27"/>
        <v>NO</v>
      </c>
    </row>
    <row r="1743" spans="10:10" x14ac:dyDescent="0.25">
      <c r="J1743" s="2" t="str">
        <f t="shared" si="27"/>
        <v>NO</v>
      </c>
    </row>
    <row r="1744" spans="10:10" x14ac:dyDescent="0.25">
      <c r="J1744" s="2" t="str">
        <f t="shared" si="27"/>
        <v>NO</v>
      </c>
    </row>
    <row r="1745" spans="10:10" x14ac:dyDescent="0.25">
      <c r="J1745" s="2" t="str">
        <f t="shared" si="27"/>
        <v>NO</v>
      </c>
    </row>
    <row r="1746" spans="10:10" x14ac:dyDescent="0.25">
      <c r="J1746" s="2" t="str">
        <f t="shared" si="27"/>
        <v>NO</v>
      </c>
    </row>
    <row r="1747" spans="10:10" x14ac:dyDescent="0.25">
      <c r="J1747" s="2" t="str">
        <f t="shared" si="27"/>
        <v>NO</v>
      </c>
    </row>
    <row r="1748" spans="10:10" x14ac:dyDescent="0.25">
      <c r="J1748" s="2" t="str">
        <f t="shared" si="27"/>
        <v>NO</v>
      </c>
    </row>
    <row r="1749" spans="10:10" x14ac:dyDescent="0.25">
      <c r="J1749" s="2" t="str">
        <f t="shared" si="27"/>
        <v>NO</v>
      </c>
    </row>
    <row r="1750" spans="10:10" x14ac:dyDescent="0.25">
      <c r="J1750" s="2" t="str">
        <f t="shared" si="27"/>
        <v>NO</v>
      </c>
    </row>
    <row r="1751" spans="10:10" x14ac:dyDescent="0.25">
      <c r="J1751" s="2" t="str">
        <f t="shared" si="27"/>
        <v>NO</v>
      </c>
    </row>
    <row r="1752" spans="10:10" x14ac:dyDescent="0.25">
      <c r="J1752" s="2" t="str">
        <f t="shared" si="27"/>
        <v>NO</v>
      </c>
    </row>
    <row r="1753" spans="10:10" x14ac:dyDescent="0.25">
      <c r="J1753" s="2" t="str">
        <f t="shared" si="27"/>
        <v>NO</v>
      </c>
    </row>
    <row r="1754" spans="10:10" x14ac:dyDescent="0.25">
      <c r="J1754" s="2" t="str">
        <f t="shared" si="27"/>
        <v>NO</v>
      </c>
    </row>
    <row r="1755" spans="10:10" x14ac:dyDescent="0.25">
      <c r="J1755" s="2" t="str">
        <f t="shared" si="27"/>
        <v>NO</v>
      </c>
    </row>
    <row r="1756" spans="10:10" x14ac:dyDescent="0.25">
      <c r="J1756" s="2" t="str">
        <f t="shared" si="27"/>
        <v>NO</v>
      </c>
    </row>
    <row r="1757" spans="10:10" x14ac:dyDescent="0.25">
      <c r="J1757" s="2" t="str">
        <f t="shared" si="27"/>
        <v>NO</v>
      </c>
    </row>
    <row r="1758" spans="10:10" x14ac:dyDescent="0.25">
      <c r="J1758" s="2" t="str">
        <f t="shared" si="27"/>
        <v>NO</v>
      </c>
    </row>
    <row r="1759" spans="10:10" x14ac:dyDescent="0.25">
      <c r="J1759" s="2" t="str">
        <f t="shared" si="27"/>
        <v>NO</v>
      </c>
    </row>
    <row r="1760" spans="10:10" x14ac:dyDescent="0.25">
      <c r="J1760" s="2" t="str">
        <f t="shared" si="27"/>
        <v>NO</v>
      </c>
    </row>
    <row r="1761" spans="10:10" x14ac:dyDescent="0.25">
      <c r="J1761" s="2" t="str">
        <f t="shared" si="27"/>
        <v>NO</v>
      </c>
    </row>
    <row r="1762" spans="10:10" x14ac:dyDescent="0.25">
      <c r="J1762" s="2" t="str">
        <f t="shared" si="27"/>
        <v>NO</v>
      </c>
    </row>
    <row r="1763" spans="10:10" x14ac:dyDescent="0.25">
      <c r="J1763" s="2" t="str">
        <f t="shared" si="27"/>
        <v>NO</v>
      </c>
    </row>
    <row r="1764" spans="10:10" x14ac:dyDescent="0.25">
      <c r="J1764" s="2" t="str">
        <f t="shared" si="27"/>
        <v>NO</v>
      </c>
    </row>
    <row r="1765" spans="10:10" x14ac:dyDescent="0.25">
      <c r="J1765" s="2" t="str">
        <f t="shared" si="27"/>
        <v>NO</v>
      </c>
    </row>
    <row r="1766" spans="10:10" x14ac:dyDescent="0.25">
      <c r="J1766" s="2" t="str">
        <f t="shared" si="27"/>
        <v>NO</v>
      </c>
    </row>
    <row r="1767" spans="10:10" x14ac:dyDescent="0.25">
      <c r="J1767" s="2" t="str">
        <f t="shared" si="27"/>
        <v>NO</v>
      </c>
    </row>
    <row r="1768" spans="10:10" x14ac:dyDescent="0.25">
      <c r="J1768" s="2" t="str">
        <f t="shared" si="27"/>
        <v>NO</v>
      </c>
    </row>
    <row r="1769" spans="10:10" x14ac:dyDescent="0.25">
      <c r="J1769" s="2" t="str">
        <f t="shared" si="27"/>
        <v>NO</v>
      </c>
    </row>
    <row r="1770" spans="10:10" x14ac:dyDescent="0.25">
      <c r="J1770" s="2" t="str">
        <f t="shared" si="27"/>
        <v>NO</v>
      </c>
    </row>
    <row r="1771" spans="10:10" x14ac:dyDescent="0.25">
      <c r="J1771" s="2" t="str">
        <f t="shared" si="27"/>
        <v>NO</v>
      </c>
    </row>
    <row r="1772" spans="10:10" x14ac:dyDescent="0.25">
      <c r="J1772" s="2" t="str">
        <f t="shared" si="27"/>
        <v>NO</v>
      </c>
    </row>
    <row r="1773" spans="10:10" x14ac:dyDescent="0.25">
      <c r="J1773" s="2" t="str">
        <f t="shared" si="27"/>
        <v>NO</v>
      </c>
    </row>
    <row r="1774" spans="10:10" x14ac:dyDescent="0.25">
      <c r="J1774" s="2" t="str">
        <f t="shared" si="27"/>
        <v>NO</v>
      </c>
    </row>
    <row r="1775" spans="10:10" x14ac:dyDescent="0.25">
      <c r="J1775" s="2" t="str">
        <f t="shared" si="27"/>
        <v>NO</v>
      </c>
    </row>
    <row r="1776" spans="10:10" x14ac:dyDescent="0.25">
      <c r="J1776" s="2" t="str">
        <f t="shared" si="27"/>
        <v>NO</v>
      </c>
    </row>
    <row r="1777" spans="10:10" x14ac:dyDescent="0.25">
      <c r="J1777" s="2" t="str">
        <f t="shared" si="27"/>
        <v>NO</v>
      </c>
    </row>
    <row r="1778" spans="10:10" x14ac:dyDescent="0.25">
      <c r="J1778" s="2" t="str">
        <f t="shared" si="27"/>
        <v>NO</v>
      </c>
    </row>
    <row r="1779" spans="10:10" x14ac:dyDescent="0.25">
      <c r="J1779" s="2" t="str">
        <f t="shared" si="27"/>
        <v>NO</v>
      </c>
    </row>
    <row r="1780" spans="10:10" x14ac:dyDescent="0.25">
      <c r="J1780" s="2" t="str">
        <f t="shared" si="27"/>
        <v>NO</v>
      </c>
    </row>
    <row r="1781" spans="10:10" x14ac:dyDescent="0.25">
      <c r="J1781" s="2" t="str">
        <f t="shared" si="27"/>
        <v>NO</v>
      </c>
    </row>
    <row r="1782" spans="10:10" x14ac:dyDescent="0.25">
      <c r="J1782" s="2" t="str">
        <f t="shared" si="27"/>
        <v>NO</v>
      </c>
    </row>
    <row r="1783" spans="10:10" x14ac:dyDescent="0.25">
      <c r="J1783" s="2" t="str">
        <f t="shared" si="27"/>
        <v>NO</v>
      </c>
    </row>
    <row r="1784" spans="10:10" x14ac:dyDescent="0.25">
      <c r="J1784" s="2" t="str">
        <f t="shared" si="27"/>
        <v>NO</v>
      </c>
    </row>
    <row r="1785" spans="10:10" x14ac:dyDescent="0.25">
      <c r="J1785" s="2" t="str">
        <f t="shared" si="27"/>
        <v>NO</v>
      </c>
    </row>
    <row r="1786" spans="10:10" x14ac:dyDescent="0.25">
      <c r="J1786" s="2" t="str">
        <f t="shared" si="27"/>
        <v>NO</v>
      </c>
    </row>
    <row r="1787" spans="10:10" x14ac:dyDescent="0.25">
      <c r="J1787" s="2" t="str">
        <f t="shared" si="27"/>
        <v>NO</v>
      </c>
    </row>
    <row r="1788" spans="10:10" x14ac:dyDescent="0.25">
      <c r="J1788" s="2" t="str">
        <f t="shared" si="27"/>
        <v>NO</v>
      </c>
    </row>
    <row r="1789" spans="10:10" x14ac:dyDescent="0.25">
      <c r="J1789" s="2" t="str">
        <f t="shared" si="27"/>
        <v>NO</v>
      </c>
    </row>
    <row r="1790" spans="10:10" x14ac:dyDescent="0.25">
      <c r="J1790" s="2" t="str">
        <f t="shared" si="27"/>
        <v>NO</v>
      </c>
    </row>
    <row r="1791" spans="10:10" x14ac:dyDescent="0.25">
      <c r="J1791" s="2" t="str">
        <f t="shared" si="27"/>
        <v>NO</v>
      </c>
    </row>
    <row r="1792" spans="10:10" x14ac:dyDescent="0.25">
      <c r="J1792" s="2" t="str">
        <f t="shared" si="27"/>
        <v>NO</v>
      </c>
    </row>
    <row r="1793" spans="10:10" x14ac:dyDescent="0.25">
      <c r="J1793" s="2" t="str">
        <f t="shared" si="27"/>
        <v>NO</v>
      </c>
    </row>
    <row r="1794" spans="10:10" x14ac:dyDescent="0.25">
      <c r="J1794" s="2" t="str">
        <f t="shared" si="27"/>
        <v>NO</v>
      </c>
    </row>
    <row r="1795" spans="10:10" x14ac:dyDescent="0.25">
      <c r="J1795" s="2" t="str">
        <f t="shared" ref="J1795:J1858" si="28">IF(OR(F1795="",F1795="_",LEFT(F1795,5)="SPARE"),"NO","YES")</f>
        <v>NO</v>
      </c>
    </row>
    <row r="1796" spans="10:10" x14ac:dyDescent="0.25">
      <c r="J1796" s="2" t="str">
        <f t="shared" si="28"/>
        <v>NO</v>
      </c>
    </row>
    <row r="1797" spans="10:10" x14ac:dyDescent="0.25">
      <c r="J1797" s="2" t="str">
        <f t="shared" si="28"/>
        <v>NO</v>
      </c>
    </row>
    <row r="1798" spans="10:10" x14ac:dyDescent="0.25">
      <c r="J1798" s="2" t="str">
        <f t="shared" si="28"/>
        <v>NO</v>
      </c>
    </row>
    <row r="1799" spans="10:10" x14ac:dyDescent="0.25">
      <c r="J1799" s="2" t="str">
        <f t="shared" si="28"/>
        <v>NO</v>
      </c>
    </row>
    <row r="1800" spans="10:10" x14ac:dyDescent="0.25">
      <c r="J1800" s="2" t="str">
        <f t="shared" si="28"/>
        <v>NO</v>
      </c>
    </row>
    <row r="1801" spans="10:10" x14ac:dyDescent="0.25">
      <c r="J1801" s="2" t="str">
        <f t="shared" si="28"/>
        <v>NO</v>
      </c>
    </row>
    <row r="1802" spans="10:10" x14ac:dyDescent="0.25">
      <c r="J1802" s="2" t="str">
        <f t="shared" si="28"/>
        <v>NO</v>
      </c>
    </row>
    <row r="1803" spans="10:10" x14ac:dyDescent="0.25">
      <c r="J1803" s="2" t="str">
        <f t="shared" si="28"/>
        <v>NO</v>
      </c>
    </row>
    <row r="1804" spans="10:10" x14ac:dyDescent="0.25">
      <c r="J1804" s="2" t="str">
        <f t="shared" si="28"/>
        <v>NO</v>
      </c>
    </row>
    <row r="1805" spans="10:10" x14ac:dyDescent="0.25">
      <c r="J1805" s="2" t="str">
        <f t="shared" si="28"/>
        <v>NO</v>
      </c>
    </row>
    <row r="1806" spans="10:10" x14ac:dyDescent="0.25">
      <c r="J1806" s="2" t="str">
        <f t="shared" si="28"/>
        <v>NO</v>
      </c>
    </row>
    <row r="1807" spans="10:10" x14ac:dyDescent="0.25">
      <c r="J1807" s="2" t="str">
        <f t="shared" si="28"/>
        <v>NO</v>
      </c>
    </row>
    <row r="1808" spans="10:10" x14ac:dyDescent="0.25">
      <c r="J1808" s="2" t="str">
        <f t="shared" si="28"/>
        <v>NO</v>
      </c>
    </row>
    <row r="1809" spans="10:10" x14ac:dyDescent="0.25">
      <c r="J1809" s="2" t="str">
        <f t="shared" si="28"/>
        <v>NO</v>
      </c>
    </row>
    <row r="1810" spans="10:10" x14ac:dyDescent="0.25">
      <c r="J1810" s="2" t="str">
        <f t="shared" si="28"/>
        <v>NO</v>
      </c>
    </row>
    <row r="1811" spans="10:10" x14ac:dyDescent="0.25">
      <c r="J1811" s="2" t="str">
        <f t="shared" si="28"/>
        <v>NO</v>
      </c>
    </row>
    <row r="1812" spans="10:10" x14ac:dyDescent="0.25">
      <c r="J1812" s="2" t="str">
        <f t="shared" si="28"/>
        <v>NO</v>
      </c>
    </row>
    <row r="1813" spans="10:10" x14ac:dyDescent="0.25">
      <c r="J1813" s="2" t="str">
        <f t="shared" si="28"/>
        <v>NO</v>
      </c>
    </row>
    <row r="1814" spans="10:10" x14ac:dyDescent="0.25">
      <c r="J1814" s="2" t="str">
        <f t="shared" si="28"/>
        <v>NO</v>
      </c>
    </row>
    <row r="1815" spans="10:10" x14ac:dyDescent="0.25">
      <c r="J1815" s="2" t="str">
        <f t="shared" si="28"/>
        <v>NO</v>
      </c>
    </row>
    <row r="1816" spans="10:10" x14ac:dyDescent="0.25">
      <c r="J1816" s="2" t="str">
        <f t="shared" si="28"/>
        <v>NO</v>
      </c>
    </row>
    <row r="1817" spans="10:10" x14ac:dyDescent="0.25">
      <c r="J1817" s="2" t="str">
        <f t="shared" si="28"/>
        <v>NO</v>
      </c>
    </row>
    <row r="1818" spans="10:10" x14ac:dyDescent="0.25">
      <c r="J1818" s="2" t="str">
        <f t="shared" si="28"/>
        <v>NO</v>
      </c>
    </row>
    <row r="1819" spans="10:10" x14ac:dyDescent="0.25">
      <c r="J1819" s="2" t="str">
        <f t="shared" si="28"/>
        <v>NO</v>
      </c>
    </row>
    <row r="1820" spans="10:10" x14ac:dyDescent="0.25">
      <c r="J1820" s="2" t="str">
        <f t="shared" si="28"/>
        <v>NO</v>
      </c>
    </row>
    <row r="1821" spans="10:10" x14ac:dyDescent="0.25">
      <c r="J1821" s="2" t="str">
        <f t="shared" si="28"/>
        <v>NO</v>
      </c>
    </row>
    <row r="1822" spans="10:10" x14ac:dyDescent="0.25">
      <c r="J1822" s="2" t="str">
        <f t="shared" si="28"/>
        <v>NO</v>
      </c>
    </row>
    <row r="1823" spans="10:10" x14ac:dyDescent="0.25">
      <c r="J1823" s="2" t="str">
        <f t="shared" si="28"/>
        <v>NO</v>
      </c>
    </row>
    <row r="1824" spans="10:10" x14ac:dyDescent="0.25">
      <c r="J1824" s="2" t="str">
        <f t="shared" si="28"/>
        <v>NO</v>
      </c>
    </row>
    <row r="1825" spans="10:10" x14ac:dyDescent="0.25">
      <c r="J1825" s="2" t="str">
        <f t="shared" si="28"/>
        <v>NO</v>
      </c>
    </row>
    <row r="1826" spans="10:10" x14ac:dyDescent="0.25">
      <c r="J1826" s="2" t="str">
        <f t="shared" si="28"/>
        <v>NO</v>
      </c>
    </row>
    <row r="1827" spans="10:10" x14ac:dyDescent="0.25">
      <c r="J1827" s="2" t="str">
        <f t="shared" si="28"/>
        <v>NO</v>
      </c>
    </row>
    <row r="1828" spans="10:10" x14ac:dyDescent="0.25">
      <c r="J1828" s="2" t="str">
        <f t="shared" si="28"/>
        <v>NO</v>
      </c>
    </row>
    <row r="1829" spans="10:10" x14ac:dyDescent="0.25">
      <c r="J1829" s="2" t="str">
        <f t="shared" si="28"/>
        <v>NO</v>
      </c>
    </row>
    <row r="1830" spans="10:10" x14ac:dyDescent="0.25">
      <c r="J1830" s="2" t="str">
        <f t="shared" si="28"/>
        <v>NO</v>
      </c>
    </row>
    <row r="1831" spans="10:10" x14ac:dyDescent="0.25">
      <c r="J1831" s="2" t="str">
        <f t="shared" si="28"/>
        <v>NO</v>
      </c>
    </row>
    <row r="1832" spans="10:10" x14ac:dyDescent="0.25">
      <c r="J1832" s="2" t="str">
        <f t="shared" si="28"/>
        <v>NO</v>
      </c>
    </row>
    <row r="1833" spans="10:10" x14ac:dyDescent="0.25">
      <c r="J1833" s="2" t="str">
        <f t="shared" si="28"/>
        <v>NO</v>
      </c>
    </row>
    <row r="1834" spans="10:10" x14ac:dyDescent="0.25">
      <c r="J1834" s="2" t="str">
        <f t="shared" si="28"/>
        <v>NO</v>
      </c>
    </row>
    <row r="1835" spans="10:10" x14ac:dyDescent="0.25">
      <c r="J1835" s="2" t="str">
        <f t="shared" si="28"/>
        <v>NO</v>
      </c>
    </row>
    <row r="1836" spans="10:10" x14ac:dyDescent="0.25">
      <c r="J1836" s="2" t="str">
        <f t="shared" si="28"/>
        <v>NO</v>
      </c>
    </row>
    <row r="1837" spans="10:10" x14ac:dyDescent="0.25">
      <c r="J1837" s="2" t="str">
        <f t="shared" si="28"/>
        <v>NO</v>
      </c>
    </row>
    <row r="1838" spans="10:10" x14ac:dyDescent="0.25">
      <c r="J1838" s="2" t="str">
        <f t="shared" si="28"/>
        <v>NO</v>
      </c>
    </row>
    <row r="1839" spans="10:10" x14ac:dyDescent="0.25">
      <c r="J1839" s="2" t="str">
        <f t="shared" si="28"/>
        <v>NO</v>
      </c>
    </row>
    <row r="1840" spans="10:10" x14ac:dyDescent="0.25">
      <c r="J1840" s="2" t="str">
        <f t="shared" si="28"/>
        <v>NO</v>
      </c>
    </row>
    <row r="1841" spans="10:10" x14ac:dyDescent="0.25">
      <c r="J1841" s="2" t="str">
        <f t="shared" si="28"/>
        <v>NO</v>
      </c>
    </row>
    <row r="1842" spans="10:10" x14ac:dyDescent="0.25">
      <c r="J1842" s="2" t="str">
        <f t="shared" si="28"/>
        <v>NO</v>
      </c>
    </row>
    <row r="1843" spans="10:10" x14ac:dyDescent="0.25">
      <c r="J1843" s="2" t="str">
        <f t="shared" si="28"/>
        <v>NO</v>
      </c>
    </row>
    <row r="1844" spans="10:10" x14ac:dyDescent="0.25">
      <c r="J1844" s="2" t="str">
        <f t="shared" si="28"/>
        <v>NO</v>
      </c>
    </row>
    <row r="1845" spans="10:10" x14ac:dyDescent="0.25">
      <c r="J1845" s="2" t="str">
        <f t="shared" si="28"/>
        <v>NO</v>
      </c>
    </row>
    <row r="1846" spans="10:10" x14ac:dyDescent="0.25">
      <c r="J1846" s="2" t="str">
        <f t="shared" si="28"/>
        <v>NO</v>
      </c>
    </row>
    <row r="1847" spans="10:10" x14ac:dyDescent="0.25">
      <c r="J1847" s="2" t="str">
        <f t="shared" si="28"/>
        <v>NO</v>
      </c>
    </row>
    <row r="1848" spans="10:10" x14ac:dyDescent="0.25">
      <c r="J1848" s="2" t="str">
        <f t="shared" si="28"/>
        <v>NO</v>
      </c>
    </row>
    <row r="1849" spans="10:10" x14ac:dyDescent="0.25">
      <c r="J1849" s="2" t="str">
        <f t="shared" si="28"/>
        <v>NO</v>
      </c>
    </row>
    <row r="1850" spans="10:10" x14ac:dyDescent="0.25">
      <c r="J1850" s="2" t="str">
        <f t="shared" si="28"/>
        <v>NO</v>
      </c>
    </row>
    <row r="1851" spans="10:10" x14ac:dyDescent="0.25">
      <c r="J1851" s="2" t="str">
        <f t="shared" si="28"/>
        <v>NO</v>
      </c>
    </row>
    <row r="1852" spans="10:10" x14ac:dyDescent="0.25">
      <c r="J1852" s="2" t="str">
        <f t="shared" si="28"/>
        <v>NO</v>
      </c>
    </row>
    <row r="1853" spans="10:10" x14ac:dyDescent="0.25">
      <c r="J1853" s="2" t="str">
        <f t="shared" si="28"/>
        <v>NO</v>
      </c>
    </row>
    <row r="1854" spans="10:10" x14ac:dyDescent="0.25">
      <c r="J1854" s="2" t="str">
        <f t="shared" si="28"/>
        <v>NO</v>
      </c>
    </row>
    <row r="1855" spans="10:10" x14ac:dyDescent="0.25">
      <c r="J1855" s="2" t="str">
        <f t="shared" si="28"/>
        <v>NO</v>
      </c>
    </row>
    <row r="1856" spans="10:10" x14ac:dyDescent="0.25">
      <c r="J1856" s="2" t="str">
        <f t="shared" si="28"/>
        <v>NO</v>
      </c>
    </row>
    <row r="1857" spans="10:10" x14ac:dyDescent="0.25">
      <c r="J1857" s="2" t="str">
        <f t="shared" si="28"/>
        <v>NO</v>
      </c>
    </row>
    <row r="1858" spans="10:10" x14ac:dyDescent="0.25">
      <c r="J1858" s="2" t="str">
        <f t="shared" si="28"/>
        <v>NO</v>
      </c>
    </row>
    <row r="1859" spans="10:10" x14ac:dyDescent="0.25">
      <c r="J1859" s="2" t="str">
        <f t="shared" ref="J1859:J1922" si="29">IF(OR(F1859="",F1859="_",LEFT(F1859,5)="SPARE"),"NO","YES")</f>
        <v>NO</v>
      </c>
    </row>
    <row r="1860" spans="10:10" x14ac:dyDescent="0.25">
      <c r="J1860" s="2" t="str">
        <f t="shared" si="29"/>
        <v>NO</v>
      </c>
    </row>
    <row r="1861" spans="10:10" x14ac:dyDescent="0.25">
      <c r="J1861" s="2" t="str">
        <f t="shared" si="29"/>
        <v>NO</v>
      </c>
    </row>
    <row r="1862" spans="10:10" x14ac:dyDescent="0.25">
      <c r="J1862" s="2" t="str">
        <f t="shared" si="29"/>
        <v>NO</v>
      </c>
    </row>
    <row r="1863" spans="10:10" x14ac:dyDescent="0.25">
      <c r="J1863" s="2" t="str">
        <f t="shared" si="29"/>
        <v>NO</v>
      </c>
    </row>
    <row r="1864" spans="10:10" x14ac:dyDescent="0.25">
      <c r="J1864" s="2" t="str">
        <f t="shared" si="29"/>
        <v>NO</v>
      </c>
    </row>
    <row r="1865" spans="10:10" x14ac:dyDescent="0.25">
      <c r="J1865" s="2" t="str">
        <f t="shared" si="29"/>
        <v>NO</v>
      </c>
    </row>
    <row r="1866" spans="10:10" x14ac:dyDescent="0.25">
      <c r="J1866" s="2" t="str">
        <f t="shared" si="29"/>
        <v>NO</v>
      </c>
    </row>
    <row r="1867" spans="10:10" x14ac:dyDescent="0.25">
      <c r="J1867" s="2" t="str">
        <f t="shared" si="29"/>
        <v>NO</v>
      </c>
    </row>
    <row r="1868" spans="10:10" x14ac:dyDescent="0.25">
      <c r="J1868" s="2" t="str">
        <f t="shared" si="29"/>
        <v>NO</v>
      </c>
    </row>
    <row r="1869" spans="10:10" x14ac:dyDescent="0.25">
      <c r="J1869" s="2" t="str">
        <f t="shared" si="29"/>
        <v>NO</v>
      </c>
    </row>
    <row r="1870" spans="10:10" x14ac:dyDescent="0.25">
      <c r="J1870" s="2" t="str">
        <f t="shared" si="29"/>
        <v>NO</v>
      </c>
    </row>
    <row r="1871" spans="10:10" x14ac:dyDescent="0.25">
      <c r="J1871" s="2" t="str">
        <f t="shared" si="29"/>
        <v>NO</v>
      </c>
    </row>
    <row r="1872" spans="10:10" x14ac:dyDescent="0.25">
      <c r="J1872" s="2" t="str">
        <f t="shared" si="29"/>
        <v>NO</v>
      </c>
    </row>
    <row r="1873" spans="10:10" x14ac:dyDescent="0.25">
      <c r="J1873" s="2" t="str">
        <f t="shared" si="29"/>
        <v>NO</v>
      </c>
    </row>
    <row r="1874" spans="10:10" x14ac:dyDescent="0.25">
      <c r="J1874" s="2" t="str">
        <f t="shared" si="29"/>
        <v>NO</v>
      </c>
    </row>
    <row r="1875" spans="10:10" x14ac:dyDescent="0.25">
      <c r="J1875" s="2" t="str">
        <f t="shared" si="29"/>
        <v>NO</v>
      </c>
    </row>
    <row r="1876" spans="10:10" x14ac:dyDescent="0.25">
      <c r="J1876" s="2" t="str">
        <f t="shared" si="29"/>
        <v>NO</v>
      </c>
    </row>
    <row r="1877" spans="10:10" x14ac:dyDescent="0.25">
      <c r="J1877" s="2" t="str">
        <f t="shared" si="29"/>
        <v>NO</v>
      </c>
    </row>
    <row r="1878" spans="10:10" x14ac:dyDescent="0.25">
      <c r="J1878" s="2" t="str">
        <f t="shared" si="29"/>
        <v>NO</v>
      </c>
    </row>
    <row r="1879" spans="10:10" x14ac:dyDescent="0.25">
      <c r="J1879" s="2" t="str">
        <f t="shared" si="29"/>
        <v>NO</v>
      </c>
    </row>
    <row r="1880" spans="10:10" x14ac:dyDescent="0.25">
      <c r="J1880" s="2" t="str">
        <f t="shared" si="29"/>
        <v>NO</v>
      </c>
    </row>
    <row r="1881" spans="10:10" x14ac:dyDescent="0.25">
      <c r="J1881" s="2" t="str">
        <f t="shared" si="29"/>
        <v>NO</v>
      </c>
    </row>
    <row r="1882" spans="10:10" x14ac:dyDescent="0.25">
      <c r="J1882" s="2" t="str">
        <f t="shared" si="29"/>
        <v>NO</v>
      </c>
    </row>
    <row r="1883" spans="10:10" x14ac:dyDescent="0.25">
      <c r="J1883" s="2" t="str">
        <f t="shared" si="29"/>
        <v>NO</v>
      </c>
    </row>
    <row r="1884" spans="10:10" x14ac:dyDescent="0.25">
      <c r="J1884" s="2" t="str">
        <f t="shared" si="29"/>
        <v>NO</v>
      </c>
    </row>
    <row r="1885" spans="10:10" x14ac:dyDescent="0.25">
      <c r="J1885" s="2" t="str">
        <f t="shared" si="29"/>
        <v>NO</v>
      </c>
    </row>
    <row r="1886" spans="10:10" x14ac:dyDescent="0.25">
      <c r="J1886" s="2" t="str">
        <f t="shared" si="29"/>
        <v>NO</v>
      </c>
    </row>
    <row r="1887" spans="10:10" x14ac:dyDescent="0.25">
      <c r="J1887" s="2" t="str">
        <f t="shared" si="29"/>
        <v>NO</v>
      </c>
    </row>
    <row r="1888" spans="10:10" x14ac:dyDescent="0.25">
      <c r="J1888" s="2" t="str">
        <f t="shared" si="29"/>
        <v>NO</v>
      </c>
    </row>
    <row r="1889" spans="10:10" x14ac:dyDescent="0.25">
      <c r="J1889" s="2" t="str">
        <f t="shared" si="29"/>
        <v>NO</v>
      </c>
    </row>
    <row r="1890" spans="10:10" x14ac:dyDescent="0.25">
      <c r="J1890" s="2" t="str">
        <f t="shared" si="29"/>
        <v>NO</v>
      </c>
    </row>
    <row r="1891" spans="10:10" x14ac:dyDescent="0.25">
      <c r="J1891" s="2" t="str">
        <f t="shared" si="29"/>
        <v>NO</v>
      </c>
    </row>
    <row r="1892" spans="10:10" x14ac:dyDescent="0.25">
      <c r="J1892" s="2" t="str">
        <f t="shared" si="29"/>
        <v>NO</v>
      </c>
    </row>
    <row r="1893" spans="10:10" x14ac:dyDescent="0.25">
      <c r="J1893" s="2" t="str">
        <f t="shared" si="29"/>
        <v>NO</v>
      </c>
    </row>
    <row r="1894" spans="10:10" x14ac:dyDescent="0.25">
      <c r="J1894" s="2" t="str">
        <f t="shared" si="29"/>
        <v>NO</v>
      </c>
    </row>
    <row r="1895" spans="10:10" x14ac:dyDescent="0.25">
      <c r="J1895" s="2" t="str">
        <f t="shared" si="29"/>
        <v>NO</v>
      </c>
    </row>
    <row r="1896" spans="10:10" x14ac:dyDescent="0.25">
      <c r="J1896" s="2" t="str">
        <f t="shared" si="29"/>
        <v>NO</v>
      </c>
    </row>
    <row r="1897" spans="10:10" x14ac:dyDescent="0.25">
      <c r="J1897" s="2" t="str">
        <f t="shared" si="29"/>
        <v>NO</v>
      </c>
    </row>
    <row r="1898" spans="10:10" x14ac:dyDescent="0.25">
      <c r="J1898" s="2" t="str">
        <f t="shared" si="29"/>
        <v>NO</v>
      </c>
    </row>
    <row r="1899" spans="10:10" x14ac:dyDescent="0.25">
      <c r="J1899" s="2" t="str">
        <f t="shared" si="29"/>
        <v>NO</v>
      </c>
    </row>
    <row r="1900" spans="10:10" x14ac:dyDescent="0.25">
      <c r="J1900" s="2" t="str">
        <f t="shared" si="29"/>
        <v>NO</v>
      </c>
    </row>
    <row r="1901" spans="10:10" x14ac:dyDescent="0.25">
      <c r="J1901" s="2" t="str">
        <f t="shared" si="29"/>
        <v>NO</v>
      </c>
    </row>
    <row r="1902" spans="10:10" x14ac:dyDescent="0.25">
      <c r="J1902" s="2" t="str">
        <f t="shared" si="29"/>
        <v>NO</v>
      </c>
    </row>
    <row r="1903" spans="10:10" x14ac:dyDescent="0.25">
      <c r="J1903" s="2" t="str">
        <f t="shared" si="29"/>
        <v>NO</v>
      </c>
    </row>
    <row r="1904" spans="10:10" x14ac:dyDescent="0.25">
      <c r="J1904" s="2" t="str">
        <f t="shared" si="29"/>
        <v>NO</v>
      </c>
    </row>
    <row r="1905" spans="10:10" x14ac:dyDescent="0.25">
      <c r="J1905" s="2" t="str">
        <f t="shared" si="29"/>
        <v>NO</v>
      </c>
    </row>
    <row r="1906" spans="10:10" x14ac:dyDescent="0.25">
      <c r="J1906" s="2" t="str">
        <f t="shared" si="29"/>
        <v>NO</v>
      </c>
    </row>
    <row r="1907" spans="10:10" x14ac:dyDescent="0.25">
      <c r="J1907" s="2" t="str">
        <f t="shared" si="29"/>
        <v>NO</v>
      </c>
    </row>
    <row r="1908" spans="10:10" x14ac:dyDescent="0.25">
      <c r="J1908" s="2" t="str">
        <f t="shared" si="29"/>
        <v>NO</v>
      </c>
    </row>
    <row r="1909" spans="10:10" x14ac:dyDescent="0.25">
      <c r="J1909" s="2" t="str">
        <f t="shared" si="29"/>
        <v>NO</v>
      </c>
    </row>
    <row r="1910" spans="10:10" x14ac:dyDescent="0.25">
      <c r="J1910" s="2" t="str">
        <f t="shared" si="29"/>
        <v>NO</v>
      </c>
    </row>
    <row r="1911" spans="10:10" x14ac:dyDescent="0.25">
      <c r="J1911" s="2" t="str">
        <f t="shared" si="29"/>
        <v>NO</v>
      </c>
    </row>
    <row r="1912" spans="10:10" x14ac:dyDescent="0.25">
      <c r="J1912" s="2" t="str">
        <f t="shared" si="29"/>
        <v>NO</v>
      </c>
    </row>
    <row r="1913" spans="10:10" x14ac:dyDescent="0.25">
      <c r="J1913" s="2" t="str">
        <f t="shared" si="29"/>
        <v>NO</v>
      </c>
    </row>
    <row r="1914" spans="10:10" x14ac:dyDescent="0.25">
      <c r="J1914" s="2" t="str">
        <f t="shared" si="29"/>
        <v>NO</v>
      </c>
    </row>
    <row r="1915" spans="10:10" x14ac:dyDescent="0.25">
      <c r="J1915" s="2" t="str">
        <f t="shared" si="29"/>
        <v>NO</v>
      </c>
    </row>
    <row r="1916" spans="10:10" x14ac:dyDescent="0.25">
      <c r="J1916" s="2" t="str">
        <f t="shared" si="29"/>
        <v>NO</v>
      </c>
    </row>
    <row r="1917" spans="10:10" x14ac:dyDescent="0.25">
      <c r="J1917" s="2" t="str">
        <f t="shared" si="29"/>
        <v>NO</v>
      </c>
    </row>
    <row r="1918" spans="10:10" x14ac:dyDescent="0.25">
      <c r="J1918" s="2" t="str">
        <f t="shared" si="29"/>
        <v>NO</v>
      </c>
    </row>
    <row r="1919" spans="10:10" x14ac:dyDescent="0.25">
      <c r="J1919" s="2" t="str">
        <f t="shared" si="29"/>
        <v>NO</v>
      </c>
    </row>
    <row r="1920" spans="10:10" x14ac:dyDescent="0.25">
      <c r="J1920" s="2" t="str">
        <f t="shared" si="29"/>
        <v>NO</v>
      </c>
    </row>
    <row r="1921" spans="10:10" x14ac:dyDescent="0.25">
      <c r="J1921" s="2" t="str">
        <f t="shared" si="29"/>
        <v>NO</v>
      </c>
    </row>
    <row r="1922" spans="10:10" x14ac:dyDescent="0.25">
      <c r="J1922" s="2" t="str">
        <f t="shared" si="29"/>
        <v>NO</v>
      </c>
    </row>
    <row r="1923" spans="10:10" x14ac:dyDescent="0.25">
      <c r="J1923" s="2" t="str">
        <f t="shared" ref="J1923:J1986" si="30">IF(OR(F1923="",F1923="_",LEFT(F1923,5)="SPARE"),"NO","YES")</f>
        <v>NO</v>
      </c>
    </row>
    <row r="1924" spans="10:10" x14ac:dyDescent="0.25">
      <c r="J1924" s="2" t="str">
        <f t="shared" si="30"/>
        <v>NO</v>
      </c>
    </row>
    <row r="1925" spans="10:10" x14ac:dyDescent="0.25">
      <c r="J1925" s="2" t="str">
        <f t="shared" si="30"/>
        <v>NO</v>
      </c>
    </row>
    <row r="1926" spans="10:10" x14ac:dyDescent="0.25">
      <c r="J1926" s="2" t="str">
        <f t="shared" si="30"/>
        <v>NO</v>
      </c>
    </row>
    <row r="1927" spans="10:10" x14ac:dyDescent="0.25">
      <c r="J1927" s="2" t="str">
        <f t="shared" si="30"/>
        <v>NO</v>
      </c>
    </row>
    <row r="1928" spans="10:10" x14ac:dyDescent="0.25">
      <c r="J1928" s="2" t="str">
        <f t="shared" si="30"/>
        <v>NO</v>
      </c>
    </row>
    <row r="1929" spans="10:10" x14ac:dyDescent="0.25">
      <c r="J1929" s="2" t="str">
        <f t="shared" si="30"/>
        <v>NO</v>
      </c>
    </row>
    <row r="1930" spans="10:10" x14ac:dyDescent="0.25">
      <c r="J1930" s="2" t="str">
        <f t="shared" si="30"/>
        <v>NO</v>
      </c>
    </row>
    <row r="1931" spans="10:10" x14ac:dyDescent="0.25">
      <c r="J1931" s="2" t="str">
        <f t="shared" si="30"/>
        <v>NO</v>
      </c>
    </row>
    <row r="1932" spans="10:10" x14ac:dyDescent="0.25">
      <c r="J1932" s="2" t="str">
        <f t="shared" si="30"/>
        <v>NO</v>
      </c>
    </row>
    <row r="1933" spans="10:10" x14ac:dyDescent="0.25">
      <c r="J1933" s="2" t="str">
        <f t="shared" si="30"/>
        <v>NO</v>
      </c>
    </row>
    <row r="1934" spans="10:10" x14ac:dyDescent="0.25">
      <c r="J1934" s="2" t="str">
        <f t="shared" si="30"/>
        <v>NO</v>
      </c>
    </row>
    <row r="1935" spans="10:10" x14ac:dyDescent="0.25">
      <c r="J1935" s="2" t="str">
        <f t="shared" si="30"/>
        <v>NO</v>
      </c>
    </row>
    <row r="1936" spans="10:10" x14ac:dyDescent="0.25">
      <c r="J1936" s="2" t="str">
        <f t="shared" si="30"/>
        <v>NO</v>
      </c>
    </row>
    <row r="1937" spans="10:10" x14ac:dyDescent="0.25">
      <c r="J1937" s="2" t="str">
        <f t="shared" si="30"/>
        <v>NO</v>
      </c>
    </row>
    <row r="1938" spans="10:10" x14ac:dyDescent="0.25">
      <c r="J1938" s="2" t="str">
        <f t="shared" si="30"/>
        <v>NO</v>
      </c>
    </row>
    <row r="1939" spans="10:10" x14ac:dyDescent="0.25">
      <c r="J1939" s="2" t="str">
        <f t="shared" si="30"/>
        <v>NO</v>
      </c>
    </row>
    <row r="1940" spans="10:10" x14ac:dyDescent="0.25">
      <c r="J1940" s="2" t="str">
        <f t="shared" si="30"/>
        <v>NO</v>
      </c>
    </row>
    <row r="1941" spans="10:10" x14ac:dyDescent="0.25">
      <c r="J1941" s="2" t="str">
        <f t="shared" si="30"/>
        <v>NO</v>
      </c>
    </row>
    <row r="1942" spans="10:10" x14ac:dyDescent="0.25">
      <c r="J1942" s="2" t="str">
        <f t="shared" si="30"/>
        <v>NO</v>
      </c>
    </row>
    <row r="1943" spans="10:10" x14ac:dyDescent="0.25">
      <c r="J1943" s="2" t="str">
        <f t="shared" si="30"/>
        <v>NO</v>
      </c>
    </row>
    <row r="1944" spans="10:10" x14ac:dyDescent="0.25">
      <c r="J1944" s="2" t="str">
        <f t="shared" si="30"/>
        <v>NO</v>
      </c>
    </row>
    <row r="1945" spans="10:10" x14ac:dyDescent="0.25">
      <c r="J1945" s="2" t="str">
        <f t="shared" si="30"/>
        <v>NO</v>
      </c>
    </row>
    <row r="1946" spans="10:10" x14ac:dyDescent="0.25">
      <c r="J1946" s="2" t="str">
        <f t="shared" si="30"/>
        <v>NO</v>
      </c>
    </row>
    <row r="1947" spans="10:10" x14ac:dyDescent="0.25">
      <c r="J1947" s="2" t="str">
        <f t="shared" si="30"/>
        <v>NO</v>
      </c>
    </row>
    <row r="1948" spans="10:10" x14ac:dyDescent="0.25">
      <c r="J1948" s="2" t="str">
        <f t="shared" si="30"/>
        <v>NO</v>
      </c>
    </row>
    <row r="1949" spans="10:10" x14ac:dyDescent="0.25">
      <c r="J1949" s="2" t="str">
        <f t="shared" si="30"/>
        <v>NO</v>
      </c>
    </row>
    <row r="1950" spans="10:10" x14ac:dyDescent="0.25">
      <c r="J1950" s="2" t="str">
        <f t="shared" si="30"/>
        <v>NO</v>
      </c>
    </row>
    <row r="1951" spans="10:10" x14ac:dyDescent="0.25">
      <c r="J1951" s="2" t="str">
        <f t="shared" si="30"/>
        <v>NO</v>
      </c>
    </row>
    <row r="1952" spans="10:10" x14ac:dyDescent="0.25">
      <c r="J1952" s="2" t="str">
        <f t="shared" si="30"/>
        <v>NO</v>
      </c>
    </row>
    <row r="1953" spans="10:10" x14ac:dyDescent="0.25">
      <c r="J1953" s="2" t="str">
        <f t="shared" si="30"/>
        <v>NO</v>
      </c>
    </row>
    <row r="1954" spans="10:10" x14ac:dyDescent="0.25">
      <c r="J1954" s="2" t="str">
        <f t="shared" si="30"/>
        <v>NO</v>
      </c>
    </row>
    <row r="1955" spans="10:10" x14ac:dyDescent="0.25">
      <c r="J1955" s="2" t="str">
        <f t="shared" si="30"/>
        <v>NO</v>
      </c>
    </row>
    <row r="1956" spans="10:10" x14ac:dyDescent="0.25">
      <c r="J1956" s="2" t="str">
        <f t="shared" si="30"/>
        <v>NO</v>
      </c>
    </row>
    <row r="1957" spans="10:10" x14ac:dyDescent="0.25">
      <c r="J1957" s="2" t="str">
        <f t="shared" si="30"/>
        <v>NO</v>
      </c>
    </row>
    <row r="1958" spans="10:10" x14ac:dyDescent="0.25">
      <c r="J1958" s="2" t="str">
        <f t="shared" si="30"/>
        <v>NO</v>
      </c>
    </row>
    <row r="1959" spans="10:10" x14ac:dyDescent="0.25">
      <c r="J1959" s="2" t="str">
        <f t="shared" si="30"/>
        <v>NO</v>
      </c>
    </row>
    <row r="1960" spans="10:10" x14ac:dyDescent="0.25">
      <c r="J1960" s="2" t="str">
        <f t="shared" si="30"/>
        <v>NO</v>
      </c>
    </row>
    <row r="1961" spans="10:10" x14ac:dyDescent="0.25">
      <c r="J1961" s="2" t="str">
        <f t="shared" si="30"/>
        <v>NO</v>
      </c>
    </row>
    <row r="1962" spans="10:10" x14ac:dyDescent="0.25">
      <c r="J1962" s="2" t="str">
        <f t="shared" si="30"/>
        <v>NO</v>
      </c>
    </row>
    <row r="1963" spans="10:10" x14ac:dyDescent="0.25">
      <c r="J1963" s="2" t="str">
        <f t="shared" si="30"/>
        <v>NO</v>
      </c>
    </row>
    <row r="1964" spans="10:10" x14ac:dyDescent="0.25">
      <c r="J1964" s="2" t="str">
        <f t="shared" si="30"/>
        <v>NO</v>
      </c>
    </row>
    <row r="1965" spans="10:10" x14ac:dyDescent="0.25">
      <c r="J1965" s="2" t="str">
        <f t="shared" si="30"/>
        <v>NO</v>
      </c>
    </row>
    <row r="1966" spans="10:10" x14ac:dyDescent="0.25">
      <c r="J1966" s="2" t="str">
        <f t="shared" si="30"/>
        <v>NO</v>
      </c>
    </row>
    <row r="1967" spans="10:10" x14ac:dyDescent="0.25">
      <c r="J1967" s="2" t="str">
        <f t="shared" si="30"/>
        <v>NO</v>
      </c>
    </row>
    <row r="1968" spans="10:10" x14ac:dyDescent="0.25">
      <c r="J1968" s="2" t="str">
        <f t="shared" si="30"/>
        <v>NO</v>
      </c>
    </row>
    <row r="1969" spans="10:10" x14ac:dyDescent="0.25">
      <c r="J1969" s="2" t="str">
        <f t="shared" si="30"/>
        <v>NO</v>
      </c>
    </row>
    <row r="1970" spans="10:10" x14ac:dyDescent="0.25">
      <c r="J1970" s="2" t="str">
        <f t="shared" si="30"/>
        <v>NO</v>
      </c>
    </row>
    <row r="1971" spans="10:10" x14ac:dyDescent="0.25">
      <c r="J1971" s="2" t="str">
        <f t="shared" si="30"/>
        <v>NO</v>
      </c>
    </row>
    <row r="1972" spans="10:10" x14ac:dyDescent="0.25">
      <c r="J1972" s="2" t="str">
        <f t="shared" si="30"/>
        <v>NO</v>
      </c>
    </row>
    <row r="1973" spans="10:10" x14ac:dyDescent="0.25">
      <c r="J1973" s="2" t="str">
        <f t="shared" si="30"/>
        <v>NO</v>
      </c>
    </row>
    <row r="1974" spans="10:10" x14ac:dyDescent="0.25">
      <c r="J1974" s="2" t="str">
        <f t="shared" si="30"/>
        <v>NO</v>
      </c>
    </row>
    <row r="1975" spans="10:10" x14ac:dyDescent="0.25">
      <c r="J1975" s="2" t="str">
        <f t="shared" si="30"/>
        <v>NO</v>
      </c>
    </row>
    <row r="1976" spans="10:10" x14ac:dyDescent="0.25">
      <c r="J1976" s="2" t="str">
        <f t="shared" si="30"/>
        <v>NO</v>
      </c>
    </row>
    <row r="1977" spans="10:10" x14ac:dyDescent="0.25">
      <c r="J1977" s="2" t="str">
        <f t="shared" si="30"/>
        <v>NO</v>
      </c>
    </row>
    <row r="1978" spans="10:10" x14ac:dyDescent="0.25">
      <c r="J1978" s="2" t="str">
        <f t="shared" si="30"/>
        <v>NO</v>
      </c>
    </row>
    <row r="1979" spans="10:10" x14ac:dyDescent="0.25">
      <c r="J1979" s="2" t="str">
        <f t="shared" si="30"/>
        <v>NO</v>
      </c>
    </row>
    <row r="1980" spans="10:10" x14ac:dyDescent="0.25">
      <c r="J1980" s="2" t="str">
        <f t="shared" si="30"/>
        <v>NO</v>
      </c>
    </row>
    <row r="1981" spans="10:10" x14ac:dyDescent="0.25">
      <c r="J1981" s="2" t="str">
        <f t="shared" si="30"/>
        <v>NO</v>
      </c>
    </row>
    <row r="1982" spans="10:10" x14ac:dyDescent="0.25">
      <c r="J1982" s="2" t="str">
        <f t="shared" si="30"/>
        <v>NO</v>
      </c>
    </row>
    <row r="1983" spans="10:10" x14ac:dyDescent="0.25">
      <c r="J1983" s="2" t="str">
        <f t="shared" si="30"/>
        <v>NO</v>
      </c>
    </row>
    <row r="1984" spans="10:10" x14ac:dyDescent="0.25">
      <c r="J1984" s="2" t="str">
        <f t="shared" si="30"/>
        <v>NO</v>
      </c>
    </row>
    <row r="1985" spans="10:10" x14ac:dyDescent="0.25">
      <c r="J1985" s="2" t="str">
        <f t="shared" si="30"/>
        <v>NO</v>
      </c>
    </row>
    <row r="1986" spans="10:10" x14ac:dyDescent="0.25">
      <c r="J1986" s="2" t="str">
        <f t="shared" si="30"/>
        <v>NO</v>
      </c>
    </row>
    <row r="1987" spans="10:10" x14ac:dyDescent="0.25">
      <c r="J1987" s="2" t="str">
        <f t="shared" ref="J1987:J2050" si="31">IF(OR(F1987="",F1987="_",LEFT(F1987,5)="SPARE"),"NO","YES")</f>
        <v>NO</v>
      </c>
    </row>
    <row r="1988" spans="10:10" x14ac:dyDescent="0.25">
      <c r="J1988" s="2" t="str">
        <f t="shared" si="31"/>
        <v>NO</v>
      </c>
    </row>
    <row r="1989" spans="10:10" x14ac:dyDescent="0.25">
      <c r="J1989" s="2" t="str">
        <f t="shared" si="31"/>
        <v>NO</v>
      </c>
    </row>
    <row r="1990" spans="10:10" x14ac:dyDescent="0.25">
      <c r="J1990" s="2" t="str">
        <f t="shared" si="31"/>
        <v>NO</v>
      </c>
    </row>
    <row r="1991" spans="10:10" x14ac:dyDescent="0.25">
      <c r="J1991" s="2" t="str">
        <f t="shared" si="31"/>
        <v>NO</v>
      </c>
    </row>
    <row r="1992" spans="10:10" x14ac:dyDescent="0.25">
      <c r="J1992" s="2" t="str">
        <f t="shared" si="31"/>
        <v>NO</v>
      </c>
    </row>
    <row r="1993" spans="10:10" x14ac:dyDescent="0.25">
      <c r="J1993" s="2" t="str">
        <f t="shared" si="31"/>
        <v>NO</v>
      </c>
    </row>
    <row r="1994" spans="10:10" x14ac:dyDescent="0.25">
      <c r="J1994" s="2" t="str">
        <f t="shared" si="31"/>
        <v>NO</v>
      </c>
    </row>
    <row r="1995" spans="10:10" x14ac:dyDescent="0.25">
      <c r="J1995" s="2" t="str">
        <f t="shared" si="31"/>
        <v>NO</v>
      </c>
    </row>
    <row r="1996" spans="10:10" x14ac:dyDescent="0.25">
      <c r="J1996" s="2" t="str">
        <f t="shared" si="31"/>
        <v>NO</v>
      </c>
    </row>
    <row r="1997" spans="10:10" x14ac:dyDescent="0.25">
      <c r="J1997" s="2" t="str">
        <f t="shared" si="31"/>
        <v>NO</v>
      </c>
    </row>
    <row r="1998" spans="10:10" x14ac:dyDescent="0.25">
      <c r="J1998" s="2" t="str">
        <f t="shared" si="31"/>
        <v>NO</v>
      </c>
    </row>
    <row r="1999" spans="10:10" x14ac:dyDescent="0.25">
      <c r="J1999" s="2" t="str">
        <f t="shared" si="31"/>
        <v>NO</v>
      </c>
    </row>
    <row r="2000" spans="10:10" x14ac:dyDescent="0.25">
      <c r="J2000" s="2" t="str">
        <f t="shared" si="31"/>
        <v>NO</v>
      </c>
    </row>
    <row r="2001" spans="10:10" x14ac:dyDescent="0.25">
      <c r="J2001" s="2" t="str">
        <f t="shared" si="31"/>
        <v>NO</v>
      </c>
    </row>
    <row r="2002" spans="10:10" x14ac:dyDescent="0.25">
      <c r="J2002" s="2" t="str">
        <f t="shared" si="31"/>
        <v>NO</v>
      </c>
    </row>
    <row r="2003" spans="10:10" x14ac:dyDescent="0.25">
      <c r="J2003" s="2" t="str">
        <f t="shared" si="31"/>
        <v>NO</v>
      </c>
    </row>
    <row r="2004" spans="10:10" x14ac:dyDescent="0.25">
      <c r="J2004" s="2" t="str">
        <f t="shared" si="31"/>
        <v>NO</v>
      </c>
    </row>
    <row r="2005" spans="10:10" x14ac:dyDescent="0.25">
      <c r="J2005" s="2" t="str">
        <f t="shared" si="31"/>
        <v>NO</v>
      </c>
    </row>
    <row r="2006" spans="10:10" x14ac:dyDescent="0.25">
      <c r="J2006" s="2" t="str">
        <f t="shared" si="31"/>
        <v>NO</v>
      </c>
    </row>
    <row r="2007" spans="10:10" x14ac:dyDescent="0.25">
      <c r="J2007" s="2" t="str">
        <f t="shared" si="31"/>
        <v>NO</v>
      </c>
    </row>
    <row r="2008" spans="10:10" x14ac:dyDescent="0.25">
      <c r="J2008" s="2" t="str">
        <f t="shared" si="31"/>
        <v>NO</v>
      </c>
    </row>
    <row r="2009" spans="10:10" x14ac:dyDescent="0.25">
      <c r="J2009" s="2" t="str">
        <f t="shared" si="31"/>
        <v>NO</v>
      </c>
    </row>
    <row r="2010" spans="10:10" x14ac:dyDescent="0.25">
      <c r="J2010" s="2" t="str">
        <f t="shared" si="31"/>
        <v>NO</v>
      </c>
    </row>
    <row r="2011" spans="10:10" x14ac:dyDescent="0.25">
      <c r="J2011" s="2" t="str">
        <f t="shared" si="31"/>
        <v>NO</v>
      </c>
    </row>
    <row r="2012" spans="10:10" x14ac:dyDescent="0.25">
      <c r="J2012" s="2" t="str">
        <f t="shared" si="31"/>
        <v>NO</v>
      </c>
    </row>
    <row r="2013" spans="10:10" x14ac:dyDescent="0.25">
      <c r="J2013" s="2" t="str">
        <f t="shared" si="31"/>
        <v>NO</v>
      </c>
    </row>
    <row r="2014" spans="10:10" x14ac:dyDescent="0.25">
      <c r="J2014" s="2" t="str">
        <f t="shared" si="31"/>
        <v>NO</v>
      </c>
    </row>
    <row r="2015" spans="10:10" x14ac:dyDescent="0.25">
      <c r="J2015" s="2" t="str">
        <f t="shared" si="31"/>
        <v>NO</v>
      </c>
    </row>
    <row r="2016" spans="10:10" x14ac:dyDescent="0.25">
      <c r="J2016" s="2" t="str">
        <f t="shared" si="31"/>
        <v>NO</v>
      </c>
    </row>
    <row r="2017" spans="10:10" x14ac:dyDescent="0.25">
      <c r="J2017" s="2" t="str">
        <f t="shared" si="31"/>
        <v>NO</v>
      </c>
    </row>
    <row r="2018" spans="10:10" x14ac:dyDescent="0.25">
      <c r="J2018" s="2" t="str">
        <f t="shared" si="31"/>
        <v>NO</v>
      </c>
    </row>
    <row r="2019" spans="10:10" x14ac:dyDescent="0.25">
      <c r="J2019" s="2" t="str">
        <f t="shared" si="31"/>
        <v>NO</v>
      </c>
    </row>
    <row r="2020" spans="10:10" x14ac:dyDescent="0.25">
      <c r="J2020" s="2" t="str">
        <f t="shared" si="31"/>
        <v>NO</v>
      </c>
    </row>
    <row r="2021" spans="10:10" x14ac:dyDescent="0.25">
      <c r="J2021" s="2" t="str">
        <f t="shared" si="31"/>
        <v>NO</v>
      </c>
    </row>
    <row r="2022" spans="10:10" x14ac:dyDescent="0.25">
      <c r="J2022" s="2" t="str">
        <f t="shared" si="31"/>
        <v>NO</v>
      </c>
    </row>
    <row r="2023" spans="10:10" x14ac:dyDescent="0.25">
      <c r="J2023" s="2" t="str">
        <f t="shared" si="31"/>
        <v>NO</v>
      </c>
    </row>
    <row r="2024" spans="10:10" x14ac:dyDescent="0.25">
      <c r="J2024" s="2" t="str">
        <f t="shared" si="31"/>
        <v>NO</v>
      </c>
    </row>
    <row r="2025" spans="10:10" x14ac:dyDescent="0.25">
      <c r="J2025" s="2" t="str">
        <f t="shared" si="31"/>
        <v>NO</v>
      </c>
    </row>
    <row r="2026" spans="10:10" x14ac:dyDescent="0.25">
      <c r="J2026" s="2" t="str">
        <f t="shared" si="31"/>
        <v>NO</v>
      </c>
    </row>
    <row r="2027" spans="10:10" x14ac:dyDescent="0.25">
      <c r="J2027" s="2" t="str">
        <f t="shared" si="31"/>
        <v>NO</v>
      </c>
    </row>
    <row r="2028" spans="10:10" x14ac:dyDescent="0.25">
      <c r="J2028" s="2" t="str">
        <f t="shared" si="31"/>
        <v>NO</v>
      </c>
    </row>
    <row r="2029" spans="10:10" x14ac:dyDescent="0.25">
      <c r="J2029" s="2" t="str">
        <f t="shared" si="31"/>
        <v>NO</v>
      </c>
    </row>
    <row r="2030" spans="10:10" x14ac:dyDescent="0.25">
      <c r="J2030" s="2" t="str">
        <f t="shared" si="31"/>
        <v>NO</v>
      </c>
    </row>
    <row r="2031" spans="10:10" x14ac:dyDescent="0.25">
      <c r="J2031" s="2" t="str">
        <f t="shared" si="31"/>
        <v>NO</v>
      </c>
    </row>
    <row r="2032" spans="10:10" x14ac:dyDescent="0.25">
      <c r="J2032" s="2" t="str">
        <f t="shared" si="31"/>
        <v>NO</v>
      </c>
    </row>
    <row r="2033" spans="10:10" x14ac:dyDescent="0.25">
      <c r="J2033" s="2" t="str">
        <f t="shared" si="31"/>
        <v>NO</v>
      </c>
    </row>
    <row r="2034" spans="10:10" x14ac:dyDescent="0.25">
      <c r="J2034" s="2" t="str">
        <f t="shared" si="31"/>
        <v>NO</v>
      </c>
    </row>
    <row r="2035" spans="10:10" x14ac:dyDescent="0.25">
      <c r="J2035" s="2" t="str">
        <f t="shared" si="31"/>
        <v>NO</v>
      </c>
    </row>
    <row r="2036" spans="10:10" x14ac:dyDescent="0.25">
      <c r="J2036" s="2" t="str">
        <f t="shared" si="31"/>
        <v>NO</v>
      </c>
    </row>
    <row r="2037" spans="10:10" x14ac:dyDescent="0.25">
      <c r="J2037" s="2" t="str">
        <f t="shared" si="31"/>
        <v>NO</v>
      </c>
    </row>
    <row r="2038" spans="10:10" x14ac:dyDescent="0.25">
      <c r="J2038" s="2" t="str">
        <f t="shared" si="31"/>
        <v>NO</v>
      </c>
    </row>
    <row r="2039" spans="10:10" x14ac:dyDescent="0.25">
      <c r="J2039" s="2" t="str">
        <f t="shared" si="31"/>
        <v>NO</v>
      </c>
    </row>
    <row r="2040" spans="10:10" x14ac:dyDescent="0.25">
      <c r="J2040" s="2" t="str">
        <f t="shared" si="31"/>
        <v>NO</v>
      </c>
    </row>
    <row r="2041" spans="10:10" x14ac:dyDescent="0.25">
      <c r="J2041" s="2" t="str">
        <f t="shared" si="31"/>
        <v>NO</v>
      </c>
    </row>
    <row r="2042" spans="10:10" x14ac:dyDescent="0.25">
      <c r="J2042" s="2" t="str">
        <f t="shared" si="31"/>
        <v>NO</v>
      </c>
    </row>
    <row r="2043" spans="10:10" x14ac:dyDescent="0.25">
      <c r="J2043" s="2" t="str">
        <f t="shared" si="31"/>
        <v>NO</v>
      </c>
    </row>
    <row r="2044" spans="10:10" x14ac:dyDescent="0.25">
      <c r="J2044" s="2" t="str">
        <f t="shared" si="31"/>
        <v>NO</v>
      </c>
    </row>
    <row r="2045" spans="10:10" x14ac:dyDescent="0.25">
      <c r="J2045" s="2" t="str">
        <f t="shared" si="31"/>
        <v>NO</v>
      </c>
    </row>
    <row r="2046" spans="10:10" x14ac:dyDescent="0.25">
      <c r="J2046" s="2" t="str">
        <f t="shared" si="31"/>
        <v>NO</v>
      </c>
    </row>
    <row r="2047" spans="10:10" x14ac:dyDescent="0.25">
      <c r="J2047" s="2" t="str">
        <f t="shared" si="31"/>
        <v>NO</v>
      </c>
    </row>
    <row r="2048" spans="10:10" x14ac:dyDescent="0.25">
      <c r="J2048" s="2" t="str">
        <f t="shared" si="31"/>
        <v>NO</v>
      </c>
    </row>
    <row r="2049" spans="10:10" x14ac:dyDescent="0.25">
      <c r="J2049" s="2" t="str">
        <f t="shared" si="31"/>
        <v>NO</v>
      </c>
    </row>
    <row r="2050" spans="10:10" x14ac:dyDescent="0.25">
      <c r="J2050" s="2" t="str">
        <f t="shared" si="31"/>
        <v>NO</v>
      </c>
    </row>
    <row r="2051" spans="10:10" x14ac:dyDescent="0.25">
      <c r="J2051" s="2" t="str">
        <f t="shared" ref="J2051:J2114" si="32">IF(OR(F2051="",F2051="_",LEFT(F2051,5)="SPARE"),"NO","YES")</f>
        <v>NO</v>
      </c>
    </row>
    <row r="2052" spans="10:10" x14ac:dyDescent="0.25">
      <c r="J2052" s="2" t="str">
        <f t="shared" si="32"/>
        <v>NO</v>
      </c>
    </row>
    <row r="2053" spans="10:10" x14ac:dyDescent="0.25">
      <c r="J2053" s="2" t="str">
        <f t="shared" si="32"/>
        <v>NO</v>
      </c>
    </row>
    <row r="2054" spans="10:10" x14ac:dyDescent="0.25">
      <c r="J2054" s="2" t="str">
        <f t="shared" si="32"/>
        <v>NO</v>
      </c>
    </row>
    <row r="2055" spans="10:10" x14ac:dyDescent="0.25">
      <c r="J2055" s="2" t="str">
        <f t="shared" si="32"/>
        <v>NO</v>
      </c>
    </row>
    <row r="2056" spans="10:10" x14ac:dyDescent="0.25">
      <c r="J2056" s="2" t="str">
        <f t="shared" si="32"/>
        <v>NO</v>
      </c>
    </row>
    <row r="2057" spans="10:10" x14ac:dyDescent="0.25">
      <c r="J2057" s="2" t="str">
        <f t="shared" si="32"/>
        <v>NO</v>
      </c>
    </row>
    <row r="2058" spans="10:10" x14ac:dyDescent="0.25">
      <c r="J2058" s="2" t="str">
        <f t="shared" si="32"/>
        <v>NO</v>
      </c>
    </row>
    <row r="2059" spans="10:10" x14ac:dyDescent="0.25">
      <c r="J2059" s="2" t="str">
        <f t="shared" si="32"/>
        <v>NO</v>
      </c>
    </row>
    <row r="2060" spans="10:10" x14ac:dyDescent="0.25">
      <c r="J2060" s="2" t="str">
        <f t="shared" si="32"/>
        <v>NO</v>
      </c>
    </row>
    <row r="2061" spans="10:10" x14ac:dyDescent="0.25">
      <c r="J2061" s="2" t="str">
        <f t="shared" si="32"/>
        <v>NO</v>
      </c>
    </row>
    <row r="2062" spans="10:10" x14ac:dyDescent="0.25">
      <c r="J2062" s="2" t="str">
        <f t="shared" si="32"/>
        <v>NO</v>
      </c>
    </row>
    <row r="2063" spans="10:10" x14ac:dyDescent="0.25">
      <c r="J2063" s="2" t="str">
        <f t="shared" si="32"/>
        <v>NO</v>
      </c>
    </row>
    <row r="2064" spans="10:10" x14ac:dyDescent="0.25">
      <c r="J2064" s="2" t="str">
        <f t="shared" si="32"/>
        <v>NO</v>
      </c>
    </row>
    <row r="2065" spans="10:10" x14ac:dyDescent="0.25">
      <c r="J2065" s="2" t="str">
        <f t="shared" si="32"/>
        <v>NO</v>
      </c>
    </row>
    <row r="2066" spans="10:10" x14ac:dyDescent="0.25">
      <c r="J2066" s="2" t="str">
        <f t="shared" si="32"/>
        <v>NO</v>
      </c>
    </row>
    <row r="2067" spans="10:10" x14ac:dyDescent="0.25">
      <c r="J2067" s="2" t="str">
        <f t="shared" si="32"/>
        <v>NO</v>
      </c>
    </row>
    <row r="2068" spans="10:10" x14ac:dyDescent="0.25">
      <c r="J2068" s="2" t="str">
        <f t="shared" si="32"/>
        <v>NO</v>
      </c>
    </row>
    <row r="2069" spans="10:10" x14ac:dyDescent="0.25">
      <c r="J2069" s="2" t="str">
        <f t="shared" si="32"/>
        <v>NO</v>
      </c>
    </row>
    <row r="2070" spans="10:10" x14ac:dyDescent="0.25">
      <c r="J2070" s="2" t="str">
        <f t="shared" si="32"/>
        <v>NO</v>
      </c>
    </row>
    <row r="2071" spans="10:10" x14ac:dyDescent="0.25">
      <c r="J2071" s="2" t="str">
        <f t="shared" si="32"/>
        <v>NO</v>
      </c>
    </row>
    <row r="2072" spans="10:10" x14ac:dyDescent="0.25">
      <c r="J2072" s="2" t="str">
        <f t="shared" si="32"/>
        <v>NO</v>
      </c>
    </row>
    <row r="2073" spans="10:10" x14ac:dyDescent="0.25">
      <c r="J2073" s="2" t="str">
        <f t="shared" si="32"/>
        <v>NO</v>
      </c>
    </row>
    <row r="2074" spans="10:10" x14ac:dyDescent="0.25">
      <c r="J2074" s="2" t="str">
        <f t="shared" si="32"/>
        <v>NO</v>
      </c>
    </row>
    <row r="2075" spans="10:10" x14ac:dyDescent="0.25">
      <c r="J2075" s="2" t="str">
        <f t="shared" si="32"/>
        <v>NO</v>
      </c>
    </row>
    <row r="2076" spans="10:10" x14ac:dyDescent="0.25">
      <c r="J2076" s="2" t="str">
        <f t="shared" si="32"/>
        <v>NO</v>
      </c>
    </row>
    <row r="2077" spans="10:10" x14ac:dyDescent="0.25">
      <c r="J2077" s="2" t="str">
        <f t="shared" si="32"/>
        <v>NO</v>
      </c>
    </row>
    <row r="2078" spans="10:10" x14ac:dyDescent="0.25">
      <c r="J2078" s="2" t="str">
        <f t="shared" si="32"/>
        <v>NO</v>
      </c>
    </row>
    <row r="2079" spans="10:10" x14ac:dyDescent="0.25">
      <c r="J2079" s="2" t="str">
        <f t="shared" si="32"/>
        <v>NO</v>
      </c>
    </row>
    <row r="2080" spans="10:10" x14ac:dyDescent="0.25">
      <c r="J2080" s="2" t="str">
        <f t="shared" si="32"/>
        <v>NO</v>
      </c>
    </row>
    <row r="2081" spans="10:10" x14ac:dyDescent="0.25">
      <c r="J2081" s="2" t="str">
        <f t="shared" si="32"/>
        <v>NO</v>
      </c>
    </row>
    <row r="2082" spans="10:10" x14ac:dyDescent="0.25">
      <c r="J2082" s="2" t="str">
        <f t="shared" si="32"/>
        <v>NO</v>
      </c>
    </row>
    <row r="2083" spans="10:10" x14ac:dyDescent="0.25">
      <c r="J2083" s="2" t="str">
        <f t="shared" si="32"/>
        <v>NO</v>
      </c>
    </row>
    <row r="2084" spans="10:10" x14ac:dyDescent="0.25">
      <c r="J2084" s="2" t="str">
        <f t="shared" si="32"/>
        <v>NO</v>
      </c>
    </row>
    <row r="2085" spans="10:10" x14ac:dyDescent="0.25">
      <c r="J2085" s="2" t="str">
        <f t="shared" si="32"/>
        <v>NO</v>
      </c>
    </row>
    <row r="2086" spans="10:10" x14ac:dyDescent="0.25">
      <c r="J2086" s="2" t="str">
        <f t="shared" si="32"/>
        <v>NO</v>
      </c>
    </row>
    <row r="2087" spans="10:10" x14ac:dyDescent="0.25">
      <c r="J2087" s="2" t="str">
        <f t="shared" si="32"/>
        <v>NO</v>
      </c>
    </row>
    <row r="2088" spans="10:10" x14ac:dyDescent="0.25">
      <c r="J2088" s="2" t="str">
        <f t="shared" si="32"/>
        <v>NO</v>
      </c>
    </row>
    <row r="2089" spans="10:10" x14ac:dyDescent="0.25">
      <c r="J2089" s="2" t="str">
        <f t="shared" si="32"/>
        <v>NO</v>
      </c>
    </row>
    <row r="2090" spans="10:10" x14ac:dyDescent="0.25">
      <c r="J2090" s="2" t="str">
        <f t="shared" si="32"/>
        <v>NO</v>
      </c>
    </row>
    <row r="2091" spans="10:10" x14ac:dyDescent="0.25">
      <c r="J2091" s="2" t="str">
        <f t="shared" si="32"/>
        <v>NO</v>
      </c>
    </row>
    <row r="2092" spans="10:10" x14ac:dyDescent="0.25">
      <c r="J2092" s="2" t="str">
        <f t="shared" si="32"/>
        <v>NO</v>
      </c>
    </row>
    <row r="2093" spans="10:10" x14ac:dyDescent="0.25">
      <c r="J2093" s="2" t="str">
        <f t="shared" si="32"/>
        <v>NO</v>
      </c>
    </row>
    <row r="2094" spans="10:10" x14ac:dyDescent="0.25">
      <c r="J2094" s="2" t="str">
        <f t="shared" si="32"/>
        <v>NO</v>
      </c>
    </row>
    <row r="2095" spans="10:10" x14ac:dyDescent="0.25">
      <c r="J2095" s="2" t="str">
        <f t="shared" si="32"/>
        <v>NO</v>
      </c>
    </row>
    <row r="2096" spans="10:10" x14ac:dyDescent="0.25">
      <c r="J2096" s="2" t="str">
        <f t="shared" si="32"/>
        <v>NO</v>
      </c>
    </row>
    <row r="2097" spans="10:10" x14ac:dyDescent="0.25">
      <c r="J2097" s="2" t="str">
        <f t="shared" si="32"/>
        <v>NO</v>
      </c>
    </row>
    <row r="2098" spans="10:10" x14ac:dyDescent="0.25">
      <c r="J2098" s="2" t="str">
        <f t="shared" si="32"/>
        <v>NO</v>
      </c>
    </row>
    <row r="2099" spans="10:10" x14ac:dyDescent="0.25">
      <c r="J2099" s="2" t="str">
        <f t="shared" si="32"/>
        <v>NO</v>
      </c>
    </row>
    <row r="2100" spans="10:10" x14ac:dyDescent="0.25">
      <c r="J2100" s="2" t="str">
        <f t="shared" si="32"/>
        <v>NO</v>
      </c>
    </row>
    <row r="2101" spans="10:10" x14ac:dyDescent="0.25">
      <c r="J2101" s="2" t="str">
        <f t="shared" si="32"/>
        <v>NO</v>
      </c>
    </row>
    <row r="2102" spans="10:10" x14ac:dyDescent="0.25">
      <c r="J2102" s="2" t="str">
        <f t="shared" si="32"/>
        <v>NO</v>
      </c>
    </row>
    <row r="2103" spans="10:10" x14ac:dyDescent="0.25">
      <c r="J2103" s="2" t="str">
        <f t="shared" si="32"/>
        <v>NO</v>
      </c>
    </row>
    <row r="2104" spans="10:10" x14ac:dyDescent="0.25">
      <c r="J2104" s="2" t="str">
        <f t="shared" si="32"/>
        <v>NO</v>
      </c>
    </row>
    <row r="2105" spans="10:10" x14ac:dyDescent="0.25">
      <c r="J2105" s="2" t="str">
        <f t="shared" si="32"/>
        <v>NO</v>
      </c>
    </row>
    <row r="2106" spans="10:10" x14ac:dyDescent="0.25">
      <c r="J2106" s="2" t="str">
        <f t="shared" si="32"/>
        <v>NO</v>
      </c>
    </row>
    <row r="2107" spans="10:10" x14ac:dyDescent="0.25">
      <c r="J2107" s="2" t="str">
        <f t="shared" si="32"/>
        <v>NO</v>
      </c>
    </row>
    <row r="2108" spans="10:10" x14ac:dyDescent="0.25">
      <c r="J2108" s="2" t="str">
        <f t="shared" si="32"/>
        <v>NO</v>
      </c>
    </row>
    <row r="2109" spans="10:10" x14ac:dyDescent="0.25">
      <c r="J2109" s="2" t="str">
        <f t="shared" si="32"/>
        <v>NO</v>
      </c>
    </row>
    <row r="2110" spans="10:10" x14ac:dyDescent="0.25">
      <c r="J2110" s="2" t="str">
        <f t="shared" si="32"/>
        <v>NO</v>
      </c>
    </row>
    <row r="2111" spans="10:10" x14ac:dyDescent="0.25">
      <c r="J2111" s="2" t="str">
        <f t="shared" si="32"/>
        <v>NO</v>
      </c>
    </row>
    <row r="2112" spans="10:10" x14ac:dyDescent="0.25">
      <c r="J2112" s="2" t="str">
        <f t="shared" si="32"/>
        <v>NO</v>
      </c>
    </row>
    <row r="2113" spans="10:10" x14ac:dyDescent="0.25">
      <c r="J2113" s="2" t="str">
        <f t="shared" si="32"/>
        <v>NO</v>
      </c>
    </row>
    <row r="2114" spans="10:10" x14ac:dyDescent="0.25">
      <c r="J2114" s="2" t="str">
        <f t="shared" si="32"/>
        <v>NO</v>
      </c>
    </row>
    <row r="2115" spans="10:10" x14ac:dyDescent="0.25">
      <c r="J2115" s="2" t="str">
        <f t="shared" ref="J2115:J2123" si="33">IF(OR(F2115="",F2115="_",LEFT(F2115,5)="SPARE"),"NO","YES")</f>
        <v>NO</v>
      </c>
    </row>
    <row r="2116" spans="10:10" x14ac:dyDescent="0.25">
      <c r="J2116" s="2" t="str">
        <f t="shared" si="33"/>
        <v>NO</v>
      </c>
    </row>
    <row r="2117" spans="10:10" x14ac:dyDescent="0.25">
      <c r="J2117" s="2" t="str">
        <f t="shared" si="33"/>
        <v>NO</v>
      </c>
    </row>
    <row r="2118" spans="10:10" x14ac:dyDescent="0.25">
      <c r="J2118" s="2" t="str">
        <f t="shared" si="33"/>
        <v>NO</v>
      </c>
    </row>
    <row r="2119" spans="10:10" x14ac:dyDescent="0.25">
      <c r="J2119" s="2" t="str">
        <f t="shared" si="33"/>
        <v>NO</v>
      </c>
    </row>
    <row r="2120" spans="10:10" x14ac:dyDescent="0.25">
      <c r="J2120" s="2" t="str">
        <f t="shared" si="33"/>
        <v>NO</v>
      </c>
    </row>
    <row r="2121" spans="10:10" x14ac:dyDescent="0.25">
      <c r="J2121" s="2" t="str">
        <f t="shared" si="33"/>
        <v>NO</v>
      </c>
    </row>
    <row r="2122" spans="10:10" x14ac:dyDescent="0.25">
      <c r="J2122" s="2" t="str">
        <f t="shared" si="33"/>
        <v>NO</v>
      </c>
    </row>
    <row r="2123" spans="10:10" x14ac:dyDescent="0.25">
      <c r="J2123" s="2" t="str">
        <f t="shared" si="33"/>
        <v>NO</v>
      </c>
    </row>
  </sheetData>
  <autoFilter ref="A1:I1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unka5"/>
  <dimension ref="A1:L25"/>
  <sheetViews>
    <sheetView workbookViewId="0">
      <selection activeCell="E1" sqref="E1"/>
    </sheetView>
  </sheetViews>
  <sheetFormatPr defaultRowHeight="15" x14ac:dyDescent="0.25"/>
  <cols>
    <col min="1" max="1" width="12.42578125" bestFit="1" customWidth="1"/>
    <col min="3" max="3" width="13.7109375" bestFit="1" customWidth="1"/>
    <col min="4" max="4" width="25.5703125" bestFit="1" customWidth="1"/>
    <col min="6" max="6" width="12.42578125" bestFit="1" customWidth="1"/>
    <col min="7" max="7" width="25.5703125" bestFit="1" customWidth="1"/>
  </cols>
  <sheetData>
    <row r="1" spans="1:7" x14ac:dyDescent="0.25">
      <c r="C1" s="14" t="s">
        <v>678</v>
      </c>
      <c r="D1" t="s">
        <v>682</v>
      </c>
      <c r="F1" s="14" t="s">
        <v>2</v>
      </c>
      <c r="G1" t="s">
        <v>65</v>
      </c>
    </row>
    <row r="2" spans="1:7" x14ac:dyDescent="0.25">
      <c r="A2" t="s">
        <v>681</v>
      </c>
    </row>
    <row r="3" spans="1:7" x14ac:dyDescent="0.25">
      <c r="A3" s="14" t="s">
        <v>679</v>
      </c>
      <c r="C3" s="14" t="s">
        <v>679</v>
      </c>
      <c r="D3" t="s">
        <v>683</v>
      </c>
      <c r="F3" s="14" t="s">
        <v>679</v>
      </c>
      <c r="G3" t="s">
        <v>683</v>
      </c>
    </row>
    <row r="4" spans="1:7" x14ac:dyDescent="0.25">
      <c r="A4" s="15" t="s">
        <v>228</v>
      </c>
      <c r="C4" s="15" t="s">
        <v>228</v>
      </c>
      <c r="D4" s="16">
        <v>90</v>
      </c>
      <c r="F4" s="15" t="s">
        <v>512</v>
      </c>
      <c r="G4" s="16">
        <v>31</v>
      </c>
    </row>
    <row r="5" spans="1:7" x14ac:dyDescent="0.25">
      <c r="A5" s="15" t="s">
        <v>512</v>
      </c>
      <c r="C5" s="15" t="s">
        <v>512</v>
      </c>
      <c r="D5" s="16">
        <v>115</v>
      </c>
      <c r="F5" s="15" t="s">
        <v>371</v>
      </c>
      <c r="G5" s="16">
        <v>21</v>
      </c>
    </row>
    <row r="6" spans="1:7" x14ac:dyDescent="0.25">
      <c r="A6" s="15" t="s">
        <v>371</v>
      </c>
      <c r="C6" s="15" t="s">
        <v>371</v>
      </c>
      <c r="D6" s="16">
        <v>95</v>
      </c>
      <c r="F6" s="15" t="s">
        <v>110</v>
      </c>
      <c r="G6" s="16">
        <v>25</v>
      </c>
    </row>
    <row r="7" spans="1:7" x14ac:dyDescent="0.25">
      <c r="A7" s="15" t="s">
        <v>110</v>
      </c>
      <c r="C7" s="15" t="s">
        <v>110</v>
      </c>
      <c r="D7" s="16">
        <v>100</v>
      </c>
      <c r="F7" s="15" t="s">
        <v>680</v>
      </c>
      <c r="G7" s="16">
        <v>77</v>
      </c>
    </row>
    <row r="8" spans="1:7" x14ac:dyDescent="0.25">
      <c r="C8" s="15" t="s">
        <v>680</v>
      </c>
      <c r="D8" s="16">
        <v>400</v>
      </c>
    </row>
    <row r="25" spans="1:12" ht="15.75" thickBot="1" x14ac:dyDescent="0.3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4</vt:i4>
      </vt:variant>
    </vt:vector>
  </HeadingPairs>
  <TitlesOfParts>
    <vt:vector size="4" baseType="lpstr">
      <vt:lpstr>Scan</vt:lpstr>
      <vt:lpstr>Inventory</vt:lpstr>
      <vt:lpstr>Full Inventory</vt:lpstr>
      <vt:lpstr>Stat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2019-12-06T09:44:29Z</dcterms:modified>
</cp:coreProperties>
</file>