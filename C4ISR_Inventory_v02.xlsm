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as.laszlo9\Documents\GitHub\C4ISR_Inventory\"/>
    </mc:Choice>
  </mc:AlternateContent>
  <xr:revisionPtr revIDLastSave="0" documentId="13_ncr:1_{BC191833-DB04-4437-995F-D43E5D433A86}" xr6:coauthVersionLast="45" xr6:coauthVersionMax="45" xr10:uidLastSave="{00000000-0000-0000-0000-000000000000}"/>
  <bookViews>
    <workbookView xWindow="3435" yWindow="2595" windowWidth="21600" windowHeight="12735" activeTab="1" xr2:uid="{A647B8B8-CC8C-4AC7-96BC-E75F06109E5C}"/>
  </bookViews>
  <sheets>
    <sheet name="Scan" sheetId="1" r:id="rId1"/>
    <sheet name="Inventory" sheetId="3" r:id="rId2"/>
    <sheet name="Full Inventory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<sst xmlns="http://schemas.openxmlformats.org/spreadsheetml/2006/main" count="3310" uniqueCount="125">
  <si>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</si>
  <si>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</si>
  <si>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</si>
  <si>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</si>
  <si>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</si>
  <si>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</si>
  <si>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</si>
  <si>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</si>
  <si>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</si>
  <si>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</si>
  <si>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</si>
  <si>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</si>
  <si>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</si>
  <si>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</si>
  <si>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</si>
  <si>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</si>
  <si>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</si>
  <si>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</si>
  <si>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</si>
  <si>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</si>
  <si>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</si>
  <si>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</si>
  <si>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</si>
  <si>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</si>
  <si>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</si>
  <si>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</si>
  <si>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</si>
  <si>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</si>
  <si>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</si>
  <si>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</si>
  <si>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</si>
  <si>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</si>
  <si>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</si>
  <si>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</si>
  <si>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</si>
  <si>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</si>
  <si>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</si>
  <si>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</si>
  <si>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</si>
  <si>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</si>
  <si>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</si>
  <si>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</si>
  <si>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</si>
  <si>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</si>
  <si>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</si>
  <si>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</si>
  <si>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</si>
  <si>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</si>
  <si>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</si>
  <si>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</si>
  <si>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</si>
  <si>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</si>
  <si>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</si>
  <si>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</si>
  <si>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</si>
  <si>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</si>
  <si>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</si>
  <si>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</si>
  <si>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</si>
  <si>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</si>
  <si>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</si>
  <si>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</si>
  <si>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</si>
  <si>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</si>
  <si>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</si>
  <si>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</si>
  <si>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</si>
  <si>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</si>
  <si>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</si>
  <si>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</si>
  <si>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</si>
  <si>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</si>
  <si>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</si>
  <si>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</si>
  <si>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</si>
  <si>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</si>
  <si>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</si>
  <si>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</si>
  <si>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</si>
  <si>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</si>
  <si>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</si>
  <si>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</si>
  <si>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</si>
  <si>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</si>
  <si>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</si>
  <si>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</si>
  <si>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</si>
  <si>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</si>
  <si>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</si>
  <si>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</si>
  <si>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</si>
  <si>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</si>
  <si>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</si>
  <si>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</si>
  <si>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</si>
  <si>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</si>
  <si>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</si>
  <si>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</si>
  <si>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</si>
  <si>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</si>
  <si>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</si>
  <si>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</si>
  <si>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</si>
  <si>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</si>
  <si>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</si>
  <si>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</si>
  <si>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</si>
  <si>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</si>
  <si>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</si>
  <si>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</si>
  <si>
    <t>000006915834</t>
  </si>
  <si>
    <t>CN</t>
  </si>
  <si>
    <t>1PCS3070-SR10007WW</t>
  </si>
  <si>
    <t>S18341522503164</t>
  </si>
  <si>
    <t>2PP</t>
  </si>
  <si>
    <t>D07DEC18</t>
  </si>
  <si>
    <t>000006819248</t>
  </si>
  <si>
    <t>000006819231</t>
  </si>
  <si>
    <t>Y3Y80EA#ARL</t>
  </si>
  <si>
    <t>CZC737843V</t>
  </si>
  <si>
    <t>000006819309</t>
  </si>
  <si>
    <t>CZC7519DWD</t>
  </si>
  <si>
    <t>10191158</t>
  </si>
  <si>
    <t>169.254.52.211</t>
  </si>
  <si>
    <t>5C8A389634D3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</si>
</sst>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2" width="21.140625" style="4" bestFit="1" customWidth="1"/>
    <col min="3" max="3" width="17.42578125" style="4" bestFit="1" customWidth="1"/>
  </cols>
  <sheetData>
    <row r="1" spans="1:3" ht="23.25" customHeight="1" x14ac:dyDescent="0.25">
      <c r="A1" s="3" t="s">
        <v>107</v>
      </c>
      <c r="B1" s="3" t="s">
        <v>108</v>
      </c>
      <c r="C1" s="4" t="s">
        <v>109</v>
      </c>
    </row>
    <row r="2" spans="1:3" x14ac:dyDescent="0.25">
      <c r="A2" s="5" t="s">
        <v>110</v>
      </c>
      <c r="B2" s="4" t="str">
        <f>SUBSTITUTE(SUBSTITUTE(A2,"ö","0"),"Ö","0")</f>
        <v>000006915834</v>
      </c>
      <c r="C2" s="4" t="str">
        <f>IF(AND(TRIM(A2)&lt;&gt;"",IFERROR(VLOOKUP(TRIM(B2),Inventory!E:E,1,0),0)=0),"NINCS A LISTÁBAN","")</f>
        <v>NINCS A LISTÁBAN</v>
      </c>
    </row>
    <row r="3" spans="1:3" x14ac:dyDescent="0.25">
      <c r="A3" s="5" t="s">
        <v>110</v>
      </c>
      <c r="B3" s="4" t="str">
        <f t="shared" ref="B3:B66" si="0">SUBSTITUTE(SUBSTITUTE(A3,"ö","0"),"Ö","0")</f>
        <v>000006915834</v>
      </c>
      <c r="C3" s="4" t="str">
        <f>IF(AND(TRIM(A3)&lt;&gt;"",IFERROR(VLOOKUP(TRIM(B3),Inventory!E:E,1,0),0)=0),"NINCS A LISTÁBAN","")</f>
        <v>NINCS A LISTÁBAN</v>
      </c>
    </row>
    <row r="4" spans="1:3" x14ac:dyDescent="0.25">
      <c r="A4" s="5" t="s">
        <v>110</v>
      </c>
      <c r="B4" s="4" t="str">
        <f t="shared" si="0"/>
        <v>000006915834</v>
      </c>
      <c r="C4" s="4" t="str">
        <f>IF(AND(TRIM(A4)&lt;&gt;"",IFERROR(VLOOKUP(TRIM(B4),Inventory!E:E,1,0),0)=0),"NINCS A LISTÁBAN","")</f>
        <v>NINCS A LISTÁBAN</v>
      </c>
    </row>
    <row r="5" spans="1:3" x14ac:dyDescent="0.25">
      <c r="A5" s="5" t="s">
        <v>111</v>
      </c>
      <c r="B5" s="4" t="str">
        <f t="shared" si="0"/>
        <v>CN</v>
      </c>
      <c r="C5" s="4" t="str">
        <f>IF(AND(TRIM(A5)&lt;&gt;"",IFERROR(VLOOKUP(TRIM(B5),Inventory!E:E,1,0),0)=0),"NINCS A LISTÁBAN","")</f>
        <v>NINCS A LISTÁBAN</v>
      </c>
    </row>
    <row r="6" spans="1:3" x14ac:dyDescent="0.25">
      <c r="A6" s="5" t="s">
        <v>112</v>
      </c>
      <c r="B6" s="4" t="str">
        <f t="shared" si="0"/>
        <v>1PCS3070-SR10007WW</v>
      </c>
      <c r="C6" s="4" t="str">
        <f>IF(AND(TRIM(A6)&lt;&gt;"",IFERROR(VLOOKUP(TRIM(B6),Inventory!E:E,1,0),0)=0),"NINCS A LISTÁBAN","")</f>
        <v>NINCS A LISTÁBAN</v>
      </c>
    </row>
    <row r="7" spans="1:3" x14ac:dyDescent="0.25">
      <c r="A7" s="5" t="s">
        <v>113</v>
      </c>
      <c r="B7" s="4" t="str">
        <f t="shared" si="0"/>
        <v>S18341522503164</v>
      </c>
      <c r="C7" s="4" t="str">
        <f>IF(AND(TRIM(A7)&lt;&gt;"",IFERROR(VLOOKUP(TRIM(B7),Inventory!E:E,1,0),0)=0),"NINCS A LISTÁBAN","")</f>
        <v>NINCS A LISTÁBAN</v>
      </c>
    </row>
    <row r="8" spans="1:3" x14ac:dyDescent="0.25">
      <c r="A8" s="5" t="s">
        <v>114</v>
      </c>
      <c r="B8" s="4" t="str">
        <f t="shared" si="0"/>
        <v>2PP</v>
      </c>
      <c r="C8" s="4" t="str">
        <f>IF(AND(TRIM(A8)&lt;&gt;"",IFERROR(VLOOKUP(TRIM(B8),Inventory!E:E,1,0),0)=0),"NINCS A LISTÁBAN","")</f>
        <v>NINCS A LISTÁBAN</v>
      </c>
    </row>
    <row r="9" spans="1:3" x14ac:dyDescent="0.25">
      <c r="A9" s="5" t="s">
        <v>115</v>
      </c>
      <c r="B9" s="4" t="str">
        <f t="shared" si="0"/>
        <v>D07DEC18</v>
      </c>
      <c r="C9" s="4" t="str">
        <f>IF(AND(TRIM(A9)&lt;&gt;"",IFERROR(VLOOKUP(TRIM(B9),Inventory!E:E,1,0),0)=0),"NINCS A LISTÁBAN","")</f>
        <v>NINCS A LISTÁBAN</v>
      </c>
    </row>
    <row r="10" spans="1:3" x14ac:dyDescent="0.25">
      <c r="A10" s="5" t="s">
        <v>116</v>
      </c>
      <c r="B10" s="4" t="str">
        <f t="shared" si="0"/>
        <v>000006819248</v>
      </c>
      <c r="C10" s="4" t="str">
        <f>IF(AND(TRIM(A10)&lt;&gt;"",IFERROR(VLOOKUP(TRIM(B10),Inventory!E:E,1,0),0)=0),"NINCS A LISTÁBAN","")</f>
        <v>NINCS A LISTÁBAN</v>
      </c>
    </row>
    <row r="11" spans="1:3" x14ac:dyDescent="0.25">
      <c r="A11" s="5" t="s">
        <v>117</v>
      </c>
      <c r="B11" s="4" t="str">
        <f t="shared" si="0"/>
        <v>000006819231</v>
      </c>
      <c r="C11" s="4" t="str">
        <f>IF(AND(TRIM(A11)&lt;&gt;"",IFERROR(VLOOKUP(TRIM(B11),Inventory!E:E,1,0),0)=0),"NINCS A LISTÁBAN","")</f>
        <v>NINCS A LISTÁBAN</v>
      </c>
    </row>
    <row r="12" spans="1:3" x14ac:dyDescent="0.25">
      <c r="A12" s="5" t="s">
        <v>118</v>
      </c>
      <c r="B12" s="4" t="str">
        <f t="shared" si="0"/>
        <v>Y3Y80EA#ARL</v>
      </c>
      <c r="C12" s="4" t="str">
        <f>IF(AND(TRIM(A12)&lt;&gt;"",IFERROR(VLOOKUP(TRIM(B12),Inventory!E:E,1,0),0)=0),"NINCS A LISTÁBAN","")</f>
        <v>NINCS A LISTÁBAN</v>
      </c>
    </row>
    <row r="13" spans="1:3" x14ac:dyDescent="0.25">
      <c r="A13" s="5" t="s">
        <v>119</v>
      </c>
      <c r="B13" s="4" t="str">
        <f t="shared" si="0"/>
        <v>CZC737843V</v>
      </c>
      <c r="C13" s="4" t="str">
        <f>IF(AND(TRIM(A13)&lt;&gt;"",IFERROR(VLOOKUP(TRIM(B13),Inventory!E:E,1,0),0)=0),"NINCS A LISTÁBAN","")</f>
        <v>NINCS A LISTÁBAN</v>
      </c>
    </row>
    <row r="14" spans="1:3" x14ac:dyDescent="0.25">
      <c r="A14" s="5" t="s">
        <v>120</v>
      </c>
      <c r="B14" s="4" t="str">
        <f t="shared" si="0"/>
        <v>000006819309</v>
      </c>
      <c r="C14" s="4" t="str">
        <f>IF(AND(TRIM(A14)&lt;&gt;"",IFERROR(VLOOKUP(TRIM(B14),Inventory!E:E,1,0),0)=0),"NINCS A LISTÁBAN","")</f>
        <v>NINCS A LISTÁBAN</v>
      </c>
    </row>
    <row r="15" spans="1:3" x14ac:dyDescent="0.25">
      <c r="A15" s="5" t="s">
        <v>118</v>
      </c>
      <c r="B15" s="4" t="str">
        <f t="shared" si="0"/>
        <v>Y3Y80EA#ARL</v>
      </c>
      <c r="C15" s="4" t="str">
        <f>IF(AND(TRIM(A15)&lt;&gt;"",IFERROR(VLOOKUP(TRIM(B15),Inventory!E:E,1,0),0)=0),"NINCS A LISTÁBAN","")</f>
        <v>NINCS A LISTÁBAN</v>
      </c>
    </row>
    <row r="16" spans="1:3" x14ac:dyDescent="0.25">
      <c r="A16" s="5" t="s">
        <v>121</v>
      </c>
      <c r="B16" s="4" t="str">
        <f t="shared" si="0"/>
        <v>CZC7519DWD</v>
      </c>
      <c r="C16" s="4" t="str">
        <f>IF(AND(TRIM(A16)&lt;&gt;"",IFERROR(VLOOKUP(TRIM(B16),Inventory!E:E,1,0),0)=0),"NINCS A LISTÁBAN","")</f>
        <v>NINCS A LISTÁBAN</v>
      </c>
    </row>
    <row r="17" spans="1:3" x14ac:dyDescent="0.25">
      <c r="A17" s="5" t="s">
        <v>122</v>
      </c>
      <c r="B17" s="4" t="str">
        <f t="shared" si="0"/>
        <v>10191158</v>
      </c>
      <c r="C17" s="4" t="str">
        <f>IF(AND(TRIM(A17)&lt;&gt;"",IFERROR(VLOOKUP(TRIM(B17),Inventory!E:E,1,0),0)=0),"NINCS A LISTÁBAN","")</f>
        <v>NINCS A LISTÁBAN</v>
      </c>
    </row>
    <row r="18" spans="1:3" x14ac:dyDescent="0.25">
      <c r="A18" s="5" t="s">
        <v>123</v>
      </c>
      <c r="B18" s="4" t="str">
        <f t="shared" si="0"/>
        <v>169.254.52.211</v>
      </c>
      <c r="C18" s="4" t="str">
        <f>IF(AND(TRIM(A18)&lt;&gt;"",IFERROR(VLOOKUP(TRIM(B18),Inventory!E:E,1,0),0)=0),"NINCS A LISTÁBAN","")</f>
        <v>NINCS A LISTÁBAN</v>
      </c>
    </row>
    <row r="19" spans="1:3" x14ac:dyDescent="0.25">
      <c r="A19" s="5" t="s">
        <v>124</v>
      </c>
      <c r="B19" s="4" t="str">
        <f t="shared" si="0"/>
        <v>5C8A389634D3</v>
      </c>
      <c r="C19" s="4" t="str">
        <f>IF(AND(TRIM(A19)&lt;&gt;"",IFERROR(VLOOKUP(TRIM(B19),Inventory!E:E,1,0),0)=0),"NINCS A LISTÁBAN","")</f>
        <v>NINCS A LISTÁBAN</v>
      </c>
    </row>
    <row r="20" spans="1:3" x14ac:dyDescent="0.25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5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5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5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5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5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5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5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5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5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5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5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5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5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5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5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5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5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5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5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5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5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5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5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5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5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5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5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5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5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5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5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5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5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5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5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5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5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5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5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5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5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5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5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5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5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5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5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5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5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5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5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5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5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5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5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5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5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5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5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5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5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5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5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5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5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5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5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5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5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5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5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5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5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5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5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5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5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5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5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5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5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5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5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5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5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5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5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5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5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5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5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5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5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5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5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5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5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5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5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5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5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5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5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5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5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5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5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5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5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5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5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5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5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5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5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5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5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5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5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5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5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5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5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5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5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5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5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5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5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5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5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5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5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5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5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5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5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5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5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5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5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5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5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5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5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5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5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5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5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5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5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5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5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5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5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5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5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5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5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5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5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5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5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5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5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5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5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5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5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5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5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5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5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5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5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5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5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5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5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5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5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5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5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5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5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5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5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5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5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5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5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5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5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5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5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5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5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5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5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5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5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5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5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5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5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5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5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5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5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5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5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5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5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5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5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5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5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5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5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5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5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5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5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5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5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5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5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5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5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5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5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5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5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5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5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5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5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5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5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5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5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5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5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5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5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5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5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5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5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5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5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5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5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5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5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5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5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5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5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5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5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5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5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5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5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5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5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5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5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5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5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5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5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5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5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5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5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5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5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5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5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5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5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5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5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5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5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5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5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5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5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5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5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5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5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5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5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5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5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5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5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5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5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5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5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5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5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5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5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5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5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5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5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5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5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5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5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5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5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5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5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5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5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5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5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5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5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5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5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5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5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5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5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5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5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5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5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5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5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5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5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5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5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5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5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5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5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5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5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5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5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5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5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5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5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5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5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5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5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5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5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5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5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5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5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5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5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5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5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5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5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5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5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5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5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5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5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5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5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5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5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5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5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5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5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5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5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5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5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5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5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5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5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5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5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5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5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5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5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5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5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5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5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5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5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5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5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5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5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5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5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5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5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5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5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5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5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5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5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5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5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5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5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5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5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5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5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5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5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5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5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5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5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5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5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5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5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5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5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5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5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5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5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5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5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5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5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5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5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5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5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5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5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5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5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5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5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5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5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5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5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5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5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5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5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5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5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5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5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5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5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5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5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5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5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5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5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5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5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5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5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5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5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5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5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5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5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5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5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5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5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5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5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5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5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5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5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5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5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5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5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5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5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5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5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5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5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5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5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5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5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5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5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5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5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5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5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5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5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5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5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5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5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5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5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5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5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5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5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5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5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5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5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5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5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5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5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5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5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5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5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5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5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5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5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5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5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5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5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5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5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5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5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5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5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5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5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5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5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5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5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5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5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5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5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5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5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5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5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5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5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5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5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5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5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5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5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5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5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5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5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5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5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5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5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5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5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5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5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5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5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5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5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5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5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5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5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5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5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5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5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5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5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5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5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5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5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5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5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5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5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5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5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5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5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5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5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5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5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5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5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5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5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5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5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5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5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5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5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5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5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5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5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5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5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5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5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5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5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5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5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5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5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5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5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5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5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5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5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5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5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5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5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5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5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5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5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5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5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5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5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5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5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5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5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5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5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5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5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5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5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5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5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5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5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5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5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5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5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5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5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5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5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5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5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5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5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5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5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5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5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5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5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5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5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5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5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5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5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5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5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5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5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5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5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5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5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5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5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5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5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5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5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5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5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5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5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5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5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5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5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5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5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5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5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5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5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5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5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5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5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5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5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5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5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5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5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5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5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5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5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5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5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5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5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5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5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5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5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5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5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5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5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5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5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5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5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5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5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5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5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5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5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5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5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5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5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5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5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5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5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5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5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5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5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5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5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5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5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5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5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5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5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5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5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5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5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5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5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5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5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5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5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5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5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5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5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5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5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5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5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5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5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5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5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5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5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5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5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5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5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5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5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5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5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5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5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5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5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5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5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5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5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5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5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5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5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5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5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5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5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5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5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5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5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5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5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5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5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5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5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5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5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5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5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5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5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5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5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5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5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5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5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5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5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5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5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5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5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5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5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5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5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5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5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5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5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5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5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5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5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5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5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5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5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5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5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5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5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5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5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5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5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5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5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5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5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5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5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5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5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5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5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5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5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5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5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5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5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5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5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5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5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5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5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5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5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5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5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5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5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5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5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5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5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5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5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5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5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5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5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5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5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5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5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5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5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5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5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5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5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5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5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5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5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5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5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5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5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5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5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5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5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5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5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5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5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5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5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5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5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5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5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5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5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5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5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5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5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5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5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5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5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5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5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5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5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5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5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5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5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5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5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5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5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5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5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5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5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5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5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5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5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5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5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5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5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5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5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5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5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5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5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5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5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5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5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5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5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5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5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5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5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5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5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5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5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5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5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5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5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5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5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5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5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5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5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5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5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5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5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5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5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5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5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5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5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5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5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5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5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5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5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5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5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5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5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5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5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5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5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5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5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5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5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5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5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5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5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5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5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5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5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5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5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5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5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5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5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5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5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5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5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5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5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5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5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5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5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5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5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5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5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5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5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5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5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5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5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5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5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5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5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5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5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5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5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5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5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5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5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5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5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5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5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5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5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5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5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5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5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5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5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5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5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5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5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5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5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5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5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5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5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5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5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5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5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5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5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5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5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5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5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5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5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5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5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5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5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5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5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5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5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5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5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5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5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5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5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5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5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5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5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5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5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5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5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5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5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5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5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5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5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5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5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5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5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5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5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5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5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5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5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5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5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5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5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5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5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5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5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5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5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5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5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5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5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5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5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5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5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5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5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5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5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5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5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5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5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5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5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5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5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5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5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5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5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5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5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5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5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5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5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5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5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5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5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5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5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5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5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5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5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5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5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5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5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5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5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5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5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5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5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5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5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5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5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5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5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5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5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5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5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5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5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5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5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5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5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5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5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5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5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5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5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5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5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5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5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5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5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5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5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5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5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5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5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5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5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5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5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5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5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5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5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5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5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5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5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5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5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5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5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5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5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5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5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5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5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5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5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5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5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5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5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5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5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5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5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5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5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5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5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5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5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5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5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5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5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5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5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5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5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5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5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5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5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5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5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5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5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5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5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5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5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5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5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5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5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5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5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5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5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5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5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5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5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5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5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5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5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5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5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5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5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5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5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5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5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5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5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5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5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5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5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5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5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5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5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5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5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5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5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5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5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5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5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5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5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5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5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5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5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5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5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5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5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5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5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5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5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5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5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5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5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5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5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5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5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5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5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5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5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5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5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5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5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5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5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5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5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5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5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5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5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5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5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5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5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5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5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5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5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5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5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5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5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5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5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5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5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5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5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5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5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5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5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5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5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5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5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5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5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5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5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5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5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5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5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5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5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5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5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5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5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5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5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5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5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5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5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5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5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5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5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5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5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5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5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5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5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5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5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5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5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5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5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5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5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5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5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5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5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5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5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5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5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5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5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5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5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5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5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5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5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5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5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5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5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5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5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5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5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5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5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5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5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5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5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5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5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5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5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5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5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5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5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5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5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5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5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5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5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5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5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5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5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5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5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5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5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5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5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5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5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5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5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5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5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5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5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5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5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5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5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5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5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5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5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5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5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5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5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5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5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5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5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5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5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5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5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5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5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5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5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5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5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5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5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5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5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5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5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5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5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5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5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5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5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5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5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5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5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5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5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5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5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5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5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5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5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5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5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5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5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5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5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5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5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5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5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5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5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5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5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5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5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5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5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5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5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5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5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5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5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5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5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5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5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5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5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5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5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5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5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5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5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5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5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5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5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5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5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5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5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5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5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5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5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5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5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5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5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5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5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5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5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5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5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5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5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5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5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5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5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5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5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5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5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5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5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5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5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5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5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5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5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5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5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5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5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5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5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5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5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5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5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5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5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5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5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5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5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5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5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5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5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5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5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5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5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5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5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5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5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5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5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5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5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5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5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5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5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5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5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5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5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5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5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5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5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5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5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5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5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5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5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5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5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5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5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5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5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5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5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5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5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5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5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5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5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5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5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5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5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5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5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5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5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5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5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5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5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5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5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5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5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5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5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5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5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5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5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5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5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5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5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5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5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5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5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5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5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5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5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5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5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5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5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5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5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5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5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5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5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5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5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5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5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5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5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5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5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5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5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5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5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5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5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5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5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5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5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5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5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5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5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5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5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5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5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5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5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5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5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5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5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5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5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5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5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5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5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5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5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5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5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5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5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5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5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5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5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5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5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5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5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5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5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5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5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5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5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5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5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5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5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5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5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5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5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5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5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5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5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5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5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5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5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5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5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5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5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5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5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5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5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5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5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5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5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5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5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5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5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5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5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5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5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5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5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5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5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5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5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5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5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5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5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5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5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5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5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5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5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5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5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5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5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5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5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5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5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5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5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5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5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5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5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5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5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5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5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5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5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5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5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5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5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5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5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5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5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5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5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5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5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5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5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5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5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5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5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5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5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5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5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5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5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5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5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5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5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5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5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5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5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5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5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5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5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5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5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5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5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5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5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5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5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5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5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5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5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5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5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5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5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5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5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5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5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5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5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5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5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5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5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5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5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5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5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5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5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5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5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5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5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5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5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5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5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5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5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5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5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5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5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5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5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5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5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5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5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5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5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5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5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5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5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5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</sheetData>
  <conditionalFormatting sqref="A1">
    <cfRule type="duplicateValues" dxfId="2" priority="3"/>
  </conditionalFormatting>
  <conditionalFormatting sqref="C1:C1048576">
    <cfRule type="containsText" dxfId="1" priority="2" operator="containsText" text="NINCS A LISTÁBAN">
      <formula>NOT(ISERROR(SEARCH("NINCS A LISTÁBAN",C1)))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184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361"/>
  <sheetViews>
    <sheetView workbookViewId="0">
      <pane ySplit="1" topLeftCell="A203" activePane="bottomLeft" state="frozen"/>
      <selection pane="bottomLeft" activeCell="E8" sqref="E8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2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5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5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5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5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5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5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5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5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5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5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5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5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5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5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5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5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5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5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5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5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5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5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5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5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5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5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5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5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5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5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5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5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5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5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5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5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5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5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5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5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5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5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5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5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5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5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5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5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5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5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5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5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5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5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5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5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5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5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5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5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5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5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5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5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5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5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5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5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5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5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5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5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5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5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5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5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5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5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5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5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5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5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5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5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5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5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5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5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5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5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5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5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5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5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5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5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5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5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5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5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5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5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5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5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5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5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5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5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5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5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5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5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5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5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5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5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5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5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5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5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5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5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5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5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5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5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5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5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5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5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5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5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5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5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5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5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5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5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5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5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5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5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5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5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5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5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5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5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5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5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5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5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5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5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5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5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5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5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5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5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5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5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5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5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5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5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5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5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5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5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5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5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5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5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5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5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5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5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5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5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5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5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5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5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5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5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5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5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5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5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5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5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5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5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5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5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5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5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5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5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5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5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5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5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5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5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5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5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5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5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5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5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5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5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5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5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5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5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5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5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5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5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5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5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5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5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5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5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5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5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5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5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5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5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5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5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5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5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5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5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5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5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5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5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5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5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5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5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5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5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5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5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5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5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5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5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5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5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5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5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5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5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5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5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5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5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5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5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5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5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5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5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5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5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5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5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5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5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5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5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5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5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5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5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5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5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5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5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5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5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5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5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5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5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5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5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5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5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5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5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5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5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5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5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5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5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5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5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5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5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5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5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5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5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5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5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5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5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5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Scan</vt:lpstr>
      <vt:lpstr>Inventory</vt:lpstr>
      <vt:lpstr>Full 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2019-10-09T13:01:19Z</dcterms:modified>
</cp:coreProperties>
</file>