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\C4ISR_Inventory\"/>
    </mc:Choice>
  </mc:AlternateContent>
  <xr:revisionPtr revIDLastSave="0" documentId="13_ncr:1_{33FD0D68-2608-4FB7-8A2F-A51FDB7444E2}" xr6:coauthVersionLast="45" xr6:coauthVersionMax="45" xr10:uidLastSave="{00000000-0000-0000-0000-000000000000}"/>
  <bookViews>
    <workbookView xWindow="-120" yWindow="-120" windowWidth="29040" windowHeight="17640" xr2:uid="{A647B8B8-CC8C-4AC7-96BC-E75F06109E5C}"/>
  </bookViews>
  <sheets>
    <sheet name="Scan" sheetId="1" r:id="rId1"/>
    <sheet name="Munka1" sheetId="4" r:id="rId2"/>
    <sheet name="Inventory" sheetId="3" r:id="rId3"/>
    <sheet name="Full Inventory" sheetId="2" r:id="rId4"/>
    <sheet name="Inventory (2)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" i="1"/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" i="1"/>
  <c r="D1972" i="1" l="1"/>
  <c r="C1972" i="1"/>
  <c r="D1932" i="1"/>
  <c r="C1932" i="1"/>
  <c r="C1900" i="1"/>
  <c r="D1900" i="1"/>
  <c r="C1852" i="1"/>
  <c r="D1852" i="1"/>
  <c r="C1812" i="1"/>
  <c r="D1812" i="1"/>
  <c r="C1772" i="1"/>
  <c r="D1772" i="1"/>
  <c r="C1732" i="1"/>
  <c r="D1732" i="1"/>
  <c r="C1692" i="1"/>
  <c r="D1692" i="1"/>
  <c r="C1652" i="1"/>
  <c r="D1652" i="1"/>
  <c r="C1620" i="1"/>
  <c r="D1620" i="1"/>
  <c r="C1580" i="1"/>
  <c r="D1580" i="1"/>
  <c r="C1540" i="1"/>
  <c r="D1540" i="1"/>
  <c r="C1508" i="1"/>
  <c r="D1508" i="1"/>
  <c r="C1468" i="1"/>
  <c r="D1468" i="1"/>
  <c r="C1428" i="1"/>
  <c r="D1428" i="1"/>
  <c r="C1380" i="1"/>
  <c r="D1380" i="1"/>
  <c r="C1340" i="1"/>
  <c r="D1340" i="1"/>
  <c r="C1300" i="1"/>
  <c r="D1300" i="1"/>
  <c r="C1252" i="1"/>
  <c r="D1252" i="1"/>
  <c r="C1204" i="1"/>
  <c r="D1204" i="1"/>
  <c r="C1164" i="1"/>
  <c r="D1164" i="1"/>
  <c r="C1116" i="1"/>
  <c r="D1116" i="1"/>
  <c r="D1076" i="1"/>
  <c r="C1076" i="1"/>
  <c r="D1020" i="1"/>
  <c r="C1020" i="1"/>
  <c r="C980" i="1"/>
  <c r="D980" i="1"/>
  <c r="C932" i="1"/>
  <c r="D932" i="1"/>
  <c r="C884" i="1"/>
  <c r="D884" i="1"/>
  <c r="C836" i="1"/>
  <c r="D836" i="1"/>
  <c r="D788" i="1"/>
  <c r="C788" i="1"/>
  <c r="C748" i="1"/>
  <c r="D748" i="1"/>
  <c r="C700" i="1"/>
  <c r="D700" i="1"/>
  <c r="C652" i="1"/>
  <c r="D652" i="1"/>
  <c r="D604" i="1"/>
  <c r="C604" i="1"/>
  <c r="D572" i="1"/>
  <c r="C572" i="1"/>
  <c r="C532" i="1"/>
  <c r="D532" i="1"/>
  <c r="D484" i="1"/>
  <c r="C484" i="1"/>
  <c r="D444" i="1"/>
  <c r="C444" i="1"/>
  <c r="D412" i="1"/>
  <c r="C412" i="1"/>
  <c r="D372" i="1"/>
  <c r="C372" i="1"/>
  <c r="C332" i="1"/>
  <c r="D332" i="1"/>
  <c r="C300" i="1"/>
  <c r="D300" i="1"/>
  <c r="C268" i="1"/>
  <c r="D268" i="1"/>
  <c r="C220" i="1"/>
  <c r="D220" i="1"/>
  <c r="C116" i="1"/>
  <c r="D116" i="1"/>
  <c r="D1996" i="1"/>
  <c r="C1996" i="1"/>
  <c r="C1876" i="1"/>
  <c r="D1876" i="1"/>
  <c r="D1956" i="1"/>
  <c r="C1956" i="1"/>
  <c r="C1916" i="1"/>
  <c r="D1916" i="1"/>
  <c r="C1868" i="1"/>
  <c r="D1868" i="1"/>
  <c r="C1828" i="1"/>
  <c r="D1828" i="1"/>
  <c r="C1788" i="1"/>
  <c r="D1788" i="1"/>
  <c r="C1748" i="1"/>
  <c r="D1748" i="1"/>
  <c r="C1708" i="1"/>
  <c r="D1708" i="1"/>
  <c r="C1668" i="1"/>
  <c r="D1668" i="1"/>
  <c r="C1612" i="1"/>
  <c r="D1612" i="1"/>
  <c r="C1572" i="1"/>
  <c r="D1572" i="1"/>
  <c r="C1532" i="1"/>
  <c r="D1532" i="1"/>
  <c r="C1492" i="1"/>
  <c r="D1492" i="1"/>
  <c r="C1436" i="1"/>
  <c r="D1436" i="1"/>
  <c r="C1364" i="1"/>
  <c r="D1364" i="1"/>
  <c r="C1324" i="1"/>
  <c r="D1324" i="1"/>
  <c r="C1284" i="1"/>
  <c r="D1284" i="1"/>
  <c r="C1220" i="1"/>
  <c r="D1220" i="1"/>
  <c r="C1156" i="1"/>
  <c r="D1156" i="1"/>
  <c r="D1092" i="1"/>
  <c r="C1092" i="1"/>
  <c r="D1044" i="1"/>
  <c r="C1044" i="1"/>
  <c r="C1004" i="1"/>
  <c r="D1004" i="1"/>
  <c r="C948" i="1"/>
  <c r="D948" i="1"/>
  <c r="C876" i="1"/>
  <c r="D876" i="1"/>
  <c r="C828" i="1"/>
  <c r="D828" i="1"/>
  <c r="C780" i="1"/>
  <c r="D780" i="1"/>
  <c r="C732" i="1"/>
  <c r="D732" i="1"/>
  <c r="C668" i="1"/>
  <c r="D668" i="1"/>
  <c r="C628" i="1"/>
  <c r="D628" i="1"/>
  <c r="C580" i="1"/>
  <c r="D580" i="1"/>
  <c r="C516" i="1"/>
  <c r="D516" i="1"/>
  <c r="D452" i="1"/>
  <c r="C452" i="1"/>
  <c r="D380" i="1"/>
  <c r="C380" i="1"/>
  <c r="C308" i="1"/>
  <c r="D308" i="1"/>
  <c r="C276" i="1"/>
  <c r="D276" i="1"/>
  <c r="C228" i="1"/>
  <c r="D228" i="1"/>
  <c r="C212" i="1"/>
  <c r="D212" i="1"/>
  <c r="C204" i="1"/>
  <c r="D204" i="1"/>
  <c r="C196" i="1"/>
  <c r="D196" i="1"/>
  <c r="C188" i="1"/>
  <c r="D188" i="1"/>
  <c r="C180" i="1"/>
  <c r="D180" i="1"/>
  <c r="C172" i="1"/>
  <c r="D172" i="1"/>
  <c r="C164" i="1"/>
  <c r="D164" i="1"/>
  <c r="C156" i="1"/>
  <c r="D156" i="1"/>
  <c r="C148" i="1"/>
  <c r="D148" i="1"/>
  <c r="C140" i="1"/>
  <c r="D140" i="1"/>
  <c r="C124" i="1"/>
  <c r="D124" i="1"/>
  <c r="C92" i="1"/>
  <c r="D92" i="1"/>
  <c r="C84" i="1"/>
  <c r="D84" i="1"/>
  <c r="C68" i="1"/>
  <c r="D68" i="1"/>
  <c r="C60" i="1"/>
  <c r="D60" i="1"/>
  <c r="C52" i="1"/>
  <c r="D52" i="1"/>
  <c r="C44" i="1"/>
  <c r="D44" i="1"/>
  <c r="C36" i="1"/>
  <c r="D36" i="1"/>
  <c r="C28" i="1"/>
  <c r="D28" i="1"/>
  <c r="C20" i="1"/>
  <c r="D20" i="1"/>
  <c r="C1260" i="1"/>
  <c r="D1260" i="1"/>
  <c r="C1196" i="1"/>
  <c r="D1196" i="1"/>
  <c r="C1124" i="1"/>
  <c r="D1124" i="1"/>
  <c r="D1052" i="1"/>
  <c r="C1052" i="1"/>
  <c r="C972" i="1"/>
  <c r="D972" i="1"/>
  <c r="C916" i="1"/>
  <c r="D916" i="1"/>
  <c r="C844" i="1"/>
  <c r="D844" i="1"/>
  <c r="C796" i="1"/>
  <c r="D796" i="1"/>
  <c r="C740" i="1"/>
  <c r="D740" i="1"/>
  <c r="C692" i="1"/>
  <c r="D692" i="1"/>
  <c r="D620" i="1"/>
  <c r="C620" i="1"/>
  <c r="C548" i="1"/>
  <c r="D548" i="1"/>
  <c r="D492" i="1"/>
  <c r="C492" i="1"/>
  <c r="D420" i="1"/>
  <c r="C420" i="1"/>
  <c r="C348" i="1"/>
  <c r="D348" i="1"/>
  <c r="C260" i="1"/>
  <c r="D260" i="1"/>
  <c r="C76" i="1"/>
  <c r="D76" i="1"/>
  <c r="D1964" i="1"/>
  <c r="C1964" i="1"/>
  <c r="C1924" i="1"/>
  <c r="D1924" i="1"/>
  <c r="C1884" i="1"/>
  <c r="D1884" i="1"/>
  <c r="C1836" i="1"/>
  <c r="D1836" i="1"/>
  <c r="C1796" i="1"/>
  <c r="D1796" i="1"/>
  <c r="C1756" i="1"/>
  <c r="D1756" i="1"/>
  <c r="C1716" i="1"/>
  <c r="D1716" i="1"/>
  <c r="C1676" i="1"/>
  <c r="D1676" i="1"/>
  <c r="C1644" i="1"/>
  <c r="D1644" i="1"/>
  <c r="C1604" i="1"/>
  <c r="D1604" i="1"/>
  <c r="C1564" i="1"/>
  <c r="D1564" i="1"/>
  <c r="C1524" i="1"/>
  <c r="D1524" i="1"/>
  <c r="C1484" i="1"/>
  <c r="D1484" i="1"/>
  <c r="C1444" i="1"/>
  <c r="D1444" i="1"/>
  <c r="C1404" i="1"/>
  <c r="D1404" i="1"/>
  <c r="C1396" i="1"/>
  <c r="D1396" i="1"/>
  <c r="D1356" i="1"/>
  <c r="C1356" i="1"/>
  <c r="C1316" i="1"/>
  <c r="D1316" i="1"/>
  <c r="C1276" i="1"/>
  <c r="D1276" i="1"/>
  <c r="C1236" i="1"/>
  <c r="D1236" i="1"/>
  <c r="C1188" i="1"/>
  <c r="D1188" i="1"/>
  <c r="C1148" i="1"/>
  <c r="D1148" i="1"/>
  <c r="D1108" i="1"/>
  <c r="C1108" i="1"/>
  <c r="D1068" i="1"/>
  <c r="C1068" i="1"/>
  <c r="D1036" i="1"/>
  <c r="C1036" i="1"/>
  <c r="C988" i="1"/>
  <c r="D988" i="1"/>
  <c r="C940" i="1"/>
  <c r="D940" i="1"/>
  <c r="C900" i="1"/>
  <c r="D900" i="1"/>
  <c r="C868" i="1"/>
  <c r="D868" i="1"/>
  <c r="D820" i="1"/>
  <c r="C820" i="1"/>
  <c r="D772" i="1"/>
  <c r="C772" i="1"/>
  <c r="C724" i="1"/>
  <c r="D724" i="1"/>
  <c r="C684" i="1"/>
  <c r="D684" i="1"/>
  <c r="C636" i="1"/>
  <c r="D636" i="1"/>
  <c r="D588" i="1"/>
  <c r="C588" i="1"/>
  <c r="D540" i="1"/>
  <c r="C540" i="1"/>
  <c r="D508" i="1"/>
  <c r="C508" i="1"/>
  <c r="D468" i="1"/>
  <c r="C468" i="1"/>
  <c r="D428" i="1"/>
  <c r="C428" i="1"/>
  <c r="D388" i="1"/>
  <c r="C388" i="1"/>
  <c r="C340" i="1"/>
  <c r="D340" i="1"/>
  <c r="C292" i="1"/>
  <c r="D292" i="1"/>
  <c r="C252" i="1"/>
  <c r="D252" i="1"/>
  <c r="C100" i="1"/>
  <c r="D100" i="1"/>
  <c r="C1988" i="1"/>
  <c r="D1988" i="1"/>
  <c r="C1948" i="1"/>
  <c r="D1948" i="1"/>
  <c r="C1908" i="1"/>
  <c r="D1908" i="1"/>
  <c r="C1860" i="1"/>
  <c r="D1860" i="1"/>
  <c r="C1820" i="1"/>
  <c r="D1820" i="1"/>
  <c r="C1780" i="1"/>
  <c r="D1780" i="1"/>
  <c r="C1740" i="1"/>
  <c r="D1740" i="1"/>
  <c r="C1700" i="1"/>
  <c r="D1700" i="1"/>
  <c r="C1660" i="1"/>
  <c r="D1660" i="1"/>
  <c r="C1628" i="1"/>
  <c r="D1628" i="1"/>
  <c r="C1588" i="1"/>
  <c r="D1588" i="1"/>
  <c r="C1548" i="1"/>
  <c r="D1548" i="1"/>
  <c r="C1500" i="1"/>
  <c r="D1500" i="1"/>
  <c r="C1460" i="1"/>
  <c r="D1460" i="1"/>
  <c r="C1420" i="1"/>
  <c r="D1420" i="1"/>
  <c r="C1372" i="1"/>
  <c r="D1372" i="1"/>
  <c r="C1332" i="1"/>
  <c r="D1332" i="1"/>
  <c r="C1292" i="1"/>
  <c r="D1292" i="1"/>
  <c r="C1244" i="1"/>
  <c r="D1244" i="1"/>
  <c r="C1212" i="1"/>
  <c r="D1212" i="1"/>
  <c r="C1172" i="1"/>
  <c r="D1172" i="1"/>
  <c r="C1132" i="1"/>
  <c r="D1132" i="1"/>
  <c r="D1084" i="1"/>
  <c r="C1084" i="1"/>
  <c r="D1028" i="1"/>
  <c r="C1028" i="1"/>
  <c r="C996" i="1"/>
  <c r="D996" i="1"/>
  <c r="C956" i="1"/>
  <c r="D956" i="1"/>
  <c r="C908" i="1"/>
  <c r="D908" i="1"/>
  <c r="C852" i="1"/>
  <c r="D852" i="1"/>
  <c r="D804" i="1"/>
  <c r="C804" i="1"/>
  <c r="C756" i="1"/>
  <c r="D756" i="1"/>
  <c r="C708" i="1"/>
  <c r="D708" i="1"/>
  <c r="C660" i="1"/>
  <c r="D660" i="1"/>
  <c r="C612" i="1"/>
  <c r="D612" i="1"/>
  <c r="C564" i="1"/>
  <c r="D564" i="1"/>
  <c r="D524" i="1"/>
  <c r="C524" i="1"/>
  <c r="D476" i="1"/>
  <c r="C476" i="1"/>
  <c r="D436" i="1"/>
  <c r="C436" i="1"/>
  <c r="D396" i="1"/>
  <c r="C396" i="1"/>
  <c r="C356" i="1"/>
  <c r="D356" i="1"/>
  <c r="C324" i="1"/>
  <c r="D324" i="1"/>
  <c r="C284" i="1"/>
  <c r="D284" i="1"/>
  <c r="C236" i="1"/>
  <c r="D236" i="1"/>
  <c r="C132" i="1"/>
  <c r="D132" i="1"/>
  <c r="C1980" i="1"/>
  <c r="D1980" i="1"/>
  <c r="D1940" i="1"/>
  <c r="C1940" i="1"/>
  <c r="C1892" i="1"/>
  <c r="D1892" i="1"/>
  <c r="C1844" i="1"/>
  <c r="D1844" i="1"/>
  <c r="C1804" i="1"/>
  <c r="D1804" i="1"/>
  <c r="C1764" i="1"/>
  <c r="D1764" i="1"/>
  <c r="C1724" i="1"/>
  <c r="D1724" i="1"/>
  <c r="C1684" i="1"/>
  <c r="D1684" i="1"/>
  <c r="C1636" i="1"/>
  <c r="D1636" i="1"/>
  <c r="C1596" i="1"/>
  <c r="D1596" i="1"/>
  <c r="C1556" i="1"/>
  <c r="D1556" i="1"/>
  <c r="C1516" i="1"/>
  <c r="D1516" i="1"/>
  <c r="C1476" i="1"/>
  <c r="D1476" i="1"/>
  <c r="C1452" i="1"/>
  <c r="D1452" i="1"/>
  <c r="C1412" i="1"/>
  <c r="D1412" i="1"/>
  <c r="C1388" i="1"/>
  <c r="D1388" i="1"/>
  <c r="C1348" i="1"/>
  <c r="D1348" i="1"/>
  <c r="C1308" i="1"/>
  <c r="D1308" i="1"/>
  <c r="C1268" i="1"/>
  <c r="D1268" i="1"/>
  <c r="C1228" i="1"/>
  <c r="D1228" i="1"/>
  <c r="C1180" i="1"/>
  <c r="D1180" i="1"/>
  <c r="C1140" i="1"/>
  <c r="D1140" i="1"/>
  <c r="D1100" i="1"/>
  <c r="C1100" i="1"/>
  <c r="D1060" i="1"/>
  <c r="C1060" i="1"/>
  <c r="D1012" i="1"/>
  <c r="C1012" i="1"/>
  <c r="C964" i="1"/>
  <c r="D964" i="1"/>
  <c r="C924" i="1"/>
  <c r="D924" i="1"/>
  <c r="C892" i="1"/>
  <c r="D892" i="1"/>
  <c r="C860" i="1"/>
  <c r="D860" i="1"/>
  <c r="C812" i="1"/>
  <c r="D812" i="1"/>
  <c r="C764" i="1"/>
  <c r="D764" i="1"/>
  <c r="C716" i="1"/>
  <c r="D716" i="1"/>
  <c r="C676" i="1"/>
  <c r="D676" i="1"/>
  <c r="C644" i="1"/>
  <c r="D644" i="1"/>
  <c r="C596" i="1"/>
  <c r="D596" i="1"/>
  <c r="D556" i="1"/>
  <c r="C556" i="1"/>
  <c r="D500" i="1"/>
  <c r="C500" i="1"/>
  <c r="D460" i="1"/>
  <c r="C460" i="1"/>
  <c r="D404" i="1"/>
  <c r="C404" i="1"/>
  <c r="D364" i="1"/>
  <c r="C364" i="1"/>
  <c r="C316" i="1"/>
  <c r="D316" i="1"/>
  <c r="C244" i="1"/>
  <c r="D244" i="1"/>
  <c r="C108" i="1"/>
  <c r="D108" i="1"/>
  <c r="C1995" i="1"/>
  <c r="D1995" i="1"/>
  <c r="C1987" i="1"/>
  <c r="D1987" i="1"/>
  <c r="C1979" i="1"/>
  <c r="D1979" i="1"/>
  <c r="C1971" i="1"/>
  <c r="D1971" i="1"/>
  <c r="C1963" i="1"/>
  <c r="D1963" i="1"/>
  <c r="C1955" i="1"/>
  <c r="D1955" i="1"/>
  <c r="C1947" i="1"/>
  <c r="D1947" i="1"/>
  <c r="C1939" i="1"/>
  <c r="D1939" i="1"/>
  <c r="C1931" i="1"/>
  <c r="D1931" i="1"/>
  <c r="C1923" i="1"/>
  <c r="D1923" i="1"/>
  <c r="C1915" i="1"/>
  <c r="D1915" i="1"/>
  <c r="C1907" i="1"/>
  <c r="D1907" i="1"/>
  <c r="C1899" i="1"/>
  <c r="D1899" i="1"/>
  <c r="C1891" i="1"/>
  <c r="D1891" i="1"/>
  <c r="C1883" i="1"/>
  <c r="D1883" i="1"/>
  <c r="D1875" i="1"/>
  <c r="C1875" i="1"/>
  <c r="C1867" i="1"/>
  <c r="D1867" i="1"/>
  <c r="D1859" i="1"/>
  <c r="C1859" i="1"/>
  <c r="C1851" i="1"/>
  <c r="D1851" i="1"/>
  <c r="D1843" i="1"/>
  <c r="C1843" i="1"/>
  <c r="D1835" i="1"/>
  <c r="C1835" i="1"/>
  <c r="D1827" i="1"/>
  <c r="C1827" i="1"/>
  <c r="D1819" i="1"/>
  <c r="C1819" i="1"/>
  <c r="D1811" i="1"/>
  <c r="C1811" i="1"/>
  <c r="D1803" i="1"/>
  <c r="C1803" i="1"/>
  <c r="D1795" i="1"/>
  <c r="C1795" i="1"/>
  <c r="D1787" i="1"/>
  <c r="C1787" i="1"/>
  <c r="D1779" i="1"/>
  <c r="C1779" i="1"/>
  <c r="D1771" i="1"/>
  <c r="C1771" i="1"/>
  <c r="D1763" i="1"/>
  <c r="C1763" i="1"/>
  <c r="D1755" i="1"/>
  <c r="C1755" i="1"/>
  <c r="D1747" i="1"/>
  <c r="C1747" i="1"/>
  <c r="D1739" i="1"/>
  <c r="C1739" i="1"/>
  <c r="D1731" i="1"/>
  <c r="C1731" i="1"/>
  <c r="D1723" i="1"/>
  <c r="C1723" i="1"/>
  <c r="D1715" i="1"/>
  <c r="C1715" i="1"/>
  <c r="D1707" i="1"/>
  <c r="C1707" i="1"/>
  <c r="D1699" i="1"/>
  <c r="C1699" i="1"/>
  <c r="D1691" i="1"/>
  <c r="C1691" i="1"/>
  <c r="D1683" i="1"/>
  <c r="C1683" i="1"/>
  <c r="D1675" i="1"/>
  <c r="C1675" i="1"/>
  <c r="D1667" i="1"/>
  <c r="C1667" i="1"/>
  <c r="C1659" i="1"/>
  <c r="D1659" i="1"/>
  <c r="C1651" i="1"/>
  <c r="D1651" i="1"/>
  <c r="C1643" i="1"/>
  <c r="D1643" i="1"/>
  <c r="C1635" i="1"/>
  <c r="D1635" i="1"/>
  <c r="C1627" i="1"/>
  <c r="D1627" i="1"/>
  <c r="C1619" i="1"/>
  <c r="D1619" i="1"/>
  <c r="C1611" i="1"/>
  <c r="D1611" i="1"/>
  <c r="C1603" i="1"/>
  <c r="D1603" i="1"/>
  <c r="C1595" i="1"/>
  <c r="D1595" i="1"/>
  <c r="C1587" i="1"/>
  <c r="D1587" i="1"/>
  <c r="C1579" i="1"/>
  <c r="D1579" i="1"/>
  <c r="C1571" i="1"/>
  <c r="D1571" i="1"/>
  <c r="C1563" i="1"/>
  <c r="D1563" i="1"/>
  <c r="C1555" i="1"/>
  <c r="D1555" i="1"/>
  <c r="C1547" i="1"/>
  <c r="D1547" i="1"/>
  <c r="C1539" i="1"/>
  <c r="D1539" i="1"/>
  <c r="C1531" i="1"/>
  <c r="D1531" i="1"/>
  <c r="C1523" i="1"/>
  <c r="D1523" i="1"/>
  <c r="C1515" i="1"/>
  <c r="D1515" i="1"/>
  <c r="C1507" i="1"/>
  <c r="D1507" i="1"/>
  <c r="C1499" i="1"/>
  <c r="D1499" i="1"/>
  <c r="C1491" i="1"/>
  <c r="D1491" i="1"/>
  <c r="C1483" i="1"/>
  <c r="D1483" i="1"/>
  <c r="C1475" i="1"/>
  <c r="D1475" i="1"/>
  <c r="C1467" i="1"/>
  <c r="D1467" i="1"/>
  <c r="C1459" i="1"/>
  <c r="D1459" i="1"/>
  <c r="C1451" i="1"/>
  <c r="D1451" i="1"/>
  <c r="C1443" i="1"/>
  <c r="D1443" i="1"/>
  <c r="C1435" i="1"/>
  <c r="D1435" i="1"/>
  <c r="C1427" i="1"/>
  <c r="D1427" i="1"/>
  <c r="C1419" i="1"/>
  <c r="D1419" i="1"/>
  <c r="C1411" i="1"/>
  <c r="D1411" i="1"/>
  <c r="C1403" i="1"/>
  <c r="D1403" i="1"/>
  <c r="C1395" i="1"/>
  <c r="D1395" i="1"/>
  <c r="C1387" i="1"/>
  <c r="D1387" i="1"/>
  <c r="C1379" i="1"/>
  <c r="D1379" i="1"/>
  <c r="C1371" i="1"/>
  <c r="D1371" i="1"/>
  <c r="C1363" i="1"/>
  <c r="D1363" i="1"/>
  <c r="C1355" i="1"/>
  <c r="D1355" i="1"/>
  <c r="C1347" i="1"/>
  <c r="D1347" i="1"/>
  <c r="C1339" i="1"/>
  <c r="D1339" i="1"/>
  <c r="C1331" i="1"/>
  <c r="D1331" i="1"/>
  <c r="C1323" i="1"/>
  <c r="D1323" i="1"/>
  <c r="D1315" i="1"/>
  <c r="C1315" i="1"/>
  <c r="D1307" i="1"/>
  <c r="C1307" i="1"/>
  <c r="D1299" i="1"/>
  <c r="C1299" i="1"/>
  <c r="D1291" i="1"/>
  <c r="C1291" i="1"/>
  <c r="D1283" i="1"/>
  <c r="C1283" i="1"/>
  <c r="D1275" i="1"/>
  <c r="C1275" i="1"/>
  <c r="D1267" i="1"/>
  <c r="C1267" i="1"/>
  <c r="D1259" i="1"/>
  <c r="C1259" i="1"/>
  <c r="D1251" i="1"/>
  <c r="C1251" i="1"/>
  <c r="D1243" i="1"/>
  <c r="C1243" i="1"/>
  <c r="D1235" i="1"/>
  <c r="C1235" i="1"/>
  <c r="D1227" i="1"/>
  <c r="C1227" i="1"/>
  <c r="D1219" i="1"/>
  <c r="C1219" i="1"/>
  <c r="D1211" i="1"/>
  <c r="C1211" i="1"/>
  <c r="D1203" i="1"/>
  <c r="C1203" i="1"/>
  <c r="D1195" i="1"/>
  <c r="C1195" i="1"/>
  <c r="D1187" i="1"/>
  <c r="C1187" i="1"/>
  <c r="D1179" i="1"/>
  <c r="C1179" i="1"/>
  <c r="D1171" i="1"/>
  <c r="C1171" i="1"/>
  <c r="D1163" i="1"/>
  <c r="C1163" i="1"/>
  <c r="D1155" i="1"/>
  <c r="C1155" i="1"/>
  <c r="D1147" i="1"/>
  <c r="C1147" i="1"/>
  <c r="D1139" i="1"/>
  <c r="C1139" i="1"/>
  <c r="D1131" i="1"/>
  <c r="C1131" i="1"/>
  <c r="C1123" i="1"/>
  <c r="D1123" i="1"/>
  <c r="C1115" i="1"/>
  <c r="D1115" i="1"/>
  <c r="C1107" i="1"/>
  <c r="D1107" i="1"/>
  <c r="C1099" i="1"/>
  <c r="D1099" i="1"/>
  <c r="C1091" i="1"/>
  <c r="D1091" i="1"/>
  <c r="C1083" i="1"/>
  <c r="D1083" i="1"/>
  <c r="C1075" i="1"/>
  <c r="D1075" i="1"/>
  <c r="C1067" i="1"/>
  <c r="D1067" i="1"/>
  <c r="C1059" i="1"/>
  <c r="D1059" i="1"/>
  <c r="C1051" i="1"/>
  <c r="D1051" i="1"/>
  <c r="C1043" i="1"/>
  <c r="D1043" i="1"/>
  <c r="C1035" i="1"/>
  <c r="D1035" i="1"/>
  <c r="C1027" i="1"/>
  <c r="D1027" i="1"/>
  <c r="C1019" i="1"/>
  <c r="D1019" i="1"/>
  <c r="C1011" i="1"/>
  <c r="D1011" i="1"/>
  <c r="C1003" i="1"/>
  <c r="D1003" i="1"/>
  <c r="C995" i="1"/>
  <c r="D995" i="1"/>
  <c r="C987" i="1"/>
  <c r="D987" i="1"/>
  <c r="C979" i="1"/>
  <c r="D979" i="1"/>
  <c r="C971" i="1"/>
  <c r="D971" i="1"/>
  <c r="C963" i="1"/>
  <c r="D963" i="1"/>
  <c r="C955" i="1"/>
  <c r="D955" i="1"/>
  <c r="C947" i="1"/>
  <c r="D947" i="1"/>
  <c r="C939" i="1"/>
  <c r="D939" i="1"/>
  <c r="C931" i="1"/>
  <c r="D931" i="1"/>
  <c r="C923" i="1"/>
  <c r="D923" i="1"/>
  <c r="C915" i="1"/>
  <c r="D915" i="1"/>
  <c r="C907" i="1"/>
  <c r="D907" i="1"/>
  <c r="C899" i="1"/>
  <c r="D899" i="1"/>
  <c r="C891" i="1"/>
  <c r="D891" i="1"/>
  <c r="C883" i="1"/>
  <c r="D883" i="1"/>
  <c r="C875" i="1"/>
  <c r="D875" i="1"/>
  <c r="C867" i="1"/>
  <c r="D867" i="1"/>
  <c r="C859" i="1"/>
  <c r="D859" i="1"/>
  <c r="C851" i="1"/>
  <c r="D851" i="1"/>
  <c r="C843" i="1"/>
  <c r="D843" i="1"/>
  <c r="C835" i="1"/>
  <c r="D835" i="1"/>
  <c r="C827" i="1"/>
  <c r="D827" i="1"/>
  <c r="D819" i="1"/>
  <c r="C819" i="1"/>
  <c r="D811" i="1"/>
  <c r="C811" i="1"/>
  <c r="D803" i="1"/>
  <c r="C803" i="1"/>
  <c r="D795" i="1"/>
  <c r="C795" i="1"/>
  <c r="D787" i="1"/>
  <c r="C787" i="1"/>
  <c r="D779" i="1"/>
  <c r="C779" i="1"/>
  <c r="D771" i="1"/>
  <c r="C771" i="1"/>
  <c r="D763" i="1"/>
  <c r="C763" i="1"/>
  <c r="D755" i="1"/>
  <c r="C755" i="1"/>
  <c r="D747" i="1"/>
  <c r="C747" i="1"/>
  <c r="D739" i="1"/>
  <c r="C739" i="1"/>
  <c r="D731" i="1"/>
  <c r="C731" i="1"/>
  <c r="D723" i="1"/>
  <c r="C723" i="1"/>
  <c r="D715" i="1"/>
  <c r="C715" i="1"/>
  <c r="D707" i="1"/>
  <c r="C707" i="1"/>
  <c r="D699" i="1"/>
  <c r="C699" i="1"/>
  <c r="D691" i="1"/>
  <c r="C691" i="1"/>
  <c r="D683" i="1"/>
  <c r="C683" i="1"/>
  <c r="D675" i="1"/>
  <c r="C675" i="1"/>
  <c r="D667" i="1"/>
  <c r="C667" i="1"/>
  <c r="D659" i="1"/>
  <c r="C659" i="1"/>
  <c r="D651" i="1"/>
  <c r="C651" i="1"/>
  <c r="D643" i="1"/>
  <c r="C643" i="1"/>
  <c r="D635" i="1"/>
  <c r="C635" i="1"/>
  <c r="D627" i="1"/>
  <c r="C627" i="1"/>
  <c r="C619" i="1"/>
  <c r="D619" i="1"/>
  <c r="D611" i="1"/>
  <c r="C611" i="1"/>
  <c r="C603" i="1"/>
  <c r="D603" i="1"/>
  <c r="D595" i="1"/>
  <c r="C595" i="1"/>
  <c r="C587" i="1"/>
  <c r="D587" i="1"/>
  <c r="D579" i="1"/>
  <c r="C579" i="1"/>
  <c r="C571" i="1"/>
  <c r="D571" i="1"/>
  <c r="D563" i="1"/>
  <c r="C563" i="1"/>
  <c r="C555" i="1"/>
  <c r="D555" i="1"/>
  <c r="D547" i="1"/>
  <c r="C547" i="1"/>
  <c r="C539" i="1"/>
  <c r="D539" i="1"/>
  <c r="D531" i="1"/>
  <c r="C531" i="1"/>
  <c r="D523" i="1"/>
  <c r="C523" i="1"/>
  <c r="D515" i="1"/>
  <c r="C515" i="1"/>
  <c r="D507" i="1"/>
  <c r="C507" i="1"/>
  <c r="D499" i="1"/>
  <c r="C499" i="1"/>
  <c r="D491" i="1"/>
  <c r="C491" i="1"/>
  <c r="C483" i="1"/>
  <c r="D483" i="1"/>
  <c r="C475" i="1"/>
  <c r="D475" i="1"/>
  <c r="C467" i="1"/>
  <c r="D467" i="1"/>
  <c r="C459" i="1"/>
  <c r="D459" i="1"/>
  <c r="C451" i="1"/>
  <c r="D451" i="1"/>
  <c r="C443" i="1"/>
  <c r="D443" i="1"/>
  <c r="C435" i="1"/>
  <c r="D435" i="1"/>
  <c r="C427" i="1"/>
  <c r="D427" i="1"/>
  <c r="C419" i="1"/>
  <c r="D419" i="1"/>
  <c r="C411" i="1"/>
  <c r="D411" i="1"/>
  <c r="C403" i="1"/>
  <c r="D403" i="1"/>
  <c r="C395" i="1"/>
  <c r="D395" i="1"/>
  <c r="C387" i="1"/>
  <c r="D387" i="1"/>
  <c r="C379" i="1"/>
  <c r="D379" i="1"/>
  <c r="C371" i="1"/>
  <c r="D371" i="1"/>
  <c r="C363" i="1"/>
  <c r="D363" i="1"/>
  <c r="C355" i="1"/>
  <c r="D355" i="1"/>
  <c r="C347" i="1"/>
  <c r="D347" i="1"/>
  <c r="C339" i="1"/>
  <c r="D339" i="1"/>
  <c r="C331" i="1"/>
  <c r="D331" i="1"/>
  <c r="C323" i="1"/>
  <c r="D323" i="1"/>
  <c r="C315" i="1"/>
  <c r="D315" i="1"/>
  <c r="C307" i="1"/>
  <c r="D307" i="1"/>
  <c r="C299" i="1"/>
  <c r="D299" i="1"/>
  <c r="C291" i="1"/>
  <c r="D291" i="1"/>
  <c r="C283" i="1"/>
  <c r="D283" i="1"/>
  <c r="C275" i="1"/>
  <c r="D275" i="1"/>
  <c r="C267" i="1"/>
  <c r="D267" i="1"/>
  <c r="C259" i="1"/>
  <c r="D259" i="1"/>
  <c r="C251" i="1"/>
  <c r="D251" i="1"/>
  <c r="C243" i="1"/>
  <c r="D243" i="1"/>
  <c r="C235" i="1"/>
  <c r="D235" i="1"/>
  <c r="C227" i="1"/>
  <c r="D227" i="1"/>
  <c r="C219" i="1"/>
  <c r="D219" i="1"/>
  <c r="C211" i="1"/>
  <c r="D211" i="1"/>
  <c r="C203" i="1"/>
  <c r="D203" i="1"/>
  <c r="C195" i="1"/>
  <c r="D195" i="1"/>
  <c r="C187" i="1"/>
  <c r="D187" i="1"/>
  <c r="C179" i="1"/>
  <c r="D179" i="1"/>
  <c r="C171" i="1"/>
  <c r="D171" i="1"/>
  <c r="C163" i="1"/>
  <c r="D163" i="1"/>
  <c r="C155" i="1"/>
  <c r="D155" i="1"/>
  <c r="C147" i="1"/>
  <c r="D147" i="1"/>
  <c r="C139" i="1"/>
  <c r="D139" i="1"/>
  <c r="C131" i="1"/>
  <c r="D131" i="1"/>
  <c r="C123" i="1"/>
  <c r="D123" i="1"/>
  <c r="C115" i="1"/>
  <c r="D115" i="1"/>
  <c r="C107" i="1"/>
  <c r="D107" i="1"/>
  <c r="C99" i="1"/>
  <c r="D99" i="1"/>
  <c r="C91" i="1"/>
  <c r="D91" i="1"/>
  <c r="C83" i="1"/>
  <c r="D83" i="1"/>
  <c r="C75" i="1"/>
  <c r="D75" i="1"/>
  <c r="C67" i="1"/>
  <c r="D67" i="1"/>
  <c r="C59" i="1"/>
  <c r="D59" i="1"/>
  <c r="C51" i="1"/>
  <c r="D51" i="1"/>
  <c r="C43" i="1"/>
  <c r="D43" i="1"/>
  <c r="C35" i="1"/>
  <c r="D35" i="1"/>
  <c r="C27" i="1"/>
  <c r="D27" i="1"/>
  <c r="D1978" i="1"/>
  <c r="C1978" i="1"/>
  <c r="D1962" i="1"/>
  <c r="C1962" i="1"/>
  <c r="D1954" i="1"/>
  <c r="C1954" i="1"/>
  <c r="D1946" i="1"/>
  <c r="C1946" i="1"/>
  <c r="D1938" i="1"/>
  <c r="C1938" i="1"/>
  <c r="D1930" i="1"/>
  <c r="C1930" i="1"/>
  <c r="C1922" i="1"/>
  <c r="D1922" i="1"/>
  <c r="C1914" i="1"/>
  <c r="D1914" i="1"/>
  <c r="D1906" i="1"/>
  <c r="C1906" i="1"/>
  <c r="D1898" i="1"/>
  <c r="C1898" i="1"/>
  <c r="D1890" i="1"/>
  <c r="C1890" i="1"/>
  <c r="D1882" i="1"/>
  <c r="C1882" i="1"/>
  <c r="D1874" i="1"/>
  <c r="C1874" i="1"/>
  <c r="D1866" i="1"/>
  <c r="C1866" i="1"/>
  <c r="D1858" i="1"/>
  <c r="C1858" i="1"/>
  <c r="D1850" i="1"/>
  <c r="C1850" i="1"/>
  <c r="D1842" i="1"/>
  <c r="C1842" i="1"/>
  <c r="D1834" i="1"/>
  <c r="C1834" i="1"/>
  <c r="D1826" i="1"/>
  <c r="C1826" i="1"/>
  <c r="D1818" i="1"/>
  <c r="C1818" i="1"/>
  <c r="D1810" i="1"/>
  <c r="C1810" i="1"/>
  <c r="D1802" i="1"/>
  <c r="C1802" i="1"/>
  <c r="D1794" i="1"/>
  <c r="C1794" i="1"/>
  <c r="D1786" i="1"/>
  <c r="C1786" i="1"/>
  <c r="D1778" i="1"/>
  <c r="C1778" i="1"/>
  <c r="D1770" i="1"/>
  <c r="C1770" i="1"/>
  <c r="D1762" i="1"/>
  <c r="C1762" i="1"/>
  <c r="D1754" i="1"/>
  <c r="C1754" i="1"/>
  <c r="D1746" i="1"/>
  <c r="C1746" i="1"/>
  <c r="D1738" i="1"/>
  <c r="C1738" i="1"/>
  <c r="D1730" i="1"/>
  <c r="C1730" i="1"/>
  <c r="D1722" i="1"/>
  <c r="C1722" i="1"/>
  <c r="D1714" i="1"/>
  <c r="C1714" i="1"/>
  <c r="D1706" i="1"/>
  <c r="C1706" i="1"/>
  <c r="D1698" i="1"/>
  <c r="C1698" i="1"/>
  <c r="D1690" i="1"/>
  <c r="C1690" i="1"/>
  <c r="D1682" i="1"/>
  <c r="C1682" i="1"/>
  <c r="D1674" i="1"/>
  <c r="C1674" i="1"/>
  <c r="C1666" i="1"/>
  <c r="D1666" i="1"/>
  <c r="D1658" i="1"/>
  <c r="C1658" i="1"/>
  <c r="C1650" i="1"/>
  <c r="D1650" i="1"/>
  <c r="C1642" i="1"/>
  <c r="D1642" i="1"/>
  <c r="C1634" i="1"/>
  <c r="D1634" i="1"/>
  <c r="C1626" i="1"/>
  <c r="D1626" i="1"/>
  <c r="C1618" i="1"/>
  <c r="D1618" i="1"/>
  <c r="C1610" i="1"/>
  <c r="D1610" i="1"/>
  <c r="C1602" i="1"/>
  <c r="D1602" i="1"/>
  <c r="C1594" i="1"/>
  <c r="D1594" i="1"/>
  <c r="C1586" i="1"/>
  <c r="D1586" i="1"/>
  <c r="C1578" i="1"/>
  <c r="D1578" i="1"/>
  <c r="C1570" i="1"/>
  <c r="D1570" i="1"/>
  <c r="C1562" i="1"/>
  <c r="D1562" i="1"/>
  <c r="C1554" i="1"/>
  <c r="D1554" i="1"/>
  <c r="C1546" i="1"/>
  <c r="D1546" i="1"/>
  <c r="C1538" i="1"/>
  <c r="D1538" i="1"/>
  <c r="C1530" i="1"/>
  <c r="D1530" i="1"/>
  <c r="C1522" i="1"/>
  <c r="D1522" i="1"/>
  <c r="C1514" i="1"/>
  <c r="D1514" i="1"/>
  <c r="C1506" i="1"/>
  <c r="D1506" i="1"/>
  <c r="C1498" i="1"/>
  <c r="D1498" i="1"/>
  <c r="C1490" i="1"/>
  <c r="D1490" i="1"/>
  <c r="C1482" i="1"/>
  <c r="D1482" i="1"/>
  <c r="C1474" i="1"/>
  <c r="D1474" i="1"/>
  <c r="C1466" i="1"/>
  <c r="D1466" i="1"/>
  <c r="C1458" i="1"/>
  <c r="D1458" i="1"/>
  <c r="C1450" i="1"/>
  <c r="D1450" i="1"/>
  <c r="C1442" i="1"/>
  <c r="D1442" i="1"/>
  <c r="C1434" i="1"/>
  <c r="D1434" i="1"/>
  <c r="C1426" i="1"/>
  <c r="D1426" i="1"/>
  <c r="C1418" i="1"/>
  <c r="D1418" i="1"/>
  <c r="C1410" i="1"/>
  <c r="D1410" i="1"/>
  <c r="C1402" i="1"/>
  <c r="D1402" i="1"/>
  <c r="C1394" i="1"/>
  <c r="D1394" i="1"/>
  <c r="C1386" i="1"/>
  <c r="D1386" i="1"/>
  <c r="C1378" i="1"/>
  <c r="D1378" i="1"/>
  <c r="C1370" i="1"/>
  <c r="D1370" i="1"/>
  <c r="C1362" i="1"/>
  <c r="D1362" i="1"/>
  <c r="C1354" i="1"/>
  <c r="D1354" i="1"/>
  <c r="C1346" i="1"/>
  <c r="D1346" i="1"/>
  <c r="C1338" i="1"/>
  <c r="D1338" i="1"/>
  <c r="C1330" i="1"/>
  <c r="D1330" i="1"/>
  <c r="C1322" i="1"/>
  <c r="D1322" i="1"/>
  <c r="C1314" i="1"/>
  <c r="D1314" i="1"/>
  <c r="C1306" i="1"/>
  <c r="D1306" i="1"/>
  <c r="C1298" i="1"/>
  <c r="D1298" i="1"/>
  <c r="C1290" i="1"/>
  <c r="D1290" i="1"/>
  <c r="C1282" i="1"/>
  <c r="D1282" i="1"/>
  <c r="C1274" i="1"/>
  <c r="D1274" i="1"/>
  <c r="C1266" i="1"/>
  <c r="D1266" i="1"/>
  <c r="C1258" i="1"/>
  <c r="D1258" i="1"/>
  <c r="C1250" i="1"/>
  <c r="D1250" i="1"/>
  <c r="C1242" i="1"/>
  <c r="D1242" i="1"/>
  <c r="C1234" i="1"/>
  <c r="D1234" i="1"/>
  <c r="C1226" i="1"/>
  <c r="D1226" i="1"/>
  <c r="C1218" i="1"/>
  <c r="D1218" i="1"/>
  <c r="C1210" i="1"/>
  <c r="D1210" i="1"/>
  <c r="C1202" i="1"/>
  <c r="D1202" i="1"/>
  <c r="C1194" i="1"/>
  <c r="D1194" i="1"/>
  <c r="C1186" i="1"/>
  <c r="D1186" i="1"/>
  <c r="C1178" i="1"/>
  <c r="D1178" i="1"/>
  <c r="C1170" i="1"/>
  <c r="D1170" i="1"/>
  <c r="C1162" i="1"/>
  <c r="D1162" i="1"/>
  <c r="C1154" i="1"/>
  <c r="D1154" i="1"/>
  <c r="C1146" i="1"/>
  <c r="D1146" i="1"/>
  <c r="C1138" i="1"/>
  <c r="D1138" i="1"/>
  <c r="C1130" i="1"/>
  <c r="D1130" i="1"/>
  <c r="C1122" i="1"/>
  <c r="D1122" i="1"/>
  <c r="C1114" i="1"/>
  <c r="D1114" i="1"/>
  <c r="C1106" i="1"/>
  <c r="D1106" i="1"/>
  <c r="C1098" i="1"/>
  <c r="D1098" i="1"/>
  <c r="C1090" i="1"/>
  <c r="D1090" i="1"/>
  <c r="C1082" i="1"/>
  <c r="D1082" i="1"/>
  <c r="C1074" i="1"/>
  <c r="D1074" i="1"/>
  <c r="C1066" i="1"/>
  <c r="D1066" i="1"/>
  <c r="D1058" i="1"/>
  <c r="C1058" i="1"/>
  <c r="D1050" i="1"/>
  <c r="C1050" i="1"/>
  <c r="D1042" i="1"/>
  <c r="C1042" i="1"/>
  <c r="D1034" i="1"/>
  <c r="C1034" i="1"/>
  <c r="D1026" i="1"/>
  <c r="C1026" i="1"/>
  <c r="D1018" i="1"/>
  <c r="C1018" i="1"/>
  <c r="D1010" i="1"/>
  <c r="C1010" i="1"/>
  <c r="D1002" i="1"/>
  <c r="C1002" i="1"/>
  <c r="D994" i="1"/>
  <c r="C994" i="1"/>
  <c r="D986" i="1"/>
  <c r="C986" i="1"/>
  <c r="D978" i="1"/>
  <c r="C978" i="1"/>
  <c r="D970" i="1"/>
  <c r="C970" i="1"/>
  <c r="D962" i="1"/>
  <c r="C962" i="1"/>
  <c r="D954" i="1"/>
  <c r="C954" i="1"/>
  <c r="D946" i="1"/>
  <c r="C946" i="1"/>
  <c r="D938" i="1"/>
  <c r="C938" i="1"/>
  <c r="D930" i="1"/>
  <c r="C930" i="1"/>
  <c r="D922" i="1"/>
  <c r="C922" i="1"/>
  <c r="D914" i="1"/>
  <c r="C914" i="1"/>
  <c r="D906" i="1"/>
  <c r="C906" i="1"/>
  <c r="D898" i="1"/>
  <c r="C898" i="1"/>
  <c r="D890" i="1"/>
  <c r="C890" i="1"/>
  <c r="D882" i="1"/>
  <c r="C882" i="1"/>
  <c r="D874" i="1"/>
  <c r="C874" i="1"/>
  <c r="D866" i="1"/>
  <c r="C866" i="1"/>
  <c r="D858" i="1"/>
  <c r="C858" i="1"/>
  <c r="D850" i="1"/>
  <c r="C850" i="1"/>
  <c r="D842" i="1"/>
  <c r="C842" i="1"/>
  <c r="D834" i="1"/>
  <c r="C834" i="1"/>
  <c r="D826" i="1"/>
  <c r="C826" i="1"/>
  <c r="C818" i="1"/>
  <c r="D818" i="1"/>
  <c r="C810" i="1"/>
  <c r="D810" i="1"/>
  <c r="C802" i="1"/>
  <c r="D802" i="1"/>
  <c r="C794" i="1"/>
  <c r="D794" i="1"/>
  <c r="C786" i="1"/>
  <c r="D786" i="1"/>
  <c r="C778" i="1"/>
  <c r="D778" i="1"/>
  <c r="C770" i="1"/>
  <c r="D770" i="1"/>
  <c r="C762" i="1"/>
  <c r="D762" i="1"/>
  <c r="C754" i="1"/>
  <c r="D754" i="1"/>
  <c r="C746" i="1"/>
  <c r="D746" i="1"/>
  <c r="C738" i="1"/>
  <c r="D738" i="1"/>
  <c r="C730" i="1"/>
  <c r="D730" i="1"/>
  <c r="C722" i="1"/>
  <c r="D722" i="1"/>
  <c r="C714" i="1"/>
  <c r="D714" i="1"/>
  <c r="C706" i="1"/>
  <c r="D706" i="1"/>
  <c r="C698" i="1"/>
  <c r="D698" i="1"/>
  <c r="C690" i="1"/>
  <c r="D690" i="1"/>
  <c r="C682" i="1"/>
  <c r="D682" i="1"/>
  <c r="C674" i="1"/>
  <c r="D674" i="1"/>
  <c r="C666" i="1"/>
  <c r="D666" i="1"/>
  <c r="C658" i="1"/>
  <c r="D658" i="1"/>
  <c r="C650" i="1"/>
  <c r="D650" i="1"/>
  <c r="C642" i="1"/>
  <c r="D642" i="1"/>
  <c r="C634" i="1"/>
  <c r="D634" i="1"/>
  <c r="D626" i="1"/>
  <c r="C626" i="1"/>
  <c r="D618" i="1"/>
  <c r="C618" i="1"/>
  <c r="D610" i="1"/>
  <c r="C610" i="1"/>
  <c r="D602" i="1"/>
  <c r="C602" i="1"/>
  <c r="D594" i="1"/>
  <c r="C594" i="1"/>
  <c r="D586" i="1"/>
  <c r="C586" i="1"/>
  <c r="D578" i="1"/>
  <c r="C578" i="1"/>
  <c r="D570" i="1"/>
  <c r="C570" i="1"/>
  <c r="D562" i="1"/>
  <c r="C562" i="1"/>
  <c r="D554" i="1"/>
  <c r="C554" i="1"/>
  <c r="D546" i="1"/>
  <c r="C546" i="1"/>
  <c r="D538" i="1"/>
  <c r="C538" i="1"/>
  <c r="D530" i="1"/>
  <c r="C530" i="1"/>
  <c r="D522" i="1"/>
  <c r="C522" i="1"/>
  <c r="D514" i="1"/>
  <c r="C514" i="1"/>
  <c r="D506" i="1"/>
  <c r="C506" i="1"/>
  <c r="D498" i="1"/>
  <c r="C498" i="1"/>
  <c r="D490" i="1"/>
  <c r="C490" i="1"/>
  <c r="D482" i="1"/>
  <c r="C482" i="1"/>
  <c r="D474" i="1"/>
  <c r="C474" i="1"/>
  <c r="C466" i="1"/>
  <c r="D466" i="1"/>
  <c r="C458" i="1"/>
  <c r="D458" i="1"/>
  <c r="C450" i="1"/>
  <c r="D450" i="1"/>
  <c r="C442" i="1"/>
  <c r="D442" i="1"/>
  <c r="C434" i="1"/>
  <c r="D434" i="1"/>
  <c r="C426" i="1"/>
  <c r="D426" i="1"/>
  <c r="C418" i="1"/>
  <c r="D418" i="1"/>
  <c r="C410" i="1"/>
  <c r="D410" i="1"/>
  <c r="C402" i="1"/>
  <c r="D402" i="1"/>
  <c r="C394" i="1"/>
  <c r="D394" i="1"/>
  <c r="C386" i="1"/>
  <c r="D386" i="1"/>
  <c r="C378" i="1"/>
  <c r="D378" i="1"/>
  <c r="C370" i="1"/>
  <c r="D370" i="1"/>
  <c r="C362" i="1"/>
  <c r="D362" i="1"/>
  <c r="C354" i="1"/>
  <c r="D354" i="1"/>
  <c r="C346" i="1"/>
  <c r="D346" i="1"/>
  <c r="C338" i="1"/>
  <c r="D338" i="1"/>
  <c r="C330" i="1"/>
  <c r="D330" i="1"/>
  <c r="C322" i="1"/>
  <c r="D322" i="1"/>
  <c r="C314" i="1"/>
  <c r="D314" i="1"/>
  <c r="C306" i="1"/>
  <c r="D306" i="1"/>
  <c r="C298" i="1"/>
  <c r="D298" i="1"/>
  <c r="C290" i="1"/>
  <c r="D290" i="1"/>
  <c r="C282" i="1"/>
  <c r="D282" i="1"/>
  <c r="C274" i="1"/>
  <c r="D274" i="1"/>
  <c r="C266" i="1"/>
  <c r="D266" i="1"/>
  <c r="C258" i="1"/>
  <c r="D258" i="1"/>
  <c r="C250" i="1"/>
  <c r="D250" i="1"/>
  <c r="C242" i="1"/>
  <c r="D242" i="1"/>
  <c r="C234" i="1"/>
  <c r="D234" i="1"/>
  <c r="C226" i="1"/>
  <c r="D226" i="1"/>
  <c r="C218" i="1"/>
  <c r="D218" i="1"/>
  <c r="C210" i="1"/>
  <c r="D210" i="1"/>
  <c r="C202" i="1"/>
  <c r="D202" i="1"/>
  <c r="C194" i="1"/>
  <c r="D194" i="1"/>
  <c r="C186" i="1"/>
  <c r="D186" i="1"/>
  <c r="C178" i="1"/>
  <c r="D178" i="1"/>
  <c r="C170" i="1"/>
  <c r="D170" i="1"/>
  <c r="C162" i="1"/>
  <c r="D162" i="1"/>
  <c r="C154" i="1"/>
  <c r="D154" i="1"/>
  <c r="C146" i="1"/>
  <c r="D146" i="1"/>
  <c r="C138" i="1"/>
  <c r="D138" i="1"/>
  <c r="C130" i="1"/>
  <c r="D130" i="1"/>
  <c r="C122" i="1"/>
  <c r="D122" i="1"/>
  <c r="C114" i="1"/>
  <c r="D114" i="1"/>
  <c r="C106" i="1"/>
  <c r="D106" i="1"/>
  <c r="C98" i="1"/>
  <c r="D98" i="1"/>
  <c r="C90" i="1"/>
  <c r="D90" i="1"/>
  <c r="C82" i="1"/>
  <c r="D82" i="1"/>
  <c r="C74" i="1"/>
  <c r="D74" i="1"/>
  <c r="C66" i="1"/>
  <c r="D66" i="1"/>
  <c r="C58" i="1"/>
  <c r="D58" i="1"/>
  <c r="C50" i="1"/>
  <c r="D50" i="1"/>
  <c r="C42" i="1"/>
  <c r="D42" i="1"/>
  <c r="C34" i="1"/>
  <c r="D34" i="1"/>
  <c r="C26" i="1"/>
  <c r="D26" i="1"/>
  <c r="D1994" i="1"/>
  <c r="C1994" i="1"/>
  <c r="D1993" i="1"/>
  <c r="C1993" i="1"/>
  <c r="D1945" i="1"/>
  <c r="C1945" i="1"/>
  <c r="D1905" i="1"/>
  <c r="C1905" i="1"/>
  <c r="C1889" i="1"/>
  <c r="D1889" i="1"/>
  <c r="C1865" i="1"/>
  <c r="D1865" i="1"/>
  <c r="C1849" i="1"/>
  <c r="D1849" i="1"/>
  <c r="C1833" i="1"/>
  <c r="D1833" i="1"/>
  <c r="C1817" i="1"/>
  <c r="D1817" i="1"/>
  <c r="C1793" i="1"/>
  <c r="D1793" i="1"/>
  <c r="C1777" i="1"/>
  <c r="D1777" i="1"/>
  <c r="C1761" i="1"/>
  <c r="D1761" i="1"/>
  <c r="C1745" i="1"/>
  <c r="D1745" i="1"/>
  <c r="C1729" i="1"/>
  <c r="D1729" i="1"/>
  <c r="C1705" i="1"/>
  <c r="D1705" i="1"/>
  <c r="C1689" i="1"/>
  <c r="D1689" i="1"/>
  <c r="C1681" i="1"/>
  <c r="D1681" i="1"/>
  <c r="C1665" i="1"/>
  <c r="D1665" i="1"/>
  <c r="D1657" i="1"/>
  <c r="C1657" i="1"/>
  <c r="D1649" i="1"/>
  <c r="C1649" i="1"/>
  <c r="D1641" i="1"/>
  <c r="C1641" i="1"/>
  <c r="D1633" i="1"/>
  <c r="C1633" i="1"/>
  <c r="D1625" i="1"/>
  <c r="C1625" i="1"/>
  <c r="D1617" i="1"/>
  <c r="C1617" i="1"/>
  <c r="D1609" i="1"/>
  <c r="C1609" i="1"/>
  <c r="D1601" i="1"/>
  <c r="C1601" i="1"/>
  <c r="D1593" i="1"/>
  <c r="C1593" i="1"/>
  <c r="C1585" i="1"/>
  <c r="D1585" i="1"/>
  <c r="C1577" i="1"/>
  <c r="D1577" i="1"/>
  <c r="C1569" i="1"/>
  <c r="D1569" i="1"/>
  <c r="C1561" i="1"/>
  <c r="D1561" i="1"/>
  <c r="C1553" i="1"/>
  <c r="D1553" i="1"/>
  <c r="C1545" i="1"/>
  <c r="D1545" i="1"/>
  <c r="C1537" i="1"/>
  <c r="D1537" i="1"/>
  <c r="C1529" i="1"/>
  <c r="D1529" i="1"/>
  <c r="C1521" i="1"/>
  <c r="D1521" i="1"/>
  <c r="C1513" i="1"/>
  <c r="D1513" i="1"/>
  <c r="C1505" i="1"/>
  <c r="D1505" i="1"/>
  <c r="C1497" i="1"/>
  <c r="D1497" i="1"/>
  <c r="C1489" i="1"/>
  <c r="D1489" i="1"/>
  <c r="C1481" i="1"/>
  <c r="D1481" i="1"/>
  <c r="C1473" i="1"/>
  <c r="D1473" i="1"/>
  <c r="C1465" i="1"/>
  <c r="D1465" i="1"/>
  <c r="C1457" i="1"/>
  <c r="D1457" i="1"/>
  <c r="C1449" i="1"/>
  <c r="D1449" i="1"/>
  <c r="C1441" i="1"/>
  <c r="D1441" i="1"/>
  <c r="C1433" i="1"/>
  <c r="D1433" i="1"/>
  <c r="C1425" i="1"/>
  <c r="D1425" i="1"/>
  <c r="C1417" i="1"/>
  <c r="D1417" i="1"/>
  <c r="C1409" i="1"/>
  <c r="D1409" i="1"/>
  <c r="C1401" i="1"/>
  <c r="D1401" i="1"/>
  <c r="C1393" i="1"/>
  <c r="D1393" i="1"/>
  <c r="C1385" i="1"/>
  <c r="D1385" i="1"/>
  <c r="C1377" i="1"/>
  <c r="D1377" i="1"/>
  <c r="C1369" i="1"/>
  <c r="D1369" i="1"/>
  <c r="C1361" i="1"/>
  <c r="D1361" i="1"/>
  <c r="D1353" i="1"/>
  <c r="C1353" i="1"/>
  <c r="D1345" i="1"/>
  <c r="C1345" i="1"/>
  <c r="D1337" i="1"/>
  <c r="C1337" i="1"/>
  <c r="D1329" i="1"/>
  <c r="C1329" i="1"/>
  <c r="D1321" i="1"/>
  <c r="C1321" i="1"/>
  <c r="D1313" i="1"/>
  <c r="C1313" i="1"/>
  <c r="C1305" i="1"/>
  <c r="D1305" i="1"/>
  <c r="C1297" i="1"/>
  <c r="D1297" i="1"/>
  <c r="C1289" i="1"/>
  <c r="D1289" i="1"/>
  <c r="C1281" i="1"/>
  <c r="D1281" i="1"/>
  <c r="C1273" i="1"/>
  <c r="D1273" i="1"/>
  <c r="C1265" i="1"/>
  <c r="D1265" i="1"/>
  <c r="C1257" i="1"/>
  <c r="D1257" i="1"/>
  <c r="C1249" i="1"/>
  <c r="D1249" i="1"/>
  <c r="C1241" i="1"/>
  <c r="D1241" i="1"/>
  <c r="C1233" i="1"/>
  <c r="D1233" i="1"/>
  <c r="C1225" i="1"/>
  <c r="D1225" i="1"/>
  <c r="C1217" i="1"/>
  <c r="D1217" i="1"/>
  <c r="C1209" i="1"/>
  <c r="D1209" i="1"/>
  <c r="C1201" i="1"/>
  <c r="D1201" i="1"/>
  <c r="C1193" i="1"/>
  <c r="D1193" i="1"/>
  <c r="C1185" i="1"/>
  <c r="D1185" i="1"/>
  <c r="C1177" i="1"/>
  <c r="D1177" i="1"/>
  <c r="C1169" i="1"/>
  <c r="D1169" i="1"/>
  <c r="C1161" i="1"/>
  <c r="D1161" i="1"/>
  <c r="C1153" i="1"/>
  <c r="D1153" i="1"/>
  <c r="C1145" i="1"/>
  <c r="D1145" i="1"/>
  <c r="C1137" i="1"/>
  <c r="D1137" i="1"/>
  <c r="C1129" i="1"/>
  <c r="D1129" i="1"/>
  <c r="D1121" i="1"/>
  <c r="C1121" i="1"/>
  <c r="C1113" i="1"/>
  <c r="D1113" i="1"/>
  <c r="C1105" i="1"/>
  <c r="D1105" i="1"/>
  <c r="C1097" i="1"/>
  <c r="D1097" i="1"/>
  <c r="C1089" i="1"/>
  <c r="D1089" i="1"/>
  <c r="C1081" i="1"/>
  <c r="D1081" i="1"/>
  <c r="C1073" i="1"/>
  <c r="D1073" i="1"/>
  <c r="C1065" i="1"/>
  <c r="D1065" i="1"/>
  <c r="C1057" i="1"/>
  <c r="D1057" i="1"/>
  <c r="C1049" i="1"/>
  <c r="D1049" i="1"/>
  <c r="C1041" i="1"/>
  <c r="D1041" i="1"/>
  <c r="C1033" i="1"/>
  <c r="D1033" i="1"/>
  <c r="C1025" i="1"/>
  <c r="D1025" i="1"/>
  <c r="C1017" i="1"/>
  <c r="D1017" i="1"/>
  <c r="C1009" i="1"/>
  <c r="D1009" i="1"/>
  <c r="C1001" i="1"/>
  <c r="D1001" i="1"/>
  <c r="C993" i="1"/>
  <c r="D993" i="1"/>
  <c r="C985" i="1"/>
  <c r="D985" i="1"/>
  <c r="C977" i="1"/>
  <c r="D977" i="1"/>
  <c r="C969" i="1"/>
  <c r="D969" i="1"/>
  <c r="C961" i="1"/>
  <c r="D961" i="1"/>
  <c r="C953" i="1"/>
  <c r="D953" i="1"/>
  <c r="C945" i="1"/>
  <c r="D945" i="1"/>
  <c r="C937" i="1"/>
  <c r="D937" i="1"/>
  <c r="C929" i="1"/>
  <c r="D929" i="1"/>
  <c r="C921" i="1"/>
  <c r="D921" i="1"/>
  <c r="C913" i="1"/>
  <c r="D913" i="1"/>
  <c r="C905" i="1"/>
  <c r="D905" i="1"/>
  <c r="C897" i="1"/>
  <c r="D897" i="1"/>
  <c r="C889" i="1"/>
  <c r="D889" i="1"/>
  <c r="C881" i="1"/>
  <c r="D881" i="1"/>
  <c r="C873" i="1"/>
  <c r="D873" i="1"/>
  <c r="C865" i="1"/>
  <c r="D865" i="1"/>
  <c r="C857" i="1"/>
  <c r="D857" i="1"/>
  <c r="C849" i="1"/>
  <c r="D849" i="1"/>
  <c r="C841" i="1"/>
  <c r="D841" i="1"/>
  <c r="C833" i="1"/>
  <c r="D833" i="1"/>
  <c r="C825" i="1"/>
  <c r="D825" i="1"/>
  <c r="C817" i="1"/>
  <c r="D817" i="1"/>
  <c r="C809" i="1"/>
  <c r="D809" i="1"/>
  <c r="C801" i="1"/>
  <c r="D801" i="1"/>
  <c r="C793" i="1"/>
  <c r="D793" i="1"/>
  <c r="C785" i="1"/>
  <c r="D785" i="1"/>
  <c r="C777" i="1"/>
  <c r="D777" i="1"/>
  <c r="C769" i="1"/>
  <c r="D769" i="1"/>
  <c r="C761" i="1"/>
  <c r="D761" i="1"/>
  <c r="C753" i="1"/>
  <c r="D753" i="1"/>
  <c r="C745" i="1"/>
  <c r="D745" i="1"/>
  <c r="C737" i="1"/>
  <c r="D737" i="1"/>
  <c r="C729" i="1"/>
  <c r="D729" i="1"/>
  <c r="C721" i="1"/>
  <c r="D721" i="1"/>
  <c r="C713" i="1"/>
  <c r="D713" i="1"/>
  <c r="C705" i="1"/>
  <c r="D705" i="1"/>
  <c r="C697" i="1"/>
  <c r="D697" i="1"/>
  <c r="C689" i="1"/>
  <c r="D689" i="1"/>
  <c r="C681" i="1"/>
  <c r="D681" i="1"/>
  <c r="C673" i="1"/>
  <c r="D673" i="1"/>
  <c r="C665" i="1"/>
  <c r="D665" i="1"/>
  <c r="C657" i="1"/>
  <c r="D657" i="1"/>
  <c r="C649" i="1"/>
  <c r="D649" i="1"/>
  <c r="C641" i="1"/>
  <c r="D641" i="1"/>
  <c r="C633" i="1"/>
  <c r="D633" i="1"/>
  <c r="C625" i="1"/>
  <c r="D625" i="1"/>
  <c r="C617" i="1"/>
  <c r="D617" i="1"/>
  <c r="C609" i="1"/>
  <c r="D609" i="1"/>
  <c r="C601" i="1"/>
  <c r="D601" i="1"/>
  <c r="C593" i="1"/>
  <c r="D593" i="1"/>
  <c r="C585" i="1"/>
  <c r="D585" i="1"/>
  <c r="C577" i="1"/>
  <c r="D577" i="1"/>
  <c r="C569" i="1"/>
  <c r="D569" i="1"/>
  <c r="C561" i="1"/>
  <c r="D561" i="1"/>
  <c r="C553" i="1"/>
  <c r="D553" i="1"/>
  <c r="C545" i="1"/>
  <c r="D545" i="1"/>
  <c r="C537" i="1"/>
  <c r="D537" i="1"/>
  <c r="C529" i="1"/>
  <c r="D529" i="1"/>
  <c r="C521" i="1"/>
  <c r="D521" i="1"/>
  <c r="C513" i="1"/>
  <c r="D513" i="1"/>
  <c r="C505" i="1"/>
  <c r="D505" i="1"/>
  <c r="C497" i="1"/>
  <c r="D497" i="1"/>
  <c r="C489" i="1"/>
  <c r="D489" i="1"/>
  <c r="C481" i="1"/>
  <c r="D481" i="1"/>
  <c r="C473" i="1"/>
  <c r="D473" i="1"/>
  <c r="C465" i="1"/>
  <c r="D465" i="1"/>
  <c r="C457" i="1"/>
  <c r="D457" i="1"/>
  <c r="C449" i="1"/>
  <c r="D449" i="1"/>
  <c r="C441" i="1"/>
  <c r="D441" i="1"/>
  <c r="C433" i="1"/>
  <c r="D433" i="1"/>
  <c r="C425" i="1"/>
  <c r="D425" i="1"/>
  <c r="C417" i="1"/>
  <c r="D417" i="1"/>
  <c r="C409" i="1"/>
  <c r="D409" i="1"/>
  <c r="C401" i="1"/>
  <c r="D401" i="1"/>
  <c r="C393" i="1"/>
  <c r="D393" i="1"/>
  <c r="C385" i="1"/>
  <c r="D385" i="1"/>
  <c r="C377" i="1"/>
  <c r="D377" i="1"/>
  <c r="C369" i="1"/>
  <c r="D369" i="1"/>
  <c r="C361" i="1"/>
  <c r="D361" i="1"/>
  <c r="D353" i="1"/>
  <c r="C353" i="1"/>
  <c r="D345" i="1"/>
  <c r="C345" i="1"/>
  <c r="D337" i="1"/>
  <c r="C337" i="1"/>
  <c r="D329" i="1"/>
  <c r="C329" i="1"/>
  <c r="D321" i="1"/>
  <c r="C321" i="1"/>
  <c r="D313" i="1"/>
  <c r="C313" i="1"/>
  <c r="D305" i="1"/>
  <c r="C305" i="1"/>
  <c r="D297" i="1"/>
  <c r="C297" i="1"/>
  <c r="D289" i="1"/>
  <c r="C289" i="1"/>
  <c r="D281" i="1"/>
  <c r="C281" i="1"/>
  <c r="D273" i="1"/>
  <c r="C273" i="1"/>
  <c r="D265" i="1"/>
  <c r="C265" i="1"/>
  <c r="D257" i="1"/>
  <c r="C257" i="1"/>
  <c r="D249" i="1"/>
  <c r="C249" i="1"/>
  <c r="D241" i="1"/>
  <c r="C241" i="1"/>
  <c r="D233" i="1"/>
  <c r="C233" i="1"/>
  <c r="D225" i="1"/>
  <c r="C225" i="1"/>
  <c r="D217" i="1"/>
  <c r="C217" i="1"/>
  <c r="D209" i="1"/>
  <c r="C209" i="1"/>
  <c r="D201" i="1"/>
  <c r="C201" i="1"/>
  <c r="D193" i="1"/>
  <c r="C193" i="1"/>
  <c r="D185" i="1"/>
  <c r="C185" i="1"/>
  <c r="D177" i="1"/>
  <c r="C177" i="1"/>
  <c r="D169" i="1"/>
  <c r="C169" i="1"/>
  <c r="D161" i="1"/>
  <c r="C161" i="1"/>
  <c r="D153" i="1"/>
  <c r="C153" i="1"/>
  <c r="D145" i="1"/>
  <c r="C145" i="1"/>
  <c r="D137" i="1"/>
  <c r="C137" i="1"/>
  <c r="D129" i="1"/>
  <c r="C129" i="1"/>
  <c r="D121" i="1"/>
  <c r="C121" i="1"/>
  <c r="D113" i="1"/>
  <c r="C113" i="1"/>
  <c r="D105" i="1"/>
  <c r="C105" i="1"/>
  <c r="D97" i="1"/>
  <c r="C97" i="1"/>
  <c r="D89" i="1"/>
  <c r="C89" i="1"/>
  <c r="D81" i="1"/>
  <c r="C81" i="1"/>
  <c r="D73" i="1"/>
  <c r="C73" i="1"/>
  <c r="D65" i="1"/>
  <c r="C65" i="1"/>
  <c r="D57" i="1"/>
  <c r="C57" i="1"/>
  <c r="D49" i="1"/>
  <c r="C49" i="1"/>
  <c r="D41" i="1"/>
  <c r="C41" i="1"/>
  <c r="D33" i="1"/>
  <c r="C33" i="1"/>
  <c r="D25" i="1"/>
  <c r="C25" i="1"/>
  <c r="D1986" i="1"/>
  <c r="C1986" i="1"/>
  <c r="D1985" i="1"/>
  <c r="C1985" i="1"/>
  <c r="D1953" i="1"/>
  <c r="C1953" i="1"/>
  <c r="D1929" i="1"/>
  <c r="C1929" i="1"/>
  <c r="C1897" i="1"/>
  <c r="D1897" i="1"/>
  <c r="C1881" i="1"/>
  <c r="D1881" i="1"/>
  <c r="C1873" i="1"/>
  <c r="D1873" i="1"/>
  <c r="C1857" i="1"/>
  <c r="D1857" i="1"/>
  <c r="C1841" i="1"/>
  <c r="D1841" i="1"/>
  <c r="C1825" i="1"/>
  <c r="D1825" i="1"/>
  <c r="C1809" i="1"/>
  <c r="D1809" i="1"/>
  <c r="C1801" i="1"/>
  <c r="D1801" i="1"/>
  <c r="C1785" i="1"/>
  <c r="D1785" i="1"/>
  <c r="C1769" i="1"/>
  <c r="D1769" i="1"/>
  <c r="C1753" i="1"/>
  <c r="D1753" i="1"/>
  <c r="C1737" i="1"/>
  <c r="D1737" i="1"/>
  <c r="C1721" i="1"/>
  <c r="D1721" i="1"/>
  <c r="C1713" i="1"/>
  <c r="D1713" i="1"/>
  <c r="C1697" i="1"/>
  <c r="D1697" i="1"/>
  <c r="C1673" i="1"/>
  <c r="D1673" i="1"/>
  <c r="C2000" i="1"/>
  <c r="D2000" i="1"/>
  <c r="C1992" i="1"/>
  <c r="D1992" i="1"/>
  <c r="C1984" i="1"/>
  <c r="D1984" i="1"/>
  <c r="C1976" i="1"/>
  <c r="D1976" i="1"/>
  <c r="C1968" i="1"/>
  <c r="D1968" i="1"/>
  <c r="C1960" i="1"/>
  <c r="D1960" i="1"/>
  <c r="C1952" i="1"/>
  <c r="D1952" i="1"/>
  <c r="C1944" i="1"/>
  <c r="D1944" i="1"/>
  <c r="C1936" i="1"/>
  <c r="D1936" i="1"/>
  <c r="C1928" i="1"/>
  <c r="D1928" i="1"/>
  <c r="D1920" i="1"/>
  <c r="C1920" i="1"/>
  <c r="C1912" i="1"/>
  <c r="D1912" i="1"/>
  <c r="C1904" i="1"/>
  <c r="D1904" i="1"/>
  <c r="C1896" i="1"/>
  <c r="D1896" i="1"/>
  <c r="C1888" i="1"/>
  <c r="D1888" i="1"/>
  <c r="C1880" i="1"/>
  <c r="D1880" i="1"/>
  <c r="C1872" i="1"/>
  <c r="D1872" i="1"/>
  <c r="C1864" i="1"/>
  <c r="D1864" i="1"/>
  <c r="C1856" i="1"/>
  <c r="D1856" i="1"/>
  <c r="C1848" i="1"/>
  <c r="D1848" i="1"/>
  <c r="C1840" i="1"/>
  <c r="D1840" i="1"/>
  <c r="C1832" i="1"/>
  <c r="D1832" i="1"/>
  <c r="D1824" i="1"/>
  <c r="C1824" i="1"/>
  <c r="C1816" i="1"/>
  <c r="D1816" i="1"/>
  <c r="C1808" i="1"/>
  <c r="D1808" i="1"/>
  <c r="C1800" i="1"/>
  <c r="D1800" i="1"/>
  <c r="C1792" i="1"/>
  <c r="D1792" i="1"/>
  <c r="C1784" i="1"/>
  <c r="D1784" i="1"/>
  <c r="C1776" i="1"/>
  <c r="D1776" i="1"/>
  <c r="C1768" i="1"/>
  <c r="D1768" i="1"/>
  <c r="C1760" i="1"/>
  <c r="D1760" i="1"/>
  <c r="C1752" i="1"/>
  <c r="D1752" i="1"/>
  <c r="C1744" i="1"/>
  <c r="D1744" i="1"/>
  <c r="C1736" i="1"/>
  <c r="D1736" i="1"/>
  <c r="C1728" i="1"/>
  <c r="D1728" i="1"/>
  <c r="C1720" i="1"/>
  <c r="D1720" i="1"/>
  <c r="C1712" i="1"/>
  <c r="D1712" i="1"/>
  <c r="C1704" i="1"/>
  <c r="D1704" i="1"/>
  <c r="C1696" i="1"/>
  <c r="D1696" i="1"/>
  <c r="C1688" i="1"/>
  <c r="D1688" i="1"/>
  <c r="C1680" i="1"/>
  <c r="D1680" i="1"/>
  <c r="C1672" i="1"/>
  <c r="D1672" i="1"/>
  <c r="D1664" i="1"/>
  <c r="C1664" i="1"/>
  <c r="D1656" i="1"/>
  <c r="C1656" i="1"/>
  <c r="D1648" i="1"/>
  <c r="C1648" i="1"/>
  <c r="D1640" i="1"/>
  <c r="C1640" i="1"/>
  <c r="D1632" i="1"/>
  <c r="C1632" i="1"/>
  <c r="D1624" i="1"/>
  <c r="C1624" i="1"/>
  <c r="D1616" i="1"/>
  <c r="C1616" i="1"/>
  <c r="D1608" i="1"/>
  <c r="C1608" i="1"/>
  <c r="D1600" i="1"/>
  <c r="C1600" i="1"/>
  <c r="D1592" i="1"/>
  <c r="C1592" i="1"/>
  <c r="D1584" i="1"/>
  <c r="C1584" i="1"/>
  <c r="D1576" i="1"/>
  <c r="C1576" i="1"/>
  <c r="D1568" i="1"/>
  <c r="C1568" i="1"/>
  <c r="D1560" i="1"/>
  <c r="C1560" i="1"/>
  <c r="D1552" i="1"/>
  <c r="C1552" i="1"/>
  <c r="D1544" i="1"/>
  <c r="C1544" i="1"/>
  <c r="D1536" i="1"/>
  <c r="C1536" i="1"/>
  <c r="D1528" i="1"/>
  <c r="C1528" i="1"/>
  <c r="D1520" i="1"/>
  <c r="C1520" i="1"/>
  <c r="D1512" i="1"/>
  <c r="C1512" i="1"/>
  <c r="D1504" i="1"/>
  <c r="C1504" i="1"/>
  <c r="D1496" i="1"/>
  <c r="C1496" i="1"/>
  <c r="D1488" i="1"/>
  <c r="C1488" i="1"/>
  <c r="D1480" i="1"/>
  <c r="C1480" i="1"/>
  <c r="D1472" i="1"/>
  <c r="C1472" i="1"/>
  <c r="D1464" i="1"/>
  <c r="C1464" i="1"/>
  <c r="D1456" i="1"/>
  <c r="C1456" i="1"/>
  <c r="D1448" i="1"/>
  <c r="C1448" i="1"/>
  <c r="D1440" i="1"/>
  <c r="C1440" i="1"/>
  <c r="D1432" i="1"/>
  <c r="C1432" i="1"/>
  <c r="D1424" i="1"/>
  <c r="C1424" i="1"/>
  <c r="D1416" i="1"/>
  <c r="C1416" i="1"/>
  <c r="C1408" i="1"/>
  <c r="D1408" i="1"/>
  <c r="C1400" i="1"/>
  <c r="D1400" i="1"/>
  <c r="C1392" i="1"/>
  <c r="D1392" i="1"/>
  <c r="C1384" i="1"/>
  <c r="D1384" i="1"/>
  <c r="C1376" i="1"/>
  <c r="D1376" i="1"/>
  <c r="C1368" i="1"/>
  <c r="D1368" i="1"/>
  <c r="C1360" i="1"/>
  <c r="D1360" i="1"/>
  <c r="C1352" i="1"/>
  <c r="D1352" i="1"/>
  <c r="C1344" i="1"/>
  <c r="D1344" i="1"/>
  <c r="C1336" i="1"/>
  <c r="D1336" i="1"/>
  <c r="C1328" i="1"/>
  <c r="D1328" i="1"/>
  <c r="C1320" i="1"/>
  <c r="D1320" i="1"/>
  <c r="C1312" i="1"/>
  <c r="D1312" i="1"/>
  <c r="C1304" i="1"/>
  <c r="D1304" i="1"/>
  <c r="C1296" i="1"/>
  <c r="D1296" i="1"/>
  <c r="C1288" i="1"/>
  <c r="D1288" i="1"/>
  <c r="C1280" i="1"/>
  <c r="D1280" i="1"/>
  <c r="C1272" i="1"/>
  <c r="D1272" i="1"/>
  <c r="C1264" i="1"/>
  <c r="D1264" i="1"/>
  <c r="C1256" i="1"/>
  <c r="D1256" i="1"/>
  <c r="C1248" i="1"/>
  <c r="D1248" i="1"/>
  <c r="C1240" i="1"/>
  <c r="D1240" i="1"/>
  <c r="C1232" i="1"/>
  <c r="D1232" i="1"/>
  <c r="C1224" i="1"/>
  <c r="D1224" i="1"/>
  <c r="C1216" i="1"/>
  <c r="D1216" i="1"/>
  <c r="C1208" i="1"/>
  <c r="D1208" i="1"/>
  <c r="C1200" i="1"/>
  <c r="D1200" i="1"/>
  <c r="C1192" i="1"/>
  <c r="D1192" i="1"/>
  <c r="C1184" i="1"/>
  <c r="D1184" i="1"/>
  <c r="C1176" i="1"/>
  <c r="D1176" i="1"/>
  <c r="C1168" i="1"/>
  <c r="D1168" i="1"/>
  <c r="C1160" i="1"/>
  <c r="D1160" i="1"/>
  <c r="C1152" i="1"/>
  <c r="D1152" i="1"/>
  <c r="C1144" i="1"/>
  <c r="D1144" i="1"/>
  <c r="C1136" i="1"/>
  <c r="D1136" i="1"/>
  <c r="C1128" i="1"/>
  <c r="D1128" i="1"/>
  <c r="C1120" i="1"/>
  <c r="D1120" i="1"/>
  <c r="D1112" i="1"/>
  <c r="C1112" i="1"/>
  <c r="D1104" i="1"/>
  <c r="C1104" i="1"/>
  <c r="D1096" i="1"/>
  <c r="C1096" i="1"/>
  <c r="D1088" i="1"/>
  <c r="C1088" i="1"/>
  <c r="D1080" i="1"/>
  <c r="C1080" i="1"/>
  <c r="D1072" i="1"/>
  <c r="C1072" i="1"/>
  <c r="D1064" i="1"/>
  <c r="C1064" i="1"/>
  <c r="D1056" i="1"/>
  <c r="C1056" i="1"/>
  <c r="D1048" i="1"/>
  <c r="C1048" i="1"/>
  <c r="D1040" i="1"/>
  <c r="C1040" i="1"/>
  <c r="D1032" i="1"/>
  <c r="C1032" i="1"/>
  <c r="D1024" i="1"/>
  <c r="C1024" i="1"/>
  <c r="D1016" i="1"/>
  <c r="C1016" i="1"/>
  <c r="C1008" i="1"/>
  <c r="D1008" i="1"/>
  <c r="C1000" i="1"/>
  <c r="D1000" i="1"/>
  <c r="C992" i="1"/>
  <c r="D992" i="1"/>
  <c r="C984" i="1"/>
  <c r="D984" i="1"/>
  <c r="C976" i="1"/>
  <c r="D976" i="1"/>
  <c r="C968" i="1"/>
  <c r="D968" i="1"/>
  <c r="C960" i="1"/>
  <c r="D960" i="1"/>
  <c r="C952" i="1"/>
  <c r="D952" i="1"/>
  <c r="C944" i="1"/>
  <c r="D944" i="1"/>
  <c r="C936" i="1"/>
  <c r="D936" i="1"/>
  <c r="C928" i="1"/>
  <c r="D928" i="1"/>
  <c r="C920" i="1"/>
  <c r="D920" i="1"/>
  <c r="C912" i="1"/>
  <c r="D912" i="1"/>
  <c r="C904" i="1"/>
  <c r="D904" i="1"/>
  <c r="C896" i="1"/>
  <c r="D896" i="1"/>
  <c r="C888" i="1"/>
  <c r="D888" i="1"/>
  <c r="C880" i="1"/>
  <c r="D880" i="1"/>
  <c r="C872" i="1"/>
  <c r="D872" i="1"/>
  <c r="C864" i="1"/>
  <c r="D864" i="1"/>
  <c r="C856" i="1"/>
  <c r="D856" i="1"/>
  <c r="C848" i="1"/>
  <c r="D848" i="1"/>
  <c r="C840" i="1"/>
  <c r="D840" i="1"/>
  <c r="C832" i="1"/>
  <c r="D832" i="1"/>
  <c r="C824" i="1"/>
  <c r="D824" i="1"/>
  <c r="C816" i="1"/>
  <c r="D816" i="1"/>
  <c r="C808" i="1"/>
  <c r="D808" i="1"/>
  <c r="C800" i="1"/>
  <c r="D800" i="1"/>
  <c r="C792" i="1"/>
  <c r="D792" i="1"/>
  <c r="C784" i="1"/>
  <c r="D784" i="1"/>
  <c r="C776" i="1"/>
  <c r="D776" i="1"/>
  <c r="C768" i="1"/>
  <c r="D768" i="1"/>
  <c r="C760" i="1"/>
  <c r="D760" i="1"/>
  <c r="D752" i="1"/>
  <c r="C752" i="1"/>
  <c r="D744" i="1"/>
  <c r="C744" i="1"/>
  <c r="C736" i="1"/>
  <c r="D736" i="1"/>
  <c r="C728" i="1"/>
  <c r="D728" i="1"/>
  <c r="D720" i="1"/>
  <c r="C720" i="1"/>
  <c r="C712" i="1"/>
  <c r="D712" i="1"/>
  <c r="C704" i="1"/>
  <c r="D704" i="1"/>
  <c r="C696" i="1"/>
  <c r="D696" i="1"/>
  <c r="C688" i="1"/>
  <c r="D688" i="1"/>
  <c r="C680" i="1"/>
  <c r="D680" i="1"/>
  <c r="C672" i="1"/>
  <c r="D672" i="1"/>
  <c r="C664" i="1"/>
  <c r="D664" i="1"/>
  <c r="C656" i="1"/>
  <c r="D656" i="1"/>
  <c r="C648" i="1"/>
  <c r="D648" i="1"/>
  <c r="C640" i="1"/>
  <c r="D640" i="1"/>
  <c r="C632" i="1"/>
  <c r="D632" i="1"/>
  <c r="C624" i="1"/>
  <c r="D624" i="1"/>
  <c r="C616" i="1"/>
  <c r="D616" i="1"/>
  <c r="C608" i="1"/>
  <c r="D608" i="1"/>
  <c r="C600" i="1"/>
  <c r="D600" i="1"/>
  <c r="C592" i="1"/>
  <c r="D592" i="1"/>
  <c r="C584" i="1"/>
  <c r="D584" i="1"/>
  <c r="C576" i="1"/>
  <c r="D576" i="1"/>
  <c r="C568" i="1"/>
  <c r="D568" i="1"/>
  <c r="C560" i="1"/>
  <c r="D560" i="1"/>
  <c r="C552" i="1"/>
  <c r="D552" i="1"/>
  <c r="C544" i="1"/>
  <c r="D544" i="1"/>
  <c r="C536" i="1"/>
  <c r="D536" i="1"/>
  <c r="C528" i="1"/>
  <c r="D528" i="1"/>
  <c r="C520" i="1"/>
  <c r="D520" i="1"/>
  <c r="C512" i="1"/>
  <c r="D512" i="1"/>
  <c r="C504" i="1"/>
  <c r="D504" i="1"/>
  <c r="C496" i="1"/>
  <c r="D496" i="1"/>
  <c r="C488" i="1"/>
  <c r="D488" i="1"/>
  <c r="C480" i="1"/>
  <c r="D480" i="1"/>
  <c r="C472" i="1"/>
  <c r="D472" i="1"/>
  <c r="C464" i="1"/>
  <c r="D464" i="1"/>
  <c r="C456" i="1"/>
  <c r="D456" i="1"/>
  <c r="C448" i="1"/>
  <c r="D448" i="1"/>
  <c r="C440" i="1"/>
  <c r="D440" i="1"/>
  <c r="C432" i="1"/>
  <c r="D432" i="1"/>
  <c r="C424" i="1"/>
  <c r="D424" i="1"/>
  <c r="C416" i="1"/>
  <c r="D416" i="1"/>
  <c r="C408" i="1"/>
  <c r="D408" i="1"/>
  <c r="C400" i="1"/>
  <c r="D400" i="1"/>
  <c r="C392" i="1"/>
  <c r="D392" i="1"/>
  <c r="C384" i="1"/>
  <c r="D384" i="1"/>
  <c r="C376" i="1"/>
  <c r="D376" i="1"/>
  <c r="C368" i="1"/>
  <c r="D368" i="1"/>
  <c r="C360" i="1"/>
  <c r="D360" i="1"/>
  <c r="D352" i="1"/>
  <c r="C352" i="1"/>
  <c r="C344" i="1"/>
  <c r="D344" i="1"/>
  <c r="C336" i="1"/>
  <c r="D336" i="1"/>
  <c r="C328" i="1"/>
  <c r="D328" i="1"/>
  <c r="C320" i="1"/>
  <c r="D320" i="1"/>
  <c r="C312" i="1"/>
  <c r="D312" i="1"/>
  <c r="C304" i="1"/>
  <c r="D304" i="1"/>
  <c r="C296" i="1"/>
  <c r="D296" i="1"/>
  <c r="C288" i="1"/>
  <c r="D288" i="1"/>
  <c r="C280" i="1"/>
  <c r="D280" i="1"/>
  <c r="C272" i="1"/>
  <c r="D272" i="1"/>
  <c r="C264" i="1"/>
  <c r="D264" i="1"/>
  <c r="C256" i="1"/>
  <c r="D256" i="1"/>
  <c r="C248" i="1"/>
  <c r="D248" i="1"/>
  <c r="C240" i="1"/>
  <c r="D240" i="1"/>
  <c r="C232" i="1"/>
  <c r="D232" i="1"/>
  <c r="C224" i="1"/>
  <c r="D224" i="1"/>
  <c r="C216" i="1"/>
  <c r="D216" i="1"/>
  <c r="C208" i="1"/>
  <c r="D208" i="1"/>
  <c r="C200" i="1"/>
  <c r="D200" i="1"/>
  <c r="C192" i="1"/>
  <c r="D192" i="1"/>
  <c r="C184" i="1"/>
  <c r="D184" i="1"/>
  <c r="C176" i="1"/>
  <c r="D176" i="1"/>
  <c r="C168" i="1"/>
  <c r="D168" i="1"/>
  <c r="C160" i="1"/>
  <c r="D160" i="1"/>
  <c r="C152" i="1"/>
  <c r="D152" i="1"/>
  <c r="C144" i="1"/>
  <c r="D144" i="1"/>
  <c r="C136" i="1"/>
  <c r="D136" i="1"/>
  <c r="C128" i="1"/>
  <c r="D128" i="1"/>
  <c r="C120" i="1"/>
  <c r="D120" i="1"/>
  <c r="C112" i="1"/>
  <c r="D112" i="1"/>
  <c r="C104" i="1"/>
  <c r="D104" i="1"/>
  <c r="C96" i="1"/>
  <c r="D96" i="1"/>
  <c r="C88" i="1"/>
  <c r="D88" i="1"/>
  <c r="C80" i="1"/>
  <c r="D80" i="1"/>
  <c r="C72" i="1"/>
  <c r="D72" i="1"/>
  <c r="C64" i="1"/>
  <c r="D64" i="1"/>
  <c r="C56" i="1"/>
  <c r="D56" i="1"/>
  <c r="C48" i="1"/>
  <c r="D48" i="1"/>
  <c r="C40" i="1"/>
  <c r="D40" i="1"/>
  <c r="C32" i="1"/>
  <c r="D32" i="1"/>
  <c r="C24" i="1"/>
  <c r="D24" i="1"/>
  <c r="C1977" i="1"/>
  <c r="D1977" i="1"/>
  <c r="C1937" i="1"/>
  <c r="D1937" i="1"/>
  <c r="C1991" i="1"/>
  <c r="D1991" i="1"/>
  <c r="C1959" i="1"/>
  <c r="D1959" i="1"/>
  <c r="C1927" i="1"/>
  <c r="D1927" i="1"/>
  <c r="C1887" i="1"/>
  <c r="D1887" i="1"/>
  <c r="C1855" i="1"/>
  <c r="D1855" i="1"/>
  <c r="C1815" i="1"/>
  <c r="D1815" i="1"/>
  <c r="C1791" i="1"/>
  <c r="D1791" i="1"/>
  <c r="C1751" i="1"/>
  <c r="D1751" i="1"/>
  <c r="C1727" i="1"/>
  <c r="D1727" i="1"/>
  <c r="C1687" i="1"/>
  <c r="D1687" i="1"/>
  <c r="C1663" i="1"/>
  <c r="D1663" i="1"/>
  <c r="D1623" i="1"/>
  <c r="C1623" i="1"/>
  <c r="D1599" i="1"/>
  <c r="C1599" i="1"/>
  <c r="D1559" i="1"/>
  <c r="C1559" i="1"/>
  <c r="D1527" i="1"/>
  <c r="C1527" i="1"/>
  <c r="D1495" i="1"/>
  <c r="C1495" i="1"/>
  <c r="D1455" i="1"/>
  <c r="C1455" i="1"/>
  <c r="D1431" i="1"/>
  <c r="C1431" i="1"/>
  <c r="D1399" i="1"/>
  <c r="C1399" i="1"/>
  <c r="D1391" i="1"/>
  <c r="C1391" i="1"/>
  <c r="D1383" i="1"/>
  <c r="C1383" i="1"/>
  <c r="D1375" i="1"/>
  <c r="C1375" i="1"/>
  <c r="D1359" i="1"/>
  <c r="C1359" i="1"/>
  <c r="C1343" i="1"/>
  <c r="D1343" i="1"/>
  <c r="C1335" i="1"/>
  <c r="D1335" i="1"/>
  <c r="D1327" i="1"/>
  <c r="C1327" i="1"/>
  <c r="D1319" i="1"/>
  <c r="C1319" i="1"/>
  <c r="D1311" i="1"/>
  <c r="C1311" i="1"/>
  <c r="D1303" i="1"/>
  <c r="C1303" i="1"/>
  <c r="D1295" i="1"/>
  <c r="C1295" i="1"/>
  <c r="C1287" i="1"/>
  <c r="D1287" i="1"/>
  <c r="C1279" i="1"/>
  <c r="D1279" i="1"/>
  <c r="C1271" i="1"/>
  <c r="D1271" i="1"/>
  <c r="C1263" i="1"/>
  <c r="D1263" i="1"/>
  <c r="C1255" i="1"/>
  <c r="D1255" i="1"/>
  <c r="C1247" i="1"/>
  <c r="D1247" i="1"/>
  <c r="C1239" i="1"/>
  <c r="D1239" i="1"/>
  <c r="C1231" i="1"/>
  <c r="D1231" i="1"/>
  <c r="C1223" i="1"/>
  <c r="D1223" i="1"/>
  <c r="C1215" i="1"/>
  <c r="D1215" i="1"/>
  <c r="C1207" i="1"/>
  <c r="D1207" i="1"/>
  <c r="C1199" i="1"/>
  <c r="D1199" i="1"/>
  <c r="C1191" i="1"/>
  <c r="D1191" i="1"/>
  <c r="C1183" i="1"/>
  <c r="D1183" i="1"/>
  <c r="C1175" i="1"/>
  <c r="D1175" i="1"/>
  <c r="C1167" i="1"/>
  <c r="D1167" i="1"/>
  <c r="C1159" i="1"/>
  <c r="D1159" i="1"/>
  <c r="C1151" i="1"/>
  <c r="D1151" i="1"/>
  <c r="C1143" i="1"/>
  <c r="D1143" i="1"/>
  <c r="C1135" i="1"/>
  <c r="D1135" i="1"/>
  <c r="C1127" i="1"/>
  <c r="D1127" i="1"/>
  <c r="C1119" i="1"/>
  <c r="D1119" i="1"/>
  <c r="C1111" i="1"/>
  <c r="D1111" i="1"/>
  <c r="C1103" i="1"/>
  <c r="D1103" i="1"/>
  <c r="C1095" i="1"/>
  <c r="D1095" i="1"/>
  <c r="C1087" i="1"/>
  <c r="D1087" i="1"/>
  <c r="C1079" i="1"/>
  <c r="D1079" i="1"/>
  <c r="C1071" i="1"/>
  <c r="D1071" i="1"/>
  <c r="C1063" i="1"/>
  <c r="D1063" i="1"/>
  <c r="C1055" i="1"/>
  <c r="D1055" i="1"/>
  <c r="C1047" i="1"/>
  <c r="D1047" i="1"/>
  <c r="C1039" i="1"/>
  <c r="D1039" i="1"/>
  <c r="C1031" i="1"/>
  <c r="D1031" i="1"/>
  <c r="C1023" i="1"/>
  <c r="D1023" i="1"/>
  <c r="C1015" i="1"/>
  <c r="D1015" i="1"/>
  <c r="C1007" i="1"/>
  <c r="D1007" i="1"/>
  <c r="C999" i="1"/>
  <c r="D999" i="1"/>
  <c r="C991" i="1"/>
  <c r="D991" i="1"/>
  <c r="C983" i="1"/>
  <c r="D983" i="1"/>
  <c r="C975" i="1"/>
  <c r="D975" i="1"/>
  <c r="C967" i="1"/>
  <c r="D967" i="1"/>
  <c r="C959" i="1"/>
  <c r="D959" i="1"/>
  <c r="C951" i="1"/>
  <c r="D951" i="1"/>
  <c r="C943" i="1"/>
  <c r="D943" i="1"/>
  <c r="C935" i="1"/>
  <c r="D935" i="1"/>
  <c r="C927" i="1"/>
  <c r="D927" i="1"/>
  <c r="C919" i="1"/>
  <c r="D919" i="1"/>
  <c r="C911" i="1"/>
  <c r="D911" i="1"/>
  <c r="C903" i="1"/>
  <c r="D903" i="1"/>
  <c r="C895" i="1"/>
  <c r="D895" i="1"/>
  <c r="C887" i="1"/>
  <c r="D887" i="1"/>
  <c r="C879" i="1"/>
  <c r="D879" i="1"/>
  <c r="C871" i="1"/>
  <c r="D871" i="1"/>
  <c r="C863" i="1"/>
  <c r="D863" i="1"/>
  <c r="C855" i="1"/>
  <c r="D855" i="1"/>
  <c r="C847" i="1"/>
  <c r="D847" i="1"/>
  <c r="C839" i="1"/>
  <c r="D839" i="1"/>
  <c r="C831" i="1"/>
  <c r="D831" i="1"/>
  <c r="D823" i="1"/>
  <c r="C823" i="1"/>
  <c r="D815" i="1"/>
  <c r="C815" i="1"/>
  <c r="D807" i="1"/>
  <c r="C807" i="1"/>
  <c r="D799" i="1"/>
  <c r="C799" i="1"/>
  <c r="D791" i="1"/>
  <c r="C791" i="1"/>
  <c r="D783" i="1"/>
  <c r="C783" i="1"/>
  <c r="D775" i="1"/>
  <c r="C775" i="1"/>
  <c r="D767" i="1"/>
  <c r="C767" i="1"/>
  <c r="D759" i="1"/>
  <c r="C759" i="1"/>
  <c r="D751" i="1"/>
  <c r="C751" i="1"/>
  <c r="D743" i="1"/>
  <c r="C743" i="1"/>
  <c r="D735" i="1"/>
  <c r="C735" i="1"/>
  <c r="C727" i="1"/>
  <c r="D727" i="1"/>
  <c r="C719" i="1"/>
  <c r="D719" i="1"/>
  <c r="C711" i="1"/>
  <c r="D711" i="1"/>
  <c r="C703" i="1"/>
  <c r="D703" i="1"/>
  <c r="C695" i="1"/>
  <c r="D695" i="1"/>
  <c r="C687" i="1"/>
  <c r="D687" i="1"/>
  <c r="C679" i="1"/>
  <c r="D679" i="1"/>
  <c r="C671" i="1"/>
  <c r="D671" i="1"/>
  <c r="C663" i="1"/>
  <c r="D663" i="1"/>
  <c r="C655" i="1"/>
  <c r="D655" i="1"/>
  <c r="C647" i="1"/>
  <c r="D647" i="1"/>
  <c r="C639" i="1"/>
  <c r="D639" i="1"/>
  <c r="C631" i="1"/>
  <c r="D631" i="1"/>
  <c r="C623" i="1"/>
  <c r="D623" i="1"/>
  <c r="C615" i="1"/>
  <c r="D615" i="1"/>
  <c r="C607" i="1"/>
  <c r="D607" i="1"/>
  <c r="C599" i="1"/>
  <c r="D599" i="1"/>
  <c r="C591" i="1"/>
  <c r="D591" i="1"/>
  <c r="C583" i="1"/>
  <c r="D583" i="1"/>
  <c r="C575" i="1"/>
  <c r="D575" i="1"/>
  <c r="C567" i="1"/>
  <c r="D567" i="1"/>
  <c r="C559" i="1"/>
  <c r="D559" i="1"/>
  <c r="C551" i="1"/>
  <c r="D551" i="1"/>
  <c r="C543" i="1"/>
  <c r="D543" i="1"/>
  <c r="C535" i="1"/>
  <c r="D535" i="1"/>
  <c r="C527" i="1"/>
  <c r="D527" i="1"/>
  <c r="C519" i="1"/>
  <c r="D519" i="1"/>
  <c r="C511" i="1"/>
  <c r="D511" i="1"/>
  <c r="C503" i="1"/>
  <c r="D503" i="1"/>
  <c r="C495" i="1"/>
  <c r="D495" i="1"/>
  <c r="C487" i="1"/>
  <c r="D487" i="1"/>
  <c r="C479" i="1"/>
  <c r="D479" i="1"/>
  <c r="C471" i="1"/>
  <c r="D471" i="1"/>
  <c r="C463" i="1"/>
  <c r="D463" i="1"/>
  <c r="C455" i="1"/>
  <c r="D455" i="1"/>
  <c r="C447" i="1"/>
  <c r="D447" i="1"/>
  <c r="C439" i="1"/>
  <c r="D439" i="1"/>
  <c r="C431" i="1"/>
  <c r="D431" i="1"/>
  <c r="C423" i="1"/>
  <c r="D423" i="1"/>
  <c r="C415" i="1"/>
  <c r="D415" i="1"/>
  <c r="C407" i="1"/>
  <c r="D407" i="1"/>
  <c r="C399" i="1"/>
  <c r="D399" i="1"/>
  <c r="C391" i="1"/>
  <c r="D391" i="1"/>
  <c r="C383" i="1"/>
  <c r="D383" i="1"/>
  <c r="C375" i="1"/>
  <c r="D375" i="1"/>
  <c r="C367" i="1"/>
  <c r="D367" i="1"/>
  <c r="C359" i="1"/>
  <c r="D359" i="1"/>
  <c r="C351" i="1"/>
  <c r="D351" i="1"/>
  <c r="C343" i="1"/>
  <c r="D343" i="1"/>
  <c r="C335" i="1"/>
  <c r="D335" i="1"/>
  <c r="C327" i="1"/>
  <c r="D327" i="1"/>
  <c r="C319" i="1"/>
  <c r="D319" i="1"/>
  <c r="C311" i="1"/>
  <c r="D311" i="1"/>
  <c r="C303" i="1"/>
  <c r="D303" i="1"/>
  <c r="C295" i="1"/>
  <c r="D295" i="1"/>
  <c r="C287" i="1"/>
  <c r="D287" i="1"/>
  <c r="C279" i="1"/>
  <c r="D279" i="1"/>
  <c r="C271" i="1"/>
  <c r="D271" i="1"/>
  <c r="C263" i="1"/>
  <c r="D263" i="1"/>
  <c r="C255" i="1"/>
  <c r="D255" i="1"/>
  <c r="C247" i="1"/>
  <c r="D247" i="1"/>
  <c r="C239" i="1"/>
  <c r="D239" i="1"/>
  <c r="C231" i="1"/>
  <c r="D231" i="1"/>
  <c r="C223" i="1"/>
  <c r="D223" i="1"/>
  <c r="C215" i="1"/>
  <c r="D215" i="1"/>
  <c r="C207" i="1"/>
  <c r="D207" i="1"/>
  <c r="C199" i="1"/>
  <c r="D199" i="1"/>
  <c r="C191" i="1"/>
  <c r="D191" i="1"/>
  <c r="C183" i="1"/>
  <c r="D183" i="1"/>
  <c r="C175" i="1"/>
  <c r="D175" i="1"/>
  <c r="C167" i="1"/>
  <c r="D167" i="1"/>
  <c r="C159" i="1"/>
  <c r="D159" i="1"/>
  <c r="C151" i="1"/>
  <c r="D151" i="1"/>
  <c r="C143" i="1"/>
  <c r="D143" i="1"/>
  <c r="C135" i="1"/>
  <c r="D135" i="1"/>
  <c r="C127" i="1"/>
  <c r="D127" i="1"/>
  <c r="C119" i="1"/>
  <c r="D119" i="1"/>
  <c r="C111" i="1"/>
  <c r="D111" i="1"/>
  <c r="C103" i="1"/>
  <c r="D103" i="1"/>
  <c r="C95" i="1"/>
  <c r="D95" i="1"/>
  <c r="C87" i="1"/>
  <c r="D87" i="1"/>
  <c r="C79" i="1"/>
  <c r="D79" i="1"/>
  <c r="C71" i="1"/>
  <c r="D71" i="1"/>
  <c r="C63" i="1"/>
  <c r="D63" i="1"/>
  <c r="C55" i="1"/>
  <c r="D55" i="1"/>
  <c r="C47" i="1"/>
  <c r="D47" i="1"/>
  <c r="C39" i="1"/>
  <c r="D39" i="1"/>
  <c r="C31" i="1"/>
  <c r="D31" i="1"/>
  <c r="C23" i="1"/>
  <c r="D23" i="1"/>
  <c r="D1961" i="1"/>
  <c r="C1961" i="1"/>
  <c r="D1913" i="1"/>
  <c r="C1913" i="1"/>
  <c r="C1983" i="1"/>
  <c r="D1983" i="1"/>
  <c r="C1967" i="1"/>
  <c r="D1967" i="1"/>
  <c r="C1943" i="1"/>
  <c r="D1943" i="1"/>
  <c r="C1919" i="1"/>
  <c r="D1919" i="1"/>
  <c r="C1903" i="1"/>
  <c r="D1903" i="1"/>
  <c r="C1879" i="1"/>
  <c r="D1879" i="1"/>
  <c r="C1863" i="1"/>
  <c r="D1863" i="1"/>
  <c r="C1839" i="1"/>
  <c r="D1839" i="1"/>
  <c r="C1823" i="1"/>
  <c r="D1823" i="1"/>
  <c r="C1799" i="1"/>
  <c r="D1799" i="1"/>
  <c r="C1775" i="1"/>
  <c r="D1775" i="1"/>
  <c r="C1759" i="1"/>
  <c r="D1759" i="1"/>
  <c r="C1735" i="1"/>
  <c r="D1735" i="1"/>
  <c r="C1711" i="1"/>
  <c r="D1711" i="1"/>
  <c r="C1695" i="1"/>
  <c r="D1695" i="1"/>
  <c r="C1671" i="1"/>
  <c r="D1671" i="1"/>
  <c r="D1647" i="1"/>
  <c r="C1647" i="1"/>
  <c r="D1631" i="1"/>
  <c r="C1631" i="1"/>
  <c r="D1607" i="1"/>
  <c r="C1607" i="1"/>
  <c r="D1591" i="1"/>
  <c r="C1591" i="1"/>
  <c r="D1575" i="1"/>
  <c r="C1575" i="1"/>
  <c r="D1551" i="1"/>
  <c r="C1551" i="1"/>
  <c r="D1535" i="1"/>
  <c r="C1535" i="1"/>
  <c r="D1511" i="1"/>
  <c r="C1511" i="1"/>
  <c r="D1487" i="1"/>
  <c r="C1487" i="1"/>
  <c r="D1471" i="1"/>
  <c r="C1471" i="1"/>
  <c r="D1447" i="1"/>
  <c r="C1447" i="1"/>
  <c r="D1423" i="1"/>
  <c r="C1423" i="1"/>
  <c r="D1407" i="1"/>
  <c r="C1407" i="1"/>
  <c r="C1351" i="1"/>
  <c r="D1351" i="1"/>
  <c r="C1990" i="1"/>
  <c r="D1990" i="1"/>
  <c r="C1974" i="1"/>
  <c r="D1974" i="1"/>
  <c r="C1958" i="1"/>
  <c r="D1958" i="1"/>
  <c r="C1942" i="1"/>
  <c r="D1942" i="1"/>
  <c r="C1926" i="1"/>
  <c r="D1926" i="1"/>
  <c r="C1910" i="1"/>
  <c r="D1910" i="1"/>
  <c r="D1902" i="1"/>
  <c r="C1902" i="1"/>
  <c r="D1894" i="1"/>
  <c r="C1894" i="1"/>
  <c r="D1886" i="1"/>
  <c r="C1886" i="1"/>
  <c r="D1878" i="1"/>
  <c r="C1878" i="1"/>
  <c r="D1870" i="1"/>
  <c r="C1870" i="1"/>
  <c r="D1862" i="1"/>
  <c r="C1862" i="1"/>
  <c r="D1854" i="1"/>
  <c r="C1854" i="1"/>
  <c r="D1846" i="1"/>
  <c r="C1846" i="1"/>
  <c r="D1838" i="1"/>
  <c r="C1838" i="1"/>
  <c r="D1830" i="1"/>
  <c r="C1830" i="1"/>
  <c r="D1822" i="1"/>
  <c r="C1822" i="1"/>
  <c r="D1814" i="1"/>
  <c r="C1814" i="1"/>
  <c r="D1806" i="1"/>
  <c r="C1806" i="1"/>
  <c r="D1798" i="1"/>
  <c r="C1798" i="1"/>
  <c r="D1790" i="1"/>
  <c r="C1790" i="1"/>
  <c r="D1782" i="1"/>
  <c r="C1782" i="1"/>
  <c r="D1774" i="1"/>
  <c r="C1774" i="1"/>
  <c r="D1766" i="1"/>
  <c r="C1766" i="1"/>
  <c r="D1758" i="1"/>
  <c r="C1758" i="1"/>
  <c r="D1750" i="1"/>
  <c r="C1750" i="1"/>
  <c r="D1742" i="1"/>
  <c r="C1742" i="1"/>
  <c r="D1734" i="1"/>
  <c r="C1734" i="1"/>
  <c r="D1726" i="1"/>
  <c r="C1726" i="1"/>
  <c r="D1718" i="1"/>
  <c r="C1718" i="1"/>
  <c r="D1710" i="1"/>
  <c r="C1710" i="1"/>
  <c r="D1702" i="1"/>
  <c r="C1702" i="1"/>
  <c r="D1694" i="1"/>
  <c r="C1694" i="1"/>
  <c r="D1686" i="1"/>
  <c r="C1686" i="1"/>
  <c r="D1678" i="1"/>
  <c r="C1678" i="1"/>
  <c r="D1670" i="1"/>
  <c r="C1670" i="1"/>
  <c r="D1662" i="1"/>
  <c r="C1662" i="1"/>
  <c r="C1654" i="1"/>
  <c r="D1654" i="1"/>
  <c r="C1646" i="1"/>
  <c r="D1646" i="1"/>
  <c r="C1638" i="1"/>
  <c r="D1638" i="1"/>
  <c r="C1630" i="1"/>
  <c r="D1630" i="1"/>
  <c r="C1622" i="1"/>
  <c r="D1622" i="1"/>
  <c r="C1614" i="1"/>
  <c r="D1614" i="1"/>
  <c r="C1606" i="1"/>
  <c r="D1606" i="1"/>
  <c r="C1598" i="1"/>
  <c r="D1598" i="1"/>
  <c r="C1590" i="1"/>
  <c r="D1590" i="1"/>
  <c r="C1582" i="1"/>
  <c r="D1582" i="1"/>
  <c r="C1574" i="1"/>
  <c r="D1574" i="1"/>
  <c r="C1566" i="1"/>
  <c r="D1566" i="1"/>
  <c r="C1558" i="1"/>
  <c r="D1558" i="1"/>
  <c r="C1550" i="1"/>
  <c r="D1550" i="1"/>
  <c r="C1542" i="1"/>
  <c r="D1542" i="1"/>
  <c r="C1534" i="1"/>
  <c r="D1534" i="1"/>
  <c r="C1526" i="1"/>
  <c r="D1526" i="1"/>
  <c r="C1518" i="1"/>
  <c r="D1518" i="1"/>
  <c r="C1510" i="1"/>
  <c r="D1510" i="1"/>
  <c r="C1502" i="1"/>
  <c r="D1502" i="1"/>
  <c r="C1494" i="1"/>
  <c r="D1494" i="1"/>
  <c r="C1486" i="1"/>
  <c r="D1486" i="1"/>
  <c r="C1478" i="1"/>
  <c r="D1478" i="1"/>
  <c r="C1470" i="1"/>
  <c r="D1470" i="1"/>
  <c r="C1462" i="1"/>
  <c r="D1462" i="1"/>
  <c r="C1454" i="1"/>
  <c r="D1454" i="1"/>
  <c r="C1446" i="1"/>
  <c r="D1446" i="1"/>
  <c r="C1438" i="1"/>
  <c r="D1438" i="1"/>
  <c r="C1430" i="1"/>
  <c r="D1430" i="1"/>
  <c r="C1422" i="1"/>
  <c r="D1422" i="1"/>
  <c r="C1414" i="1"/>
  <c r="D1414" i="1"/>
  <c r="C1406" i="1"/>
  <c r="D1406" i="1"/>
  <c r="C1398" i="1"/>
  <c r="D1398" i="1"/>
  <c r="C1390" i="1"/>
  <c r="D1390" i="1"/>
  <c r="C1382" i="1"/>
  <c r="D1382" i="1"/>
  <c r="C1374" i="1"/>
  <c r="D1374" i="1"/>
  <c r="C1366" i="1"/>
  <c r="D1366" i="1"/>
  <c r="C1358" i="1"/>
  <c r="D1358" i="1"/>
  <c r="D1350" i="1"/>
  <c r="C1350" i="1"/>
  <c r="C1342" i="1"/>
  <c r="D1342" i="1"/>
  <c r="D1334" i="1"/>
  <c r="C1334" i="1"/>
  <c r="C1326" i="1"/>
  <c r="D1326" i="1"/>
  <c r="C1318" i="1"/>
  <c r="D1318" i="1"/>
  <c r="C1310" i="1"/>
  <c r="D1310" i="1"/>
  <c r="C1302" i="1"/>
  <c r="D1302" i="1"/>
  <c r="C1294" i="1"/>
  <c r="D1294" i="1"/>
  <c r="C1286" i="1"/>
  <c r="D1286" i="1"/>
  <c r="C1278" i="1"/>
  <c r="D1278" i="1"/>
  <c r="C1270" i="1"/>
  <c r="D1270" i="1"/>
  <c r="C1262" i="1"/>
  <c r="D1262" i="1"/>
  <c r="C1254" i="1"/>
  <c r="D1254" i="1"/>
  <c r="C1246" i="1"/>
  <c r="D1246" i="1"/>
  <c r="C1238" i="1"/>
  <c r="D1238" i="1"/>
  <c r="C1230" i="1"/>
  <c r="D1230" i="1"/>
  <c r="C1222" i="1"/>
  <c r="D1222" i="1"/>
  <c r="C1214" i="1"/>
  <c r="D1214" i="1"/>
  <c r="C1206" i="1"/>
  <c r="D1206" i="1"/>
  <c r="C1198" i="1"/>
  <c r="D1198" i="1"/>
  <c r="C1190" i="1"/>
  <c r="D1190" i="1"/>
  <c r="C1182" i="1"/>
  <c r="D1182" i="1"/>
  <c r="C1174" i="1"/>
  <c r="D1174" i="1"/>
  <c r="C1166" i="1"/>
  <c r="D1166" i="1"/>
  <c r="C1158" i="1"/>
  <c r="D1158" i="1"/>
  <c r="C1150" i="1"/>
  <c r="D1150" i="1"/>
  <c r="C1142" i="1"/>
  <c r="D1142" i="1"/>
  <c r="C1134" i="1"/>
  <c r="D1134" i="1"/>
  <c r="C1126" i="1"/>
  <c r="D1126" i="1"/>
  <c r="C1118" i="1"/>
  <c r="D1118" i="1"/>
  <c r="D1110" i="1"/>
  <c r="C1110" i="1"/>
  <c r="C1102" i="1"/>
  <c r="D1102" i="1"/>
  <c r="D1094" i="1"/>
  <c r="C1094" i="1"/>
  <c r="C1086" i="1"/>
  <c r="D1086" i="1"/>
  <c r="D1078" i="1"/>
  <c r="C1078" i="1"/>
  <c r="C1070" i="1"/>
  <c r="D1070" i="1"/>
  <c r="D1062" i="1"/>
  <c r="C1062" i="1"/>
  <c r="C1054" i="1"/>
  <c r="D1054" i="1"/>
  <c r="C1046" i="1"/>
  <c r="D1046" i="1"/>
  <c r="C1038" i="1"/>
  <c r="D1038" i="1"/>
  <c r="D1030" i="1"/>
  <c r="C1030" i="1"/>
  <c r="C1022" i="1"/>
  <c r="D1022" i="1"/>
  <c r="C1014" i="1"/>
  <c r="D1014" i="1"/>
  <c r="D1006" i="1"/>
  <c r="C1006" i="1"/>
  <c r="D998" i="1"/>
  <c r="C998" i="1"/>
  <c r="D990" i="1"/>
  <c r="C990" i="1"/>
  <c r="D982" i="1"/>
  <c r="C982" i="1"/>
  <c r="D974" i="1"/>
  <c r="C974" i="1"/>
  <c r="D966" i="1"/>
  <c r="C966" i="1"/>
  <c r="D958" i="1"/>
  <c r="C958" i="1"/>
  <c r="D950" i="1"/>
  <c r="C950" i="1"/>
  <c r="D942" i="1"/>
  <c r="C942" i="1"/>
  <c r="D934" i="1"/>
  <c r="C934" i="1"/>
  <c r="D926" i="1"/>
  <c r="C926" i="1"/>
  <c r="C918" i="1"/>
  <c r="D918" i="1"/>
  <c r="C910" i="1"/>
  <c r="D910" i="1"/>
  <c r="C902" i="1"/>
  <c r="D902" i="1"/>
  <c r="C894" i="1"/>
  <c r="D894" i="1"/>
  <c r="C886" i="1"/>
  <c r="D886" i="1"/>
  <c r="C878" i="1"/>
  <c r="D878" i="1"/>
  <c r="C870" i="1"/>
  <c r="D870" i="1"/>
  <c r="C862" i="1"/>
  <c r="D862" i="1"/>
  <c r="C854" i="1"/>
  <c r="D854" i="1"/>
  <c r="C846" i="1"/>
  <c r="D846" i="1"/>
  <c r="C838" i="1"/>
  <c r="D838" i="1"/>
  <c r="C830" i="1"/>
  <c r="D830" i="1"/>
  <c r="C822" i="1"/>
  <c r="D822" i="1"/>
  <c r="C814" i="1"/>
  <c r="D814" i="1"/>
  <c r="C806" i="1"/>
  <c r="D806" i="1"/>
  <c r="C798" i="1"/>
  <c r="D798" i="1"/>
  <c r="C790" i="1"/>
  <c r="D790" i="1"/>
  <c r="C782" i="1"/>
  <c r="D782" i="1"/>
  <c r="C774" i="1"/>
  <c r="D774" i="1"/>
  <c r="C766" i="1"/>
  <c r="D766" i="1"/>
  <c r="D758" i="1"/>
  <c r="C758" i="1"/>
  <c r="D750" i="1"/>
  <c r="C750" i="1"/>
  <c r="D742" i="1"/>
  <c r="C742" i="1"/>
  <c r="D734" i="1"/>
  <c r="C734" i="1"/>
  <c r="D726" i="1"/>
  <c r="C726" i="1"/>
  <c r="D718" i="1"/>
  <c r="C718" i="1"/>
  <c r="D710" i="1"/>
  <c r="C710" i="1"/>
  <c r="D702" i="1"/>
  <c r="C702" i="1"/>
  <c r="D694" i="1"/>
  <c r="C694" i="1"/>
  <c r="D686" i="1"/>
  <c r="C686" i="1"/>
  <c r="D678" i="1"/>
  <c r="C678" i="1"/>
  <c r="D670" i="1"/>
  <c r="C670" i="1"/>
  <c r="D662" i="1"/>
  <c r="C662" i="1"/>
  <c r="D654" i="1"/>
  <c r="C654" i="1"/>
  <c r="D646" i="1"/>
  <c r="C646" i="1"/>
  <c r="D638" i="1"/>
  <c r="C638" i="1"/>
  <c r="D630" i="1"/>
  <c r="C630" i="1"/>
  <c r="D622" i="1"/>
  <c r="C622" i="1"/>
  <c r="D614" i="1"/>
  <c r="C614" i="1"/>
  <c r="D606" i="1"/>
  <c r="C606" i="1"/>
  <c r="D598" i="1"/>
  <c r="C598" i="1"/>
  <c r="D590" i="1"/>
  <c r="C590" i="1"/>
  <c r="D582" i="1"/>
  <c r="C582" i="1"/>
  <c r="D574" i="1"/>
  <c r="C574" i="1"/>
  <c r="D566" i="1"/>
  <c r="C566" i="1"/>
  <c r="D558" i="1"/>
  <c r="C558" i="1"/>
  <c r="D550" i="1"/>
  <c r="C550" i="1"/>
  <c r="D542" i="1"/>
  <c r="C542" i="1"/>
  <c r="D534" i="1"/>
  <c r="C534" i="1"/>
  <c r="D526" i="1"/>
  <c r="C526" i="1"/>
  <c r="C518" i="1"/>
  <c r="D518" i="1"/>
  <c r="C510" i="1"/>
  <c r="D510" i="1"/>
  <c r="C502" i="1"/>
  <c r="D502" i="1"/>
  <c r="C494" i="1"/>
  <c r="D494" i="1"/>
  <c r="C486" i="1"/>
  <c r="D486" i="1"/>
  <c r="C478" i="1"/>
  <c r="D478" i="1"/>
  <c r="C470" i="1"/>
  <c r="D470" i="1"/>
  <c r="C462" i="1"/>
  <c r="D462" i="1"/>
  <c r="C454" i="1"/>
  <c r="D454" i="1"/>
  <c r="C446" i="1"/>
  <c r="D446" i="1"/>
  <c r="C438" i="1"/>
  <c r="D438" i="1"/>
  <c r="C430" i="1"/>
  <c r="D430" i="1"/>
  <c r="C422" i="1"/>
  <c r="D422" i="1"/>
  <c r="C414" i="1"/>
  <c r="D414" i="1"/>
  <c r="C406" i="1"/>
  <c r="D406" i="1"/>
  <c r="C398" i="1"/>
  <c r="D398" i="1"/>
  <c r="C390" i="1"/>
  <c r="D390" i="1"/>
  <c r="C382" i="1"/>
  <c r="D382" i="1"/>
  <c r="C374" i="1"/>
  <c r="D374" i="1"/>
  <c r="C366" i="1"/>
  <c r="D366" i="1"/>
  <c r="C358" i="1"/>
  <c r="D358" i="1"/>
  <c r="C350" i="1"/>
  <c r="D350" i="1"/>
  <c r="C342" i="1"/>
  <c r="D342" i="1"/>
  <c r="C334" i="1"/>
  <c r="D334" i="1"/>
  <c r="C326" i="1"/>
  <c r="D326" i="1"/>
  <c r="C318" i="1"/>
  <c r="D318" i="1"/>
  <c r="C310" i="1"/>
  <c r="D310" i="1"/>
  <c r="C302" i="1"/>
  <c r="D302" i="1"/>
  <c r="C294" i="1"/>
  <c r="D294" i="1"/>
  <c r="C286" i="1"/>
  <c r="D286" i="1"/>
  <c r="C278" i="1"/>
  <c r="D278" i="1"/>
  <c r="C270" i="1"/>
  <c r="D270" i="1"/>
  <c r="C262" i="1"/>
  <c r="D262" i="1"/>
  <c r="C254" i="1"/>
  <c r="D254" i="1"/>
  <c r="C246" i="1"/>
  <c r="D246" i="1"/>
  <c r="C238" i="1"/>
  <c r="D238" i="1"/>
  <c r="C230" i="1"/>
  <c r="D230" i="1"/>
  <c r="C222" i="1"/>
  <c r="D222" i="1"/>
  <c r="C214" i="1"/>
  <c r="D214" i="1"/>
  <c r="C206" i="1"/>
  <c r="D206" i="1"/>
  <c r="C198" i="1"/>
  <c r="D198" i="1"/>
  <c r="C190" i="1"/>
  <c r="D190" i="1"/>
  <c r="C182" i="1"/>
  <c r="D182" i="1"/>
  <c r="C174" i="1"/>
  <c r="D174" i="1"/>
  <c r="C166" i="1"/>
  <c r="D166" i="1"/>
  <c r="C158" i="1"/>
  <c r="D158" i="1"/>
  <c r="C150" i="1"/>
  <c r="D150" i="1"/>
  <c r="C142" i="1"/>
  <c r="D142" i="1"/>
  <c r="C134" i="1"/>
  <c r="D134" i="1"/>
  <c r="C126" i="1"/>
  <c r="D126" i="1"/>
  <c r="C118" i="1"/>
  <c r="D118" i="1"/>
  <c r="C110" i="1"/>
  <c r="D110" i="1"/>
  <c r="C102" i="1"/>
  <c r="D102" i="1"/>
  <c r="C94" i="1"/>
  <c r="D94" i="1"/>
  <c r="C86" i="1"/>
  <c r="D86" i="1"/>
  <c r="C78" i="1"/>
  <c r="D78" i="1"/>
  <c r="C70" i="1"/>
  <c r="D70" i="1"/>
  <c r="C62" i="1"/>
  <c r="D62" i="1"/>
  <c r="C54" i="1"/>
  <c r="D54" i="1"/>
  <c r="C46" i="1"/>
  <c r="D46" i="1"/>
  <c r="C38" i="1"/>
  <c r="D38" i="1"/>
  <c r="C30" i="1"/>
  <c r="D30" i="1"/>
  <c r="C22" i="1"/>
  <c r="D22" i="1"/>
  <c r="D1970" i="1"/>
  <c r="C1970" i="1"/>
  <c r="C1969" i="1"/>
  <c r="D1969" i="1"/>
  <c r="D1921" i="1"/>
  <c r="C1921" i="1"/>
  <c r="C1999" i="1"/>
  <c r="D1999" i="1"/>
  <c r="C1975" i="1"/>
  <c r="D1975" i="1"/>
  <c r="C1951" i="1"/>
  <c r="D1951" i="1"/>
  <c r="C1935" i="1"/>
  <c r="D1935" i="1"/>
  <c r="C1911" i="1"/>
  <c r="D1911" i="1"/>
  <c r="C1895" i="1"/>
  <c r="D1895" i="1"/>
  <c r="C1871" i="1"/>
  <c r="D1871" i="1"/>
  <c r="C1847" i="1"/>
  <c r="D1847" i="1"/>
  <c r="C1831" i="1"/>
  <c r="D1831" i="1"/>
  <c r="C1807" i="1"/>
  <c r="D1807" i="1"/>
  <c r="C1783" i="1"/>
  <c r="D1783" i="1"/>
  <c r="C1767" i="1"/>
  <c r="D1767" i="1"/>
  <c r="C1743" i="1"/>
  <c r="D1743" i="1"/>
  <c r="C1719" i="1"/>
  <c r="D1719" i="1"/>
  <c r="C1703" i="1"/>
  <c r="D1703" i="1"/>
  <c r="C1679" i="1"/>
  <c r="D1679" i="1"/>
  <c r="D1655" i="1"/>
  <c r="C1655" i="1"/>
  <c r="D1639" i="1"/>
  <c r="C1639" i="1"/>
  <c r="D1615" i="1"/>
  <c r="C1615" i="1"/>
  <c r="D1583" i="1"/>
  <c r="C1583" i="1"/>
  <c r="D1567" i="1"/>
  <c r="C1567" i="1"/>
  <c r="D1543" i="1"/>
  <c r="C1543" i="1"/>
  <c r="D1519" i="1"/>
  <c r="C1519" i="1"/>
  <c r="D1503" i="1"/>
  <c r="C1503" i="1"/>
  <c r="D1479" i="1"/>
  <c r="C1479" i="1"/>
  <c r="D1463" i="1"/>
  <c r="C1463" i="1"/>
  <c r="D1439" i="1"/>
  <c r="C1439" i="1"/>
  <c r="D1415" i="1"/>
  <c r="C1415" i="1"/>
  <c r="D1367" i="1"/>
  <c r="C1367" i="1"/>
  <c r="C1998" i="1"/>
  <c r="D1998" i="1"/>
  <c r="C1982" i="1"/>
  <c r="D1982" i="1"/>
  <c r="C1966" i="1"/>
  <c r="D1966" i="1"/>
  <c r="C1950" i="1"/>
  <c r="D1950" i="1"/>
  <c r="C1934" i="1"/>
  <c r="D1934" i="1"/>
  <c r="D1918" i="1"/>
  <c r="C1918" i="1"/>
  <c r="C1997" i="1"/>
  <c r="D1997" i="1"/>
  <c r="C1989" i="1"/>
  <c r="D1989" i="1"/>
  <c r="C1981" i="1"/>
  <c r="D1981" i="1"/>
  <c r="C1973" i="1"/>
  <c r="D1973" i="1"/>
  <c r="C1965" i="1"/>
  <c r="D1965" i="1"/>
  <c r="C1957" i="1"/>
  <c r="D1957" i="1"/>
  <c r="C1949" i="1"/>
  <c r="D1949" i="1"/>
  <c r="C1941" i="1"/>
  <c r="D1941" i="1"/>
  <c r="C1933" i="1"/>
  <c r="D1933" i="1"/>
  <c r="C1925" i="1"/>
  <c r="D1925" i="1"/>
  <c r="C1917" i="1"/>
  <c r="D1917" i="1"/>
  <c r="C1909" i="1"/>
  <c r="D1909" i="1"/>
  <c r="C1901" i="1"/>
  <c r="D1901" i="1"/>
  <c r="C1893" i="1"/>
  <c r="D1893" i="1"/>
  <c r="C1885" i="1"/>
  <c r="D1885" i="1"/>
  <c r="C1877" i="1"/>
  <c r="D1877" i="1"/>
  <c r="C1869" i="1"/>
  <c r="D1869" i="1"/>
  <c r="C1861" i="1"/>
  <c r="D1861" i="1"/>
  <c r="C1853" i="1"/>
  <c r="D1853" i="1"/>
  <c r="C1845" i="1"/>
  <c r="D1845" i="1"/>
  <c r="C1837" i="1"/>
  <c r="D1837" i="1"/>
  <c r="C1829" i="1"/>
  <c r="D1829" i="1"/>
  <c r="C1821" i="1"/>
  <c r="D1821" i="1"/>
  <c r="C1813" i="1"/>
  <c r="D1813" i="1"/>
  <c r="C1805" i="1"/>
  <c r="D1805" i="1"/>
  <c r="C1797" i="1"/>
  <c r="D1797" i="1"/>
  <c r="C1789" i="1"/>
  <c r="D1789" i="1"/>
  <c r="C1781" i="1"/>
  <c r="D1781" i="1"/>
  <c r="C1773" i="1"/>
  <c r="D1773" i="1"/>
  <c r="C1765" i="1"/>
  <c r="D1765" i="1"/>
  <c r="C1757" i="1"/>
  <c r="D1757" i="1"/>
  <c r="C1749" i="1"/>
  <c r="D1749" i="1"/>
  <c r="C1741" i="1"/>
  <c r="D1741" i="1"/>
  <c r="C1733" i="1"/>
  <c r="D1733" i="1"/>
  <c r="C1725" i="1"/>
  <c r="D1725" i="1"/>
  <c r="C1717" i="1"/>
  <c r="D1717" i="1"/>
  <c r="C1709" i="1"/>
  <c r="D1709" i="1"/>
  <c r="C1701" i="1"/>
  <c r="D1701" i="1"/>
  <c r="C1693" i="1"/>
  <c r="D1693" i="1"/>
  <c r="C1685" i="1"/>
  <c r="D1685" i="1"/>
  <c r="C1677" i="1"/>
  <c r="D1677" i="1"/>
  <c r="C1669" i="1"/>
  <c r="D1669" i="1"/>
  <c r="C1661" i="1"/>
  <c r="D1661" i="1"/>
  <c r="C1653" i="1"/>
  <c r="D1653" i="1"/>
  <c r="C1645" i="1"/>
  <c r="D1645" i="1"/>
  <c r="C1637" i="1"/>
  <c r="D1637" i="1"/>
  <c r="C1629" i="1"/>
  <c r="D1629" i="1"/>
  <c r="C1621" i="1"/>
  <c r="D1621" i="1"/>
  <c r="C1613" i="1"/>
  <c r="D1613" i="1"/>
  <c r="C1605" i="1"/>
  <c r="D1605" i="1"/>
  <c r="C1597" i="1"/>
  <c r="D1597" i="1"/>
  <c r="C1589" i="1"/>
  <c r="D1589" i="1"/>
  <c r="C1581" i="1"/>
  <c r="D1581" i="1"/>
  <c r="C1573" i="1"/>
  <c r="D1573" i="1"/>
  <c r="C1565" i="1"/>
  <c r="D1565" i="1"/>
  <c r="C1557" i="1"/>
  <c r="D1557" i="1"/>
  <c r="C1549" i="1"/>
  <c r="D1549" i="1"/>
  <c r="C1541" i="1"/>
  <c r="D1541" i="1"/>
  <c r="C1533" i="1"/>
  <c r="D1533" i="1"/>
  <c r="C1525" i="1"/>
  <c r="D1525" i="1"/>
  <c r="C1517" i="1"/>
  <c r="D1517" i="1"/>
  <c r="C1509" i="1"/>
  <c r="D1509" i="1"/>
  <c r="C1501" i="1"/>
  <c r="D1501" i="1"/>
  <c r="C1493" i="1"/>
  <c r="D1493" i="1"/>
  <c r="C1485" i="1"/>
  <c r="D1485" i="1"/>
  <c r="C1477" i="1"/>
  <c r="D1477" i="1"/>
  <c r="C1469" i="1"/>
  <c r="D1469" i="1"/>
  <c r="C1461" i="1"/>
  <c r="D1461" i="1"/>
  <c r="C1453" i="1"/>
  <c r="D1453" i="1"/>
  <c r="C1445" i="1"/>
  <c r="D1445" i="1"/>
  <c r="C1437" i="1"/>
  <c r="D1437" i="1"/>
  <c r="C1429" i="1"/>
  <c r="D1429" i="1"/>
  <c r="C1421" i="1"/>
  <c r="D1421" i="1"/>
  <c r="C1413" i="1"/>
  <c r="D1413" i="1"/>
  <c r="C1405" i="1"/>
  <c r="D1405" i="1"/>
  <c r="C1397" i="1"/>
  <c r="D1397" i="1"/>
  <c r="C1389" i="1"/>
  <c r="D1389" i="1"/>
  <c r="C1381" i="1"/>
  <c r="D1381" i="1"/>
  <c r="C1373" i="1"/>
  <c r="D1373" i="1"/>
  <c r="C1365" i="1"/>
  <c r="D1365" i="1"/>
  <c r="D1357" i="1"/>
  <c r="C1357" i="1"/>
  <c r="D1349" i="1"/>
  <c r="C1349" i="1"/>
  <c r="D1341" i="1"/>
  <c r="C1341" i="1"/>
  <c r="D1333" i="1"/>
  <c r="C1333" i="1"/>
  <c r="D1325" i="1"/>
  <c r="C1325" i="1"/>
  <c r="D1317" i="1"/>
  <c r="C1317" i="1"/>
  <c r="D1309" i="1"/>
  <c r="C1309" i="1"/>
  <c r="C1301" i="1"/>
  <c r="D1301" i="1"/>
  <c r="C1293" i="1"/>
  <c r="D1293" i="1"/>
  <c r="C1285" i="1"/>
  <c r="D1285" i="1"/>
  <c r="C1277" i="1"/>
  <c r="D1277" i="1"/>
  <c r="C1269" i="1"/>
  <c r="D1269" i="1"/>
  <c r="C1261" i="1"/>
  <c r="D1261" i="1"/>
  <c r="C1253" i="1"/>
  <c r="D1253" i="1"/>
  <c r="C1245" i="1"/>
  <c r="D1245" i="1"/>
  <c r="C1237" i="1"/>
  <c r="D1237" i="1"/>
  <c r="C1229" i="1"/>
  <c r="D1229" i="1"/>
  <c r="C1221" i="1"/>
  <c r="D1221" i="1"/>
  <c r="C1213" i="1"/>
  <c r="D1213" i="1"/>
  <c r="C1205" i="1"/>
  <c r="D1205" i="1"/>
  <c r="C1197" i="1"/>
  <c r="D1197" i="1"/>
  <c r="C1189" i="1"/>
  <c r="D1189" i="1"/>
  <c r="C1181" i="1"/>
  <c r="D1181" i="1"/>
  <c r="C1173" i="1"/>
  <c r="D1173" i="1"/>
  <c r="C1165" i="1"/>
  <c r="D1165" i="1"/>
  <c r="C1157" i="1"/>
  <c r="D1157" i="1"/>
  <c r="C1149" i="1"/>
  <c r="D1149" i="1"/>
  <c r="C1141" i="1"/>
  <c r="D1141" i="1"/>
  <c r="C1133" i="1"/>
  <c r="D1133" i="1"/>
  <c r="D1125" i="1"/>
  <c r="C1125" i="1"/>
  <c r="D1117" i="1"/>
  <c r="C1117" i="1"/>
  <c r="C1109" i="1"/>
  <c r="D1109" i="1"/>
  <c r="C1101" i="1"/>
  <c r="D1101" i="1"/>
  <c r="C1093" i="1"/>
  <c r="D1093" i="1"/>
  <c r="C1085" i="1"/>
  <c r="D1085" i="1"/>
  <c r="C1077" i="1"/>
  <c r="D1077" i="1"/>
  <c r="C1069" i="1"/>
  <c r="D1069" i="1"/>
  <c r="C1061" i="1"/>
  <c r="D1061" i="1"/>
  <c r="C1053" i="1"/>
  <c r="D1053" i="1"/>
  <c r="C1045" i="1"/>
  <c r="D1045" i="1"/>
  <c r="C1037" i="1"/>
  <c r="D1037" i="1"/>
  <c r="C1029" i="1"/>
  <c r="D1029" i="1"/>
  <c r="C1021" i="1"/>
  <c r="D1021" i="1"/>
  <c r="C1013" i="1"/>
  <c r="D1013" i="1"/>
  <c r="C1005" i="1"/>
  <c r="D1005" i="1"/>
  <c r="C997" i="1"/>
  <c r="D997" i="1"/>
  <c r="C989" i="1"/>
  <c r="D989" i="1"/>
  <c r="C981" i="1"/>
  <c r="D981" i="1"/>
  <c r="C973" i="1"/>
  <c r="D973" i="1"/>
  <c r="C965" i="1"/>
  <c r="D965" i="1"/>
  <c r="C957" i="1"/>
  <c r="D957" i="1"/>
  <c r="C949" i="1"/>
  <c r="D949" i="1"/>
  <c r="C941" i="1"/>
  <c r="D941" i="1"/>
  <c r="C933" i="1"/>
  <c r="D933" i="1"/>
  <c r="C925" i="1"/>
  <c r="D925" i="1"/>
  <c r="C917" i="1"/>
  <c r="D917" i="1"/>
  <c r="C909" i="1"/>
  <c r="D909" i="1"/>
  <c r="C901" i="1"/>
  <c r="D901" i="1"/>
  <c r="C893" i="1"/>
  <c r="D893" i="1"/>
  <c r="C885" i="1"/>
  <c r="D885" i="1"/>
  <c r="C877" i="1"/>
  <c r="D877" i="1"/>
  <c r="C869" i="1"/>
  <c r="D869" i="1"/>
  <c r="C861" i="1"/>
  <c r="D861" i="1"/>
  <c r="C853" i="1"/>
  <c r="D853" i="1"/>
  <c r="C845" i="1"/>
  <c r="D845" i="1"/>
  <c r="C837" i="1"/>
  <c r="D837" i="1"/>
  <c r="C829" i="1"/>
  <c r="D829" i="1"/>
  <c r="C821" i="1"/>
  <c r="D821" i="1"/>
  <c r="C813" i="1"/>
  <c r="D813" i="1"/>
  <c r="C805" i="1"/>
  <c r="D805" i="1"/>
  <c r="C797" i="1"/>
  <c r="D797" i="1"/>
  <c r="C789" i="1"/>
  <c r="D789" i="1"/>
  <c r="C781" i="1"/>
  <c r="D781" i="1"/>
  <c r="C773" i="1"/>
  <c r="D773" i="1"/>
  <c r="C765" i="1"/>
  <c r="D765" i="1"/>
  <c r="C757" i="1"/>
  <c r="D757" i="1"/>
  <c r="C749" i="1"/>
  <c r="D749" i="1"/>
  <c r="C741" i="1"/>
  <c r="D741" i="1"/>
  <c r="C733" i="1"/>
  <c r="D733" i="1"/>
  <c r="C725" i="1"/>
  <c r="D725" i="1"/>
  <c r="C717" i="1"/>
  <c r="D717" i="1"/>
  <c r="C709" i="1"/>
  <c r="D709" i="1"/>
  <c r="C701" i="1"/>
  <c r="D701" i="1"/>
  <c r="C693" i="1"/>
  <c r="D693" i="1"/>
  <c r="C685" i="1"/>
  <c r="D685" i="1"/>
  <c r="C677" i="1"/>
  <c r="D677" i="1"/>
  <c r="C669" i="1"/>
  <c r="D669" i="1"/>
  <c r="C661" i="1"/>
  <c r="D661" i="1"/>
  <c r="C653" i="1"/>
  <c r="D653" i="1"/>
  <c r="C645" i="1"/>
  <c r="D645" i="1"/>
  <c r="C637" i="1"/>
  <c r="D637" i="1"/>
  <c r="C629" i="1"/>
  <c r="D629" i="1"/>
  <c r="C621" i="1"/>
  <c r="D621" i="1"/>
  <c r="C613" i="1"/>
  <c r="D613" i="1"/>
  <c r="C605" i="1"/>
  <c r="D605" i="1"/>
  <c r="C597" i="1"/>
  <c r="D597" i="1"/>
  <c r="C589" i="1"/>
  <c r="D589" i="1"/>
  <c r="C581" i="1"/>
  <c r="D581" i="1"/>
  <c r="C573" i="1"/>
  <c r="D573" i="1"/>
  <c r="C565" i="1"/>
  <c r="D565" i="1"/>
  <c r="C557" i="1"/>
  <c r="D557" i="1"/>
  <c r="C549" i="1"/>
  <c r="D549" i="1"/>
  <c r="C541" i="1"/>
  <c r="D541" i="1"/>
  <c r="C533" i="1"/>
  <c r="D533" i="1"/>
  <c r="C525" i="1"/>
  <c r="D525" i="1"/>
  <c r="C517" i="1"/>
  <c r="D517" i="1"/>
  <c r="C509" i="1"/>
  <c r="D509" i="1"/>
  <c r="C501" i="1"/>
  <c r="D501" i="1"/>
  <c r="C493" i="1"/>
  <c r="D493" i="1"/>
  <c r="C485" i="1"/>
  <c r="D485" i="1"/>
  <c r="C477" i="1"/>
  <c r="D477" i="1"/>
  <c r="C469" i="1"/>
  <c r="D469" i="1"/>
  <c r="C461" i="1"/>
  <c r="D461" i="1"/>
  <c r="C453" i="1"/>
  <c r="D453" i="1"/>
  <c r="C445" i="1"/>
  <c r="D445" i="1"/>
  <c r="C437" i="1"/>
  <c r="D437" i="1"/>
  <c r="C429" i="1"/>
  <c r="D429" i="1"/>
  <c r="C421" i="1"/>
  <c r="D421" i="1"/>
  <c r="C413" i="1"/>
  <c r="D413" i="1"/>
  <c r="C405" i="1"/>
  <c r="D405" i="1"/>
  <c r="C397" i="1"/>
  <c r="D397" i="1"/>
  <c r="C389" i="1"/>
  <c r="D389" i="1"/>
  <c r="C381" i="1"/>
  <c r="D381" i="1"/>
  <c r="C373" i="1"/>
  <c r="D373" i="1"/>
  <c r="C365" i="1"/>
  <c r="D365" i="1"/>
  <c r="C357" i="1"/>
  <c r="D357" i="1"/>
  <c r="D349" i="1"/>
  <c r="C349" i="1"/>
  <c r="C341" i="1"/>
  <c r="D341" i="1"/>
  <c r="C333" i="1"/>
  <c r="D333" i="1"/>
  <c r="C325" i="1"/>
  <c r="D325" i="1"/>
  <c r="C317" i="1"/>
  <c r="D317" i="1"/>
  <c r="C309" i="1"/>
  <c r="D309" i="1"/>
  <c r="C301" i="1"/>
  <c r="D301" i="1"/>
  <c r="C293" i="1"/>
  <c r="D293" i="1"/>
  <c r="C285" i="1"/>
  <c r="D285" i="1"/>
  <c r="C277" i="1"/>
  <c r="D277" i="1"/>
  <c r="C269" i="1"/>
  <c r="D269" i="1"/>
  <c r="C261" i="1"/>
  <c r="D261" i="1"/>
  <c r="C253" i="1"/>
  <c r="D253" i="1"/>
  <c r="C245" i="1"/>
  <c r="D245" i="1"/>
  <c r="C237" i="1"/>
  <c r="D237" i="1"/>
  <c r="C229" i="1"/>
  <c r="D229" i="1"/>
  <c r="C221" i="1"/>
  <c r="D221" i="1"/>
  <c r="C213" i="1"/>
  <c r="D213" i="1"/>
  <c r="C205" i="1"/>
  <c r="D205" i="1"/>
  <c r="C197" i="1"/>
  <c r="D197" i="1"/>
  <c r="C189" i="1"/>
  <c r="D189" i="1"/>
  <c r="C181" i="1"/>
  <c r="D181" i="1"/>
  <c r="C173" i="1"/>
  <c r="D173" i="1"/>
  <c r="C165" i="1"/>
  <c r="D165" i="1"/>
  <c r="C157" i="1"/>
  <c r="D157" i="1"/>
  <c r="C149" i="1"/>
  <c r="D149" i="1"/>
  <c r="C141" i="1"/>
  <c r="D141" i="1"/>
  <c r="C133" i="1"/>
  <c r="D133" i="1"/>
  <c r="C125" i="1"/>
  <c r="D125" i="1"/>
  <c r="C117" i="1"/>
  <c r="D117" i="1"/>
  <c r="C109" i="1"/>
  <c r="D109" i="1"/>
  <c r="C101" i="1"/>
  <c r="D101" i="1"/>
  <c r="C93" i="1"/>
  <c r="D93" i="1"/>
  <c r="C85" i="1"/>
  <c r="D85" i="1"/>
  <c r="C77" i="1"/>
  <c r="D77" i="1"/>
  <c r="C69" i="1"/>
  <c r="D69" i="1"/>
  <c r="C61" i="1"/>
  <c r="D61" i="1"/>
  <c r="C53" i="1"/>
  <c r="D53" i="1"/>
  <c r="C45" i="1"/>
  <c r="D45" i="1"/>
  <c r="C37" i="1"/>
  <c r="D37" i="1"/>
  <c r="C29" i="1"/>
  <c r="D29" i="1"/>
  <c r="C21" i="1"/>
  <c r="D21" i="1"/>
  <c r="D10" i="1"/>
  <c r="C10" i="1"/>
  <c r="C2" i="1"/>
  <c r="D2" i="1"/>
  <c r="C17" i="1"/>
  <c r="D17" i="1"/>
  <c r="C9" i="1"/>
  <c r="D9" i="1"/>
  <c r="D18" i="1"/>
  <c r="C18" i="1"/>
  <c r="D16" i="1"/>
  <c r="C16" i="1"/>
  <c r="C8" i="1"/>
  <c r="D8" i="1"/>
  <c r="C7" i="1"/>
  <c r="D7" i="1"/>
  <c r="D14" i="1"/>
  <c r="C14" i="1"/>
  <c r="D6" i="1"/>
  <c r="C6" i="1"/>
  <c r="C15" i="1"/>
  <c r="D15" i="1"/>
  <c r="C13" i="1"/>
  <c r="D13" i="1"/>
  <c r="D5" i="1"/>
  <c r="C5" i="1"/>
  <c r="C12" i="1"/>
  <c r="D12" i="1"/>
  <c r="C4" i="1"/>
  <c r="D4" i="1"/>
  <c r="C19" i="1"/>
  <c r="D19" i="1"/>
  <c r="C11" i="1"/>
  <c r="D11" i="1"/>
  <c r="C3" i="1"/>
  <c r="D3" i="1"/>
  <c r="F147" i="1"/>
  <c r="F1336" i="1"/>
  <c r="F659" i="1"/>
  <c r="F889" i="1"/>
  <c r="F1233" i="1"/>
  <c r="F406" i="1"/>
  <c r="F972" i="1"/>
  <c r="F986" i="1"/>
  <c r="F1385" i="1"/>
  <c r="F438" i="1"/>
  <c r="F636" i="1"/>
  <c r="F232" i="1"/>
  <c r="F1291" i="1"/>
  <c r="F1086" i="1"/>
  <c r="F1055" i="1"/>
  <c r="F615" i="1"/>
  <c r="F345" i="1"/>
  <c r="F424" i="1"/>
  <c r="F1064" i="1"/>
  <c r="F794" i="1"/>
  <c r="F1206" i="1"/>
  <c r="F861" i="1"/>
  <c r="F932" i="1"/>
  <c r="F470" i="1"/>
  <c r="F1050" i="1"/>
  <c r="F709" i="1"/>
  <c r="F765" i="1"/>
  <c r="F954" i="1"/>
  <c r="F1464" i="1"/>
  <c r="F758" i="1"/>
  <c r="F1105" i="1"/>
  <c r="F1342" i="1"/>
  <c r="F902" i="1"/>
  <c r="F260" i="1"/>
  <c r="F887" i="1"/>
  <c r="F1179" i="1"/>
  <c r="F139" i="1"/>
  <c r="F1167" i="1"/>
  <c r="F651" i="1"/>
  <c r="F696" i="1"/>
  <c r="F1450" i="1"/>
  <c r="F103" i="1"/>
  <c r="F695" i="1"/>
  <c r="F551" i="1"/>
  <c r="F1207" i="1"/>
  <c r="F171" i="1"/>
  <c r="F1301" i="1"/>
  <c r="F1225" i="1"/>
  <c r="F850" i="1"/>
  <c r="F175" i="1"/>
  <c r="F1195" i="1"/>
  <c r="F1345" i="1"/>
  <c r="F1168" i="1"/>
  <c r="F706" i="1"/>
  <c r="F665" i="1"/>
  <c r="F1570" i="1"/>
  <c r="F275" i="1"/>
  <c r="F848" i="1"/>
  <c r="F539" i="1"/>
  <c r="F512" i="1"/>
  <c r="F204" i="1"/>
  <c r="F878" i="1"/>
  <c r="F1028" i="1"/>
  <c r="F1083" i="1"/>
  <c r="F7" i="1"/>
  <c r="F1402" i="1"/>
  <c r="F1267" i="1"/>
  <c r="F181" i="1"/>
  <c r="F1070" i="1"/>
  <c r="F812" i="1"/>
  <c r="F625" i="1"/>
  <c r="F1624" i="1"/>
  <c r="F1256" i="1"/>
  <c r="F1209" i="1"/>
  <c r="F363" i="1"/>
  <c r="F462" i="1"/>
  <c r="F933" i="1"/>
  <c r="F1042" i="1"/>
  <c r="F1132" i="1"/>
  <c r="F1241" i="1"/>
  <c r="F111" i="1"/>
  <c r="F1393" i="1"/>
  <c r="F1275" i="1"/>
  <c r="F605" i="1"/>
  <c r="F236" i="1"/>
  <c r="F365" i="1"/>
  <c r="F905" i="1"/>
  <c r="F673" i="1"/>
  <c r="F1556" i="1"/>
  <c r="F626" i="1"/>
  <c r="F466" i="1"/>
  <c r="F1444" i="1"/>
  <c r="F85" i="1"/>
  <c r="F1327" i="1"/>
  <c r="F347" i="1"/>
  <c r="F1339" i="1"/>
  <c r="F148" i="1"/>
  <c r="F795" i="1"/>
  <c r="F1107" i="1"/>
  <c r="F1395" i="1"/>
  <c r="F739" i="1"/>
  <c r="F843" i="1"/>
  <c r="F577" i="1"/>
  <c r="F1325" i="1"/>
  <c r="F1725" i="1"/>
  <c r="F702" i="1"/>
  <c r="F440" i="1"/>
  <c r="F1777" i="1"/>
  <c r="F1036" i="1"/>
  <c r="F1344" i="1"/>
  <c r="F399" i="1"/>
  <c r="F830" i="1"/>
  <c r="F1358" i="1"/>
  <c r="F921" i="1"/>
  <c r="F387" i="1"/>
  <c r="F1768" i="1"/>
  <c r="F1286" i="1"/>
  <c r="F224" i="1"/>
  <c r="F910" i="1"/>
  <c r="F201" i="1"/>
  <c r="F251" i="1"/>
  <c r="F556" i="1"/>
  <c r="F377" i="1"/>
  <c r="F383" i="1"/>
  <c r="F1718" i="1"/>
  <c r="F1787" i="1"/>
  <c r="F1378" i="1"/>
  <c r="F1110" i="1"/>
  <c r="F1558" i="1"/>
  <c r="F453" i="1"/>
  <c r="F638" i="1"/>
  <c r="F367" i="1"/>
  <c r="F227" i="1"/>
  <c r="F248" i="1"/>
  <c r="F79" i="1"/>
  <c r="F1288" i="1"/>
  <c r="F354" i="1"/>
  <c r="F1551" i="1"/>
  <c r="F1389" i="1"/>
  <c r="F1996" i="1"/>
  <c r="F135" i="1"/>
  <c r="F78" i="1"/>
  <c r="F428" i="1"/>
  <c r="F590" i="1"/>
  <c r="F1162" i="1"/>
  <c r="F375" i="1"/>
  <c r="F560" i="1"/>
  <c r="F946" i="1"/>
  <c r="F200" i="1"/>
  <c r="F242" i="1"/>
  <c r="F291" i="1"/>
  <c r="F360" i="1"/>
  <c r="F1014" i="1"/>
  <c r="F1237" i="1"/>
  <c r="F970" i="1"/>
  <c r="F117" i="1"/>
  <c r="F1057" i="1"/>
  <c r="F1113" i="1"/>
  <c r="F211" i="1"/>
  <c r="F1416" i="1"/>
  <c r="F723" i="1"/>
  <c r="F980" i="1"/>
  <c r="F206" i="1"/>
  <c r="F51" i="1"/>
  <c r="F1058" i="1"/>
  <c r="F579" i="1"/>
  <c r="F1518" i="1"/>
  <c r="F890" i="1"/>
  <c r="F1845" i="1"/>
  <c r="F854" i="1"/>
  <c r="F1596" i="1"/>
  <c r="F704" i="1"/>
  <c r="F1119" i="1"/>
  <c r="F735" i="1"/>
  <c r="F473" i="1"/>
  <c r="F41" i="1"/>
  <c r="F1128" i="1"/>
  <c r="F894" i="1"/>
  <c r="F1294" i="1"/>
  <c r="F28" i="1"/>
  <c r="F1031" i="1"/>
  <c r="F115" i="1"/>
  <c r="F1122" i="1"/>
  <c r="F40" i="1"/>
  <c r="F1513" i="1"/>
  <c r="F1094" i="1"/>
  <c r="F1652" i="1"/>
  <c r="F1271" i="1"/>
  <c r="F1850" i="1"/>
  <c r="F866" i="1"/>
  <c r="F1329" i="1"/>
  <c r="F381" i="1"/>
  <c r="F951" i="1"/>
  <c r="F1251" i="1"/>
  <c r="F203" i="1"/>
  <c r="F1263" i="1"/>
  <c r="F715" i="1"/>
  <c r="F805" i="1"/>
  <c r="F668" i="1"/>
  <c r="F1048" i="1"/>
  <c r="F996" i="1"/>
  <c r="F19" i="1"/>
  <c r="F629" i="1"/>
  <c r="F1095" i="1"/>
  <c r="F1425" i="1"/>
  <c r="F1088" i="1"/>
  <c r="F677" i="1"/>
  <c r="F1377" i="1"/>
  <c r="F1017" i="1"/>
  <c r="F244" i="1"/>
  <c r="F1833" i="1"/>
  <c r="F1269" i="1"/>
  <c r="F1942" i="1"/>
  <c r="F883" i="1"/>
  <c r="F81" i="1"/>
  <c r="F404" i="1"/>
  <c r="F635" i="1"/>
  <c r="F234" i="1"/>
  <c r="F357" i="1"/>
  <c r="F989" i="1"/>
  <c r="F91" i="1"/>
  <c r="F1383" i="1"/>
  <c r="F782" i="1"/>
  <c r="F1830" i="1"/>
  <c r="F529" i="1"/>
  <c r="F751" i="1"/>
  <c r="F1427" i="1"/>
  <c r="F821" i="1"/>
  <c r="F1941" i="1"/>
  <c r="F686" i="1"/>
  <c r="F132" i="1"/>
  <c r="F892" i="1"/>
  <c r="F1193" i="1"/>
  <c r="F156" i="1"/>
  <c r="F952" i="1"/>
  <c r="F937" i="1"/>
  <c r="F911" i="1"/>
  <c r="F95" i="1"/>
  <c r="F1574" i="1"/>
  <c r="F166" i="1"/>
  <c r="F1222" i="1"/>
  <c r="F859" i="1"/>
  <c r="F563" i="1"/>
  <c r="F582" i="1"/>
  <c r="F349" i="1"/>
  <c r="F688" i="1"/>
  <c r="F731" i="1"/>
  <c r="F1033" i="1"/>
  <c r="F1510" i="1"/>
  <c r="F155" i="1"/>
  <c r="F1160" i="1"/>
  <c r="F106" i="1"/>
  <c r="F415" i="1"/>
  <c r="F184" i="1"/>
  <c r="F1307" i="1"/>
  <c r="F522" i="1"/>
  <c r="F1773" i="1"/>
  <c r="F176" i="1"/>
  <c r="F314" i="1"/>
  <c r="F924" i="1"/>
  <c r="F834" i="1"/>
  <c r="F47" i="1"/>
  <c r="F451" i="1"/>
  <c r="F1832" i="1"/>
  <c r="F1382" i="1"/>
  <c r="F975" i="1"/>
  <c r="F1024" i="1"/>
  <c r="F361" i="1"/>
  <c r="F875" i="1"/>
  <c r="F299" i="1"/>
  <c r="F348" i="1"/>
  <c r="F1350" i="1"/>
  <c r="F558" i="1"/>
  <c r="F1898" i="1"/>
  <c r="F799" i="1"/>
  <c r="F1190" i="1"/>
  <c r="F1474" i="1"/>
  <c r="F694" i="1"/>
  <c r="F1298" i="1"/>
  <c r="F216" i="1"/>
  <c r="F380" i="1"/>
  <c r="F540" i="1"/>
  <c r="F1784" i="1"/>
  <c r="F1597" i="1"/>
  <c r="F923" i="1"/>
  <c r="F1174" i="1"/>
  <c r="F53" i="1"/>
  <c r="F565" i="1"/>
  <c r="F31" i="1"/>
  <c r="F1247" i="1"/>
  <c r="F927" i="1"/>
  <c r="F368" i="1"/>
  <c r="F1040" i="1"/>
  <c r="F531" i="1"/>
  <c r="F1072" i="1"/>
  <c r="F984" i="1"/>
  <c r="F1081" i="1"/>
  <c r="F1968" i="1"/>
  <c r="F1250" i="1"/>
  <c r="F142" i="1"/>
  <c r="F570" i="1"/>
  <c r="F283" i="1"/>
  <c r="F202" i="1"/>
  <c r="F4" i="1"/>
  <c r="F1065" i="1"/>
  <c r="F270" i="1"/>
  <c r="F778" i="1"/>
  <c r="F1130" i="1"/>
  <c r="F1445" i="1"/>
  <c r="F197" i="1"/>
  <c r="F1126" i="1"/>
  <c r="F1230" i="1"/>
  <c r="F1215" i="1"/>
  <c r="F1219" i="1"/>
  <c r="F1006" i="1"/>
  <c r="F1183" i="1"/>
  <c r="F855" i="1"/>
  <c r="F580" i="1"/>
  <c r="F10" i="1"/>
  <c r="F1192" i="1"/>
  <c r="F1013" i="1"/>
  <c r="F697" i="1"/>
  <c r="F693" i="1"/>
  <c r="F1135" i="1"/>
  <c r="F872" i="1"/>
  <c r="F247" i="1"/>
  <c r="F790" i="1"/>
  <c r="F481" i="1"/>
  <c r="F716" i="1"/>
  <c r="F1930" i="1"/>
  <c r="F1582" i="1"/>
  <c r="F1819" i="1"/>
  <c r="F1152" i="1"/>
  <c r="F771" i="1"/>
  <c r="F287" i="1"/>
  <c r="F8" i="1"/>
  <c r="F1323" i="1"/>
  <c r="F1201" i="1"/>
  <c r="F1343" i="1"/>
  <c r="F789" i="1"/>
  <c r="F897" i="1"/>
  <c r="F124" i="1"/>
  <c r="F1001" i="1"/>
  <c r="F137" i="1"/>
  <c r="F163" i="1"/>
  <c r="F652" i="1"/>
  <c r="F1144" i="1"/>
  <c r="F93" i="1"/>
  <c r="F829" i="1"/>
  <c r="F1242" i="1"/>
  <c r="F1063" i="1"/>
  <c r="F96" i="1"/>
  <c r="F1331" i="1"/>
  <c r="F1666" i="1"/>
  <c r="F520" i="1"/>
  <c r="F1783" i="1"/>
  <c r="F1151" i="1"/>
  <c r="F851" i="1"/>
  <c r="F745" i="1"/>
  <c r="F388" i="1"/>
  <c r="F896" i="1"/>
  <c r="F1555" i="1"/>
  <c r="F1322" i="1"/>
  <c r="F971" i="1"/>
  <c r="F353" i="1"/>
  <c r="F1203" i="1"/>
  <c r="F33" i="1"/>
  <c r="F964" i="1"/>
  <c r="F990" i="1"/>
  <c r="F341" i="1"/>
  <c r="F1947" i="1"/>
  <c r="F1834" i="1"/>
  <c r="F378" i="1"/>
  <c r="F913" i="1"/>
  <c r="F1462" i="1"/>
  <c r="F1003" i="1"/>
  <c r="F816" i="1"/>
  <c r="F1649" i="1"/>
  <c r="F410" i="1"/>
  <c r="F845" i="1"/>
  <c r="F1815" i="1"/>
  <c r="F253" i="1"/>
  <c r="F121" i="1"/>
  <c r="F675" i="1"/>
  <c r="F718" i="1"/>
  <c r="F126" i="1"/>
  <c r="F255" i="1"/>
  <c r="F574" i="1"/>
  <c r="F873" i="1"/>
  <c r="F661" i="1"/>
  <c r="F1881" i="1"/>
  <c r="F1413" i="1"/>
  <c r="F1254" i="1"/>
  <c r="F1419" i="1"/>
  <c r="F775" i="1"/>
  <c r="F1362" i="1"/>
  <c r="F1654" i="1"/>
  <c r="F814" i="1"/>
  <c r="F962" i="1"/>
  <c r="F1877" i="1"/>
  <c r="F339" i="1"/>
  <c r="F930" i="1"/>
  <c r="F591" i="1"/>
  <c r="F173" i="1"/>
  <c r="F809" i="1"/>
  <c r="F646" i="1"/>
  <c r="F1795" i="1"/>
  <c r="F903" i="1"/>
  <c r="F1272" i="1"/>
  <c r="F1914" i="1"/>
  <c r="F71" i="1"/>
  <c r="F484" i="1"/>
  <c r="F1121" i="1"/>
  <c r="F1448" i="1"/>
  <c r="F332" i="1"/>
  <c r="F272" i="1"/>
  <c r="F430" i="1"/>
  <c r="F1577" i="1"/>
  <c r="F1287" i="1"/>
  <c r="F187" i="1"/>
  <c r="F426" i="1"/>
  <c r="F218" i="1"/>
  <c r="F82" i="1"/>
  <c r="F306" i="1"/>
  <c r="F1197" i="1"/>
  <c r="F1276" i="1"/>
  <c r="F1547" i="1"/>
  <c r="F1296" i="1"/>
  <c r="F1246" i="1"/>
  <c r="F54" i="1"/>
  <c r="F681" i="1"/>
  <c r="F151" i="1"/>
  <c r="F1311" i="1"/>
  <c r="F32" i="1"/>
  <c r="F188" i="1"/>
  <c r="F1120" i="1"/>
  <c r="F342" i="1"/>
  <c r="F1285" i="1"/>
  <c r="F575" i="1"/>
  <c r="F382" i="1"/>
  <c r="F456" i="1"/>
  <c r="F791" i="1"/>
  <c r="F214" i="1"/>
  <c r="F712" i="1"/>
  <c r="F83" i="1"/>
  <c r="F335" i="1"/>
  <c r="F595" i="1"/>
  <c r="F847" i="1"/>
  <c r="F1153" i="1"/>
  <c r="F334" i="1"/>
  <c r="F881" i="1"/>
  <c r="F904" i="1"/>
  <c r="F819" i="1"/>
  <c r="F614" i="1"/>
  <c r="F266" i="1"/>
  <c r="F783" i="1"/>
  <c r="F1169" i="1"/>
  <c r="F243" i="1"/>
  <c r="F917" i="1"/>
  <c r="F35" i="1"/>
  <c r="F967" i="1"/>
  <c r="F547" i="1"/>
  <c r="F114" i="1"/>
  <c r="F107" i="1"/>
  <c r="F1102" i="1"/>
  <c r="F788" i="1"/>
  <c r="F813" i="1"/>
  <c r="F398" i="1"/>
  <c r="F963" i="1"/>
  <c r="F762" i="1"/>
  <c r="F488" i="1"/>
  <c r="F578" i="1"/>
  <c r="F1038" i="1"/>
  <c r="F419" i="1"/>
  <c r="F868" i="1"/>
  <c r="F307" i="1"/>
  <c r="F1000" i="1"/>
  <c r="F141" i="1"/>
  <c r="F823" i="1"/>
  <c r="F379" i="1"/>
  <c r="F75" i="1"/>
  <c r="F38" i="1"/>
  <c r="F587" i="1"/>
  <c r="F550" i="1"/>
  <c r="F1423" i="1"/>
  <c r="F703" i="1"/>
  <c r="F559" i="1"/>
  <c r="F992" i="1"/>
  <c r="F803" i="1"/>
  <c r="F1687" i="1"/>
  <c r="F1447" i="1"/>
  <c r="F1200" i="1"/>
  <c r="F1410" i="1"/>
  <c r="F925" i="1"/>
  <c r="F1494" i="1"/>
  <c r="F1310" i="1"/>
  <c r="F616" i="1"/>
  <c r="F755" i="1"/>
  <c r="F1979" i="1"/>
  <c r="F846" i="1"/>
  <c r="F56" i="1"/>
  <c r="F527" i="1"/>
  <c r="F1157" i="1"/>
  <c r="F734" i="1"/>
  <c r="F979" i="1"/>
  <c r="F1073" i="1"/>
  <c r="F1303" i="1"/>
  <c r="F1178" i="1"/>
  <c r="F1637" i="1"/>
  <c r="F960" i="1"/>
  <c r="F1566" i="1"/>
  <c r="F131" i="1"/>
  <c r="F302" i="1"/>
  <c r="F557" i="1"/>
  <c r="F1738" i="1"/>
  <c r="F1953" i="1"/>
  <c r="F957" i="1"/>
  <c r="F1078" i="1"/>
  <c r="F90" i="1"/>
  <c r="F1454" i="1"/>
  <c r="F981" i="1"/>
  <c r="F678" i="1"/>
  <c r="F893" i="1"/>
  <c r="F802" i="1"/>
  <c r="F427" i="1"/>
  <c r="F129" i="1"/>
  <c r="F61" i="1"/>
  <c r="F1115" i="1"/>
  <c r="F1302" i="1"/>
  <c r="F329" i="1"/>
  <c r="F118" i="1"/>
  <c r="F862" i="1"/>
  <c r="F1392" i="1"/>
  <c r="F601" i="1"/>
  <c r="F598" i="1"/>
  <c r="F282" i="1"/>
  <c r="F49" i="1"/>
  <c r="F14" i="1"/>
  <c r="F766" i="1"/>
  <c r="F604" i="1"/>
  <c r="F1495" i="1"/>
  <c r="F374" i="1"/>
  <c r="F1970" i="1"/>
  <c r="F800" i="1"/>
  <c r="F26" i="1"/>
  <c r="F589" i="1"/>
  <c r="F1435" i="1"/>
  <c r="F1046" i="1"/>
  <c r="F52" i="1"/>
  <c r="F325" i="1"/>
  <c r="F518" i="1"/>
  <c r="F263" i="1"/>
  <c r="F1375" i="1"/>
  <c r="F144" i="1"/>
  <c r="F27" i="1"/>
  <c r="F1208" i="1"/>
  <c r="F680" i="1"/>
  <c r="F867" i="1"/>
  <c r="F1005" i="1"/>
  <c r="F514" i="1"/>
  <c r="F1112" i="1"/>
  <c r="F6" i="1"/>
  <c r="F344" i="1"/>
  <c r="F526" i="1"/>
  <c r="F511" i="1"/>
  <c r="F571" i="1"/>
  <c r="F240" i="1"/>
  <c r="F828" i="1"/>
  <c r="F57" i="1"/>
  <c r="F879" i="1"/>
  <c r="F1249" i="1"/>
  <c r="F732" i="1"/>
  <c r="F793" i="1"/>
  <c r="F1333" i="1"/>
  <c r="F1216" i="1"/>
  <c r="F815" i="1"/>
  <c r="F645" i="1"/>
  <c r="F1641" i="1"/>
  <c r="F303" i="1"/>
  <c r="F1089" i="1"/>
  <c r="F1961" i="1"/>
  <c r="F988" i="1"/>
  <c r="F730" i="1"/>
  <c r="F888" i="1"/>
  <c r="F1016" i="1"/>
  <c r="F1884" i="1"/>
  <c r="F423" i="1"/>
  <c r="F133" i="1"/>
  <c r="F1804" i="1"/>
  <c r="F276" i="1"/>
  <c r="F1526" i="1"/>
  <c r="F907" i="1"/>
  <c r="F860" i="1"/>
  <c r="F1265" i="1"/>
  <c r="F543" i="1"/>
  <c r="F331" i="1"/>
  <c r="F92" i="1"/>
  <c r="F1097" i="1"/>
  <c r="F1755" i="1"/>
  <c r="F432" i="1"/>
  <c r="F884" i="1"/>
  <c r="F1875" i="1"/>
  <c r="F1864" i="1"/>
  <c r="F776" i="1"/>
  <c r="F212" i="1"/>
  <c r="F182" i="1"/>
  <c r="F679" i="1"/>
  <c r="F1338" i="1"/>
  <c r="F1313" i="1"/>
  <c r="F1096" i="1"/>
  <c r="F515" i="1"/>
  <c r="F1158" i="1"/>
  <c r="F583" i="1"/>
  <c r="F73" i="1"/>
  <c r="F58" i="1"/>
  <c r="F269" i="1"/>
  <c r="F397" i="1"/>
  <c r="F1576" i="1"/>
  <c r="F993" i="1"/>
  <c r="F505" i="1"/>
  <c r="F746" i="1"/>
  <c r="F1335" i="1"/>
  <c r="F80" i="1"/>
  <c r="F1602" i="1"/>
  <c r="F1854" i="1"/>
  <c r="F1774" i="1"/>
  <c r="F1866" i="1"/>
  <c r="F1236" i="1"/>
  <c r="F1441" i="1"/>
  <c r="F1148" i="1"/>
  <c r="F1496" i="1"/>
  <c r="F562" i="1"/>
  <c r="F1373" i="1"/>
  <c r="F1733" i="1"/>
  <c r="F501" i="1"/>
  <c r="F1405" i="1"/>
  <c r="F922" i="1"/>
  <c r="F1756" i="1"/>
  <c r="F262" i="1"/>
  <c r="F1071" i="1"/>
  <c r="F434" i="1"/>
  <c r="F369" i="1"/>
  <c r="F165" i="1"/>
  <c r="F842" i="1"/>
  <c r="F1452" i="1"/>
  <c r="F628" i="1"/>
  <c r="F1744" i="1"/>
  <c r="F1173" i="1"/>
  <c r="F1762" i="1"/>
  <c r="F1951" i="1"/>
  <c r="F1581" i="1"/>
  <c r="F764" i="1"/>
  <c r="F953" i="1"/>
  <c r="F1446" i="1"/>
  <c r="F1304" i="1"/>
  <c r="F1567" i="1"/>
  <c r="F1521" i="1"/>
  <c r="F1991" i="1"/>
  <c r="F1477" i="1"/>
  <c r="F1658" i="1"/>
  <c r="F1855" i="1"/>
  <c r="F1731" i="1"/>
  <c r="F1041" i="1"/>
  <c r="F1776" i="1"/>
  <c r="F1735" i="1"/>
  <c r="F1659" i="1"/>
  <c r="F454" i="1"/>
  <c r="F1360" i="1"/>
  <c r="F1408" i="1"/>
  <c r="F1379" i="1"/>
  <c r="F1505" i="1"/>
  <c r="F1715" i="1"/>
  <c r="F549" i="1"/>
  <c r="F856" i="1"/>
  <c r="F1839" i="1"/>
  <c r="F72" i="1"/>
  <c r="F573" i="1"/>
  <c r="F553" i="1"/>
  <c r="F1436" i="1"/>
  <c r="F1935" i="1"/>
  <c r="F1348" i="1"/>
  <c r="F1412" i="1"/>
  <c r="F472" i="1"/>
  <c r="F1974" i="1"/>
  <c r="F1141" i="1"/>
  <c r="F444" i="1"/>
  <c r="F931" i="1"/>
  <c r="F1847" i="1"/>
  <c r="F189" i="1"/>
  <c r="F700" i="1"/>
  <c r="F654" i="1"/>
  <c r="F100" i="1"/>
  <c r="F1371" i="1"/>
  <c r="F480" i="1"/>
  <c r="F763" i="1"/>
  <c r="F1386" i="1"/>
  <c r="F1455" i="1"/>
  <c r="F362" i="1"/>
  <c r="F320" i="1"/>
  <c r="F308" i="1"/>
  <c r="F174" i="1"/>
  <c r="F1147" i="1"/>
  <c r="F1103" i="1"/>
  <c r="F958" i="1"/>
  <c r="F2" i="1"/>
  <c r="F857" i="1"/>
  <c r="F521" i="1"/>
  <c r="F385" i="1"/>
  <c r="F1467" i="1"/>
  <c r="F192" i="1"/>
  <c r="F998" i="1"/>
  <c r="F298" i="1"/>
  <c r="F483" i="1"/>
  <c r="F939" i="1"/>
  <c r="F672" i="1"/>
  <c r="F1870" i="1"/>
  <c r="F787" i="1"/>
  <c r="F77" i="1"/>
  <c r="F1258" i="1"/>
  <c r="F1909" i="1"/>
  <c r="F312" i="1"/>
  <c r="F1021" i="1"/>
  <c r="F119" i="1"/>
  <c r="F1418" i="1"/>
  <c r="F537" i="1"/>
  <c r="F37" i="1"/>
  <c r="F351" i="1"/>
  <c r="F877" i="1"/>
  <c r="F698" i="1"/>
  <c r="F1745" i="1"/>
  <c r="F475" i="1"/>
  <c r="F608" i="1"/>
  <c r="F532" i="1"/>
  <c r="F1274" i="1"/>
  <c r="F1679" i="1"/>
  <c r="F919" i="1"/>
  <c r="F127" i="1"/>
  <c r="F1166" i="1"/>
  <c r="F1281" i="1"/>
  <c r="F606" i="1"/>
  <c r="F737" i="1"/>
  <c r="F818" i="1"/>
  <c r="F768" i="1"/>
  <c r="F959" i="1"/>
  <c r="F1791" i="1"/>
  <c r="F1701" i="1"/>
  <c r="F634" i="1"/>
  <c r="F1691" i="1"/>
  <c r="F811" i="1"/>
  <c r="F409" i="1"/>
  <c r="F1176" i="1"/>
  <c r="F1631" i="1"/>
  <c r="F714" i="1"/>
  <c r="F1998" i="1"/>
  <c r="F1841" i="1"/>
  <c r="F1940" i="1"/>
  <c r="F1983" i="1"/>
  <c r="F1633" i="1"/>
  <c r="F1540" i="1"/>
  <c r="F1025" i="1"/>
  <c r="F1664" i="1"/>
  <c r="F1508" i="1"/>
  <c r="F55" i="1"/>
  <c r="F687" i="1"/>
  <c r="F1170" i="1"/>
  <c r="F1143" i="1"/>
  <c r="F1257" i="1"/>
  <c r="F1636" i="1"/>
  <c r="F1479" i="1"/>
  <c r="F1699" i="1"/>
  <c r="F1548" i="1"/>
  <c r="F257" i="1"/>
  <c r="F1781" i="1"/>
  <c r="F710" i="1"/>
  <c r="F1559" i="1"/>
  <c r="F947" i="1"/>
  <c r="F1958" i="1"/>
  <c r="F870" i="1"/>
  <c r="F59" i="1"/>
  <c r="F534" i="1"/>
  <c r="F658" i="1"/>
  <c r="F285" i="1"/>
  <c r="F1792" i="1"/>
  <c r="F1848" i="1"/>
  <c r="F1911" i="1"/>
  <c r="F1116" i="1"/>
  <c r="F418" i="1"/>
  <c r="F1569" i="1"/>
  <c r="F640" i="1"/>
  <c r="F1842" i="1"/>
  <c r="F1592" i="1"/>
  <c r="F1897" i="1"/>
  <c r="F1999" i="1"/>
  <c r="F469" i="1"/>
  <c r="F1355" i="1"/>
  <c r="F1434" i="1"/>
  <c r="F180" i="1"/>
  <c r="F333" i="1"/>
  <c r="F305" i="1"/>
  <c r="F1918" i="1"/>
  <c r="F941" i="1"/>
  <c r="F1693" i="1"/>
  <c r="F940" i="1"/>
  <c r="F1573" i="1"/>
  <c r="F858" i="1"/>
  <c r="F1886" i="1"/>
  <c r="F1700" i="1"/>
  <c r="F1504" i="1"/>
  <c r="F286" i="1"/>
  <c r="F146" i="1"/>
  <c r="F207" i="1"/>
  <c r="F1368" i="1"/>
  <c r="F1512" i="1"/>
  <c r="F1465" i="1"/>
  <c r="F1894" i="1"/>
  <c r="F1052" i="1"/>
  <c r="F657" i="1"/>
  <c r="F726" i="1"/>
  <c r="F674" i="1"/>
  <c r="F1443" i="1"/>
  <c r="F997" i="1"/>
  <c r="F39" i="1"/>
  <c r="F87" i="1"/>
  <c r="F1960" i="1"/>
  <c r="F490" i="1"/>
  <c r="F384" i="1"/>
  <c r="F436" i="1"/>
  <c r="F779" i="1"/>
  <c r="F364" i="1"/>
  <c r="F833" i="1"/>
  <c r="F1619" i="1"/>
  <c r="F707" i="1"/>
  <c r="F1442" i="1"/>
  <c r="F1164" i="1"/>
  <c r="F1579" i="1"/>
  <c r="F682" i="1"/>
  <c r="F12" i="1"/>
  <c r="F1367" i="1"/>
  <c r="F1713" i="1"/>
  <c r="F1292" i="1"/>
  <c r="F826" i="1"/>
  <c r="F1530" i="1"/>
  <c r="F1647" i="1"/>
  <c r="F752" i="1"/>
  <c r="F67" i="1"/>
  <c r="F1231" i="1"/>
  <c r="F76" i="1"/>
  <c r="F1502" i="1"/>
  <c r="F1232" i="1"/>
  <c r="F1438" i="1"/>
  <c r="F350" i="1"/>
  <c r="F1858" i="1"/>
  <c r="F588" i="1"/>
  <c r="F1211" i="1"/>
  <c r="F555" i="1"/>
  <c r="F222" i="1"/>
  <c r="F1204" i="1"/>
  <c r="F3" i="1"/>
  <c r="F370" i="1"/>
  <c r="F1580" i="1"/>
  <c r="F1437" i="1"/>
  <c r="F1400" i="1"/>
  <c r="F895" i="1"/>
  <c r="F1414" i="1"/>
  <c r="F1453" i="1"/>
  <c r="F1077" i="1"/>
  <c r="F1210" i="1"/>
  <c r="F1484" i="1"/>
  <c r="F1578" i="1"/>
  <c r="F1747" i="1"/>
  <c r="F297" i="1"/>
  <c r="F1428" i="1"/>
  <c r="F797" i="1"/>
  <c r="F60" i="1"/>
  <c r="F482" i="1"/>
  <c r="F1068" i="1"/>
  <c r="F1972" i="1"/>
  <c r="F1037" i="1"/>
  <c r="F1925" i="1"/>
  <c r="F1978" i="1"/>
  <c r="F1485" i="1"/>
  <c r="F1976" i="1"/>
  <c r="F1964" i="1"/>
  <c r="F1482" i="1"/>
  <c r="F1952" i="1"/>
  <c r="F1669" i="1"/>
  <c r="F1682" i="1"/>
  <c r="F1492" i="1"/>
  <c r="F1863" i="1"/>
  <c r="F230" i="1"/>
  <c r="F955" i="1"/>
  <c r="F130" i="1"/>
  <c r="F1321" i="1"/>
  <c r="F1575" i="1"/>
  <c r="F321" i="1"/>
  <c r="F1043" i="1"/>
  <c r="F1703" i="1"/>
  <c r="F792" i="1"/>
  <c r="F1824" i="1"/>
  <c r="F356" i="1"/>
  <c r="F225" i="1"/>
  <c r="F1887" i="1"/>
  <c r="F1163" i="1"/>
  <c r="F1124" i="1"/>
  <c r="F612" i="1"/>
  <c r="F1136" i="1"/>
  <c r="F1461" i="1"/>
  <c r="F63" i="1"/>
  <c r="F1653" i="1"/>
  <c r="F1609" i="1"/>
  <c r="F310" i="1"/>
  <c r="F1981" i="1"/>
  <c r="F820" i="1"/>
  <c r="F1196" i="1"/>
  <c r="F1697" i="1"/>
  <c r="F1827" i="1"/>
  <c r="F1476" i="1"/>
  <c r="F1770" i="1"/>
  <c r="F1800" i="1"/>
  <c r="F908" i="1"/>
  <c r="F1022" i="1"/>
  <c r="F1118" i="1"/>
  <c r="F617" i="1"/>
  <c r="F1542" i="1"/>
  <c r="F1640" i="1"/>
  <c r="F1629" i="1"/>
  <c r="F1695" i="1"/>
  <c r="F400" i="1"/>
  <c r="F1680" i="1"/>
  <c r="F413" i="1"/>
  <c r="F1922" i="1"/>
  <c r="F1807" i="1"/>
  <c r="F810" i="1"/>
  <c r="F1060" i="1"/>
  <c r="F433" i="1"/>
  <c r="F631" i="1"/>
  <c r="F1846" i="1"/>
  <c r="F18" i="1"/>
  <c r="F1138" i="1"/>
  <c r="F1529" i="1"/>
  <c r="F401" i="1"/>
  <c r="F1364" i="1"/>
  <c r="F1944" i="1"/>
  <c r="F497" i="1"/>
  <c r="F371" i="1"/>
  <c r="F780" i="1"/>
  <c r="F386" i="1"/>
  <c r="F36" i="1"/>
  <c r="F506" i="1"/>
  <c r="F1550" i="1"/>
  <c r="F611" i="1"/>
  <c r="F594" i="1"/>
  <c r="F448" i="1"/>
  <c r="F552" i="1"/>
  <c r="F567" i="1"/>
  <c r="F123" i="1"/>
  <c r="F496" i="1"/>
  <c r="F1356" i="1"/>
  <c r="F1059" i="1"/>
  <c r="F1390" i="1"/>
  <c r="F1463" i="1"/>
  <c r="F1284" i="1"/>
  <c r="F403" i="1"/>
  <c r="F458" i="1"/>
  <c r="F1606" i="1"/>
  <c r="F143" i="1"/>
  <c r="F1131" i="1"/>
  <c r="F340" i="1"/>
  <c r="F1499" i="1"/>
  <c r="F1488" i="1"/>
  <c r="F1384" i="1"/>
  <c r="F1262" i="1"/>
  <c r="F273" i="1"/>
  <c r="F1034" i="1"/>
  <c r="F948" i="1"/>
  <c r="F492" i="1"/>
  <c r="F1399" i="1"/>
  <c r="F1111" i="1"/>
  <c r="F179" i="1"/>
  <c r="F359" i="1"/>
  <c r="F1142" i="1"/>
  <c r="F994" i="1"/>
  <c r="F685" i="1"/>
  <c r="F450" i="1"/>
  <c r="F228" i="1"/>
  <c r="F849" i="1"/>
  <c r="F1185" i="1"/>
  <c r="F1054" i="1"/>
  <c r="F662" i="1"/>
  <c r="F435" i="1"/>
  <c r="F530" i="1"/>
  <c r="F1289" i="1"/>
  <c r="F11" i="1"/>
  <c r="F1181" i="1"/>
  <c r="F886" i="1"/>
  <c r="F831" i="1"/>
  <c r="F34" i="1"/>
  <c r="F46" i="1"/>
  <c r="F655" i="1"/>
  <c r="F1818" i="1"/>
  <c r="F918" i="1"/>
  <c r="F1394" i="1"/>
  <c r="F1407" i="1"/>
  <c r="F1969" i="1"/>
  <c r="F1676" i="1"/>
  <c r="F1856" i="1"/>
  <c r="F1646" i="1"/>
  <c r="F1775" i="1"/>
  <c r="F208" i="1"/>
  <c r="F1194" i="1"/>
  <c r="F1614" i="1"/>
  <c r="F1853" i="1"/>
  <c r="F1600" i="1"/>
  <c r="F1374" i="1"/>
  <c r="F1481" i="1"/>
  <c r="F1867" i="1"/>
  <c r="F246" i="1"/>
  <c r="F1199" i="1"/>
  <c r="F1525" i="1"/>
  <c r="F701" i="1"/>
  <c r="F561" i="1"/>
  <c r="F1560" i="1"/>
  <c r="F1980" i="1"/>
  <c r="F1997" i="1"/>
  <c r="F1721" i="1"/>
  <c r="F1945" i="1"/>
  <c r="F1860" i="1"/>
  <c r="F1739" i="1"/>
  <c r="F1470" i="1"/>
  <c r="F1212" i="1"/>
  <c r="F1509" i="1"/>
  <c r="F1840" i="1"/>
  <c r="F459" i="1"/>
  <c r="F648" i="1"/>
  <c r="F261" i="1"/>
  <c r="F603" i="1"/>
  <c r="F1369" i="1"/>
  <c r="F1796" i="1"/>
  <c r="F150" i="1"/>
  <c r="F801" i="1"/>
  <c r="F637" i="1"/>
  <c r="F1478" i="1"/>
  <c r="F1831" i="1"/>
  <c r="F1956" i="1"/>
  <c r="F1857" i="1"/>
  <c r="F284" i="1"/>
  <c r="F395" i="1"/>
  <c r="F1227" i="1"/>
  <c r="F1217" i="1"/>
  <c r="F852" i="1"/>
  <c r="F1684" i="1"/>
  <c r="F1730" i="1"/>
  <c r="F1696" i="1"/>
  <c r="F1989" i="1"/>
  <c r="F1717" i="1"/>
  <c r="F1765" i="1"/>
  <c r="F1171" i="1"/>
  <c r="F1117" i="1"/>
  <c r="F1939" i="1"/>
  <c r="F1361" i="1"/>
  <c r="F978" i="1"/>
  <c r="F1150" i="1"/>
  <c r="F961" i="1"/>
  <c r="F164" i="1"/>
  <c r="F785" i="1"/>
  <c r="F1045" i="1"/>
  <c r="F1746" i="1"/>
  <c r="F1740" i="1"/>
  <c r="F1915" i="1"/>
  <c r="F1665" i="1"/>
  <c r="F149" i="1"/>
  <c r="F1234" i="1"/>
  <c r="F864" i="1"/>
  <c r="F524" i="1"/>
  <c r="F1397" i="1"/>
  <c r="F882" i="1"/>
  <c r="F89" i="1"/>
  <c r="F1051" i="1"/>
  <c r="F619" i="1"/>
  <c r="F25" i="1"/>
  <c r="F666" i="1"/>
  <c r="F841" i="1"/>
  <c r="F327" i="1"/>
  <c r="F1722" i="1"/>
  <c r="F1087" i="1"/>
  <c r="F1297" i="1"/>
  <c r="F145" i="1"/>
  <c r="F564" i="1"/>
  <c r="F1357" i="1"/>
  <c r="F98" i="1"/>
  <c r="F226" i="1"/>
  <c r="F1904" i="1"/>
  <c r="F1106" i="1"/>
  <c r="F736" i="1"/>
  <c r="F1127" i="1"/>
  <c r="F507" i="1"/>
  <c r="F1889" i="1"/>
  <c r="F24" i="1"/>
  <c r="F162" i="1"/>
  <c r="F936" i="1"/>
  <c r="F928" i="1"/>
  <c r="F393" i="1"/>
  <c r="F116" i="1"/>
  <c r="F1426" i="1"/>
  <c r="F759" i="1"/>
  <c r="F769" i="1"/>
  <c r="F1458" i="1"/>
  <c r="F1705" i="1"/>
  <c r="F346" i="1"/>
  <c r="F596" i="1"/>
  <c r="F519" i="1"/>
  <c r="F620" i="1"/>
  <c r="F447" i="1"/>
  <c r="F392" i="1"/>
  <c r="F630" i="1"/>
  <c r="F1049" i="1"/>
  <c r="F1273" i="1"/>
  <c r="F653" i="1"/>
  <c r="F1417" i="1"/>
  <c r="F977" i="1"/>
  <c r="F1306" i="1"/>
  <c r="F1015" i="1"/>
  <c r="F1439" i="1"/>
  <c r="F394" i="1"/>
  <c r="F853" i="1"/>
  <c r="F1184" i="1"/>
  <c r="F178" i="1"/>
  <c r="F229" i="1"/>
  <c r="F108" i="1"/>
  <c r="F323" i="1"/>
  <c r="F15" i="1"/>
  <c r="F489" i="1"/>
  <c r="F1670" i="1"/>
  <c r="F1145" i="1"/>
  <c r="F1214" i="1"/>
  <c r="F315" i="1"/>
  <c r="F581" i="1"/>
  <c r="F1829" i="1"/>
  <c r="F74" i="1"/>
  <c r="F717" i="1"/>
  <c r="F29" i="1"/>
  <c r="F1010" i="1"/>
  <c r="F999" i="1"/>
  <c r="F1290" i="1"/>
  <c r="F708" i="1"/>
  <c r="F1821" i="1"/>
  <c r="F1381" i="1"/>
  <c r="F1149" i="1"/>
  <c r="F806" i="1"/>
  <c r="F729" i="1"/>
  <c r="F891" i="1"/>
  <c r="F300" i="1"/>
  <c r="F366" i="1"/>
  <c r="F719" i="1"/>
  <c r="F965" i="1"/>
  <c r="F1165" i="1"/>
  <c r="F271" i="1"/>
  <c r="F871" i="1"/>
  <c r="F252" i="1"/>
  <c r="F66" i="1"/>
  <c r="F1085" i="1"/>
  <c r="F699" i="1"/>
  <c r="F1317" i="1"/>
  <c r="F23" i="1"/>
  <c r="F1415" i="1"/>
  <c r="F1424" i="1"/>
  <c r="F68" i="1"/>
  <c r="F196" i="1"/>
  <c r="F328" i="1"/>
  <c r="F542" i="1"/>
  <c r="F336" i="1"/>
  <c r="F1129" i="1"/>
  <c r="F316" i="1"/>
  <c r="F609" i="1"/>
  <c r="F585" i="1"/>
  <c r="F1927" i="1"/>
  <c r="F431" i="1"/>
  <c r="F1353" i="1"/>
  <c r="F358" i="1"/>
  <c r="F692" i="1"/>
  <c r="F676" i="1"/>
  <c r="F1673" i="1"/>
  <c r="F296" i="1"/>
  <c r="F1316" i="1"/>
  <c r="F429" i="1"/>
  <c r="F929" i="1"/>
  <c r="F974" i="1"/>
  <c r="F452" i="1"/>
  <c r="F1188" i="1"/>
  <c r="F1099" i="1"/>
  <c r="F1900" i="1"/>
  <c r="F1690" i="1"/>
  <c r="F627" i="1"/>
  <c r="F1734" i="1"/>
  <c r="F292" i="1"/>
  <c r="F259" i="1"/>
  <c r="F1586" i="1"/>
  <c r="F495" i="1"/>
  <c r="F597" i="1"/>
  <c r="F1475" i="1"/>
  <c r="F1946" i="1"/>
  <c r="F193" i="1"/>
  <c r="F1613" i="1"/>
  <c r="F1583" i="1"/>
  <c r="F1859" i="1"/>
  <c r="F1066" i="1"/>
  <c r="F880" i="1"/>
  <c r="F311" i="1"/>
  <c r="F1137" i="1"/>
  <c r="F576" i="1"/>
  <c r="F885" i="1"/>
  <c r="F943" i="1"/>
  <c r="F898" i="1"/>
  <c r="F566" i="1"/>
  <c r="F1114" i="1"/>
  <c r="F632" i="1"/>
  <c r="F1422" i="1"/>
  <c r="F467" i="1"/>
  <c r="F277" i="1"/>
  <c r="F1253" i="1"/>
  <c r="F1098" i="1"/>
  <c r="F969" i="1"/>
  <c r="F256" i="1"/>
  <c r="F408" i="1"/>
  <c r="F1506" i="1"/>
  <c r="F241" i="1"/>
  <c r="F1239" i="1"/>
  <c r="F1932" i="1"/>
  <c r="F1023" i="1"/>
  <c r="F1668" i="1"/>
  <c r="F546" i="1"/>
  <c r="F1622" i="1"/>
  <c r="F209" i="1"/>
  <c r="F1623" i="1"/>
  <c r="F215" i="1"/>
  <c r="F220" i="1"/>
  <c r="F1931" i="1"/>
  <c r="F983" i="1"/>
  <c r="F1771" i="1"/>
  <c r="F1757" i="1"/>
  <c r="F1079" i="1"/>
  <c r="F125" i="1"/>
  <c r="F94" i="1"/>
  <c r="F1537" i="1"/>
  <c r="F1873" i="1"/>
  <c r="F104" i="1"/>
  <c r="F1990" i="1"/>
  <c r="F337" i="1"/>
  <c r="F1618" i="1"/>
  <c r="F455" i="1"/>
  <c r="F152" i="1"/>
  <c r="F1651" i="1"/>
  <c r="F740" i="1"/>
  <c r="F1763" i="1"/>
  <c r="F1517" i="1"/>
  <c r="F1347" i="1"/>
  <c r="F1354" i="1"/>
  <c r="F112" i="1"/>
  <c r="F1177" i="1"/>
  <c r="F827" i="1"/>
  <c r="F1869" i="1"/>
  <c r="F1802" i="1"/>
  <c r="F1471" i="1"/>
  <c r="F689" i="1"/>
  <c r="F1926" i="1"/>
  <c r="F1611" i="1"/>
  <c r="F1528" i="1"/>
  <c r="F1965" i="1"/>
  <c r="F1546" i="1"/>
  <c r="F767" i="1"/>
  <c r="F1007" i="1"/>
  <c r="F468" i="1"/>
  <c r="F747" i="1"/>
  <c r="F1710" i="1"/>
  <c r="F1933" i="1"/>
  <c r="F1315" i="1"/>
  <c r="F1779" i="1"/>
  <c r="F1984" i="1"/>
  <c r="F1503" i="1"/>
  <c r="F1490" i="1"/>
  <c r="F1806" i="1"/>
  <c r="F1677" i="1"/>
  <c r="F633" i="1"/>
  <c r="F9" i="1"/>
  <c r="F949" i="1"/>
  <c r="F1466" i="1"/>
  <c r="F1769" i="1"/>
  <c r="F373" i="1"/>
  <c r="F1359" i="1"/>
  <c r="F1332" i="1"/>
  <c r="F1235" i="1"/>
  <c r="F1727" i="1"/>
  <c r="F1532" i="1"/>
  <c r="F1688" i="1"/>
  <c r="F1187" i="1"/>
  <c r="F478" i="1"/>
  <c r="F1753" i="1"/>
  <c r="F254" i="1"/>
  <c r="F425" i="1"/>
  <c r="F1224" i="1"/>
  <c r="F1948" i="1"/>
  <c r="F1404" i="1"/>
  <c r="F664" i="1"/>
  <c r="F326" i="1"/>
  <c r="F1473" i="1"/>
  <c r="F1655" i="1"/>
  <c r="F1642" i="1"/>
  <c r="F1825" i="1"/>
  <c r="F1967" i="1"/>
  <c r="F1872" i="1"/>
  <c r="F920" i="1"/>
  <c r="F1995" i="1"/>
  <c r="F1318" i="1"/>
  <c r="F1736" i="1"/>
  <c r="F1610" i="1"/>
  <c r="F1766" i="1"/>
  <c r="F1594" i="1"/>
  <c r="F863" i="1"/>
  <c r="F1091" i="1"/>
  <c r="F486" i="1"/>
  <c r="F1868" i="1"/>
  <c r="F177" i="1"/>
  <c r="F1625" i="1"/>
  <c r="F439" i="1"/>
  <c r="F643" i="1"/>
  <c r="F690" i="1"/>
  <c r="F1056" i="1"/>
  <c r="F721" i="1"/>
  <c r="F1186" i="1"/>
  <c r="F487" i="1"/>
  <c r="F1019" i="1"/>
  <c r="F1430" i="1"/>
  <c r="F663" i="1"/>
  <c r="F264" i="1"/>
  <c r="F122" i="1"/>
  <c r="F160" i="1"/>
  <c r="F1352" i="1"/>
  <c r="F839" i="1"/>
  <c r="F572" i="1"/>
  <c r="F1451" i="1"/>
  <c r="F832" i="1"/>
  <c r="F1758" i="1"/>
  <c r="F1030" i="1"/>
  <c r="F510" i="1"/>
  <c r="F987" i="1"/>
  <c r="F722" i="1"/>
  <c r="F600" i="1"/>
  <c r="F1843" i="1"/>
  <c r="F691" i="1"/>
  <c r="F1993" i="1"/>
  <c r="F1067" i="1"/>
  <c r="F113" i="1"/>
  <c r="F1543" i="1"/>
  <c r="F1082" i="1"/>
  <c r="F169" i="1"/>
  <c r="F1608" i="1"/>
  <c r="F1626" i="1"/>
  <c r="F221" i="1"/>
  <c r="F1182" i="1"/>
  <c r="F1844" i="1"/>
  <c r="F1728" i="1"/>
  <c r="F1938" i="1"/>
  <c r="F1605" i="1"/>
  <c r="F1326" i="1"/>
  <c r="F290" i="1"/>
  <c r="F914" i="1"/>
  <c r="F437" i="1"/>
  <c r="F1565" i="1"/>
  <c r="F372" i="1"/>
  <c r="F1767" i="1"/>
  <c r="F1662" i="1"/>
  <c r="F1716" i="1"/>
  <c r="F504" i="1"/>
  <c r="F915" i="1"/>
  <c r="F45" i="1"/>
  <c r="F1790" i="1"/>
  <c r="F1101" i="1"/>
  <c r="F1934" i="1"/>
  <c r="F1587" i="1"/>
  <c r="F1090" i="1"/>
  <c r="F1541" i="1"/>
  <c r="F1986" i="1"/>
  <c r="F1401" i="1"/>
  <c r="F70" i="1"/>
  <c r="F1678" i="1"/>
  <c r="F313" i="1"/>
  <c r="F738" i="1"/>
  <c r="F86" i="1"/>
  <c r="F1125" i="1"/>
  <c r="F1752" i="1"/>
  <c r="F1180" i="1"/>
  <c r="F754" i="1"/>
  <c r="F1760" i="1"/>
  <c r="F607" i="1"/>
  <c r="F1027" i="1"/>
  <c r="F1398" i="1"/>
  <c r="F982" i="1"/>
  <c r="F1667" i="1"/>
  <c r="F1888" i="1"/>
  <c r="F1707" i="1"/>
  <c r="F753" i="1"/>
  <c r="F1627" i="1"/>
  <c r="F1674" i="1"/>
  <c r="F713" i="1"/>
  <c r="F1893" i="1"/>
  <c r="F64" i="1"/>
  <c r="F231" i="1"/>
  <c r="F1189" i="1"/>
  <c r="F621" i="1"/>
  <c r="F1511" i="1"/>
  <c r="F544" i="1"/>
  <c r="F411" i="1"/>
  <c r="F942" i="1"/>
  <c r="F798" i="1"/>
  <c r="F644" i="1"/>
  <c r="F210" i="1"/>
  <c r="F485" i="1"/>
  <c r="F840" i="1"/>
  <c r="F293" i="1"/>
  <c r="F1243" i="1"/>
  <c r="F1917" i="1"/>
  <c r="F1223" i="1"/>
  <c r="F1589" i="1"/>
  <c r="F1797" i="1"/>
  <c r="F533" i="1"/>
  <c r="F1486" i="1"/>
  <c r="F97" i="1"/>
  <c r="F48" i="1"/>
  <c r="F541" i="1"/>
  <c r="F502" i="1"/>
  <c r="F1305" i="1"/>
  <c r="F1826" i="1"/>
  <c r="F667" i="1"/>
  <c r="F460" i="1"/>
  <c r="F1061" i="1"/>
  <c r="F442" i="1"/>
  <c r="F1621" i="1"/>
  <c r="F1892" i="1"/>
  <c r="F761" i="1"/>
  <c r="F183" i="1"/>
  <c r="F1370" i="1"/>
  <c r="F1962" i="1"/>
  <c r="F422" i="1"/>
  <c r="F1588" i="1"/>
  <c r="F1536" i="1"/>
  <c r="F1554" i="1"/>
  <c r="F1523" i="1"/>
  <c r="F909" i="1"/>
  <c r="F265" i="1"/>
  <c r="F760" i="1"/>
  <c r="F1403" i="1"/>
  <c r="F1644" i="1"/>
  <c r="F1878" i="1"/>
  <c r="F1865" i="1"/>
  <c r="F934" i="1"/>
  <c r="F1786" i="1"/>
  <c r="F476" i="1"/>
  <c r="F99" i="1"/>
  <c r="F528" i="1"/>
  <c r="F1220" i="1"/>
  <c r="F30" i="1"/>
  <c r="F1954" i="1"/>
  <c r="F1472" i="1"/>
  <c r="F1883" i="1"/>
  <c r="F1793" i="1"/>
  <c r="F1535" i="1"/>
  <c r="F1899" i="1"/>
  <c r="F671" i="1"/>
  <c r="F494" i="1"/>
  <c r="F245" i="1"/>
  <c r="F825" i="1"/>
  <c r="F1963" i="1"/>
  <c r="F1638" i="1"/>
  <c r="F1704" i="1"/>
  <c r="F463" i="1"/>
  <c r="F1801" i="1"/>
  <c r="F538" i="1"/>
  <c r="F1011" i="1"/>
  <c r="F906" i="1"/>
  <c r="F1748" i="1"/>
  <c r="F1661" i="1"/>
  <c r="F105" i="1"/>
  <c r="F1590" i="1"/>
  <c r="F711" i="1"/>
  <c r="F1519" i="1"/>
  <c r="F1295" i="1"/>
  <c r="F1919" i="1"/>
  <c r="F258" i="1"/>
  <c r="F1689" i="1"/>
  <c r="F157" i="1"/>
  <c r="F1457" i="1"/>
  <c r="F705" i="1"/>
  <c r="F1563" i="1"/>
  <c r="F772" i="1"/>
  <c r="F301" i="1"/>
  <c r="F1959" i="1"/>
  <c r="F1809" i="1"/>
  <c r="F1172" i="1"/>
  <c r="F1396" i="1"/>
  <c r="F1761" i="1"/>
  <c r="F274" i="1"/>
  <c r="F1928" i="1"/>
  <c r="F1949" i="1"/>
  <c r="F1890" i="1"/>
  <c r="F62" i="1"/>
  <c r="F836" i="1"/>
  <c r="F474" i="1"/>
  <c r="F1270" i="1"/>
  <c r="F835" i="1"/>
  <c r="F464" i="1"/>
  <c r="F1431" i="1"/>
  <c r="F1228" i="1"/>
  <c r="F1522" i="1"/>
  <c r="F1957" i="1"/>
  <c r="F1062" i="1"/>
  <c r="F1924" i="1"/>
  <c r="F824" i="1"/>
  <c r="F268" i="1"/>
  <c r="F128" i="1"/>
  <c r="F1314" i="1"/>
  <c r="F1261" i="1"/>
  <c r="F642" i="1"/>
  <c r="F899" i="1"/>
  <c r="F1365" i="1"/>
  <c r="F396" i="1"/>
  <c r="F1683" i="1"/>
  <c r="F613" i="1"/>
  <c r="F1018" i="1"/>
  <c r="F670" i="1"/>
  <c r="F1074" i="1"/>
  <c r="F352" i="1"/>
  <c r="F1226" i="1"/>
  <c r="F279" i="1"/>
  <c r="F109" i="1"/>
  <c r="F1632" i="1"/>
  <c r="F295" i="1"/>
  <c r="F1387" i="1"/>
  <c r="F1599" i="1"/>
  <c r="F1803" i="1"/>
  <c r="F1280" i="1"/>
  <c r="F1084" i="1"/>
  <c r="F1816" i="1"/>
  <c r="F1916" i="1"/>
  <c r="F465" i="1"/>
  <c r="F1788" i="1"/>
  <c r="F498" i="1"/>
  <c r="F602" i="1"/>
  <c r="F1782" i="1"/>
  <c r="F1862" i="1"/>
  <c r="F1975" i="1"/>
  <c r="F1489" i="1"/>
  <c r="F1595" i="1"/>
  <c r="F804" i="1"/>
  <c r="F190" i="1"/>
  <c r="F1709" i="1"/>
  <c r="F1440" i="1"/>
  <c r="F1549" i="1"/>
  <c r="F1724" i="1"/>
  <c r="F1283" i="1"/>
  <c r="F1950" i="1"/>
  <c r="F618" i="1"/>
  <c r="F13" i="1"/>
  <c r="F1837" i="1"/>
  <c r="F656" i="1"/>
  <c r="F1544" i="1"/>
  <c r="F280" i="1"/>
  <c r="F669" i="1"/>
  <c r="F238" i="1"/>
  <c r="F995" i="1"/>
  <c r="F926" i="1"/>
  <c r="F317" i="1"/>
  <c r="F1483" i="1"/>
  <c r="F1711" i="1"/>
  <c r="F288" i="1"/>
  <c r="F869" i="1"/>
  <c r="F1702" i="1"/>
  <c r="F1468" i="1"/>
  <c r="F1406" i="1"/>
  <c r="F968" i="1"/>
  <c r="F1420" i="1"/>
  <c r="F445" i="1"/>
  <c r="F1973" i="1"/>
  <c r="F733" i="1"/>
  <c r="F516" i="1"/>
  <c r="F479" i="1"/>
  <c r="F1812" i="1"/>
  <c r="F1794" i="1"/>
  <c r="F250" i="1"/>
  <c r="F1159" i="1"/>
  <c r="F741" i="1"/>
  <c r="F1822" i="1"/>
  <c r="F773" i="1"/>
  <c r="F1808" i="1"/>
  <c r="F1104" i="1"/>
  <c r="F1433" i="1"/>
  <c r="F1943" i="1"/>
  <c r="F743" i="1"/>
  <c r="F545" i="1"/>
  <c r="F1527" i="1"/>
  <c r="F1798" i="1"/>
  <c r="F1891" i="1"/>
  <c r="F1538" i="1"/>
  <c r="F1004" i="1"/>
  <c r="F1901" i="1"/>
  <c r="F110" i="1"/>
  <c r="F622" i="1"/>
  <c r="F1712" i="1"/>
  <c r="F1534" i="1"/>
  <c r="F1813" i="1"/>
  <c r="F1533" i="1"/>
  <c r="F649" i="1"/>
  <c r="F938" i="1"/>
  <c r="F1545" i="1"/>
  <c r="F1672" i="1"/>
  <c r="F1202" i="1"/>
  <c r="F1553" i="1"/>
  <c r="F1681" i="1"/>
  <c r="F16" i="1"/>
  <c r="F844" i="1"/>
  <c r="F1743" i="1"/>
  <c r="F219" i="1"/>
  <c r="F1598" i="1"/>
  <c r="F1320" i="1"/>
  <c r="F1198" i="1"/>
  <c r="F1612" i="1"/>
  <c r="F1692" i="1"/>
  <c r="F624" i="1"/>
  <c r="F1539" i="1"/>
  <c r="F1480" i="1"/>
  <c r="F1929" i="1"/>
  <c r="F727" i="1"/>
  <c r="F120" i="1"/>
  <c r="F1047" i="1"/>
  <c r="F343" i="1"/>
  <c r="F1516" i="1"/>
  <c r="F1012" i="1"/>
  <c r="F491" i="1"/>
  <c r="F185" i="1"/>
  <c r="F1334" i="1"/>
  <c r="F1910" i="1"/>
  <c r="F1732" i="1"/>
  <c r="F65" i="1"/>
  <c r="F5" i="1"/>
  <c r="F774" i="1"/>
  <c r="F991" i="1"/>
  <c r="F1044" i="1"/>
  <c r="F1449" i="1"/>
  <c r="F599" i="1"/>
  <c r="F623" i="1"/>
  <c r="F1835" i="1"/>
  <c r="F1524" i="1"/>
  <c r="F1799" i="1"/>
  <c r="F1123" i="1"/>
  <c r="F683" i="1"/>
  <c r="F1515" i="1"/>
  <c r="F1988" i="1"/>
  <c r="F1328" i="1"/>
  <c r="F1053" i="1"/>
  <c r="F239" i="1"/>
  <c r="F461" i="1"/>
  <c r="F1882" i="1"/>
  <c r="F728" i="1"/>
  <c r="F1469" i="1"/>
  <c r="F161" i="1"/>
  <c r="F1411" i="1"/>
  <c r="F1279" i="1"/>
  <c r="F1092" i="1"/>
  <c r="F684" i="1"/>
  <c r="F1572" i="1"/>
  <c r="F1906" i="1"/>
  <c r="F195" i="1"/>
  <c r="F1218" i="1"/>
  <c r="F22" i="1"/>
  <c r="F1615" i="1"/>
  <c r="F136" i="1"/>
  <c r="F1643" i="1"/>
  <c r="F1324" i="1"/>
  <c r="F1252" i="1"/>
  <c r="F1109" i="1"/>
  <c r="F916" i="1"/>
  <c r="F318" i="1"/>
  <c r="F1896" i="1"/>
  <c r="F420" i="1"/>
  <c r="F724" i="1"/>
  <c r="F744" i="1"/>
  <c r="F1552" i="1"/>
  <c r="F1585" i="1"/>
  <c r="F168" i="1"/>
  <c r="F1923" i="1"/>
  <c r="F1093" i="1"/>
  <c r="F322" i="1"/>
  <c r="F725" i="1"/>
  <c r="F1009" i="1"/>
  <c r="F1497" i="1"/>
  <c r="F471" i="1"/>
  <c r="F500" i="1"/>
  <c r="F1861" i="1"/>
  <c r="F945" i="1"/>
  <c r="F1564" i="1"/>
  <c r="F1337" i="1"/>
  <c r="F749" i="1"/>
  <c r="F1902" i="1"/>
  <c r="F1905" i="1"/>
  <c r="F837" i="1"/>
  <c r="F281" i="1"/>
  <c r="F186" i="1"/>
  <c r="F1388" i="1"/>
  <c r="F1460" i="1"/>
  <c r="F1363" i="1"/>
  <c r="F1020" i="1"/>
  <c r="F20" i="1"/>
  <c r="F21" i="1"/>
  <c r="F1245" i="1"/>
  <c r="F1002" i="1"/>
  <c r="F1907" i="1"/>
  <c r="F1871" i="1"/>
  <c r="F1514" i="1"/>
  <c r="F1820" i="1"/>
  <c r="F1376" i="1"/>
  <c r="F449" i="1"/>
  <c r="F1895" i="1"/>
  <c r="F1708" i="1"/>
  <c r="F1814" i="1"/>
  <c r="F1557" i="1"/>
  <c r="F569" i="1"/>
  <c r="F808" i="1"/>
  <c r="F205" i="1"/>
  <c r="F641" i="1"/>
  <c r="F944" i="1"/>
  <c r="F935" i="1"/>
  <c r="F199" i="1"/>
  <c r="F217" i="1"/>
  <c r="F43" i="1"/>
  <c r="F796" i="1"/>
  <c r="F102" i="1"/>
  <c r="F50" i="1"/>
  <c r="F1134" i="1"/>
  <c r="F294" i="1"/>
  <c r="F784" i="1"/>
  <c r="F1340" i="1"/>
  <c r="F508" i="1"/>
  <c r="F781" i="1"/>
  <c r="F1885" i="1"/>
  <c r="F233" i="1"/>
  <c r="F170" i="1"/>
  <c r="F1266" i="1"/>
  <c r="F1155" i="1"/>
  <c r="F235" i="1"/>
  <c r="F1293" i="1"/>
  <c r="F1805" i="1"/>
  <c r="F309" i="1"/>
  <c r="F1698" i="1"/>
  <c r="F446" i="1"/>
  <c r="F1568" i="1"/>
  <c r="F1823" i="1"/>
  <c r="F1994" i="1"/>
  <c r="F391" i="1"/>
  <c r="F198" i="1"/>
  <c r="F1330" i="1"/>
  <c r="F405" i="1"/>
  <c r="F1139" i="1"/>
  <c r="F457" i="1"/>
  <c r="F69" i="1"/>
  <c r="F421" i="1"/>
  <c r="F1008" i="1"/>
  <c r="F817" i="1"/>
  <c r="F1520" i="1"/>
  <c r="F1080" i="1"/>
  <c r="F1278" i="1"/>
  <c r="F194" i="1"/>
  <c r="F1351" i="1"/>
  <c r="F1259" i="1"/>
  <c r="F748" i="1"/>
  <c r="F1069" i="1"/>
  <c r="F1817" i="1"/>
  <c r="F376" i="1"/>
  <c r="F1685" i="1"/>
  <c r="F742" i="1"/>
  <c r="F1764" i="1"/>
  <c r="F499" i="1"/>
  <c r="F1601" i="1"/>
  <c r="F1133" i="1"/>
  <c r="F1903" i="1"/>
  <c r="F443" i="1"/>
  <c r="F1852" i="1"/>
  <c r="F757" i="1"/>
  <c r="F84" i="1"/>
  <c r="F1630" i="1"/>
  <c r="F477" i="1"/>
  <c r="F1459" i="1"/>
  <c r="F1221" i="1"/>
  <c r="F1656" i="1"/>
  <c r="F750" i="1"/>
  <c r="F278" i="1"/>
  <c r="F1810" i="1"/>
  <c r="F1737" i="1"/>
  <c r="F1811" i="1"/>
  <c r="F1955" i="1"/>
  <c r="F593" i="1"/>
  <c r="F1140" i="1"/>
  <c r="F44" i="1"/>
  <c r="F568" i="1"/>
  <c r="F2000" i="1"/>
  <c r="F1076" i="1"/>
  <c r="F138" i="1"/>
  <c r="F1300" i="1"/>
  <c r="F267" i="1"/>
  <c r="F1039" i="1"/>
  <c r="F172" i="1"/>
  <c r="F610" i="1"/>
  <c r="F1108" i="1"/>
  <c r="F1620" i="1"/>
  <c r="F1603" i="1"/>
  <c r="F1912" i="1"/>
  <c r="F1146" i="1"/>
  <c r="F1937" i="1"/>
  <c r="F1346" i="1"/>
  <c r="F1531" i="1"/>
  <c r="F1268" i="1"/>
  <c r="F223" i="1"/>
  <c r="F338" i="1"/>
  <c r="F1429" i="1"/>
  <c r="F650" i="1"/>
  <c r="F770" i="1"/>
  <c r="F1635" i="1"/>
  <c r="F1838" i="1"/>
  <c r="F1874" i="1"/>
  <c r="F1759" i="1"/>
  <c r="F956" i="1"/>
  <c r="F1660" i="1"/>
  <c r="F786" i="1"/>
  <c r="F865" i="1"/>
  <c r="F1507" i="1"/>
  <c r="F1741" i="1"/>
  <c r="F1244" i="1"/>
  <c r="F586" i="1"/>
  <c r="F660" i="1"/>
  <c r="F523" i="1"/>
  <c r="F191" i="1"/>
  <c r="F1584" i="1"/>
  <c r="F1645" i="1"/>
  <c r="F390" i="1"/>
  <c r="F414" i="1"/>
  <c r="F1456" i="1"/>
  <c r="F1282" i="1"/>
  <c r="F1409" i="1"/>
  <c r="F1723" i="1"/>
  <c r="F1591" i="1"/>
  <c r="F249" i="1"/>
  <c r="F213" i="1"/>
  <c r="F1729" i="1"/>
  <c r="F1277" i="1"/>
  <c r="F389" i="1"/>
  <c r="F1175" i="1"/>
  <c r="F1936" i="1"/>
  <c r="F1229" i="1"/>
  <c r="F1299" i="1"/>
  <c r="F592" i="1"/>
  <c r="F158" i="1"/>
  <c r="F1213" i="1"/>
  <c r="F289" i="1"/>
  <c r="F17" i="1"/>
  <c r="F88" i="1"/>
  <c r="F167" i="1"/>
  <c r="F237" i="1"/>
  <c r="F1260" i="1"/>
  <c r="F912" i="1"/>
  <c r="F647" i="1"/>
  <c r="F1026" i="1"/>
  <c r="F536" i="1"/>
  <c r="F140" i="1"/>
  <c r="F1851" i="1"/>
  <c r="F1240" i="1"/>
  <c r="F554" i="1"/>
  <c r="F525" i="1"/>
  <c r="F1616" i="1"/>
  <c r="F412" i="1"/>
  <c r="F42" i="1"/>
  <c r="F1493" i="1"/>
  <c r="F1778" i="1"/>
  <c r="F1366" i="1"/>
  <c r="F1432" i="1"/>
  <c r="F1571" i="1"/>
  <c r="F1650" i="1"/>
  <c r="F1921" i="1"/>
  <c r="F1593" i="1"/>
  <c r="F985" i="1"/>
  <c r="F822" i="1"/>
  <c r="F838" i="1"/>
  <c r="F1075" i="1"/>
  <c r="F416" i="1"/>
  <c r="F876" i="1"/>
  <c r="F901" i="1"/>
  <c r="F1391" i="1"/>
  <c r="F1607" i="1"/>
  <c r="F973" i="1"/>
  <c r="F1341" i="1"/>
  <c r="F1561" i="1"/>
  <c r="F509" i="1"/>
  <c r="F1500" i="1"/>
  <c r="F1913" i="1"/>
  <c r="F1671" i="1"/>
  <c r="F874" i="1"/>
  <c r="F1751" i="1"/>
  <c r="F1720" i="1"/>
  <c r="F639" i="1"/>
  <c r="F1920" i="1"/>
  <c r="F304" i="1"/>
  <c r="F1780" i="1"/>
  <c r="F441" i="1"/>
  <c r="F402" i="1"/>
  <c r="F1308" i="1"/>
  <c r="F1634" i="1"/>
  <c r="F807" i="1"/>
  <c r="F1849" i="1"/>
  <c r="F1749" i="1"/>
  <c r="F1742" i="1"/>
  <c r="F1987" i="1"/>
  <c r="F1264" i="1"/>
  <c r="F153" i="1"/>
  <c r="F1694" i="1"/>
  <c r="F1604" i="1"/>
  <c r="F1663" i="1"/>
  <c r="F1971" i="1"/>
  <c r="F1648" i="1"/>
  <c r="F1349" i="1"/>
  <c r="F1639" i="1"/>
  <c r="F330" i="1"/>
  <c r="F548" i="1"/>
  <c r="F1501" i="1"/>
  <c r="F1491" i="1"/>
  <c r="F417" i="1"/>
  <c r="F134" i="1"/>
  <c r="F1750" i="1"/>
  <c r="F777" i="1"/>
  <c r="F1966" i="1"/>
  <c r="F1309" i="1"/>
  <c r="F1498" i="1"/>
  <c r="F324" i="1"/>
  <c r="F1985" i="1"/>
  <c r="F1675" i="1"/>
  <c r="F1161" i="1"/>
  <c r="F1836" i="1"/>
  <c r="F1562" i="1"/>
  <c r="F1255" i="1"/>
  <c r="F1319" i="1"/>
  <c r="F1487" i="1"/>
  <c r="F1372" i="1"/>
  <c r="F950" i="1"/>
  <c r="F1706" i="1"/>
  <c r="F517" i="1"/>
  <c r="F966" i="1"/>
  <c r="F1617" i="1"/>
  <c r="F1754" i="1"/>
  <c r="F1879" i="1"/>
  <c r="F407" i="1"/>
  <c r="F513" i="1"/>
  <c r="F1191" i="1"/>
  <c r="F101" i="1"/>
  <c r="F1248" i="1"/>
  <c r="F493" i="1"/>
  <c r="F319" i="1"/>
  <c r="F1205" i="1"/>
  <c r="F1029" i="1"/>
  <c r="F1657" i="1"/>
  <c r="F1876" i="1"/>
  <c r="F720" i="1"/>
  <c r="F1719" i="1"/>
  <c r="F1421" i="1"/>
  <c r="F1154" i="1"/>
  <c r="F584" i="1"/>
  <c r="F1714" i="1"/>
  <c r="F1380" i="1"/>
  <c r="F535" i="1"/>
  <c r="F1726" i="1"/>
  <c r="F1908" i="1"/>
  <c r="F1789" i="1"/>
  <c r="F1312" i="1"/>
  <c r="F355" i="1"/>
  <c r="F159" i="1"/>
  <c r="F756" i="1"/>
  <c r="F900" i="1"/>
  <c r="F1880" i="1"/>
  <c r="F1992" i="1"/>
  <c r="F1100" i="1"/>
  <c r="F154" i="1"/>
  <c r="F1238" i="1"/>
  <c r="F1982" i="1"/>
  <c r="F1156" i="1"/>
  <c r="F1628" i="1"/>
  <c r="F1977" i="1"/>
  <c r="F1686" i="1"/>
  <c r="F1035" i="1"/>
  <c r="F1772" i="1"/>
  <c r="F503" i="1"/>
  <c r="F976" i="1"/>
  <c r="F1032" i="1"/>
  <c r="F1785" i="1"/>
  <c r="F1828" i="1"/>
  <c r="L1828" i="1" l="1"/>
  <c r="M1828" i="1" s="1"/>
  <c r="L1785" i="1"/>
  <c r="M1785" i="1" s="1"/>
  <c r="L1032" i="1"/>
  <c r="M1032" i="1" s="1"/>
  <c r="L976" i="1"/>
  <c r="M976" i="1" s="1"/>
  <c r="L503" i="1"/>
  <c r="M503" i="1" s="1"/>
  <c r="L1772" i="1"/>
  <c r="M1772" i="1" s="1"/>
  <c r="L1035" i="1"/>
  <c r="M1035" i="1" s="1"/>
  <c r="L1686" i="1"/>
  <c r="M1686" i="1" s="1"/>
  <c r="L1977" i="1"/>
  <c r="M1977" i="1" s="1"/>
  <c r="L1628" i="1"/>
  <c r="M1628" i="1" s="1"/>
  <c r="L1156" i="1"/>
  <c r="M1156" i="1" s="1"/>
  <c r="L1982" i="1"/>
  <c r="M1982" i="1" s="1"/>
  <c r="L1238" i="1"/>
  <c r="M1238" i="1" s="1"/>
  <c r="L154" i="1"/>
  <c r="M154" i="1" s="1"/>
  <c r="L1100" i="1"/>
  <c r="M1100" i="1" s="1"/>
  <c r="L1992" i="1"/>
  <c r="M1992" i="1" s="1"/>
  <c r="L1880" i="1"/>
  <c r="M1880" i="1" s="1"/>
  <c r="L900" i="1"/>
  <c r="M900" i="1" s="1"/>
  <c r="L756" i="1"/>
  <c r="M756" i="1" s="1"/>
  <c r="L159" i="1"/>
  <c r="M159" i="1" s="1"/>
  <c r="L355" i="1"/>
  <c r="M355" i="1" s="1"/>
  <c r="L1312" i="1"/>
  <c r="M1312" i="1" s="1"/>
  <c r="L1789" i="1"/>
  <c r="M1789" i="1" s="1"/>
  <c r="L1908" i="1"/>
  <c r="M1908" i="1" s="1"/>
  <c r="L1726" i="1"/>
  <c r="M1726" i="1" s="1"/>
  <c r="L535" i="1"/>
  <c r="M535" i="1" s="1"/>
  <c r="L1380" i="1"/>
  <c r="M1380" i="1" s="1"/>
  <c r="L1714" i="1"/>
  <c r="M1714" i="1" s="1"/>
  <c r="L584" i="1"/>
  <c r="M584" i="1" s="1"/>
  <c r="L1154" i="1"/>
  <c r="M1154" i="1" s="1"/>
  <c r="L1421" i="1"/>
  <c r="M1421" i="1" s="1"/>
  <c r="L1719" i="1"/>
  <c r="M1719" i="1" s="1"/>
  <c r="L720" i="1"/>
  <c r="M720" i="1" s="1"/>
  <c r="L1876" i="1"/>
  <c r="M1876" i="1" s="1"/>
  <c r="L1657" i="1"/>
  <c r="M1657" i="1" s="1"/>
  <c r="L1029" i="1"/>
  <c r="M1029" i="1" s="1"/>
  <c r="L1205" i="1"/>
  <c r="M1205" i="1" s="1"/>
  <c r="L319" i="1"/>
  <c r="M319" i="1" s="1"/>
  <c r="L493" i="1"/>
  <c r="M493" i="1" s="1"/>
  <c r="L1248" i="1"/>
  <c r="M1248" i="1" s="1"/>
  <c r="L101" i="1"/>
  <c r="M101" i="1" s="1"/>
  <c r="L1191" i="1"/>
  <c r="M1191" i="1" s="1"/>
  <c r="L513" i="1"/>
  <c r="M513" i="1" s="1"/>
  <c r="L407" i="1"/>
  <c r="M407" i="1" s="1"/>
  <c r="L1879" i="1"/>
  <c r="M1879" i="1" s="1"/>
  <c r="L1754" i="1"/>
  <c r="M1754" i="1" s="1"/>
  <c r="L1617" i="1"/>
  <c r="M1617" i="1" s="1"/>
  <c r="L966" i="1"/>
  <c r="M966" i="1" s="1"/>
  <c r="L517" i="1"/>
  <c r="M517" i="1" s="1"/>
  <c r="L1706" i="1"/>
  <c r="M1706" i="1" s="1"/>
  <c r="L950" i="1"/>
  <c r="M950" i="1" s="1"/>
  <c r="L1372" i="1"/>
  <c r="M1372" i="1" s="1"/>
  <c r="L1487" i="1"/>
  <c r="M1487" i="1" s="1"/>
  <c r="L1319" i="1"/>
  <c r="M1319" i="1" s="1"/>
  <c r="L1255" i="1"/>
  <c r="M1255" i="1" s="1"/>
  <c r="L1562" i="1"/>
  <c r="M1562" i="1" s="1"/>
  <c r="L1836" i="1"/>
  <c r="M1836" i="1" s="1"/>
  <c r="L1161" i="1"/>
  <c r="M1161" i="1" s="1"/>
  <c r="L1675" i="1"/>
  <c r="M1675" i="1" s="1"/>
  <c r="L1985" i="1"/>
  <c r="M1985" i="1" s="1"/>
  <c r="L324" i="1"/>
  <c r="M324" i="1" s="1"/>
  <c r="L1498" i="1"/>
  <c r="M1498" i="1" s="1"/>
  <c r="L1309" i="1"/>
  <c r="M1309" i="1" s="1"/>
  <c r="L1966" i="1"/>
  <c r="M1966" i="1" s="1"/>
  <c r="L777" i="1"/>
  <c r="M777" i="1" s="1"/>
  <c r="L1750" i="1"/>
  <c r="M1750" i="1" s="1"/>
  <c r="L134" i="1"/>
  <c r="M134" i="1" s="1"/>
  <c r="L417" i="1"/>
  <c r="M417" i="1" s="1"/>
  <c r="L1491" i="1"/>
  <c r="M1491" i="1" s="1"/>
  <c r="L1501" i="1"/>
  <c r="M1501" i="1" s="1"/>
  <c r="L548" i="1"/>
  <c r="M548" i="1" s="1"/>
  <c r="L330" i="1"/>
  <c r="M330" i="1" s="1"/>
  <c r="L1639" i="1"/>
  <c r="M1639" i="1" s="1"/>
  <c r="L1349" i="1"/>
  <c r="M1349" i="1" s="1"/>
  <c r="L1648" i="1"/>
  <c r="M1648" i="1" s="1"/>
  <c r="L1971" i="1"/>
  <c r="M1971" i="1" s="1"/>
  <c r="L1663" i="1"/>
  <c r="M1663" i="1" s="1"/>
  <c r="L1604" i="1"/>
  <c r="M1604" i="1" s="1"/>
  <c r="L1694" i="1"/>
  <c r="M1694" i="1" s="1"/>
  <c r="L153" i="1"/>
  <c r="M153" i="1" s="1"/>
  <c r="L1264" i="1"/>
  <c r="M1264" i="1" s="1"/>
  <c r="L1987" i="1"/>
  <c r="M1987" i="1" s="1"/>
  <c r="L1742" i="1"/>
  <c r="M1742" i="1" s="1"/>
  <c r="L1749" i="1"/>
  <c r="M1749" i="1" s="1"/>
  <c r="L1849" i="1"/>
  <c r="M1849" i="1" s="1"/>
  <c r="L807" i="1"/>
  <c r="M807" i="1" s="1"/>
  <c r="L1634" i="1"/>
  <c r="M1634" i="1" s="1"/>
  <c r="L1308" i="1"/>
  <c r="M1308" i="1" s="1"/>
  <c r="L402" i="1"/>
  <c r="M402" i="1" s="1"/>
  <c r="L441" i="1"/>
  <c r="M441" i="1" s="1"/>
  <c r="L1780" i="1"/>
  <c r="M1780" i="1" s="1"/>
  <c r="L304" i="1"/>
  <c r="M304" i="1" s="1"/>
  <c r="L1920" i="1"/>
  <c r="M1920" i="1" s="1"/>
  <c r="L639" i="1"/>
  <c r="M639" i="1" s="1"/>
  <c r="L1720" i="1"/>
  <c r="M1720" i="1" s="1"/>
  <c r="L1751" i="1"/>
  <c r="M1751" i="1" s="1"/>
  <c r="L874" i="1"/>
  <c r="M874" i="1" s="1"/>
  <c r="L1671" i="1"/>
  <c r="M1671" i="1" s="1"/>
  <c r="L1913" i="1"/>
  <c r="M1913" i="1" s="1"/>
  <c r="L1500" i="1"/>
  <c r="M1500" i="1" s="1"/>
  <c r="L509" i="1"/>
  <c r="M509" i="1" s="1"/>
  <c r="L1561" i="1"/>
  <c r="M1561" i="1" s="1"/>
  <c r="L1341" i="1"/>
  <c r="M1341" i="1" s="1"/>
  <c r="L973" i="1"/>
  <c r="M973" i="1" s="1"/>
  <c r="L1607" i="1"/>
  <c r="M1607" i="1" s="1"/>
  <c r="L1391" i="1"/>
  <c r="M1391" i="1" s="1"/>
  <c r="L901" i="1"/>
  <c r="M901" i="1" s="1"/>
  <c r="L876" i="1"/>
  <c r="M876" i="1" s="1"/>
  <c r="L416" i="1"/>
  <c r="M416" i="1" s="1"/>
  <c r="L1075" i="1"/>
  <c r="M1075" i="1" s="1"/>
  <c r="L838" i="1"/>
  <c r="M838" i="1" s="1"/>
  <c r="L822" i="1"/>
  <c r="M822" i="1" s="1"/>
  <c r="L985" i="1"/>
  <c r="M985" i="1" s="1"/>
  <c r="L1593" i="1"/>
  <c r="M1593" i="1" s="1"/>
  <c r="L1921" i="1"/>
  <c r="M1921" i="1" s="1"/>
  <c r="L1650" i="1"/>
  <c r="M1650" i="1" s="1"/>
  <c r="L1571" i="1"/>
  <c r="M1571" i="1" s="1"/>
  <c r="L1432" i="1"/>
  <c r="M1432" i="1" s="1"/>
  <c r="L1366" i="1"/>
  <c r="M1366" i="1" s="1"/>
  <c r="L1778" i="1"/>
  <c r="M1778" i="1" s="1"/>
  <c r="L1493" i="1"/>
  <c r="M1493" i="1" s="1"/>
  <c r="L42" i="1"/>
  <c r="M42" i="1" s="1"/>
  <c r="L412" i="1"/>
  <c r="M412" i="1" s="1"/>
  <c r="L1616" i="1"/>
  <c r="M1616" i="1" s="1"/>
  <c r="L525" i="1"/>
  <c r="M525" i="1" s="1"/>
  <c r="L554" i="1"/>
  <c r="M554" i="1" s="1"/>
  <c r="L1240" i="1"/>
  <c r="M1240" i="1" s="1"/>
  <c r="L1851" i="1"/>
  <c r="M1851" i="1" s="1"/>
  <c r="L140" i="1"/>
  <c r="M140" i="1" s="1"/>
  <c r="L536" i="1"/>
  <c r="M536" i="1" s="1"/>
  <c r="L1026" i="1"/>
  <c r="M1026" i="1" s="1"/>
  <c r="L647" i="1"/>
  <c r="M647" i="1" s="1"/>
  <c r="L912" i="1"/>
  <c r="M912" i="1" s="1"/>
  <c r="L1260" i="1"/>
  <c r="M1260" i="1" s="1"/>
  <c r="L237" i="1"/>
  <c r="M237" i="1" s="1"/>
  <c r="L167" i="1"/>
  <c r="M167" i="1" s="1"/>
  <c r="L88" i="1"/>
  <c r="M88" i="1" s="1"/>
  <c r="L17" i="1"/>
  <c r="M17" i="1" s="1"/>
  <c r="L289" i="1"/>
  <c r="M289" i="1" s="1"/>
  <c r="L1213" i="1"/>
  <c r="M1213" i="1" s="1"/>
  <c r="L158" i="1"/>
  <c r="M158" i="1" s="1"/>
  <c r="L592" i="1"/>
  <c r="M592" i="1" s="1"/>
  <c r="L1299" i="1"/>
  <c r="M1299" i="1" s="1"/>
  <c r="L1229" i="1"/>
  <c r="M1229" i="1" s="1"/>
  <c r="L1936" i="1"/>
  <c r="M1936" i="1" s="1"/>
  <c r="L1175" i="1"/>
  <c r="M1175" i="1" s="1"/>
  <c r="L389" i="1"/>
  <c r="M389" i="1" s="1"/>
  <c r="L1277" i="1"/>
  <c r="M1277" i="1" s="1"/>
  <c r="L1729" i="1"/>
  <c r="M1729" i="1" s="1"/>
  <c r="L213" i="1"/>
  <c r="M213" i="1" s="1"/>
  <c r="L249" i="1"/>
  <c r="M249" i="1" s="1"/>
  <c r="L1591" i="1"/>
  <c r="M1591" i="1" s="1"/>
  <c r="L1723" i="1"/>
  <c r="M1723" i="1" s="1"/>
  <c r="L1409" i="1"/>
  <c r="M1409" i="1" s="1"/>
  <c r="L1282" i="1"/>
  <c r="M1282" i="1" s="1"/>
  <c r="L1456" i="1"/>
  <c r="M1456" i="1" s="1"/>
  <c r="L414" i="1"/>
  <c r="M414" i="1" s="1"/>
  <c r="L390" i="1"/>
  <c r="M390" i="1" s="1"/>
  <c r="L1645" i="1"/>
  <c r="M1645" i="1" s="1"/>
  <c r="L1584" i="1"/>
  <c r="M1584" i="1" s="1"/>
  <c r="L191" i="1"/>
  <c r="M191" i="1" s="1"/>
  <c r="L523" i="1"/>
  <c r="M523" i="1" s="1"/>
  <c r="L660" i="1"/>
  <c r="M660" i="1" s="1"/>
  <c r="L586" i="1"/>
  <c r="M586" i="1" s="1"/>
  <c r="L1244" i="1"/>
  <c r="M1244" i="1" s="1"/>
  <c r="L1741" i="1"/>
  <c r="M1741" i="1" s="1"/>
  <c r="L1507" i="1"/>
  <c r="M1507" i="1" s="1"/>
  <c r="L865" i="1"/>
  <c r="M865" i="1" s="1"/>
  <c r="L786" i="1"/>
  <c r="M786" i="1" s="1"/>
  <c r="L1660" i="1"/>
  <c r="M1660" i="1" s="1"/>
  <c r="L956" i="1"/>
  <c r="M956" i="1" s="1"/>
  <c r="L1759" i="1"/>
  <c r="M1759" i="1" s="1"/>
  <c r="L1874" i="1"/>
  <c r="M1874" i="1" s="1"/>
  <c r="L1838" i="1"/>
  <c r="M1838" i="1" s="1"/>
  <c r="L1635" i="1"/>
  <c r="M1635" i="1" s="1"/>
  <c r="L770" i="1"/>
  <c r="M770" i="1" s="1"/>
  <c r="L650" i="1"/>
  <c r="M650" i="1" s="1"/>
  <c r="L1429" i="1"/>
  <c r="M1429" i="1" s="1"/>
  <c r="L338" i="1"/>
  <c r="M338" i="1" s="1"/>
  <c r="L223" i="1"/>
  <c r="M223" i="1" s="1"/>
  <c r="L1268" i="1"/>
  <c r="M1268" i="1" s="1"/>
  <c r="L1531" i="1"/>
  <c r="M1531" i="1" s="1"/>
  <c r="L1346" i="1"/>
  <c r="M1346" i="1" s="1"/>
  <c r="L1937" i="1"/>
  <c r="M1937" i="1" s="1"/>
  <c r="L1146" i="1"/>
  <c r="M1146" i="1" s="1"/>
  <c r="L1912" i="1"/>
  <c r="M1912" i="1" s="1"/>
  <c r="L1603" i="1"/>
  <c r="M1603" i="1" s="1"/>
  <c r="L1620" i="1"/>
  <c r="M1620" i="1" s="1"/>
  <c r="L1108" i="1"/>
  <c r="M1108" i="1" s="1"/>
  <c r="L610" i="1"/>
  <c r="M610" i="1" s="1"/>
  <c r="L172" i="1"/>
  <c r="M172" i="1" s="1"/>
  <c r="L1039" i="1"/>
  <c r="M1039" i="1" s="1"/>
  <c r="L267" i="1"/>
  <c r="M267" i="1" s="1"/>
  <c r="L1300" i="1"/>
  <c r="M1300" i="1" s="1"/>
  <c r="L138" i="1"/>
  <c r="M138" i="1" s="1"/>
  <c r="L1076" i="1"/>
  <c r="M1076" i="1" s="1"/>
  <c r="L2000" i="1"/>
  <c r="M2000" i="1" s="1"/>
  <c r="L568" i="1"/>
  <c r="M568" i="1" s="1"/>
  <c r="L44" i="1"/>
  <c r="M44" i="1" s="1"/>
  <c r="L1140" i="1"/>
  <c r="M1140" i="1" s="1"/>
  <c r="L593" i="1"/>
  <c r="M593" i="1" s="1"/>
  <c r="L1955" i="1"/>
  <c r="M1955" i="1" s="1"/>
  <c r="L1811" i="1"/>
  <c r="M1811" i="1" s="1"/>
  <c r="L1737" i="1"/>
  <c r="M1737" i="1" s="1"/>
  <c r="L1810" i="1"/>
  <c r="M1810" i="1" s="1"/>
  <c r="L278" i="1"/>
  <c r="M278" i="1" s="1"/>
  <c r="L750" i="1"/>
  <c r="M750" i="1" s="1"/>
  <c r="L1656" i="1"/>
  <c r="M1656" i="1" s="1"/>
  <c r="L1221" i="1"/>
  <c r="M1221" i="1" s="1"/>
  <c r="L1459" i="1"/>
  <c r="M1459" i="1" s="1"/>
  <c r="L477" i="1"/>
  <c r="M477" i="1" s="1"/>
  <c r="L1630" i="1"/>
  <c r="M1630" i="1" s="1"/>
  <c r="L84" i="1"/>
  <c r="M84" i="1" s="1"/>
  <c r="L757" i="1"/>
  <c r="M757" i="1" s="1"/>
  <c r="L1852" i="1"/>
  <c r="M1852" i="1" s="1"/>
  <c r="L443" i="1"/>
  <c r="M443" i="1" s="1"/>
  <c r="L1903" i="1"/>
  <c r="M1903" i="1" s="1"/>
  <c r="L1133" i="1"/>
  <c r="M1133" i="1" s="1"/>
  <c r="L1601" i="1"/>
  <c r="M1601" i="1" s="1"/>
  <c r="L499" i="1"/>
  <c r="M499" i="1" s="1"/>
  <c r="L1764" i="1"/>
  <c r="M1764" i="1" s="1"/>
  <c r="L742" i="1"/>
  <c r="M742" i="1" s="1"/>
  <c r="L1685" i="1"/>
  <c r="M1685" i="1" s="1"/>
  <c r="L376" i="1"/>
  <c r="M376" i="1" s="1"/>
  <c r="L1817" i="1"/>
  <c r="M1817" i="1" s="1"/>
  <c r="L1069" i="1"/>
  <c r="M1069" i="1" s="1"/>
  <c r="L748" i="1"/>
  <c r="M748" i="1" s="1"/>
  <c r="L1259" i="1"/>
  <c r="M1259" i="1" s="1"/>
  <c r="L1351" i="1"/>
  <c r="M1351" i="1" s="1"/>
  <c r="L194" i="1"/>
  <c r="M194" i="1" s="1"/>
  <c r="L1278" i="1"/>
  <c r="M1278" i="1" s="1"/>
  <c r="L1080" i="1"/>
  <c r="M1080" i="1" s="1"/>
  <c r="L1520" i="1"/>
  <c r="M1520" i="1" s="1"/>
  <c r="L817" i="1"/>
  <c r="M817" i="1" s="1"/>
  <c r="L1008" i="1"/>
  <c r="M1008" i="1" s="1"/>
  <c r="L421" i="1"/>
  <c r="M421" i="1" s="1"/>
  <c r="L69" i="1"/>
  <c r="M69" i="1" s="1"/>
  <c r="L457" i="1"/>
  <c r="M457" i="1" s="1"/>
  <c r="L1139" i="1"/>
  <c r="M1139" i="1" s="1"/>
  <c r="L405" i="1"/>
  <c r="M405" i="1" s="1"/>
  <c r="L1330" i="1"/>
  <c r="M1330" i="1" s="1"/>
  <c r="L198" i="1"/>
  <c r="M198" i="1" s="1"/>
  <c r="L391" i="1"/>
  <c r="M391" i="1" s="1"/>
  <c r="L1994" i="1"/>
  <c r="M1994" i="1" s="1"/>
  <c r="L1823" i="1"/>
  <c r="M1823" i="1" s="1"/>
  <c r="L1568" i="1"/>
  <c r="M1568" i="1" s="1"/>
  <c r="L446" i="1"/>
  <c r="M446" i="1" s="1"/>
  <c r="L1698" i="1"/>
  <c r="M1698" i="1" s="1"/>
  <c r="L309" i="1"/>
  <c r="M309" i="1" s="1"/>
  <c r="L1805" i="1"/>
  <c r="M1805" i="1" s="1"/>
  <c r="L1293" i="1"/>
  <c r="M1293" i="1" s="1"/>
  <c r="L235" i="1"/>
  <c r="M235" i="1" s="1"/>
  <c r="L1155" i="1"/>
  <c r="M1155" i="1" s="1"/>
  <c r="L1266" i="1"/>
  <c r="M1266" i="1" s="1"/>
  <c r="L170" i="1"/>
  <c r="M170" i="1" s="1"/>
  <c r="L233" i="1"/>
  <c r="M233" i="1" s="1"/>
  <c r="L1885" i="1"/>
  <c r="M1885" i="1" s="1"/>
  <c r="L781" i="1"/>
  <c r="M781" i="1" s="1"/>
  <c r="L508" i="1"/>
  <c r="M508" i="1" s="1"/>
  <c r="L1340" i="1"/>
  <c r="M1340" i="1" s="1"/>
  <c r="L784" i="1"/>
  <c r="M784" i="1" s="1"/>
  <c r="L294" i="1"/>
  <c r="M294" i="1" s="1"/>
  <c r="L1134" i="1"/>
  <c r="M1134" i="1" s="1"/>
  <c r="L50" i="1"/>
  <c r="M50" i="1" s="1"/>
  <c r="L102" i="1"/>
  <c r="M102" i="1" s="1"/>
  <c r="L796" i="1"/>
  <c r="M796" i="1" s="1"/>
  <c r="L43" i="1"/>
  <c r="M43" i="1" s="1"/>
  <c r="L217" i="1"/>
  <c r="M217" i="1" s="1"/>
  <c r="L199" i="1"/>
  <c r="M199" i="1" s="1"/>
  <c r="L935" i="1"/>
  <c r="M935" i="1" s="1"/>
  <c r="L944" i="1"/>
  <c r="M944" i="1" s="1"/>
  <c r="L641" i="1"/>
  <c r="M641" i="1" s="1"/>
  <c r="L205" i="1"/>
  <c r="M205" i="1" s="1"/>
  <c r="L808" i="1"/>
  <c r="M808" i="1" s="1"/>
  <c r="L569" i="1"/>
  <c r="M569" i="1" s="1"/>
  <c r="L1557" i="1"/>
  <c r="M1557" i="1" s="1"/>
  <c r="L1814" i="1"/>
  <c r="M1814" i="1" s="1"/>
  <c r="L1708" i="1"/>
  <c r="M1708" i="1" s="1"/>
  <c r="L1895" i="1"/>
  <c r="M1895" i="1" s="1"/>
  <c r="L449" i="1"/>
  <c r="M449" i="1" s="1"/>
  <c r="L1376" i="1"/>
  <c r="M1376" i="1" s="1"/>
  <c r="L1820" i="1"/>
  <c r="M1820" i="1" s="1"/>
  <c r="L1514" i="1"/>
  <c r="M1514" i="1" s="1"/>
  <c r="L1871" i="1"/>
  <c r="M1871" i="1" s="1"/>
  <c r="L1907" i="1"/>
  <c r="M1907" i="1" s="1"/>
  <c r="L1002" i="1"/>
  <c r="M1002" i="1" s="1"/>
  <c r="L1245" i="1"/>
  <c r="M1245" i="1" s="1"/>
  <c r="L21" i="1"/>
  <c r="M21" i="1" s="1"/>
  <c r="L20" i="1"/>
  <c r="M20" i="1" s="1"/>
  <c r="L1020" i="1"/>
  <c r="M1020" i="1" s="1"/>
  <c r="L1363" i="1"/>
  <c r="M1363" i="1" s="1"/>
  <c r="L1460" i="1"/>
  <c r="M1460" i="1" s="1"/>
  <c r="L1388" i="1"/>
  <c r="M1388" i="1" s="1"/>
  <c r="L186" i="1"/>
  <c r="M186" i="1" s="1"/>
  <c r="L281" i="1"/>
  <c r="M281" i="1" s="1"/>
  <c r="L837" i="1"/>
  <c r="M837" i="1" s="1"/>
  <c r="L1905" i="1"/>
  <c r="M1905" i="1" s="1"/>
  <c r="L1902" i="1"/>
  <c r="M1902" i="1" s="1"/>
  <c r="L749" i="1"/>
  <c r="M749" i="1" s="1"/>
  <c r="L1337" i="1"/>
  <c r="M1337" i="1" s="1"/>
  <c r="L1564" i="1"/>
  <c r="M1564" i="1" s="1"/>
  <c r="L945" i="1"/>
  <c r="M945" i="1" s="1"/>
  <c r="L1861" i="1"/>
  <c r="M1861" i="1" s="1"/>
  <c r="L500" i="1"/>
  <c r="M500" i="1" s="1"/>
  <c r="L471" i="1"/>
  <c r="M471" i="1" s="1"/>
  <c r="L1497" i="1"/>
  <c r="M1497" i="1" s="1"/>
  <c r="L1009" i="1"/>
  <c r="M1009" i="1" s="1"/>
  <c r="L725" i="1"/>
  <c r="M725" i="1" s="1"/>
  <c r="L322" i="1"/>
  <c r="M322" i="1" s="1"/>
  <c r="L1093" i="1"/>
  <c r="M1093" i="1" s="1"/>
  <c r="L1923" i="1"/>
  <c r="M1923" i="1" s="1"/>
  <c r="L168" i="1"/>
  <c r="M168" i="1" s="1"/>
  <c r="L1585" i="1"/>
  <c r="M1585" i="1" s="1"/>
  <c r="L1552" i="1"/>
  <c r="M1552" i="1" s="1"/>
  <c r="L744" i="1"/>
  <c r="M744" i="1" s="1"/>
  <c r="L724" i="1"/>
  <c r="M724" i="1" s="1"/>
  <c r="L420" i="1"/>
  <c r="M420" i="1" s="1"/>
  <c r="L1896" i="1"/>
  <c r="M1896" i="1" s="1"/>
  <c r="L318" i="1"/>
  <c r="M318" i="1" s="1"/>
  <c r="L916" i="1"/>
  <c r="M916" i="1" s="1"/>
  <c r="L1109" i="1"/>
  <c r="M1109" i="1" s="1"/>
  <c r="L1252" i="1"/>
  <c r="M1252" i="1" s="1"/>
  <c r="L1324" i="1"/>
  <c r="M1324" i="1" s="1"/>
  <c r="L1643" i="1"/>
  <c r="M1643" i="1" s="1"/>
  <c r="L136" i="1"/>
  <c r="M136" i="1" s="1"/>
  <c r="L1615" i="1"/>
  <c r="M1615" i="1" s="1"/>
  <c r="L22" i="1"/>
  <c r="M22" i="1" s="1"/>
  <c r="L1218" i="1"/>
  <c r="M1218" i="1" s="1"/>
  <c r="L195" i="1"/>
  <c r="M195" i="1" s="1"/>
  <c r="L1906" i="1"/>
  <c r="M1906" i="1" s="1"/>
  <c r="L1572" i="1"/>
  <c r="M1572" i="1" s="1"/>
  <c r="L684" i="1"/>
  <c r="M684" i="1" s="1"/>
  <c r="L1092" i="1"/>
  <c r="M1092" i="1" s="1"/>
  <c r="L1279" i="1"/>
  <c r="M1279" i="1" s="1"/>
  <c r="L1411" i="1"/>
  <c r="M1411" i="1" s="1"/>
  <c r="L161" i="1"/>
  <c r="M161" i="1" s="1"/>
  <c r="L1469" i="1"/>
  <c r="M1469" i="1" s="1"/>
  <c r="L728" i="1"/>
  <c r="M728" i="1" s="1"/>
  <c r="L1882" i="1"/>
  <c r="M1882" i="1" s="1"/>
  <c r="L461" i="1"/>
  <c r="M461" i="1" s="1"/>
  <c r="L239" i="1"/>
  <c r="M239" i="1" s="1"/>
  <c r="L1053" i="1"/>
  <c r="M1053" i="1" s="1"/>
  <c r="L1328" i="1"/>
  <c r="M1328" i="1" s="1"/>
  <c r="L1988" i="1"/>
  <c r="M1988" i="1" s="1"/>
  <c r="L1515" i="1"/>
  <c r="M1515" i="1" s="1"/>
  <c r="L683" i="1"/>
  <c r="M683" i="1" s="1"/>
  <c r="L1123" i="1"/>
  <c r="M1123" i="1" s="1"/>
  <c r="L1799" i="1"/>
  <c r="M1799" i="1" s="1"/>
  <c r="L1524" i="1"/>
  <c r="M1524" i="1" s="1"/>
  <c r="L1835" i="1"/>
  <c r="M1835" i="1" s="1"/>
  <c r="L623" i="1"/>
  <c r="M623" i="1" s="1"/>
  <c r="L599" i="1"/>
  <c r="M599" i="1" s="1"/>
  <c r="L1449" i="1"/>
  <c r="M1449" i="1" s="1"/>
  <c r="L1044" i="1"/>
  <c r="M1044" i="1" s="1"/>
  <c r="L991" i="1"/>
  <c r="M991" i="1" s="1"/>
  <c r="L774" i="1"/>
  <c r="M774" i="1" s="1"/>
  <c r="L5" i="1"/>
  <c r="M5" i="1" s="1"/>
  <c r="L65" i="1"/>
  <c r="M65" i="1" s="1"/>
  <c r="L1732" i="1"/>
  <c r="M1732" i="1" s="1"/>
  <c r="L1910" i="1"/>
  <c r="M1910" i="1" s="1"/>
  <c r="L1334" i="1"/>
  <c r="M1334" i="1" s="1"/>
  <c r="L185" i="1"/>
  <c r="M185" i="1" s="1"/>
  <c r="L491" i="1"/>
  <c r="M491" i="1" s="1"/>
  <c r="L1012" i="1"/>
  <c r="M1012" i="1" s="1"/>
  <c r="L1516" i="1"/>
  <c r="M1516" i="1" s="1"/>
  <c r="L343" i="1"/>
  <c r="M343" i="1" s="1"/>
  <c r="L1047" i="1"/>
  <c r="M1047" i="1" s="1"/>
  <c r="L120" i="1"/>
  <c r="M120" i="1" s="1"/>
  <c r="L727" i="1"/>
  <c r="M727" i="1" s="1"/>
  <c r="L1929" i="1"/>
  <c r="M1929" i="1" s="1"/>
  <c r="L1480" i="1"/>
  <c r="M1480" i="1" s="1"/>
  <c r="L1539" i="1"/>
  <c r="M1539" i="1" s="1"/>
  <c r="L624" i="1"/>
  <c r="M624" i="1" s="1"/>
  <c r="L1692" i="1"/>
  <c r="M1692" i="1" s="1"/>
  <c r="L1612" i="1"/>
  <c r="M1612" i="1" s="1"/>
  <c r="L1198" i="1"/>
  <c r="M1198" i="1" s="1"/>
  <c r="L1320" i="1"/>
  <c r="M1320" i="1" s="1"/>
  <c r="L1598" i="1"/>
  <c r="M1598" i="1" s="1"/>
  <c r="L219" i="1"/>
  <c r="M219" i="1" s="1"/>
  <c r="L1743" i="1"/>
  <c r="M1743" i="1" s="1"/>
  <c r="L844" i="1"/>
  <c r="M844" i="1" s="1"/>
  <c r="L16" i="1"/>
  <c r="M16" i="1" s="1"/>
  <c r="L1681" i="1"/>
  <c r="M1681" i="1" s="1"/>
  <c r="L1553" i="1"/>
  <c r="M1553" i="1" s="1"/>
  <c r="L1202" i="1"/>
  <c r="M1202" i="1" s="1"/>
  <c r="L1672" i="1"/>
  <c r="M1672" i="1" s="1"/>
  <c r="L1545" i="1"/>
  <c r="M1545" i="1" s="1"/>
  <c r="L938" i="1"/>
  <c r="M938" i="1" s="1"/>
  <c r="L649" i="1"/>
  <c r="M649" i="1" s="1"/>
  <c r="L1533" i="1"/>
  <c r="M1533" i="1" s="1"/>
  <c r="L1813" i="1"/>
  <c r="M1813" i="1" s="1"/>
  <c r="L1534" i="1"/>
  <c r="M1534" i="1" s="1"/>
  <c r="L1712" i="1"/>
  <c r="M1712" i="1" s="1"/>
  <c r="L622" i="1"/>
  <c r="M622" i="1" s="1"/>
  <c r="L110" i="1"/>
  <c r="M110" i="1" s="1"/>
  <c r="L1901" i="1"/>
  <c r="M1901" i="1" s="1"/>
  <c r="L1004" i="1"/>
  <c r="M1004" i="1" s="1"/>
  <c r="L1538" i="1"/>
  <c r="M1538" i="1" s="1"/>
  <c r="L1891" i="1"/>
  <c r="M1891" i="1" s="1"/>
  <c r="L1798" i="1"/>
  <c r="M1798" i="1" s="1"/>
  <c r="L1527" i="1"/>
  <c r="M1527" i="1" s="1"/>
  <c r="L545" i="1"/>
  <c r="M545" i="1" s="1"/>
  <c r="L743" i="1"/>
  <c r="M743" i="1" s="1"/>
  <c r="L1943" i="1"/>
  <c r="M1943" i="1" s="1"/>
  <c r="L1433" i="1"/>
  <c r="M1433" i="1" s="1"/>
  <c r="L1104" i="1"/>
  <c r="M1104" i="1" s="1"/>
  <c r="L1808" i="1"/>
  <c r="M1808" i="1" s="1"/>
  <c r="L773" i="1"/>
  <c r="M773" i="1" s="1"/>
  <c r="L1822" i="1"/>
  <c r="M1822" i="1" s="1"/>
  <c r="L741" i="1"/>
  <c r="M741" i="1" s="1"/>
  <c r="L1159" i="1"/>
  <c r="M1159" i="1" s="1"/>
  <c r="L250" i="1"/>
  <c r="M250" i="1" s="1"/>
  <c r="L1794" i="1"/>
  <c r="M1794" i="1" s="1"/>
  <c r="L1812" i="1"/>
  <c r="M1812" i="1" s="1"/>
  <c r="L479" i="1"/>
  <c r="M479" i="1" s="1"/>
  <c r="L516" i="1"/>
  <c r="M516" i="1" s="1"/>
  <c r="L733" i="1"/>
  <c r="M733" i="1" s="1"/>
  <c r="L1973" i="1"/>
  <c r="M1973" i="1" s="1"/>
  <c r="L445" i="1"/>
  <c r="M445" i="1" s="1"/>
  <c r="L1420" i="1"/>
  <c r="M1420" i="1" s="1"/>
  <c r="L968" i="1"/>
  <c r="M968" i="1" s="1"/>
  <c r="L1406" i="1"/>
  <c r="M1406" i="1" s="1"/>
  <c r="L1468" i="1"/>
  <c r="M1468" i="1" s="1"/>
  <c r="L1702" i="1"/>
  <c r="M1702" i="1" s="1"/>
  <c r="L869" i="1"/>
  <c r="M869" i="1" s="1"/>
  <c r="L288" i="1"/>
  <c r="M288" i="1" s="1"/>
  <c r="L1711" i="1"/>
  <c r="M1711" i="1" s="1"/>
  <c r="L1483" i="1"/>
  <c r="M1483" i="1" s="1"/>
  <c r="L317" i="1"/>
  <c r="M317" i="1" s="1"/>
  <c r="L926" i="1"/>
  <c r="M926" i="1" s="1"/>
  <c r="L995" i="1"/>
  <c r="M995" i="1" s="1"/>
  <c r="L238" i="1"/>
  <c r="M238" i="1" s="1"/>
  <c r="L669" i="1"/>
  <c r="M669" i="1" s="1"/>
  <c r="L280" i="1"/>
  <c r="M280" i="1" s="1"/>
  <c r="L1544" i="1"/>
  <c r="M1544" i="1" s="1"/>
  <c r="L656" i="1"/>
  <c r="M656" i="1" s="1"/>
  <c r="L1837" i="1"/>
  <c r="M1837" i="1" s="1"/>
  <c r="L13" i="1"/>
  <c r="M13" i="1" s="1"/>
  <c r="L618" i="1"/>
  <c r="M618" i="1" s="1"/>
  <c r="L1950" i="1"/>
  <c r="M1950" i="1" s="1"/>
  <c r="L1283" i="1"/>
  <c r="M1283" i="1" s="1"/>
  <c r="L1724" i="1"/>
  <c r="M1724" i="1" s="1"/>
  <c r="L1549" i="1"/>
  <c r="M1549" i="1" s="1"/>
  <c r="L1440" i="1"/>
  <c r="M1440" i="1" s="1"/>
  <c r="L1709" i="1"/>
  <c r="M1709" i="1" s="1"/>
  <c r="L190" i="1"/>
  <c r="M190" i="1" s="1"/>
  <c r="L804" i="1"/>
  <c r="M804" i="1" s="1"/>
  <c r="L1595" i="1"/>
  <c r="M1595" i="1" s="1"/>
  <c r="L1489" i="1"/>
  <c r="M1489" i="1" s="1"/>
  <c r="L1975" i="1"/>
  <c r="M1975" i="1" s="1"/>
  <c r="L1862" i="1"/>
  <c r="M1862" i="1" s="1"/>
  <c r="L1782" i="1"/>
  <c r="M1782" i="1" s="1"/>
  <c r="L602" i="1"/>
  <c r="M602" i="1" s="1"/>
  <c r="L498" i="1"/>
  <c r="M498" i="1" s="1"/>
  <c r="L1788" i="1"/>
  <c r="M1788" i="1" s="1"/>
  <c r="L465" i="1"/>
  <c r="M465" i="1" s="1"/>
  <c r="L1916" i="1"/>
  <c r="M1916" i="1" s="1"/>
  <c r="L1816" i="1"/>
  <c r="M1816" i="1" s="1"/>
  <c r="L1084" i="1"/>
  <c r="M1084" i="1" s="1"/>
  <c r="L1280" i="1"/>
  <c r="M1280" i="1" s="1"/>
  <c r="L1803" i="1"/>
  <c r="M1803" i="1" s="1"/>
  <c r="L1599" i="1"/>
  <c r="M1599" i="1" s="1"/>
  <c r="L1387" i="1"/>
  <c r="M1387" i="1" s="1"/>
  <c r="L295" i="1"/>
  <c r="M295" i="1" s="1"/>
  <c r="L1632" i="1"/>
  <c r="M1632" i="1" s="1"/>
  <c r="L109" i="1"/>
  <c r="M109" i="1" s="1"/>
  <c r="L279" i="1"/>
  <c r="M279" i="1" s="1"/>
  <c r="L1226" i="1"/>
  <c r="M1226" i="1" s="1"/>
  <c r="L352" i="1"/>
  <c r="M352" i="1" s="1"/>
  <c r="L1074" i="1"/>
  <c r="M1074" i="1" s="1"/>
  <c r="L670" i="1"/>
  <c r="M670" i="1" s="1"/>
  <c r="L1018" i="1"/>
  <c r="M1018" i="1" s="1"/>
  <c r="L613" i="1"/>
  <c r="M613" i="1" s="1"/>
  <c r="L1683" i="1"/>
  <c r="M1683" i="1" s="1"/>
  <c r="L396" i="1"/>
  <c r="M396" i="1" s="1"/>
  <c r="L1365" i="1"/>
  <c r="M1365" i="1" s="1"/>
  <c r="L899" i="1"/>
  <c r="M899" i="1" s="1"/>
  <c r="L642" i="1"/>
  <c r="M642" i="1" s="1"/>
  <c r="L1261" i="1"/>
  <c r="M1261" i="1" s="1"/>
  <c r="L1314" i="1"/>
  <c r="M1314" i="1" s="1"/>
  <c r="L128" i="1"/>
  <c r="M128" i="1" s="1"/>
  <c r="L268" i="1"/>
  <c r="M268" i="1" s="1"/>
  <c r="L824" i="1"/>
  <c r="M824" i="1" s="1"/>
  <c r="L1924" i="1"/>
  <c r="M1924" i="1" s="1"/>
  <c r="L1062" i="1"/>
  <c r="M1062" i="1" s="1"/>
  <c r="L1957" i="1"/>
  <c r="M1957" i="1" s="1"/>
  <c r="L1522" i="1"/>
  <c r="M1522" i="1" s="1"/>
  <c r="L1228" i="1"/>
  <c r="M1228" i="1" s="1"/>
  <c r="L1431" i="1"/>
  <c r="M1431" i="1" s="1"/>
  <c r="L464" i="1"/>
  <c r="M464" i="1" s="1"/>
  <c r="L835" i="1"/>
  <c r="M835" i="1" s="1"/>
  <c r="L1270" i="1"/>
  <c r="M1270" i="1" s="1"/>
  <c r="L474" i="1"/>
  <c r="M474" i="1" s="1"/>
  <c r="L836" i="1"/>
  <c r="M836" i="1" s="1"/>
  <c r="L62" i="1"/>
  <c r="M62" i="1" s="1"/>
  <c r="L1890" i="1"/>
  <c r="M1890" i="1" s="1"/>
  <c r="L1949" i="1"/>
  <c r="M1949" i="1" s="1"/>
  <c r="L1928" i="1"/>
  <c r="M1928" i="1" s="1"/>
  <c r="L274" i="1"/>
  <c r="M274" i="1" s="1"/>
  <c r="L1761" i="1"/>
  <c r="M1761" i="1" s="1"/>
  <c r="L1396" i="1"/>
  <c r="M1396" i="1" s="1"/>
  <c r="L1172" i="1"/>
  <c r="M1172" i="1" s="1"/>
  <c r="L1809" i="1"/>
  <c r="M1809" i="1" s="1"/>
  <c r="L1959" i="1"/>
  <c r="M1959" i="1" s="1"/>
  <c r="L301" i="1"/>
  <c r="M301" i="1" s="1"/>
  <c r="L772" i="1"/>
  <c r="M772" i="1" s="1"/>
  <c r="L1563" i="1"/>
  <c r="M1563" i="1" s="1"/>
  <c r="L705" i="1"/>
  <c r="M705" i="1" s="1"/>
  <c r="L1457" i="1"/>
  <c r="M1457" i="1" s="1"/>
  <c r="L157" i="1"/>
  <c r="M157" i="1" s="1"/>
  <c r="L1689" i="1"/>
  <c r="M1689" i="1" s="1"/>
  <c r="L258" i="1"/>
  <c r="M258" i="1" s="1"/>
  <c r="L1919" i="1"/>
  <c r="M1919" i="1" s="1"/>
  <c r="L1295" i="1"/>
  <c r="M1295" i="1" s="1"/>
  <c r="L1519" i="1"/>
  <c r="M1519" i="1" s="1"/>
  <c r="L711" i="1"/>
  <c r="M711" i="1" s="1"/>
  <c r="L1590" i="1"/>
  <c r="M1590" i="1" s="1"/>
  <c r="L105" i="1"/>
  <c r="M105" i="1" s="1"/>
  <c r="L1661" i="1"/>
  <c r="M1661" i="1" s="1"/>
  <c r="L1748" i="1"/>
  <c r="M1748" i="1" s="1"/>
  <c r="L906" i="1"/>
  <c r="M906" i="1" s="1"/>
  <c r="L1011" i="1"/>
  <c r="M1011" i="1" s="1"/>
  <c r="L538" i="1"/>
  <c r="M538" i="1" s="1"/>
  <c r="L1801" i="1"/>
  <c r="M1801" i="1" s="1"/>
  <c r="L463" i="1"/>
  <c r="M463" i="1" s="1"/>
  <c r="L1704" i="1"/>
  <c r="M1704" i="1" s="1"/>
  <c r="L1638" i="1"/>
  <c r="M1638" i="1" s="1"/>
  <c r="L1963" i="1"/>
  <c r="M1963" i="1" s="1"/>
  <c r="L825" i="1"/>
  <c r="M825" i="1" s="1"/>
  <c r="L245" i="1"/>
  <c r="M245" i="1" s="1"/>
  <c r="L494" i="1"/>
  <c r="M494" i="1" s="1"/>
  <c r="L671" i="1"/>
  <c r="M671" i="1" s="1"/>
  <c r="L1899" i="1"/>
  <c r="M1899" i="1" s="1"/>
  <c r="L1535" i="1"/>
  <c r="M1535" i="1" s="1"/>
  <c r="L1793" i="1"/>
  <c r="M1793" i="1" s="1"/>
  <c r="L1883" i="1"/>
  <c r="M1883" i="1" s="1"/>
  <c r="L1472" i="1"/>
  <c r="M1472" i="1" s="1"/>
  <c r="L1954" i="1"/>
  <c r="M1954" i="1" s="1"/>
  <c r="L30" i="1"/>
  <c r="M30" i="1" s="1"/>
  <c r="L1220" i="1"/>
  <c r="M1220" i="1" s="1"/>
  <c r="L528" i="1"/>
  <c r="M528" i="1" s="1"/>
  <c r="L99" i="1"/>
  <c r="M99" i="1" s="1"/>
  <c r="L476" i="1"/>
  <c r="M476" i="1" s="1"/>
  <c r="L1786" i="1"/>
  <c r="M1786" i="1" s="1"/>
  <c r="L934" i="1"/>
  <c r="M934" i="1" s="1"/>
  <c r="L1865" i="1"/>
  <c r="M1865" i="1" s="1"/>
  <c r="L1878" i="1"/>
  <c r="M1878" i="1" s="1"/>
  <c r="L1644" i="1"/>
  <c r="M1644" i="1" s="1"/>
  <c r="L1403" i="1"/>
  <c r="M1403" i="1" s="1"/>
  <c r="L760" i="1"/>
  <c r="M760" i="1" s="1"/>
  <c r="L265" i="1"/>
  <c r="M265" i="1" s="1"/>
  <c r="L909" i="1"/>
  <c r="M909" i="1" s="1"/>
  <c r="L1523" i="1"/>
  <c r="M1523" i="1" s="1"/>
  <c r="L1554" i="1"/>
  <c r="M1554" i="1" s="1"/>
  <c r="L1536" i="1"/>
  <c r="M1536" i="1" s="1"/>
  <c r="L1588" i="1"/>
  <c r="M1588" i="1" s="1"/>
  <c r="L422" i="1"/>
  <c r="M422" i="1" s="1"/>
  <c r="L1962" i="1"/>
  <c r="M1962" i="1" s="1"/>
  <c r="L1370" i="1"/>
  <c r="M1370" i="1" s="1"/>
  <c r="L183" i="1"/>
  <c r="M183" i="1" s="1"/>
  <c r="L761" i="1"/>
  <c r="M761" i="1" s="1"/>
  <c r="L1892" i="1"/>
  <c r="M1892" i="1" s="1"/>
  <c r="L1621" i="1"/>
  <c r="M1621" i="1" s="1"/>
  <c r="L442" i="1"/>
  <c r="M442" i="1" s="1"/>
  <c r="L1061" i="1"/>
  <c r="M1061" i="1" s="1"/>
  <c r="L460" i="1"/>
  <c r="M460" i="1" s="1"/>
  <c r="L667" i="1"/>
  <c r="M667" i="1" s="1"/>
  <c r="L1826" i="1"/>
  <c r="M1826" i="1" s="1"/>
  <c r="L1305" i="1"/>
  <c r="M1305" i="1" s="1"/>
  <c r="L502" i="1"/>
  <c r="M502" i="1" s="1"/>
  <c r="L541" i="1"/>
  <c r="M541" i="1" s="1"/>
  <c r="L48" i="1"/>
  <c r="M48" i="1" s="1"/>
  <c r="L97" i="1"/>
  <c r="M97" i="1" s="1"/>
  <c r="L1486" i="1"/>
  <c r="M1486" i="1" s="1"/>
  <c r="L533" i="1"/>
  <c r="M533" i="1" s="1"/>
  <c r="L1797" i="1"/>
  <c r="M1797" i="1" s="1"/>
  <c r="L1589" i="1"/>
  <c r="M1589" i="1" s="1"/>
  <c r="L1223" i="1"/>
  <c r="M1223" i="1" s="1"/>
  <c r="L1917" i="1"/>
  <c r="M1917" i="1" s="1"/>
  <c r="L1243" i="1"/>
  <c r="M1243" i="1" s="1"/>
  <c r="L293" i="1"/>
  <c r="M293" i="1" s="1"/>
  <c r="L840" i="1"/>
  <c r="M840" i="1" s="1"/>
  <c r="L485" i="1"/>
  <c r="M485" i="1" s="1"/>
  <c r="L210" i="1"/>
  <c r="M210" i="1" s="1"/>
  <c r="L644" i="1"/>
  <c r="M644" i="1" s="1"/>
  <c r="L798" i="1"/>
  <c r="M798" i="1" s="1"/>
  <c r="L942" i="1"/>
  <c r="M942" i="1" s="1"/>
  <c r="L411" i="1"/>
  <c r="M411" i="1" s="1"/>
  <c r="L544" i="1"/>
  <c r="M544" i="1" s="1"/>
  <c r="L1511" i="1"/>
  <c r="M1511" i="1" s="1"/>
  <c r="L621" i="1"/>
  <c r="M621" i="1" s="1"/>
  <c r="L1189" i="1"/>
  <c r="M1189" i="1" s="1"/>
  <c r="L231" i="1"/>
  <c r="M231" i="1" s="1"/>
  <c r="L64" i="1"/>
  <c r="M64" i="1" s="1"/>
  <c r="L1893" i="1"/>
  <c r="M1893" i="1" s="1"/>
  <c r="L713" i="1"/>
  <c r="M713" i="1" s="1"/>
  <c r="L1674" i="1"/>
  <c r="M1674" i="1" s="1"/>
  <c r="L1627" i="1"/>
  <c r="M1627" i="1" s="1"/>
  <c r="L753" i="1"/>
  <c r="M753" i="1" s="1"/>
  <c r="L1707" i="1"/>
  <c r="M1707" i="1" s="1"/>
  <c r="L1888" i="1"/>
  <c r="M1888" i="1" s="1"/>
  <c r="L1667" i="1"/>
  <c r="M1667" i="1" s="1"/>
  <c r="L982" i="1"/>
  <c r="M982" i="1" s="1"/>
  <c r="L1398" i="1"/>
  <c r="M1398" i="1" s="1"/>
  <c r="L1027" i="1"/>
  <c r="M1027" i="1" s="1"/>
  <c r="L607" i="1"/>
  <c r="M607" i="1" s="1"/>
  <c r="L1760" i="1"/>
  <c r="M1760" i="1" s="1"/>
  <c r="L754" i="1"/>
  <c r="M754" i="1" s="1"/>
  <c r="L1180" i="1"/>
  <c r="M1180" i="1" s="1"/>
  <c r="L1752" i="1"/>
  <c r="M1752" i="1" s="1"/>
  <c r="L1125" i="1"/>
  <c r="M1125" i="1" s="1"/>
  <c r="L86" i="1"/>
  <c r="M86" i="1" s="1"/>
  <c r="L738" i="1"/>
  <c r="M738" i="1" s="1"/>
  <c r="L313" i="1"/>
  <c r="M313" i="1" s="1"/>
  <c r="L1678" i="1"/>
  <c r="M1678" i="1" s="1"/>
  <c r="L70" i="1"/>
  <c r="M70" i="1" s="1"/>
  <c r="L1401" i="1"/>
  <c r="M1401" i="1" s="1"/>
  <c r="L1986" i="1"/>
  <c r="M1986" i="1" s="1"/>
  <c r="L1541" i="1"/>
  <c r="M1541" i="1" s="1"/>
  <c r="L1090" i="1"/>
  <c r="M1090" i="1" s="1"/>
  <c r="L1587" i="1"/>
  <c r="M1587" i="1" s="1"/>
  <c r="L1934" i="1"/>
  <c r="M1934" i="1" s="1"/>
  <c r="L1101" i="1"/>
  <c r="M1101" i="1" s="1"/>
  <c r="L1790" i="1"/>
  <c r="M1790" i="1" s="1"/>
  <c r="L45" i="1"/>
  <c r="M45" i="1" s="1"/>
  <c r="L915" i="1"/>
  <c r="M915" i="1" s="1"/>
  <c r="L504" i="1"/>
  <c r="M504" i="1" s="1"/>
  <c r="L1716" i="1"/>
  <c r="M1716" i="1" s="1"/>
  <c r="L1662" i="1"/>
  <c r="M1662" i="1" s="1"/>
  <c r="L1767" i="1"/>
  <c r="M1767" i="1" s="1"/>
  <c r="L372" i="1"/>
  <c r="M372" i="1" s="1"/>
  <c r="L1565" i="1"/>
  <c r="M1565" i="1" s="1"/>
  <c r="L437" i="1"/>
  <c r="M437" i="1" s="1"/>
  <c r="L914" i="1"/>
  <c r="M914" i="1" s="1"/>
  <c r="L290" i="1"/>
  <c r="M290" i="1" s="1"/>
  <c r="L1326" i="1"/>
  <c r="M1326" i="1" s="1"/>
  <c r="L1605" i="1"/>
  <c r="M1605" i="1" s="1"/>
  <c r="L1938" i="1"/>
  <c r="M1938" i="1" s="1"/>
  <c r="L1728" i="1"/>
  <c r="M1728" i="1" s="1"/>
  <c r="L1844" i="1"/>
  <c r="M1844" i="1" s="1"/>
  <c r="L1182" i="1"/>
  <c r="M1182" i="1" s="1"/>
  <c r="L221" i="1"/>
  <c r="M221" i="1" s="1"/>
  <c r="L1626" i="1"/>
  <c r="M1626" i="1" s="1"/>
  <c r="L1608" i="1"/>
  <c r="M1608" i="1" s="1"/>
  <c r="L169" i="1"/>
  <c r="M169" i="1" s="1"/>
  <c r="L1082" i="1"/>
  <c r="M1082" i="1" s="1"/>
  <c r="L1543" i="1"/>
  <c r="M1543" i="1" s="1"/>
  <c r="L113" i="1"/>
  <c r="M113" i="1" s="1"/>
  <c r="L1067" i="1"/>
  <c r="M1067" i="1" s="1"/>
  <c r="L1993" i="1"/>
  <c r="M1993" i="1" s="1"/>
  <c r="L691" i="1"/>
  <c r="M691" i="1" s="1"/>
  <c r="L1843" i="1"/>
  <c r="M1843" i="1" s="1"/>
  <c r="L600" i="1"/>
  <c r="M600" i="1" s="1"/>
  <c r="L722" i="1"/>
  <c r="M722" i="1" s="1"/>
  <c r="L987" i="1"/>
  <c r="M987" i="1" s="1"/>
  <c r="L510" i="1"/>
  <c r="M510" i="1" s="1"/>
  <c r="L1030" i="1"/>
  <c r="M1030" i="1" s="1"/>
  <c r="L1758" i="1"/>
  <c r="M1758" i="1" s="1"/>
  <c r="L832" i="1"/>
  <c r="M832" i="1" s="1"/>
  <c r="L1451" i="1"/>
  <c r="M1451" i="1" s="1"/>
  <c r="L572" i="1"/>
  <c r="M572" i="1" s="1"/>
  <c r="L839" i="1"/>
  <c r="M839" i="1" s="1"/>
  <c r="L1352" i="1"/>
  <c r="M1352" i="1" s="1"/>
  <c r="L160" i="1"/>
  <c r="M160" i="1" s="1"/>
  <c r="L122" i="1"/>
  <c r="M122" i="1" s="1"/>
  <c r="L264" i="1"/>
  <c r="M264" i="1" s="1"/>
  <c r="L663" i="1"/>
  <c r="M663" i="1" s="1"/>
  <c r="L1430" i="1"/>
  <c r="M1430" i="1" s="1"/>
  <c r="L1019" i="1"/>
  <c r="M1019" i="1" s="1"/>
  <c r="L487" i="1"/>
  <c r="M487" i="1" s="1"/>
  <c r="L1186" i="1"/>
  <c r="M1186" i="1" s="1"/>
  <c r="L721" i="1"/>
  <c r="M721" i="1" s="1"/>
  <c r="L1056" i="1"/>
  <c r="M1056" i="1" s="1"/>
  <c r="L690" i="1"/>
  <c r="M690" i="1" s="1"/>
  <c r="L643" i="1"/>
  <c r="M643" i="1" s="1"/>
  <c r="L439" i="1"/>
  <c r="M439" i="1" s="1"/>
  <c r="L1625" i="1"/>
  <c r="M1625" i="1" s="1"/>
  <c r="L177" i="1"/>
  <c r="M177" i="1" s="1"/>
  <c r="L1868" i="1"/>
  <c r="M1868" i="1" s="1"/>
  <c r="L486" i="1"/>
  <c r="M486" i="1" s="1"/>
  <c r="L1091" i="1"/>
  <c r="M1091" i="1" s="1"/>
  <c r="L863" i="1"/>
  <c r="M863" i="1" s="1"/>
  <c r="L1594" i="1"/>
  <c r="M1594" i="1" s="1"/>
  <c r="L1766" i="1"/>
  <c r="M1766" i="1" s="1"/>
  <c r="L1610" i="1"/>
  <c r="M1610" i="1" s="1"/>
  <c r="L1736" i="1"/>
  <c r="M1736" i="1" s="1"/>
  <c r="L1318" i="1"/>
  <c r="M1318" i="1" s="1"/>
  <c r="L1995" i="1"/>
  <c r="M1995" i="1" s="1"/>
  <c r="L920" i="1"/>
  <c r="M920" i="1" s="1"/>
  <c r="L1872" i="1"/>
  <c r="M1872" i="1" s="1"/>
  <c r="L1967" i="1"/>
  <c r="M1967" i="1" s="1"/>
  <c r="L1825" i="1"/>
  <c r="M1825" i="1" s="1"/>
  <c r="L1642" i="1"/>
  <c r="M1642" i="1" s="1"/>
  <c r="L1655" i="1"/>
  <c r="M1655" i="1" s="1"/>
  <c r="L1473" i="1"/>
  <c r="M1473" i="1" s="1"/>
  <c r="L326" i="1"/>
  <c r="M326" i="1" s="1"/>
  <c r="L664" i="1"/>
  <c r="M664" i="1" s="1"/>
  <c r="L1404" i="1"/>
  <c r="M1404" i="1" s="1"/>
  <c r="L1948" i="1"/>
  <c r="M1948" i="1" s="1"/>
  <c r="L1224" i="1"/>
  <c r="M1224" i="1" s="1"/>
  <c r="L425" i="1"/>
  <c r="M425" i="1" s="1"/>
  <c r="L254" i="1"/>
  <c r="M254" i="1" s="1"/>
  <c r="L1753" i="1"/>
  <c r="M1753" i="1" s="1"/>
  <c r="L478" i="1"/>
  <c r="M478" i="1" s="1"/>
  <c r="L1187" i="1"/>
  <c r="M1187" i="1" s="1"/>
  <c r="L1688" i="1"/>
  <c r="M1688" i="1" s="1"/>
  <c r="L1532" i="1"/>
  <c r="M1532" i="1" s="1"/>
  <c r="L1727" i="1"/>
  <c r="M1727" i="1" s="1"/>
  <c r="L1235" i="1"/>
  <c r="M1235" i="1" s="1"/>
  <c r="L1332" i="1"/>
  <c r="M1332" i="1" s="1"/>
  <c r="L1359" i="1"/>
  <c r="M1359" i="1" s="1"/>
  <c r="L373" i="1"/>
  <c r="M373" i="1" s="1"/>
  <c r="L1769" i="1"/>
  <c r="M1769" i="1" s="1"/>
  <c r="L1466" i="1"/>
  <c r="M1466" i="1" s="1"/>
  <c r="L949" i="1"/>
  <c r="M949" i="1" s="1"/>
  <c r="L9" i="1"/>
  <c r="M9" i="1" s="1"/>
  <c r="L633" i="1"/>
  <c r="M633" i="1" s="1"/>
  <c r="L1677" i="1"/>
  <c r="M1677" i="1" s="1"/>
  <c r="L1806" i="1"/>
  <c r="M1806" i="1" s="1"/>
  <c r="L1490" i="1"/>
  <c r="M1490" i="1" s="1"/>
  <c r="L1503" i="1"/>
  <c r="M1503" i="1" s="1"/>
  <c r="L1984" i="1"/>
  <c r="M1984" i="1" s="1"/>
  <c r="L1779" i="1"/>
  <c r="M1779" i="1" s="1"/>
  <c r="L1315" i="1"/>
  <c r="M1315" i="1" s="1"/>
  <c r="L1933" i="1"/>
  <c r="M1933" i="1" s="1"/>
  <c r="L1710" i="1"/>
  <c r="M1710" i="1" s="1"/>
  <c r="L747" i="1"/>
  <c r="M747" i="1" s="1"/>
  <c r="L468" i="1"/>
  <c r="M468" i="1" s="1"/>
  <c r="L1007" i="1"/>
  <c r="M1007" i="1" s="1"/>
  <c r="L767" i="1"/>
  <c r="M767" i="1" s="1"/>
  <c r="L1546" i="1"/>
  <c r="M1546" i="1" s="1"/>
  <c r="L1965" i="1"/>
  <c r="M1965" i="1" s="1"/>
  <c r="L1528" i="1"/>
  <c r="M1528" i="1" s="1"/>
  <c r="L1611" i="1"/>
  <c r="M1611" i="1" s="1"/>
  <c r="L1926" i="1"/>
  <c r="M1926" i="1" s="1"/>
  <c r="L689" i="1"/>
  <c r="M689" i="1" s="1"/>
  <c r="L1471" i="1"/>
  <c r="M1471" i="1" s="1"/>
  <c r="L1802" i="1"/>
  <c r="M1802" i="1" s="1"/>
  <c r="L1869" i="1"/>
  <c r="M1869" i="1" s="1"/>
  <c r="L827" i="1"/>
  <c r="M827" i="1" s="1"/>
  <c r="L1177" i="1"/>
  <c r="M1177" i="1" s="1"/>
  <c r="L112" i="1"/>
  <c r="M112" i="1" s="1"/>
  <c r="L1354" i="1"/>
  <c r="M1354" i="1" s="1"/>
  <c r="L1347" i="1"/>
  <c r="M1347" i="1" s="1"/>
  <c r="L1517" i="1"/>
  <c r="M1517" i="1" s="1"/>
  <c r="L1763" i="1"/>
  <c r="M1763" i="1" s="1"/>
  <c r="L740" i="1"/>
  <c r="M740" i="1" s="1"/>
  <c r="L1651" i="1"/>
  <c r="M1651" i="1" s="1"/>
  <c r="L152" i="1"/>
  <c r="M152" i="1" s="1"/>
  <c r="L455" i="1"/>
  <c r="M455" i="1" s="1"/>
  <c r="L1618" i="1"/>
  <c r="M1618" i="1" s="1"/>
  <c r="L337" i="1"/>
  <c r="M337" i="1" s="1"/>
  <c r="L1990" i="1"/>
  <c r="M1990" i="1" s="1"/>
  <c r="L104" i="1"/>
  <c r="M104" i="1" s="1"/>
  <c r="L1873" i="1"/>
  <c r="M1873" i="1" s="1"/>
  <c r="L1537" i="1"/>
  <c r="M1537" i="1" s="1"/>
  <c r="L94" i="1"/>
  <c r="M94" i="1" s="1"/>
  <c r="L125" i="1"/>
  <c r="M125" i="1" s="1"/>
  <c r="L1079" i="1"/>
  <c r="M1079" i="1" s="1"/>
  <c r="L1757" i="1"/>
  <c r="M1757" i="1" s="1"/>
  <c r="L1771" i="1"/>
  <c r="M1771" i="1" s="1"/>
  <c r="L983" i="1"/>
  <c r="M983" i="1" s="1"/>
  <c r="L1931" i="1"/>
  <c r="M1931" i="1" s="1"/>
  <c r="L220" i="1"/>
  <c r="M220" i="1" s="1"/>
  <c r="L215" i="1"/>
  <c r="M215" i="1" s="1"/>
  <c r="L1623" i="1"/>
  <c r="M1623" i="1" s="1"/>
  <c r="L209" i="1"/>
  <c r="M209" i="1" s="1"/>
  <c r="L1622" i="1"/>
  <c r="M1622" i="1" s="1"/>
  <c r="L546" i="1"/>
  <c r="M546" i="1" s="1"/>
  <c r="L1668" i="1"/>
  <c r="M1668" i="1" s="1"/>
  <c r="L1023" i="1"/>
  <c r="M1023" i="1" s="1"/>
  <c r="L1932" i="1"/>
  <c r="M1932" i="1" s="1"/>
  <c r="L1239" i="1"/>
  <c r="M1239" i="1" s="1"/>
  <c r="L241" i="1"/>
  <c r="M241" i="1" s="1"/>
  <c r="L1506" i="1"/>
  <c r="M1506" i="1" s="1"/>
  <c r="L408" i="1"/>
  <c r="M408" i="1" s="1"/>
  <c r="L256" i="1"/>
  <c r="M256" i="1" s="1"/>
  <c r="L969" i="1"/>
  <c r="M969" i="1" s="1"/>
  <c r="L1098" i="1"/>
  <c r="M1098" i="1" s="1"/>
  <c r="L1253" i="1"/>
  <c r="M1253" i="1" s="1"/>
  <c r="L277" i="1"/>
  <c r="M277" i="1" s="1"/>
  <c r="L467" i="1"/>
  <c r="M467" i="1" s="1"/>
  <c r="L1422" i="1"/>
  <c r="M1422" i="1" s="1"/>
  <c r="L632" i="1"/>
  <c r="M632" i="1" s="1"/>
  <c r="L1114" i="1"/>
  <c r="M1114" i="1" s="1"/>
  <c r="L566" i="1"/>
  <c r="M566" i="1" s="1"/>
  <c r="L898" i="1"/>
  <c r="M898" i="1" s="1"/>
  <c r="L943" i="1"/>
  <c r="M943" i="1" s="1"/>
  <c r="L885" i="1"/>
  <c r="M885" i="1" s="1"/>
  <c r="L576" i="1"/>
  <c r="M576" i="1" s="1"/>
  <c r="L1137" i="1"/>
  <c r="M1137" i="1" s="1"/>
  <c r="L311" i="1"/>
  <c r="M311" i="1" s="1"/>
  <c r="L880" i="1"/>
  <c r="M880" i="1" s="1"/>
  <c r="L1066" i="1"/>
  <c r="M1066" i="1" s="1"/>
  <c r="L1859" i="1"/>
  <c r="M1859" i="1" s="1"/>
  <c r="L1583" i="1"/>
  <c r="M1583" i="1" s="1"/>
  <c r="L1613" i="1"/>
  <c r="M1613" i="1" s="1"/>
  <c r="L193" i="1"/>
  <c r="M193" i="1" s="1"/>
  <c r="L1946" i="1"/>
  <c r="M1946" i="1" s="1"/>
  <c r="L1475" i="1"/>
  <c r="M1475" i="1" s="1"/>
  <c r="L597" i="1"/>
  <c r="M597" i="1" s="1"/>
  <c r="L495" i="1"/>
  <c r="M495" i="1" s="1"/>
  <c r="L1586" i="1"/>
  <c r="M1586" i="1" s="1"/>
  <c r="L259" i="1"/>
  <c r="M259" i="1" s="1"/>
  <c r="L292" i="1"/>
  <c r="M292" i="1" s="1"/>
  <c r="L1734" i="1"/>
  <c r="M1734" i="1" s="1"/>
  <c r="L627" i="1"/>
  <c r="M627" i="1" s="1"/>
  <c r="L1690" i="1"/>
  <c r="M1690" i="1" s="1"/>
  <c r="L1900" i="1"/>
  <c r="M1900" i="1" s="1"/>
  <c r="L1099" i="1"/>
  <c r="M1099" i="1" s="1"/>
  <c r="L1188" i="1"/>
  <c r="M1188" i="1" s="1"/>
  <c r="L452" i="1"/>
  <c r="M452" i="1" s="1"/>
  <c r="L974" i="1"/>
  <c r="M974" i="1" s="1"/>
  <c r="L929" i="1"/>
  <c r="M929" i="1" s="1"/>
  <c r="L429" i="1"/>
  <c r="M429" i="1" s="1"/>
  <c r="L1316" i="1"/>
  <c r="M1316" i="1" s="1"/>
  <c r="L296" i="1"/>
  <c r="M296" i="1" s="1"/>
  <c r="L1673" i="1"/>
  <c r="M1673" i="1" s="1"/>
  <c r="L676" i="1"/>
  <c r="M676" i="1" s="1"/>
  <c r="L692" i="1"/>
  <c r="M692" i="1" s="1"/>
  <c r="L358" i="1"/>
  <c r="M358" i="1" s="1"/>
  <c r="L1353" i="1"/>
  <c r="M1353" i="1" s="1"/>
  <c r="L431" i="1"/>
  <c r="M431" i="1" s="1"/>
  <c r="L1927" i="1"/>
  <c r="M1927" i="1" s="1"/>
  <c r="L585" i="1"/>
  <c r="M585" i="1" s="1"/>
  <c r="L609" i="1"/>
  <c r="M609" i="1" s="1"/>
  <c r="L316" i="1"/>
  <c r="M316" i="1" s="1"/>
  <c r="L1129" i="1"/>
  <c r="M1129" i="1" s="1"/>
  <c r="L336" i="1"/>
  <c r="M336" i="1" s="1"/>
  <c r="L542" i="1"/>
  <c r="M542" i="1" s="1"/>
  <c r="L328" i="1"/>
  <c r="M328" i="1" s="1"/>
  <c r="L196" i="1"/>
  <c r="M196" i="1" s="1"/>
  <c r="L68" i="1"/>
  <c r="M68" i="1" s="1"/>
  <c r="L1424" i="1"/>
  <c r="M1424" i="1" s="1"/>
  <c r="L1415" i="1"/>
  <c r="M1415" i="1" s="1"/>
  <c r="L23" i="1"/>
  <c r="M23" i="1" s="1"/>
  <c r="L1317" i="1"/>
  <c r="M1317" i="1" s="1"/>
  <c r="L699" i="1"/>
  <c r="M699" i="1" s="1"/>
  <c r="L1085" i="1"/>
  <c r="M1085" i="1" s="1"/>
  <c r="L66" i="1"/>
  <c r="M66" i="1" s="1"/>
  <c r="L252" i="1"/>
  <c r="M252" i="1" s="1"/>
  <c r="L871" i="1"/>
  <c r="M871" i="1" s="1"/>
  <c r="L271" i="1"/>
  <c r="M271" i="1" s="1"/>
  <c r="L1165" i="1"/>
  <c r="M1165" i="1" s="1"/>
  <c r="L965" i="1"/>
  <c r="M965" i="1" s="1"/>
  <c r="L719" i="1"/>
  <c r="M719" i="1" s="1"/>
  <c r="L366" i="1"/>
  <c r="M366" i="1" s="1"/>
  <c r="L300" i="1"/>
  <c r="M300" i="1" s="1"/>
  <c r="L891" i="1"/>
  <c r="M891" i="1" s="1"/>
  <c r="L729" i="1"/>
  <c r="M729" i="1" s="1"/>
  <c r="L806" i="1"/>
  <c r="M806" i="1" s="1"/>
  <c r="L1149" i="1"/>
  <c r="M1149" i="1" s="1"/>
  <c r="L1381" i="1"/>
  <c r="M1381" i="1" s="1"/>
  <c r="L1821" i="1"/>
  <c r="M1821" i="1" s="1"/>
  <c r="L708" i="1"/>
  <c r="M708" i="1" s="1"/>
  <c r="L1290" i="1"/>
  <c r="M1290" i="1" s="1"/>
  <c r="L999" i="1"/>
  <c r="M999" i="1" s="1"/>
  <c r="L1010" i="1"/>
  <c r="M1010" i="1" s="1"/>
  <c r="L29" i="1"/>
  <c r="M29" i="1" s="1"/>
  <c r="L717" i="1"/>
  <c r="M717" i="1" s="1"/>
  <c r="L74" i="1"/>
  <c r="M74" i="1" s="1"/>
  <c r="L1829" i="1"/>
  <c r="M1829" i="1" s="1"/>
  <c r="L581" i="1"/>
  <c r="M581" i="1" s="1"/>
  <c r="L315" i="1"/>
  <c r="M315" i="1" s="1"/>
  <c r="L1214" i="1"/>
  <c r="M1214" i="1" s="1"/>
  <c r="L1145" i="1"/>
  <c r="M1145" i="1" s="1"/>
  <c r="L1670" i="1"/>
  <c r="M1670" i="1" s="1"/>
  <c r="L489" i="1"/>
  <c r="M489" i="1" s="1"/>
  <c r="L15" i="1"/>
  <c r="M15" i="1" s="1"/>
  <c r="L323" i="1"/>
  <c r="M323" i="1" s="1"/>
  <c r="L108" i="1"/>
  <c r="M108" i="1" s="1"/>
  <c r="L229" i="1"/>
  <c r="M229" i="1" s="1"/>
  <c r="L178" i="1"/>
  <c r="M178" i="1" s="1"/>
  <c r="L1184" i="1"/>
  <c r="M1184" i="1" s="1"/>
  <c r="L853" i="1"/>
  <c r="M853" i="1" s="1"/>
  <c r="L394" i="1"/>
  <c r="M394" i="1" s="1"/>
  <c r="L1439" i="1"/>
  <c r="M1439" i="1" s="1"/>
  <c r="L1015" i="1"/>
  <c r="M1015" i="1" s="1"/>
  <c r="L1306" i="1"/>
  <c r="M1306" i="1" s="1"/>
  <c r="L977" i="1"/>
  <c r="M977" i="1" s="1"/>
  <c r="L1417" i="1"/>
  <c r="M1417" i="1" s="1"/>
  <c r="L653" i="1"/>
  <c r="M653" i="1" s="1"/>
  <c r="L1273" i="1"/>
  <c r="M1273" i="1" s="1"/>
  <c r="L1049" i="1"/>
  <c r="M1049" i="1" s="1"/>
  <c r="L630" i="1"/>
  <c r="M630" i="1" s="1"/>
  <c r="L392" i="1"/>
  <c r="M392" i="1" s="1"/>
  <c r="L447" i="1"/>
  <c r="M447" i="1" s="1"/>
  <c r="L620" i="1"/>
  <c r="M620" i="1" s="1"/>
  <c r="L519" i="1"/>
  <c r="M519" i="1" s="1"/>
  <c r="L596" i="1"/>
  <c r="M596" i="1" s="1"/>
  <c r="L346" i="1"/>
  <c r="M346" i="1" s="1"/>
  <c r="L1705" i="1"/>
  <c r="M1705" i="1" s="1"/>
  <c r="L1458" i="1"/>
  <c r="M1458" i="1" s="1"/>
  <c r="L769" i="1"/>
  <c r="M769" i="1" s="1"/>
  <c r="L759" i="1"/>
  <c r="M759" i="1" s="1"/>
  <c r="L1426" i="1"/>
  <c r="M1426" i="1" s="1"/>
  <c r="L116" i="1"/>
  <c r="M116" i="1" s="1"/>
  <c r="L393" i="1"/>
  <c r="M393" i="1" s="1"/>
  <c r="L928" i="1"/>
  <c r="M928" i="1" s="1"/>
  <c r="L936" i="1"/>
  <c r="M936" i="1" s="1"/>
  <c r="L162" i="1"/>
  <c r="M162" i="1" s="1"/>
  <c r="L24" i="1"/>
  <c r="M24" i="1" s="1"/>
  <c r="L1889" i="1"/>
  <c r="M1889" i="1" s="1"/>
  <c r="L507" i="1"/>
  <c r="M507" i="1" s="1"/>
  <c r="L1127" i="1"/>
  <c r="M1127" i="1" s="1"/>
  <c r="L736" i="1"/>
  <c r="M736" i="1" s="1"/>
  <c r="L1106" i="1"/>
  <c r="M1106" i="1" s="1"/>
  <c r="L1904" i="1"/>
  <c r="M1904" i="1" s="1"/>
  <c r="L226" i="1"/>
  <c r="M226" i="1" s="1"/>
  <c r="L98" i="1"/>
  <c r="M98" i="1" s="1"/>
  <c r="L1357" i="1"/>
  <c r="M1357" i="1" s="1"/>
  <c r="L564" i="1"/>
  <c r="M564" i="1" s="1"/>
  <c r="L145" i="1"/>
  <c r="M145" i="1" s="1"/>
  <c r="L1297" i="1"/>
  <c r="M1297" i="1" s="1"/>
  <c r="L1087" i="1"/>
  <c r="M1087" i="1" s="1"/>
  <c r="L1722" i="1"/>
  <c r="M1722" i="1" s="1"/>
  <c r="L327" i="1"/>
  <c r="M327" i="1" s="1"/>
  <c r="L841" i="1"/>
  <c r="M841" i="1" s="1"/>
  <c r="L666" i="1"/>
  <c r="M666" i="1" s="1"/>
  <c r="L25" i="1"/>
  <c r="M25" i="1" s="1"/>
  <c r="L619" i="1"/>
  <c r="M619" i="1" s="1"/>
  <c r="L1051" i="1"/>
  <c r="M1051" i="1" s="1"/>
  <c r="L89" i="1"/>
  <c r="M89" i="1" s="1"/>
  <c r="L882" i="1"/>
  <c r="M882" i="1" s="1"/>
  <c r="L1397" i="1"/>
  <c r="M1397" i="1" s="1"/>
  <c r="L524" i="1"/>
  <c r="M524" i="1" s="1"/>
  <c r="L864" i="1"/>
  <c r="M864" i="1" s="1"/>
  <c r="L1234" i="1"/>
  <c r="M1234" i="1" s="1"/>
  <c r="L149" i="1"/>
  <c r="M149" i="1" s="1"/>
  <c r="L1665" i="1"/>
  <c r="M1665" i="1" s="1"/>
  <c r="L1915" i="1"/>
  <c r="M1915" i="1" s="1"/>
  <c r="L1740" i="1"/>
  <c r="M1740" i="1" s="1"/>
  <c r="L1746" i="1"/>
  <c r="M1746" i="1" s="1"/>
  <c r="L1045" i="1"/>
  <c r="M1045" i="1" s="1"/>
  <c r="L785" i="1"/>
  <c r="M785" i="1" s="1"/>
  <c r="L164" i="1"/>
  <c r="M164" i="1" s="1"/>
  <c r="L961" i="1"/>
  <c r="M961" i="1" s="1"/>
  <c r="L1150" i="1"/>
  <c r="M1150" i="1" s="1"/>
  <c r="L978" i="1"/>
  <c r="M978" i="1" s="1"/>
  <c r="L1361" i="1"/>
  <c r="M1361" i="1" s="1"/>
  <c r="L1939" i="1"/>
  <c r="M1939" i="1" s="1"/>
  <c r="L1117" i="1"/>
  <c r="M1117" i="1" s="1"/>
  <c r="L1171" i="1"/>
  <c r="M1171" i="1" s="1"/>
  <c r="L1765" i="1"/>
  <c r="M1765" i="1" s="1"/>
  <c r="L1717" i="1"/>
  <c r="M1717" i="1" s="1"/>
  <c r="L1989" i="1"/>
  <c r="M1989" i="1" s="1"/>
  <c r="L1696" i="1"/>
  <c r="M1696" i="1" s="1"/>
  <c r="L1730" i="1"/>
  <c r="M1730" i="1" s="1"/>
  <c r="L1684" i="1"/>
  <c r="M1684" i="1" s="1"/>
  <c r="L852" i="1"/>
  <c r="M852" i="1" s="1"/>
  <c r="L1217" i="1"/>
  <c r="M1217" i="1" s="1"/>
  <c r="L1227" i="1"/>
  <c r="M1227" i="1" s="1"/>
  <c r="L395" i="1"/>
  <c r="M395" i="1" s="1"/>
  <c r="L284" i="1"/>
  <c r="M284" i="1" s="1"/>
  <c r="L1857" i="1"/>
  <c r="M1857" i="1" s="1"/>
  <c r="L1956" i="1"/>
  <c r="M1956" i="1" s="1"/>
  <c r="L1831" i="1"/>
  <c r="M1831" i="1" s="1"/>
  <c r="L1478" i="1"/>
  <c r="M1478" i="1" s="1"/>
  <c r="L637" i="1"/>
  <c r="M637" i="1" s="1"/>
  <c r="L801" i="1"/>
  <c r="M801" i="1" s="1"/>
  <c r="L150" i="1"/>
  <c r="M150" i="1" s="1"/>
  <c r="L1796" i="1"/>
  <c r="M1796" i="1" s="1"/>
  <c r="L1369" i="1"/>
  <c r="M1369" i="1" s="1"/>
  <c r="L603" i="1"/>
  <c r="M603" i="1" s="1"/>
  <c r="L261" i="1"/>
  <c r="M261" i="1" s="1"/>
  <c r="L648" i="1"/>
  <c r="M648" i="1" s="1"/>
  <c r="L459" i="1"/>
  <c r="M459" i="1" s="1"/>
  <c r="L1840" i="1"/>
  <c r="M1840" i="1" s="1"/>
  <c r="L1509" i="1"/>
  <c r="M1509" i="1" s="1"/>
  <c r="L1212" i="1"/>
  <c r="M1212" i="1" s="1"/>
  <c r="L1470" i="1"/>
  <c r="M1470" i="1" s="1"/>
  <c r="L1739" i="1"/>
  <c r="M1739" i="1" s="1"/>
  <c r="L1860" i="1"/>
  <c r="M1860" i="1" s="1"/>
  <c r="L1945" i="1"/>
  <c r="M1945" i="1" s="1"/>
  <c r="L1721" i="1"/>
  <c r="M1721" i="1" s="1"/>
  <c r="L1997" i="1"/>
  <c r="M1997" i="1" s="1"/>
  <c r="L1980" i="1"/>
  <c r="M1980" i="1" s="1"/>
  <c r="L1560" i="1"/>
  <c r="M1560" i="1" s="1"/>
  <c r="L561" i="1"/>
  <c r="M561" i="1" s="1"/>
  <c r="L701" i="1"/>
  <c r="M701" i="1" s="1"/>
  <c r="L1525" i="1"/>
  <c r="M1525" i="1" s="1"/>
  <c r="L1199" i="1"/>
  <c r="M1199" i="1" s="1"/>
  <c r="L246" i="1"/>
  <c r="M246" i="1" s="1"/>
  <c r="L1867" i="1"/>
  <c r="M1867" i="1" s="1"/>
  <c r="L1481" i="1"/>
  <c r="M1481" i="1" s="1"/>
  <c r="L1374" i="1"/>
  <c r="M1374" i="1" s="1"/>
  <c r="L1600" i="1"/>
  <c r="M1600" i="1" s="1"/>
  <c r="L1853" i="1"/>
  <c r="M1853" i="1" s="1"/>
  <c r="L1614" i="1"/>
  <c r="M1614" i="1" s="1"/>
  <c r="L1194" i="1"/>
  <c r="M1194" i="1" s="1"/>
  <c r="L208" i="1"/>
  <c r="M208" i="1" s="1"/>
  <c r="L1775" i="1"/>
  <c r="M1775" i="1" s="1"/>
  <c r="L1646" i="1"/>
  <c r="M1646" i="1" s="1"/>
  <c r="L1856" i="1"/>
  <c r="M1856" i="1" s="1"/>
  <c r="L1676" i="1"/>
  <c r="M1676" i="1" s="1"/>
  <c r="L1969" i="1"/>
  <c r="M1969" i="1" s="1"/>
  <c r="L1407" i="1"/>
  <c r="M1407" i="1" s="1"/>
  <c r="L1394" i="1"/>
  <c r="M1394" i="1" s="1"/>
  <c r="L918" i="1"/>
  <c r="M918" i="1" s="1"/>
  <c r="L1818" i="1"/>
  <c r="M1818" i="1" s="1"/>
  <c r="L655" i="1"/>
  <c r="M655" i="1" s="1"/>
  <c r="L46" i="1"/>
  <c r="M46" i="1" s="1"/>
  <c r="L34" i="1"/>
  <c r="M34" i="1" s="1"/>
  <c r="L831" i="1"/>
  <c r="M831" i="1" s="1"/>
  <c r="L886" i="1"/>
  <c r="M886" i="1" s="1"/>
  <c r="L1181" i="1"/>
  <c r="M1181" i="1" s="1"/>
  <c r="L11" i="1"/>
  <c r="M11" i="1" s="1"/>
  <c r="L1289" i="1"/>
  <c r="M1289" i="1" s="1"/>
  <c r="L530" i="1"/>
  <c r="M530" i="1" s="1"/>
  <c r="L435" i="1"/>
  <c r="M435" i="1" s="1"/>
  <c r="L662" i="1"/>
  <c r="M662" i="1" s="1"/>
  <c r="L1054" i="1"/>
  <c r="M1054" i="1" s="1"/>
  <c r="L1185" i="1"/>
  <c r="M1185" i="1" s="1"/>
  <c r="L849" i="1"/>
  <c r="M849" i="1" s="1"/>
  <c r="L228" i="1"/>
  <c r="M228" i="1" s="1"/>
  <c r="L450" i="1"/>
  <c r="M450" i="1" s="1"/>
  <c r="L685" i="1"/>
  <c r="M685" i="1" s="1"/>
  <c r="L994" i="1"/>
  <c r="M994" i="1" s="1"/>
  <c r="L1142" i="1"/>
  <c r="M1142" i="1" s="1"/>
  <c r="L359" i="1"/>
  <c r="M359" i="1" s="1"/>
  <c r="L179" i="1"/>
  <c r="M179" i="1" s="1"/>
  <c r="L1111" i="1"/>
  <c r="M1111" i="1" s="1"/>
  <c r="L1399" i="1"/>
  <c r="M1399" i="1" s="1"/>
  <c r="L492" i="1"/>
  <c r="M492" i="1" s="1"/>
  <c r="L948" i="1"/>
  <c r="M948" i="1" s="1"/>
  <c r="L1034" i="1"/>
  <c r="M1034" i="1" s="1"/>
  <c r="L273" i="1"/>
  <c r="M273" i="1" s="1"/>
  <c r="L1262" i="1"/>
  <c r="M1262" i="1" s="1"/>
  <c r="L1384" i="1"/>
  <c r="M1384" i="1" s="1"/>
  <c r="L1488" i="1"/>
  <c r="M1488" i="1" s="1"/>
  <c r="L1499" i="1"/>
  <c r="M1499" i="1" s="1"/>
  <c r="L340" i="1"/>
  <c r="M340" i="1" s="1"/>
  <c r="L1131" i="1"/>
  <c r="M1131" i="1" s="1"/>
  <c r="L143" i="1"/>
  <c r="M143" i="1" s="1"/>
  <c r="L1606" i="1"/>
  <c r="M1606" i="1" s="1"/>
  <c r="L458" i="1"/>
  <c r="M458" i="1" s="1"/>
  <c r="L403" i="1"/>
  <c r="M403" i="1" s="1"/>
  <c r="L1284" i="1"/>
  <c r="M1284" i="1" s="1"/>
  <c r="L1463" i="1"/>
  <c r="M1463" i="1" s="1"/>
  <c r="L1390" i="1"/>
  <c r="M1390" i="1" s="1"/>
  <c r="L1059" i="1"/>
  <c r="M1059" i="1" s="1"/>
  <c r="L1356" i="1"/>
  <c r="M1356" i="1" s="1"/>
  <c r="L496" i="1"/>
  <c r="M496" i="1" s="1"/>
  <c r="L123" i="1"/>
  <c r="M123" i="1" s="1"/>
  <c r="L567" i="1"/>
  <c r="M567" i="1" s="1"/>
  <c r="L552" i="1"/>
  <c r="M552" i="1" s="1"/>
  <c r="L448" i="1"/>
  <c r="M448" i="1" s="1"/>
  <c r="L594" i="1"/>
  <c r="M594" i="1" s="1"/>
  <c r="L611" i="1"/>
  <c r="M611" i="1" s="1"/>
  <c r="L1550" i="1"/>
  <c r="M1550" i="1" s="1"/>
  <c r="L506" i="1"/>
  <c r="M506" i="1" s="1"/>
  <c r="L36" i="1"/>
  <c r="M36" i="1" s="1"/>
  <c r="L386" i="1"/>
  <c r="M386" i="1" s="1"/>
  <c r="L780" i="1"/>
  <c r="M780" i="1" s="1"/>
  <c r="L371" i="1"/>
  <c r="M371" i="1" s="1"/>
  <c r="L497" i="1"/>
  <c r="M497" i="1" s="1"/>
  <c r="L1944" i="1"/>
  <c r="M1944" i="1" s="1"/>
  <c r="L1364" i="1"/>
  <c r="M1364" i="1" s="1"/>
  <c r="L401" i="1"/>
  <c r="M401" i="1" s="1"/>
  <c r="L1529" i="1"/>
  <c r="M1529" i="1" s="1"/>
  <c r="L1138" i="1"/>
  <c r="M1138" i="1" s="1"/>
  <c r="L18" i="1"/>
  <c r="M18" i="1" s="1"/>
  <c r="L1846" i="1"/>
  <c r="M1846" i="1" s="1"/>
  <c r="L631" i="1"/>
  <c r="M631" i="1" s="1"/>
  <c r="L433" i="1"/>
  <c r="M433" i="1" s="1"/>
  <c r="L1060" i="1"/>
  <c r="M1060" i="1" s="1"/>
  <c r="L810" i="1"/>
  <c r="M810" i="1" s="1"/>
  <c r="L1807" i="1"/>
  <c r="M1807" i="1" s="1"/>
  <c r="L1922" i="1"/>
  <c r="M1922" i="1" s="1"/>
  <c r="L413" i="1"/>
  <c r="M413" i="1" s="1"/>
  <c r="L1680" i="1"/>
  <c r="M1680" i="1" s="1"/>
  <c r="L400" i="1"/>
  <c r="M400" i="1" s="1"/>
  <c r="L1695" i="1"/>
  <c r="M1695" i="1" s="1"/>
  <c r="L1629" i="1"/>
  <c r="M1629" i="1" s="1"/>
  <c r="L1640" i="1"/>
  <c r="M1640" i="1" s="1"/>
  <c r="L1542" i="1"/>
  <c r="M1542" i="1" s="1"/>
  <c r="L617" i="1"/>
  <c r="M617" i="1" s="1"/>
  <c r="L1118" i="1"/>
  <c r="M1118" i="1" s="1"/>
  <c r="L1022" i="1"/>
  <c r="M1022" i="1" s="1"/>
  <c r="L908" i="1"/>
  <c r="M908" i="1" s="1"/>
  <c r="L1800" i="1"/>
  <c r="M1800" i="1" s="1"/>
  <c r="L1770" i="1"/>
  <c r="M1770" i="1" s="1"/>
  <c r="L1476" i="1"/>
  <c r="M1476" i="1" s="1"/>
  <c r="L1827" i="1"/>
  <c r="M1827" i="1" s="1"/>
  <c r="L1697" i="1"/>
  <c r="M1697" i="1" s="1"/>
  <c r="L1196" i="1"/>
  <c r="M1196" i="1" s="1"/>
  <c r="L820" i="1"/>
  <c r="M820" i="1" s="1"/>
  <c r="L1981" i="1"/>
  <c r="M1981" i="1" s="1"/>
  <c r="L310" i="1"/>
  <c r="M310" i="1" s="1"/>
  <c r="L1609" i="1"/>
  <c r="M1609" i="1" s="1"/>
  <c r="L1653" i="1"/>
  <c r="M1653" i="1" s="1"/>
  <c r="L63" i="1"/>
  <c r="M63" i="1" s="1"/>
  <c r="L1461" i="1"/>
  <c r="M1461" i="1" s="1"/>
  <c r="L1136" i="1"/>
  <c r="M1136" i="1" s="1"/>
  <c r="L612" i="1"/>
  <c r="M612" i="1" s="1"/>
  <c r="L1124" i="1"/>
  <c r="M1124" i="1" s="1"/>
  <c r="L1163" i="1"/>
  <c r="M1163" i="1" s="1"/>
  <c r="L1887" i="1"/>
  <c r="M1887" i="1" s="1"/>
  <c r="L225" i="1"/>
  <c r="M225" i="1" s="1"/>
  <c r="L356" i="1"/>
  <c r="M356" i="1" s="1"/>
  <c r="L1824" i="1"/>
  <c r="M1824" i="1" s="1"/>
  <c r="L792" i="1"/>
  <c r="M792" i="1" s="1"/>
  <c r="L1703" i="1"/>
  <c r="M1703" i="1" s="1"/>
  <c r="L1043" i="1"/>
  <c r="M1043" i="1" s="1"/>
  <c r="L321" i="1"/>
  <c r="M321" i="1" s="1"/>
  <c r="L1575" i="1"/>
  <c r="M1575" i="1" s="1"/>
  <c r="L1321" i="1"/>
  <c r="M1321" i="1" s="1"/>
  <c r="L130" i="1"/>
  <c r="M130" i="1" s="1"/>
  <c r="L955" i="1"/>
  <c r="M955" i="1" s="1"/>
  <c r="L230" i="1"/>
  <c r="M230" i="1" s="1"/>
  <c r="L1863" i="1"/>
  <c r="M1863" i="1" s="1"/>
  <c r="L1492" i="1"/>
  <c r="M1492" i="1" s="1"/>
  <c r="L1682" i="1"/>
  <c r="M1682" i="1" s="1"/>
  <c r="L1669" i="1"/>
  <c r="M1669" i="1" s="1"/>
  <c r="L1952" i="1"/>
  <c r="M1952" i="1" s="1"/>
  <c r="L1482" i="1"/>
  <c r="M1482" i="1" s="1"/>
  <c r="L1964" i="1"/>
  <c r="M1964" i="1" s="1"/>
  <c r="L1976" i="1"/>
  <c r="M1976" i="1" s="1"/>
  <c r="L1485" i="1"/>
  <c r="M1485" i="1" s="1"/>
  <c r="L1978" i="1"/>
  <c r="M1978" i="1" s="1"/>
  <c r="L1925" i="1"/>
  <c r="M1925" i="1" s="1"/>
  <c r="L1037" i="1"/>
  <c r="M1037" i="1" s="1"/>
  <c r="L1972" i="1"/>
  <c r="M1972" i="1" s="1"/>
  <c r="L1068" i="1"/>
  <c r="M1068" i="1" s="1"/>
  <c r="L482" i="1"/>
  <c r="M482" i="1" s="1"/>
  <c r="L60" i="1"/>
  <c r="M60" i="1" s="1"/>
  <c r="L797" i="1"/>
  <c r="M797" i="1" s="1"/>
  <c r="L1428" i="1"/>
  <c r="M1428" i="1" s="1"/>
  <c r="L297" i="1"/>
  <c r="M297" i="1" s="1"/>
  <c r="L1747" i="1"/>
  <c r="M1747" i="1" s="1"/>
  <c r="L1578" i="1"/>
  <c r="M1578" i="1" s="1"/>
  <c r="L1484" i="1"/>
  <c r="M1484" i="1" s="1"/>
  <c r="L1210" i="1"/>
  <c r="M1210" i="1" s="1"/>
  <c r="L1077" i="1"/>
  <c r="M1077" i="1" s="1"/>
  <c r="L1453" i="1"/>
  <c r="M1453" i="1" s="1"/>
  <c r="L1414" i="1"/>
  <c r="M1414" i="1" s="1"/>
  <c r="L895" i="1"/>
  <c r="M895" i="1" s="1"/>
  <c r="L1400" i="1"/>
  <c r="M1400" i="1" s="1"/>
  <c r="L1437" i="1"/>
  <c r="M1437" i="1" s="1"/>
  <c r="L1580" i="1"/>
  <c r="M1580" i="1" s="1"/>
  <c r="L370" i="1"/>
  <c r="M370" i="1" s="1"/>
  <c r="L3" i="1"/>
  <c r="M3" i="1" s="1"/>
  <c r="L1204" i="1"/>
  <c r="M1204" i="1" s="1"/>
  <c r="L222" i="1"/>
  <c r="M222" i="1" s="1"/>
  <c r="L555" i="1"/>
  <c r="M555" i="1" s="1"/>
  <c r="L1211" i="1"/>
  <c r="M1211" i="1" s="1"/>
  <c r="L588" i="1"/>
  <c r="M588" i="1" s="1"/>
  <c r="L1858" i="1"/>
  <c r="M1858" i="1" s="1"/>
  <c r="L350" i="1"/>
  <c r="M350" i="1" s="1"/>
  <c r="L1438" i="1"/>
  <c r="M1438" i="1" s="1"/>
  <c r="L1232" i="1"/>
  <c r="M1232" i="1" s="1"/>
  <c r="L1502" i="1"/>
  <c r="M1502" i="1" s="1"/>
  <c r="L76" i="1"/>
  <c r="M76" i="1" s="1"/>
  <c r="L1231" i="1"/>
  <c r="M1231" i="1" s="1"/>
  <c r="L67" i="1"/>
  <c r="M67" i="1" s="1"/>
  <c r="L752" i="1"/>
  <c r="M752" i="1" s="1"/>
  <c r="L1647" i="1"/>
  <c r="M1647" i="1" s="1"/>
  <c r="L1530" i="1"/>
  <c r="M1530" i="1" s="1"/>
  <c r="L826" i="1"/>
  <c r="M826" i="1" s="1"/>
  <c r="L1292" i="1"/>
  <c r="M1292" i="1" s="1"/>
  <c r="L1713" i="1"/>
  <c r="M1713" i="1" s="1"/>
  <c r="L1367" i="1"/>
  <c r="M1367" i="1" s="1"/>
  <c r="L12" i="1"/>
  <c r="M12" i="1" s="1"/>
  <c r="L682" i="1"/>
  <c r="M682" i="1" s="1"/>
  <c r="L1579" i="1"/>
  <c r="M1579" i="1" s="1"/>
  <c r="L1164" i="1"/>
  <c r="M1164" i="1" s="1"/>
  <c r="L1442" i="1"/>
  <c r="M1442" i="1" s="1"/>
  <c r="L707" i="1"/>
  <c r="M707" i="1" s="1"/>
  <c r="L1619" i="1"/>
  <c r="M1619" i="1" s="1"/>
  <c r="L833" i="1"/>
  <c r="M833" i="1" s="1"/>
  <c r="L364" i="1"/>
  <c r="M364" i="1" s="1"/>
  <c r="L779" i="1"/>
  <c r="M779" i="1" s="1"/>
  <c r="L436" i="1"/>
  <c r="M436" i="1" s="1"/>
  <c r="L384" i="1"/>
  <c r="M384" i="1" s="1"/>
  <c r="L490" i="1"/>
  <c r="M490" i="1" s="1"/>
  <c r="L1960" i="1"/>
  <c r="M1960" i="1" s="1"/>
  <c r="L87" i="1"/>
  <c r="M87" i="1" s="1"/>
  <c r="L39" i="1"/>
  <c r="M39" i="1" s="1"/>
  <c r="L997" i="1"/>
  <c r="M997" i="1" s="1"/>
  <c r="L1443" i="1"/>
  <c r="M1443" i="1" s="1"/>
  <c r="L674" i="1"/>
  <c r="M674" i="1" s="1"/>
  <c r="L726" i="1"/>
  <c r="M726" i="1" s="1"/>
  <c r="L657" i="1"/>
  <c r="M657" i="1" s="1"/>
  <c r="L1052" i="1"/>
  <c r="M1052" i="1" s="1"/>
  <c r="L1894" i="1"/>
  <c r="M1894" i="1" s="1"/>
  <c r="L1465" i="1"/>
  <c r="M1465" i="1" s="1"/>
  <c r="L1512" i="1"/>
  <c r="M1512" i="1" s="1"/>
  <c r="L1368" i="1"/>
  <c r="M1368" i="1" s="1"/>
  <c r="L207" i="1"/>
  <c r="M207" i="1" s="1"/>
  <c r="L146" i="1"/>
  <c r="M146" i="1" s="1"/>
  <c r="L286" i="1"/>
  <c r="M286" i="1" s="1"/>
  <c r="L1504" i="1"/>
  <c r="M1504" i="1" s="1"/>
  <c r="L1700" i="1"/>
  <c r="M1700" i="1" s="1"/>
  <c r="L1886" i="1"/>
  <c r="M1886" i="1" s="1"/>
  <c r="L858" i="1"/>
  <c r="M858" i="1" s="1"/>
  <c r="L1573" i="1"/>
  <c r="M1573" i="1" s="1"/>
  <c r="L940" i="1"/>
  <c r="M940" i="1" s="1"/>
  <c r="L1693" i="1"/>
  <c r="M1693" i="1" s="1"/>
  <c r="L941" i="1"/>
  <c r="M941" i="1" s="1"/>
  <c r="L1918" i="1"/>
  <c r="M1918" i="1" s="1"/>
  <c r="L305" i="1"/>
  <c r="M305" i="1" s="1"/>
  <c r="L333" i="1"/>
  <c r="M333" i="1" s="1"/>
  <c r="L180" i="1"/>
  <c r="M180" i="1" s="1"/>
  <c r="L1434" i="1"/>
  <c r="M1434" i="1" s="1"/>
  <c r="L1355" i="1"/>
  <c r="M1355" i="1" s="1"/>
  <c r="L469" i="1"/>
  <c r="M469" i="1" s="1"/>
  <c r="L1999" i="1"/>
  <c r="M1999" i="1" s="1"/>
  <c r="L1897" i="1"/>
  <c r="M1897" i="1" s="1"/>
  <c r="L1592" i="1"/>
  <c r="M1592" i="1" s="1"/>
  <c r="L1842" i="1"/>
  <c r="M1842" i="1" s="1"/>
  <c r="L640" i="1"/>
  <c r="M640" i="1" s="1"/>
  <c r="L1569" i="1"/>
  <c r="M1569" i="1" s="1"/>
  <c r="L418" i="1"/>
  <c r="M418" i="1" s="1"/>
  <c r="L1116" i="1"/>
  <c r="M1116" i="1" s="1"/>
  <c r="L1911" i="1"/>
  <c r="M1911" i="1" s="1"/>
  <c r="L1848" i="1"/>
  <c r="M1848" i="1" s="1"/>
  <c r="L1792" i="1"/>
  <c r="M1792" i="1" s="1"/>
  <c r="L285" i="1"/>
  <c r="M285" i="1" s="1"/>
  <c r="L658" i="1"/>
  <c r="M658" i="1" s="1"/>
  <c r="L534" i="1"/>
  <c r="M534" i="1" s="1"/>
  <c r="L59" i="1"/>
  <c r="M59" i="1" s="1"/>
  <c r="L870" i="1"/>
  <c r="M870" i="1" s="1"/>
  <c r="L1958" i="1"/>
  <c r="M1958" i="1" s="1"/>
  <c r="L947" i="1"/>
  <c r="M947" i="1" s="1"/>
  <c r="L1559" i="1"/>
  <c r="M1559" i="1" s="1"/>
  <c r="L710" i="1"/>
  <c r="M710" i="1" s="1"/>
  <c r="L1781" i="1"/>
  <c r="M1781" i="1" s="1"/>
  <c r="L257" i="1"/>
  <c r="M257" i="1" s="1"/>
  <c r="L1548" i="1"/>
  <c r="M1548" i="1" s="1"/>
  <c r="L1699" i="1"/>
  <c r="M1699" i="1" s="1"/>
  <c r="L1479" i="1"/>
  <c r="M1479" i="1" s="1"/>
  <c r="L1636" i="1"/>
  <c r="M1636" i="1" s="1"/>
  <c r="L1257" i="1"/>
  <c r="M1257" i="1" s="1"/>
  <c r="L1143" i="1"/>
  <c r="M1143" i="1" s="1"/>
  <c r="L1170" i="1"/>
  <c r="M1170" i="1" s="1"/>
  <c r="L687" i="1"/>
  <c r="M687" i="1" s="1"/>
  <c r="L55" i="1"/>
  <c r="M55" i="1" s="1"/>
  <c r="L1508" i="1"/>
  <c r="M1508" i="1" s="1"/>
  <c r="L1664" i="1"/>
  <c r="M1664" i="1" s="1"/>
  <c r="L1025" i="1"/>
  <c r="M1025" i="1" s="1"/>
  <c r="L1540" i="1"/>
  <c r="M1540" i="1" s="1"/>
  <c r="L1633" i="1"/>
  <c r="M1633" i="1" s="1"/>
  <c r="L1983" i="1"/>
  <c r="M1983" i="1" s="1"/>
  <c r="L1940" i="1"/>
  <c r="M1940" i="1" s="1"/>
  <c r="L1841" i="1"/>
  <c r="M1841" i="1" s="1"/>
  <c r="L1998" i="1"/>
  <c r="M1998" i="1" s="1"/>
  <c r="L714" i="1"/>
  <c r="M714" i="1" s="1"/>
  <c r="L1631" i="1"/>
  <c r="M1631" i="1" s="1"/>
  <c r="L1176" i="1"/>
  <c r="M1176" i="1" s="1"/>
  <c r="L409" i="1"/>
  <c r="M409" i="1" s="1"/>
  <c r="L811" i="1"/>
  <c r="M811" i="1" s="1"/>
  <c r="L1691" i="1"/>
  <c r="M1691" i="1" s="1"/>
  <c r="L634" i="1"/>
  <c r="M634" i="1" s="1"/>
  <c r="L1701" i="1"/>
  <c r="M1701" i="1" s="1"/>
  <c r="L1791" i="1"/>
  <c r="M1791" i="1" s="1"/>
  <c r="L959" i="1"/>
  <c r="M959" i="1" s="1"/>
  <c r="L768" i="1"/>
  <c r="M768" i="1" s="1"/>
  <c r="L818" i="1"/>
  <c r="M818" i="1" s="1"/>
  <c r="L737" i="1"/>
  <c r="M737" i="1" s="1"/>
  <c r="L606" i="1"/>
  <c r="M606" i="1" s="1"/>
  <c r="L1281" i="1"/>
  <c r="M1281" i="1" s="1"/>
  <c r="L1166" i="1"/>
  <c r="M1166" i="1" s="1"/>
  <c r="L127" i="1"/>
  <c r="M127" i="1" s="1"/>
  <c r="L919" i="1"/>
  <c r="M919" i="1" s="1"/>
  <c r="L1679" i="1"/>
  <c r="M1679" i="1" s="1"/>
  <c r="L1274" i="1"/>
  <c r="M1274" i="1" s="1"/>
  <c r="L532" i="1"/>
  <c r="M532" i="1" s="1"/>
  <c r="L608" i="1"/>
  <c r="M608" i="1" s="1"/>
  <c r="L475" i="1"/>
  <c r="M475" i="1" s="1"/>
  <c r="L1745" i="1"/>
  <c r="M1745" i="1" s="1"/>
  <c r="L698" i="1"/>
  <c r="M698" i="1" s="1"/>
  <c r="L877" i="1"/>
  <c r="M877" i="1" s="1"/>
  <c r="L351" i="1"/>
  <c r="M351" i="1" s="1"/>
  <c r="L37" i="1"/>
  <c r="M37" i="1" s="1"/>
  <c r="L537" i="1"/>
  <c r="M537" i="1" s="1"/>
  <c r="L1418" i="1"/>
  <c r="M1418" i="1" s="1"/>
  <c r="L119" i="1"/>
  <c r="M119" i="1" s="1"/>
  <c r="L1021" i="1"/>
  <c r="M1021" i="1" s="1"/>
  <c r="L312" i="1"/>
  <c r="M312" i="1" s="1"/>
  <c r="L1909" i="1"/>
  <c r="M1909" i="1" s="1"/>
  <c r="L1258" i="1"/>
  <c r="M1258" i="1" s="1"/>
  <c r="L77" i="1"/>
  <c r="M77" i="1" s="1"/>
  <c r="L787" i="1"/>
  <c r="M787" i="1" s="1"/>
  <c r="L1870" i="1"/>
  <c r="M1870" i="1" s="1"/>
  <c r="L672" i="1"/>
  <c r="M672" i="1" s="1"/>
  <c r="L939" i="1"/>
  <c r="M939" i="1" s="1"/>
  <c r="L483" i="1"/>
  <c r="M483" i="1" s="1"/>
  <c r="L298" i="1"/>
  <c r="M298" i="1" s="1"/>
  <c r="L998" i="1"/>
  <c r="M998" i="1" s="1"/>
  <c r="L192" i="1"/>
  <c r="M192" i="1" s="1"/>
  <c r="L1467" i="1"/>
  <c r="M1467" i="1" s="1"/>
  <c r="L385" i="1"/>
  <c r="M385" i="1" s="1"/>
  <c r="L521" i="1"/>
  <c r="M521" i="1" s="1"/>
  <c r="L857" i="1"/>
  <c r="M857" i="1" s="1"/>
  <c r="L2" i="1"/>
  <c r="M2" i="1" s="1"/>
  <c r="L958" i="1"/>
  <c r="M958" i="1" s="1"/>
  <c r="L1103" i="1"/>
  <c r="M1103" i="1" s="1"/>
  <c r="L1147" i="1"/>
  <c r="M1147" i="1" s="1"/>
  <c r="L174" i="1"/>
  <c r="M174" i="1" s="1"/>
  <c r="L308" i="1"/>
  <c r="M308" i="1" s="1"/>
  <c r="L320" i="1"/>
  <c r="M320" i="1" s="1"/>
  <c r="L362" i="1"/>
  <c r="M362" i="1" s="1"/>
  <c r="L1455" i="1"/>
  <c r="M1455" i="1" s="1"/>
  <c r="L1386" i="1"/>
  <c r="M1386" i="1" s="1"/>
  <c r="L763" i="1"/>
  <c r="M763" i="1" s="1"/>
  <c r="L480" i="1"/>
  <c r="M480" i="1" s="1"/>
  <c r="L1371" i="1"/>
  <c r="M1371" i="1" s="1"/>
  <c r="L100" i="1"/>
  <c r="M100" i="1" s="1"/>
  <c r="L654" i="1"/>
  <c r="M654" i="1" s="1"/>
  <c r="L700" i="1"/>
  <c r="M700" i="1" s="1"/>
  <c r="L189" i="1"/>
  <c r="M189" i="1" s="1"/>
  <c r="L1847" i="1"/>
  <c r="M1847" i="1" s="1"/>
  <c r="L931" i="1"/>
  <c r="M931" i="1" s="1"/>
  <c r="L444" i="1"/>
  <c r="M444" i="1" s="1"/>
  <c r="L1141" i="1"/>
  <c r="M1141" i="1" s="1"/>
  <c r="L1974" i="1"/>
  <c r="M1974" i="1" s="1"/>
  <c r="L472" i="1"/>
  <c r="M472" i="1" s="1"/>
  <c r="L1412" i="1"/>
  <c r="M1412" i="1" s="1"/>
  <c r="L1348" i="1"/>
  <c r="M1348" i="1" s="1"/>
  <c r="L1935" i="1"/>
  <c r="M1935" i="1" s="1"/>
  <c r="L1436" i="1"/>
  <c r="M1436" i="1" s="1"/>
  <c r="L553" i="1"/>
  <c r="M553" i="1" s="1"/>
  <c r="L573" i="1"/>
  <c r="M573" i="1" s="1"/>
  <c r="L72" i="1"/>
  <c r="M72" i="1" s="1"/>
  <c r="L1839" i="1"/>
  <c r="M1839" i="1" s="1"/>
  <c r="L856" i="1"/>
  <c r="M856" i="1" s="1"/>
  <c r="L549" i="1"/>
  <c r="M549" i="1" s="1"/>
  <c r="L1715" i="1"/>
  <c r="M1715" i="1" s="1"/>
  <c r="L1505" i="1"/>
  <c r="M1505" i="1" s="1"/>
  <c r="L1379" i="1"/>
  <c r="M1379" i="1" s="1"/>
  <c r="L1408" i="1"/>
  <c r="M1408" i="1" s="1"/>
  <c r="L1360" i="1"/>
  <c r="M1360" i="1" s="1"/>
  <c r="L454" i="1"/>
  <c r="M454" i="1" s="1"/>
  <c r="L1659" i="1"/>
  <c r="M1659" i="1" s="1"/>
  <c r="L1735" i="1"/>
  <c r="M1735" i="1" s="1"/>
  <c r="L1776" i="1"/>
  <c r="M1776" i="1" s="1"/>
  <c r="L1041" i="1"/>
  <c r="M1041" i="1" s="1"/>
  <c r="L1731" i="1"/>
  <c r="M1731" i="1" s="1"/>
  <c r="L1855" i="1"/>
  <c r="M1855" i="1" s="1"/>
  <c r="L1658" i="1"/>
  <c r="M1658" i="1" s="1"/>
  <c r="L1477" i="1"/>
  <c r="M1477" i="1" s="1"/>
  <c r="L1991" i="1"/>
  <c r="M1991" i="1" s="1"/>
  <c r="L1521" i="1"/>
  <c r="M1521" i="1" s="1"/>
  <c r="L1567" i="1"/>
  <c r="M1567" i="1" s="1"/>
  <c r="L1304" i="1"/>
  <c r="M1304" i="1" s="1"/>
  <c r="L1446" i="1"/>
  <c r="M1446" i="1" s="1"/>
  <c r="L953" i="1"/>
  <c r="M953" i="1" s="1"/>
  <c r="L764" i="1"/>
  <c r="M764" i="1" s="1"/>
  <c r="L1581" i="1"/>
  <c r="M1581" i="1" s="1"/>
  <c r="L1951" i="1"/>
  <c r="M1951" i="1" s="1"/>
  <c r="L1762" i="1"/>
  <c r="M1762" i="1" s="1"/>
  <c r="L1173" i="1"/>
  <c r="M1173" i="1" s="1"/>
  <c r="L1744" i="1"/>
  <c r="M1744" i="1" s="1"/>
  <c r="L628" i="1"/>
  <c r="M628" i="1" s="1"/>
  <c r="L1452" i="1"/>
  <c r="M1452" i="1" s="1"/>
  <c r="L842" i="1"/>
  <c r="M842" i="1" s="1"/>
  <c r="L165" i="1"/>
  <c r="M165" i="1" s="1"/>
  <c r="L369" i="1"/>
  <c r="M369" i="1" s="1"/>
  <c r="L434" i="1"/>
  <c r="M434" i="1" s="1"/>
  <c r="L1071" i="1"/>
  <c r="M1071" i="1" s="1"/>
  <c r="L262" i="1"/>
  <c r="M262" i="1" s="1"/>
  <c r="L1756" i="1"/>
  <c r="M1756" i="1" s="1"/>
  <c r="L922" i="1"/>
  <c r="M922" i="1" s="1"/>
  <c r="L1405" i="1"/>
  <c r="M1405" i="1" s="1"/>
  <c r="L501" i="1"/>
  <c r="M501" i="1" s="1"/>
  <c r="L1733" i="1"/>
  <c r="M1733" i="1" s="1"/>
  <c r="L1373" i="1"/>
  <c r="M1373" i="1" s="1"/>
  <c r="L562" i="1"/>
  <c r="M562" i="1" s="1"/>
  <c r="L1496" i="1"/>
  <c r="M1496" i="1" s="1"/>
  <c r="L1148" i="1"/>
  <c r="M1148" i="1" s="1"/>
  <c r="L1441" i="1"/>
  <c r="M1441" i="1" s="1"/>
  <c r="L1236" i="1"/>
  <c r="M1236" i="1" s="1"/>
  <c r="L1866" i="1"/>
  <c r="M1866" i="1" s="1"/>
  <c r="L1774" i="1"/>
  <c r="M1774" i="1" s="1"/>
  <c r="L1854" i="1"/>
  <c r="M1854" i="1" s="1"/>
  <c r="L1602" i="1"/>
  <c r="M1602" i="1" s="1"/>
  <c r="L80" i="1"/>
  <c r="M80" i="1" s="1"/>
  <c r="L1335" i="1"/>
  <c r="M1335" i="1" s="1"/>
  <c r="L746" i="1"/>
  <c r="M746" i="1" s="1"/>
  <c r="L505" i="1"/>
  <c r="M505" i="1" s="1"/>
  <c r="L993" i="1"/>
  <c r="M993" i="1" s="1"/>
  <c r="L1576" i="1"/>
  <c r="M1576" i="1" s="1"/>
  <c r="L397" i="1"/>
  <c r="M397" i="1" s="1"/>
  <c r="L269" i="1"/>
  <c r="M269" i="1" s="1"/>
  <c r="L58" i="1"/>
  <c r="M58" i="1" s="1"/>
  <c r="L73" i="1"/>
  <c r="M73" i="1" s="1"/>
  <c r="L583" i="1"/>
  <c r="M583" i="1" s="1"/>
  <c r="L1158" i="1"/>
  <c r="M1158" i="1" s="1"/>
  <c r="L515" i="1"/>
  <c r="M515" i="1" s="1"/>
  <c r="L1096" i="1"/>
  <c r="M1096" i="1" s="1"/>
  <c r="L1313" i="1"/>
  <c r="M1313" i="1" s="1"/>
  <c r="L1338" i="1"/>
  <c r="M1338" i="1" s="1"/>
  <c r="L679" i="1"/>
  <c r="M679" i="1" s="1"/>
  <c r="L182" i="1"/>
  <c r="M182" i="1" s="1"/>
  <c r="L212" i="1"/>
  <c r="M212" i="1" s="1"/>
  <c r="L776" i="1"/>
  <c r="M776" i="1" s="1"/>
  <c r="L1864" i="1"/>
  <c r="M1864" i="1" s="1"/>
  <c r="L1875" i="1"/>
  <c r="M1875" i="1" s="1"/>
  <c r="L884" i="1"/>
  <c r="M884" i="1" s="1"/>
  <c r="L432" i="1"/>
  <c r="M432" i="1" s="1"/>
  <c r="L1755" i="1"/>
  <c r="M1755" i="1" s="1"/>
  <c r="L1097" i="1"/>
  <c r="M1097" i="1" s="1"/>
  <c r="L92" i="1"/>
  <c r="M92" i="1" s="1"/>
  <c r="L331" i="1"/>
  <c r="M331" i="1" s="1"/>
  <c r="L543" i="1"/>
  <c r="M543" i="1" s="1"/>
  <c r="L1265" i="1"/>
  <c r="M1265" i="1" s="1"/>
  <c r="L860" i="1"/>
  <c r="M860" i="1" s="1"/>
  <c r="L907" i="1"/>
  <c r="M907" i="1" s="1"/>
  <c r="L1526" i="1"/>
  <c r="M1526" i="1" s="1"/>
  <c r="L276" i="1"/>
  <c r="M276" i="1" s="1"/>
  <c r="L1804" i="1"/>
  <c r="M1804" i="1" s="1"/>
  <c r="L133" i="1"/>
  <c r="M133" i="1" s="1"/>
  <c r="L423" i="1"/>
  <c r="M423" i="1" s="1"/>
  <c r="L1884" i="1"/>
  <c r="M1884" i="1" s="1"/>
  <c r="L1016" i="1"/>
  <c r="M1016" i="1" s="1"/>
  <c r="L888" i="1"/>
  <c r="M888" i="1" s="1"/>
  <c r="L730" i="1"/>
  <c r="M730" i="1" s="1"/>
  <c r="L988" i="1"/>
  <c r="M988" i="1" s="1"/>
  <c r="L1961" i="1"/>
  <c r="M1961" i="1" s="1"/>
  <c r="L1089" i="1"/>
  <c r="M1089" i="1" s="1"/>
  <c r="L303" i="1"/>
  <c r="M303" i="1" s="1"/>
  <c r="L1641" i="1"/>
  <c r="M1641" i="1" s="1"/>
  <c r="L645" i="1"/>
  <c r="M645" i="1" s="1"/>
  <c r="L815" i="1"/>
  <c r="M815" i="1" s="1"/>
  <c r="L1216" i="1"/>
  <c r="M1216" i="1" s="1"/>
  <c r="L1333" i="1"/>
  <c r="M1333" i="1" s="1"/>
  <c r="L793" i="1"/>
  <c r="M793" i="1" s="1"/>
  <c r="L732" i="1"/>
  <c r="M732" i="1" s="1"/>
  <c r="L1249" i="1"/>
  <c r="M1249" i="1" s="1"/>
  <c r="L879" i="1"/>
  <c r="M879" i="1" s="1"/>
  <c r="L57" i="1"/>
  <c r="M57" i="1" s="1"/>
  <c r="L828" i="1"/>
  <c r="M828" i="1" s="1"/>
  <c r="L240" i="1"/>
  <c r="M240" i="1" s="1"/>
  <c r="L571" i="1"/>
  <c r="M571" i="1" s="1"/>
  <c r="L511" i="1"/>
  <c r="M511" i="1" s="1"/>
  <c r="L526" i="1"/>
  <c r="M526" i="1" s="1"/>
  <c r="L344" i="1"/>
  <c r="M344" i="1" s="1"/>
  <c r="L6" i="1"/>
  <c r="M6" i="1" s="1"/>
  <c r="L1112" i="1"/>
  <c r="M1112" i="1" s="1"/>
  <c r="L514" i="1"/>
  <c r="M514" i="1" s="1"/>
  <c r="L1005" i="1"/>
  <c r="M1005" i="1" s="1"/>
  <c r="L867" i="1"/>
  <c r="M867" i="1" s="1"/>
  <c r="L680" i="1"/>
  <c r="M680" i="1" s="1"/>
  <c r="L1208" i="1"/>
  <c r="M1208" i="1" s="1"/>
  <c r="L27" i="1"/>
  <c r="M27" i="1" s="1"/>
  <c r="L144" i="1"/>
  <c r="M144" i="1" s="1"/>
  <c r="L1375" i="1"/>
  <c r="M1375" i="1" s="1"/>
  <c r="L263" i="1"/>
  <c r="M263" i="1" s="1"/>
  <c r="L518" i="1"/>
  <c r="M518" i="1" s="1"/>
  <c r="L325" i="1"/>
  <c r="M325" i="1" s="1"/>
  <c r="L52" i="1"/>
  <c r="M52" i="1" s="1"/>
  <c r="L1046" i="1"/>
  <c r="M1046" i="1" s="1"/>
  <c r="L1435" i="1"/>
  <c r="M1435" i="1" s="1"/>
  <c r="L589" i="1"/>
  <c r="M589" i="1" s="1"/>
  <c r="L26" i="1"/>
  <c r="M26" i="1" s="1"/>
  <c r="L800" i="1"/>
  <c r="M800" i="1" s="1"/>
  <c r="L1970" i="1"/>
  <c r="M1970" i="1" s="1"/>
  <c r="L374" i="1"/>
  <c r="M374" i="1" s="1"/>
  <c r="L1495" i="1"/>
  <c r="M1495" i="1" s="1"/>
  <c r="L604" i="1"/>
  <c r="M604" i="1" s="1"/>
  <c r="L766" i="1"/>
  <c r="M766" i="1" s="1"/>
  <c r="L14" i="1"/>
  <c r="M14" i="1" s="1"/>
  <c r="L49" i="1"/>
  <c r="M49" i="1" s="1"/>
  <c r="L282" i="1"/>
  <c r="M282" i="1" s="1"/>
  <c r="L598" i="1"/>
  <c r="M598" i="1" s="1"/>
  <c r="L601" i="1"/>
  <c r="M601" i="1" s="1"/>
  <c r="L1392" i="1"/>
  <c r="M1392" i="1" s="1"/>
  <c r="L862" i="1"/>
  <c r="M862" i="1" s="1"/>
  <c r="L118" i="1"/>
  <c r="M118" i="1" s="1"/>
  <c r="L329" i="1"/>
  <c r="M329" i="1" s="1"/>
  <c r="L1302" i="1"/>
  <c r="M1302" i="1" s="1"/>
  <c r="L1115" i="1"/>
  <c r="M1115" i="1" s="1"/>
  <c r="L61" i="1"/>
  <c r="M61" i="1" s="1"/>
  <c r="L129" i="1"/>
  <c r="M129" i="1" s="1"/>
  <c r="L427" i="1"/>
  <c r="M427" i="1" s="1"/>
  <c r="L802" i="1"/>
  <c r="M802" i="1" s="1"/>
  <c r="L893" i="1"/>
  <c r="M893" i="1" s="1"/>
  <c r="L678" i="1"/>
  <c r="M678" i="1" s="1"/>
  <c r="L981" i="1"/>
  <c r="M981" i="1" s="1"/>
  <c r="L1454" i="1"/>
  <c r="M1454" i="1" s="1"/>
  <c r="L90" i="1"/>
  <c r="M90" i="1" s="1"/>
  <c r="L1078" i="1"/>
  <c r="M1078" i="1" s="1"/>
  <c r="L957" i="1"/>
  <c r="M957" i="1" s="1"/>
  <c r="L1953" i="1"/>
  <c r="M1953" i="1" s="1"/>
  <c r="L1738" i="1"/>
  <c r="M1738" i="1" s="1"/>
  <c r="L557" i="1"/>
  <c r="M557" i="1" s="1"/>
  <c r="L302" i="1"/>
  <c r="M302" i="1" s="1"/>
  <c r="L131" i="1"/>
  <c r="M131" i="1" s="1"/>
  <c r="L1566" i="1"/>
  <c r="M1566" i="1" s="1"/>
  <c r="L960" i="1"/>
  <c r="M960" i="1" s="1"/>
  <c r="L1637" i="1"/>
  <c r="M1637" i="1" s="1"/>
  <c r="L1178" i="1"/>
  <c r="M1178" i="1" s="1"/>
  <c r="L1303" i="1"/>
  <c r="M1303" i="1" s="1"/>
  <c r="L1073" i="1"/>
  <c r="M1073" i="1" s="1"/>
  <c r="L979" i="1"/>
  <c r="M979" i="1" s="1"/>
  <c r="L734" i="1"/>
  <c r="M734" i="1" s="1"/>
  <c r="L1157" i="1"/>
  <c r="M1157" i="1" s="1"/>
  <c r="L527" i="1"/>
  <c r="M527" i="1" s="1"/>
  <c r="L56" i="1"/>
  <c r="M56" i="1" s="1"/>
  <c r="L846" i="1"/>
  <c r="M846" i="1" s="1"/>
  <c r="L1979" i="1"/>
  <c r="M1979" i="1" s="1"/>
  <c r="L755" i="1"/>
  <c r="M755" i="1" s="1"/>
  <c r="L616" i="1"/>
  <c r="M616" i="1" s="1"/>
  <c r="L1310" i="1"/>
  <c r="M1310" i="1" s="1"/>
  <c r="L1494" i="1"/>
  <c r="M1494" i="1" s="1"/>
  <c r="L925" i="1"/>
  <c r="M925" i="1" s="1"/>
  <c r="L1410" i="1"/>
  <c r="M1410" i="1" s="1"/>
  <c r="L1200" i="1"/>
  <c r="M1200" i="1" s="1"/>
  <c r="L1447" i="1"/>
  <c r="M1447" i="1" s="1"/>
  <c r="L1687" i="1"/>
  <c r="M1687" i="1" s="1"/>
  <c r="L803" i="1"/>
  <c r="M803" i="1" s="1"/>
  <c r="L992" i="1"/>
  <c r="M992" i="1" s="1"/>
  <c r="L559" i="1"/>
  <c r="M559" i="1" s="1"/>
  <c r="L703" i="1"/>
  <c r="M703" i="1" s="1"/>
  <c r="L1423" i="1"/>
  <c r="M1423" i="1" s="1"/>
  <c r="L550" i="1"/>
  <c r="M550" i="1" s="1"/>
  <c r="L587" i="1"/>
  <c r="M587" i="1" s="1"/>
  <c r="L38" i="1"/>
  <c r="M38" i="1" s="1"/>
  <c r="L75" i="1"/>
  <c r="M75" i="1" s="1"/>
  <c r="L379" i="1"/>
  <c r="M379" i="1" s="1"/>
  <c r="L823" i="1"/>
  <c r="M823" i="1" s="1"/>
  <c r="L141" i="1"/>
  <c r="M141" i="1" s="1"/>
  <c r="L1000" i="1"/>
  <c r="M1000" i="1" s="1"/>
  <c r="L307" i="1"/>
  <c r="M307" i="1" s="1"/>
  <c r="L868" i="1"/>
  <c r="M868" i="1" s="1"/>
  <c r="L419" i="1"/>
  <c r="M419" i="1" s="1"/>
  <c r="L1038" i="1"/>
  <c r="M1038" i="1" s="1"/>
  <c r="L578" i="1"/>
  <c r="M578" i="1" s="1"/>
  <c r="L488" i="1"/>
  <c r="M488" i="1" s="1"/>
  <c r="L762" i="1"/>
  <c r="M762" i="1" s="1"/>
  <c r="L963" i="1"/>
  <c r="M963" i="1" s="1"/>
  <c r="L398" i="1"/>
  <c r="M398" i="1" s="1"/>
  <c r="L813" i="1"/>
  <c r="M813" i="1" s="1"/>
  <c r="L788" i="1"/>
  <c r="M788" i="1" s="1"/>
  <c r="L1102" i="1"/>
  <c r="M1102" i="1" s="1"/>
  <c r="L107" i="1"/>
  <c r="M107" i="1" s="1"/>
  <c r="L114" i="1"/>
  <c r="M114" i="1" s="1"/>
  <c r="L547" i="1"/>
  <c r="M547" i="1" s="1"/>
  <c r="L967" i="1"/>
  <c r="M967" i="1" s="1"/>
  <c r="L35" i="1"/>
  <c r="M35" i="1" s="1"/>
  <c r="L917" i="1"/>
  <c r="M917" i="1" s="1"/>
  <c r="L243" i="1"/>
  <c r="M243" i="1" s="1"/>
  <c r="L1169" i="1"/>
  <c r="M1169" i="1" s="1"/>
  <c r="L783" i="1"/>
  <c r="M783" i="1" s="1"/>
  <c r="L266" i="1"/>
  <c r="M266" i="1" s="1"/>
  <c r="L614" i="1"/>
  <c r="M614" i="1" s="1"/>
  <c r="L819" i="1"/>
  <c r="M819" i="1" s="1"/>
  <c r="L904" i="1"/>
  <c r="M904" i="1" s="1"/>
  <c r="L881" i="1"/>
  <c r="M881" i="1" s="1"/>
  <c r="L334" i="1"/>
  <c r="M334" i="1" s="1"/>
  <c r="L1153" i="1"/>
  <c r="M1153" i="1" s="1"/>
  <c r="L847" i="1"/>
  <c r="M847" i="1" s="1"/>
  <c r="L595" i="1"/>
  <c r="M595" i="1" s="1"/>
  <c r="L335" i="1"/>
  <c r="M335" i="1" s="1"/>
  <c r="L83" i="1"/>
  <c r="M83" i="1" s="1"/>
  <c r="L712" i="1"/>
  <c r="M712" i="1" s="1"/>
  <c r="L214" i="1"/>
  <c r="M214" i="1" s="1"/>
  <c r="L791" i="1"/>
  <c r="M791" i="1" s="1"/>
  <c r="L456" i="1"/>
  <c r="M456" i="1" s="1"/>
  <c r="L382" i="1"/>
  <c r="M382" i="1" s="1"/>
  <c r="L575" i="1"/>
  <c r="M575" i="1" s="1"/>
  <c r="L1285" i="1"/>
  <c r="M1285" i="1" s="1"/>
  <c r="L342" i="1"/>
  <c r="M342" i="1" s="1"/>
  <c r="L1120" i="1"/>
  <c r="M1120" i="1" s="1"/>
  <c r="L188" i="1"/>
  <c r="M188" i="1" s="1"/>
  <c r="L32" i="1"/>
  <c r="M32" i="1" s="1"/>
  <c r="L1311" i="1"/>
  <c r="M1311" i="1" s="1"/>
  <c r="L151" i="1"/>
  <c r="M151" i="1" s="1"/>
  <c r="L681" i="1"/>
  <c r="M681" i="1" s="1"/>
  <c r="L54" i="1"/>
  <c r="M54" i="1" s="1"/>
  <c r="L1246" i="1"/>
  <c r="M1246" i="1" s="1"/>
  <c r="L1296" i="1"/>
  <c r="M1296" i="1" s="1"/>
  <c r="L1547" i="1"/>
  <c r="M1547" i="1" s="1"/>
  <c r="L1276" i="1"/>
  <c r="M1276" i="1" s="1"/>
  <c r="L1197" i="1"/>
  <c r="M1197" i="1" s="1"/>
  <c r="L306" i="1"/>
  <c r="M306" i="1" s="1"/>
  <c r="L82" i="1"/>
  <c r="M82" i="1" s="1"/>
  <c r="L218" i="1"/>
  <c r="M218" i="1" s="1"/>
  <c r="L426" i="1"/>
  <c r="M426" i="1" s="1"/>
  <c r="L187" i="1"/>
  <c r="M187" i="1" s="1"/>
  <c r="L1287" i="1"/>
  <c r="M1287" i="1" s="1"/>
  <c r="L1577" i="1"/>
  <c r="M1577" i="1" s="1"/>
  <c r="L430" i="1"/>
  <c r="M430" i="1" s="1"/>
  <c r="L272" i="1"/>
  <c r="M272" i="1" s="1"/>
  <c r="L332" i="1"/>
  <c r="M332" i="1" s="1"/>
  <c r="L1448" i="1"/>
  <c r="M1448" i="1" s="1"/>
  <c r="L1121" i="1"/>
  <c r="M1121" i="1" s="1"/>
  <c r="L484" i="1"/>
  <c r="M484" i="1" s="1"/>
  <c r="L71" i="1"/>
  <c r="M71" i="1" s="1"/>
  <c r="L1914" i="1"/>
  <c r="M1914" i="1" s="1"/>
  <c r="L1272" i="1"/>
  <c r="M1272" i="1" s="1"/>
  <c r="L903" i="1"/>
  <c r="M903" i="1" s="1"/>
  <c r="L1795" i="1"/>
  <c r="M1795" i="1" s="1"/>
  <c r="L646" i="1"/>
  <c r="M646" i="1" s="1"/>
  <c r="L809" i="1"/>
  <c r="M809" i="1" s="1"/>
  <c r="L173" i="1"/>
  <c r="M173" i="1" s="1"/>
  <c r="L591" i="1"/>
  <c r="M591" i="1" s="1"/>
  <c r="L930" i="1"/>
  <c r="M930" i="1" s="1"/>
  <c r="L339" i="1"/>
  <c r="M339" i="1" s="1"/>
  <c r="L1877" i="1"/>
  <c r="M1877" i="1" s="1"/>
  <c r="L962" i="1"/>
  <c r="M962" i="1" s="1"/>
  <c r="L814" i="1"/>
  <c r="M814" i="1" s="1"/>
  <c r="L1654" i="1"/>
  <c r="M1654" i="1" s="1"/>
  <c r="L1362" i="1"/>
  <c r="M1362" i="1" s="1"/>
  <c r="L775" i="1"/>
  <c r="M775" i="1" s="1"/>
  <c r="L1419" i="1"/>
  <c r="M1419" i="1" s="1"/>
  <c r="L1254" i="1"/>
  <c r="M1254" i="1" s="1"/>
  <c r="L1413" i="1"/>
  <c r="M1413" i="1" s="1"/>
  <c r="L1881" i="1"/>
  <c r="M1881" i="1" s="1"/>
  <c r="L661" i="1"/>
  <c r="M661" i="1" s="1"/>
  <c r="L873" i="1"/>
  <c r="M873" i="1" s="1"/>
  <c r="L574" i="1"/>
  <c r="M574" i="1" s="1"/>
  <c r="L255" i="1"/>
  <c r="M255" i="1" s="1"/>
  <c r="L126" i="1"/>
  <c r="M126" i="1" s="1"/>
  <c r="L718" i="1"/>
  <c r="M718" i="1" s="1"/>
  <c r="L675" i="1"/>
  <c r="M675" i="1" s="1"/>
  <c r="L121" i="1"/>
  <c r="M121" i="1" s="1"/>
  <c r="L253" i="1"/>
  <c r="M253" i="1" s="1"/>
  <c r="L1815" i="1"/>
  <c r="M1815" i="1" s="1"/>
  <c r="L845" i="1"/>
  <c r="M845" i="1" s="1"/>
  <c r="L410" i="1"/>
  <c r="M410" i="1" s="1"/>
  <c r="L1649" i="1"/>
  <c r="M1649" i="1" s="1"/>
  <c r="L816" i="1"/>
  <c r="M816" i="1" s="1"/>
  <c r="L1003" i="1"/>
  <c r="M1003" i="1" s="1"/>
  <c r="L1462" i="1"/>
  <c r="M1462" i="1" s="1"/>
  <c r="L913" i="1"/>
  <c r="M913" i="1" s="1"/>
  <c r="L378" i="1"/>
  <c r="M378" i="1" s="1"/>
  <c r="L1834" i="1"/>
  <c r="M1834" i="1" s="1"/>
  <c r="L1947" i="1"/>
  <c r="M1947" i="1" s="1"/>
  <c r="L341" i="1"/>
  <c r="M341" i="1" s="1"/>
  <c r="L990" i="1"/>
  <c r="M990" i="1" s="1"/>
  <c r="L964" i="1"/>
  <c r="M964" i="1" s="1"/>
  <c r="L33" i="1"/>
  <c r="M33" i="1" s="1"/>
  <c r="L1203" i="1"/>
  <c r="M1203" i="1" s="1"/>
  <c r="L353" i="1"/>
  <c r="M353" i="1" s="1"/>
  <c r="L971" i="1"/>
  <c r="M971" i="1" s="1"/>
  <c r="L1322" i="1"/>
  <c r="M1322" i="1" s="1"/>
  <c r="L1555" i="1"/>
  <c r="M1555" i="1" s="1"/>
  <c r="L896" i="1"/>
  <c r="M896" i="1" s="1"/>
  <c r="L388" i="1"/>
  <c r="M388" i="1" s="1"/>
  <c r="L745" i="1"/>
  <c r="M745" i="1" s="1"/>
  <c r="L851" i="1"/>
  <c r="M851" i="1" s="1"/>
  <c r="L1151" i="1"/>
  <c r="M1151" i="1" s="1"/>
  <c r="L1783" i="1"/>
  <c r="M1783" i="1" s="1"/>
  <c r="L520" i="1"/>
  <c r="M520" i="1" s="1"/>
  <c r="L1666" i="1"/>
  <c r="M1666" i="1" s="1"/>
  <c r="L1331" i="1"/>
  <c r="M1331" i="1" s="1"/>
  <c r="L96" i="1"/>
  <c r="M96" i="1" s="1"/>
  <c r="L1063" i="1"/>
  <c r="M1063" i="1" s="1"/>
  <c r="L1242" i="1"/>
  <c r="M1242" i="1" s="1"/>
  <c r="L829" i="1"/>
  <c r="M829" i="1" s="1"/>
  <c r="L93" i="1"/>
  <c r="M93" i="1" s="1"/>
  <c r="L1144" i="1"/>
  <c r="M1144" i="1" s="1"/>
  <c r="L652" i="1"/>
  <c r="M652" i="1" s="1"/>
  <c r="L163" i="1"/>
  <c r="M163" i="1" s="1"/>
  <c r="L137" i="1"/>
  <c r="M137" i="1" s="1"/>
  <c r="L1001" i="1"/>
  <c r="M1001" i="1" s="1"/>
  <c r="L124" i="1"/>
  <c r="M124" i="1" s="1"/>
  <c r="L897" i="1"/>
  <c r="M897" i="1" s="1"/>
  <c r="L789" i="1"/>
  <c r="M789" i="1" s="1"/>
  <c r="L1343" i="1"/>
  <c r="M1343" i="1" s="1"/>
  <c r="L1201" i="1"/>
  <c r="M1201" i="1" s="1"/>
  <c r="L1323" i="1"/>
  <c r="M1323" i="1" s="1"/>
  <c r="L8" i="1"/>
  <c r="M8" i="1" s="1"/>
  <c r="L287" i="1"/>
  <c r="M287" i="1" s="1"/>
  <c r="L771" i="1"/>
  <c r="M771" i="1" s="1"/>
  <c r="L1152" i="1"/>
  <c r="M1152" i="1" s="1"/>
  <c r="L1819" i="1"/>
  <c r="M1819" i="1" s="1"/>
  <c r="L1582" i="1"/>
  <c r="M1582" i="1" s="1"/>
  <c r="L1930" i="1"/>
  <c r="M1930" i="1" s="1"/>
  <c r="L716" i="1"/>
  <c r="M716" i="1" s="1"/>
  <c r="L481" i="1"/>
  <c r="M481" i="1" s="1"/>
  <c r="L790" i="1"/>
  <c r="M790" i="1" s="1"/>
  <c r="L247" i="1"/>
  <c r="M247" i="1" s="1"/>
  <c r="L872" i="1"/>
  <c r="M872" i="1" s="1"/>
  <c r="L1135" i="1"/>
  <c r="M1135" i="1" s="1"/>
  <c r="L693" i="1"/>
  <c r="M693" i="1" s="1"/>
  <c r="L697" i="1"/>
  <c r="M697" i="1" s="1"/>
  <c r="L1013" i="1"/>
  <c r="M1013" i="1" s="1"/>
  <c r="L1192" i="1"/>
  <c r="M1192" i="1" s="1"/>
  <c r="L10" i="1"/>
  <c r="M10" i="1" s="1"/>
  <c r="L580" i="1"/>
  <c r="M580" i="1" s="1"/>
  <c r="L855" i="1"/>
  <c r="M855" i="1" s="1"/>
  <c r="L1183" i="1"/>
  <c r="M1183" i="1" s="1"/>
  <c r="L1006" i="1"/>
  <c r="M1006" i="1" s="1"/>
  <c r="L1219" i="1"/>
  <c r="M1219" i="1" s="1"/>
  <c r="L1215" i="1"/>
  <c r="M1215" i="1" s="1"/>
  <c r="L1230" i="1"/>
  <c r="M1230" i="1" s="1"/>
  <c r="L1126" i="1"/>
  <c r="M1126" i="1" s="1"/>
  <c r="L197" i="1"/>
  <c r="M197" i="1" s="1"/>
  <c r="L1445" i="1"/>
  <c r="M1445" i="1" s="1"/>
  <c r="L1130" i="1"/>
  <c r="M1130" i="1" s="1"/>
  <c r="L778" i="1"/>
  <c r="M778" i="1" s="1"/>
  <c r="L270" i="1"/>
  <c r="M270" i="1" s="1"/>
  <c r="L1065" i="1"/>
  <c r="M1065" i="1" s="1"/>
  <c r="L4" i="1"/>
  <c r="M4" i="1" s="1"/>
  <c r="L202" i="1"/>
  <c r="M202" i="1" s="1"/>
  <c r="L283" i="1"/>
  <c r="M283" i="1" s="1"/>
  <c r="L570" i="1"/>
  <c r="M570" i="1" s="1"/>
  <c r="L142" i="1"/>
  <c r="M142" i="1" s="1"/>
  <c r="L1250" i="1"/>
  <c r="M1250" i="1" s="1"/>
  <c r="L1968" i="1"/>
  <c r="M1968" i="1" s="1"/>
  <c r="L1081" i="1"/>
  <c r="M1081" i="1" s="1"/>
  <c r="L984" i="1"/>
  <c r="M984" i="1" s="1"/>
  <c r="L1072" i="1"/>
  <c r="M1072" i="1" s="1"/>
  <c r="L531" i="1"/>
  <c r="M531" i="1" s="1"/>
  <c r="L1040" i="1"/>
  <c r="M1040" i="1" s="1"/>
  <c r="L368" i="1"/>
  <c r="M368" i="1" s="1"/>
  <c r="L927" i="1"/>
  <c r="M927" i="1" s="1"/>
  <c r="L1247" i="1"/>
  <c r="M1247" i="1" s="1"/>
  <c r="L31" i="1"/>
  <c r="M31" i="1" s="1"/>
  <c r="L565" i="1"/>
  <c r="M565" i="1" s="1"/>
  <c r="L53" i="1"/>
  <c r="M53" i="1" s="1"/>
  <c r="L1174" i="1"/>
  <c r="M1174" i="1" s="1"/>
  <c r="L923" i="1"/>
  <c r="M923" i="1" s="1"/>
  <c r="L1597" i="1"/>
  <c r="M1597" i="1" s="1"/>
  <c r="L1784" i="1"/>
  <c r="M1784" i="1" s="1"/>
  <c r="L540" i="1"/>
  <c r="M540" i="1" s="1"/>
  <c r="L380" i="1"/>
  <c r="M380" i="1" s="1"/>
  <c r="L216" i="1"/>
  <c r="M216" i="1" s="1"/>
  <c r="L1298" i="1"/>
  <c r="M1298" i="1" s="1"/>
  <c r="L694" i="1"/>
  <c r="M694" i="1" s="1"/>
  <c r="L1474" i="1"/>
  <c r="M1474" i="1" s="1"/>
  <c r="L1190" i="1"/>
  <c r="M1190" i="1" s="1"/>
  <c r="L799" i="1"/>
  <c r="M799" i="1" s="1"/>
  <c r="L1898" i="1"/>
  <c r="M1898" i="1" s="1"/>
  <c r="L558" i="1"/>
  <c r="M558" i="1" s="1"/>
  <c r="L1350" i="1"/>
  <c r="M1350" i="1" s="1"/>
  <c r="L348" i="1"/>
  <c r="M348" i="1" s="1"/>
  <c r="L299" i="1"/>
  <c r="M299" i="1" s="1"/>
  <c r="L875" i="1"/>
  <c r="M875" i="1" s="1"/>
  <c r="L361" i="1"/>
  <c r="M361" i="1" s="1"/>
  <c r="L1024" i="1"/>
  <c r="M1024" i="1" s="1"/>
  <c r="L975" i="1"/>
  <c r="M975" i="1" s="1"/>
  <c r="L1382" i="1"/>
  <c r="M1382" i="1" s="1"/>
  <c r="L1832" i="1"/>
  <c r="M1832" i="1" s="1"/>
  <c r="L451" i="1"/>
  <c r="M451" i="1" s="1"/>
  <c r="L47" i="1"/>
  <c r="M47" i="1" s="1"/>
  <c r="L834" i="1"/>
  <c r="M834" i="1" s="1"/>
  <c r="L924" i="1"/>
  <c r="M924" i="1" s="1"/>
  <c r="L314" i="1"/>
  <c r="M314" i="1" s="1"/>
  <c r="L176" i="1"/>
  <c r="M176" i="1" s="1"/>
  <c r="L1773" i="1"/>
  <c r="M1773" i="1" s="1"/>
  <c r="L522" i="1"/>
  <c r="M522" i="1" s="1"/>
  <c r="L1307" i="1"/>
  <c r="M1307" i="1" s="1"/>
  <c r="L184" i="1"/>
  <c r="M184" i="1" s="1"/>
  <c r="L415" i="1"/>
  <c r="M415" i="1" s="1"/>
  <c r="L106" i="1"/>
  <c r="M106" i="1" s="1"/>
  <c r="L1160" i="1"/>
  <c r="M1160" i="1" s="1"/>
  <c r="L155" i="1"/>
  <c r="M155" i="1" s="1"/>
  <c r="L1510" i="1"/>
  <c r="M1510" i="1" s="1"/>
  <c r="L1033" i="1"/>
  <c r="M1033" i="1" s="1"/>
  <c r="L731" i="1"/>
  <c r="M731" i="1" s="1"/>
  <c r="L688" i="1"/>
  <c r="M688" i="1" s="1"/>
  <c r="L349" i="1"/>
  <c r="M349" i="1" s="1"/>
  <c r="L582" i="1"/>
  <c r="M582" i="1" s="1"/>
  <c r="L563" i="1"/>
  <c r="M563" i="1" s="1"/>
  <c r="L859" i="1"/>
  <c r="M859" i="1" s="1"/>
  <c r="L1222" i="1"/>
  <c r="M1222" i="1" s="1"/>
  <c r="L166" i="1"/>
  <c r="M166" i="1" s="1"/>
  <c r="L1574" i="1"/>
  <c r="M1574" i="1" s="1"/>
  <c r="L95" i="1"/>
  <c r="M95" i="1" s="1"/>
  <c r="L911" i="1"/>
  <c r="M911" i="1" s="1"/>
  <c r="L937" i="1"/>
  <c r="M937" i="1" s="1"/>
  <c r="L952" i="1"/>
  <c r="M952" i="1" s="1"/>
  <c r="L156" i="1"/>
  <c r="M156" i="1" s="1"/>
  <c r="L1193" i="1"/>
  <c r="M1193" i="1" s="1"/>
  <c r="L892" i="1"/>
  <c r="M892" i="1" s="1"/>
  <c r="L132" i="1"/>
  <c r="M132" i="1" s="1"/>
  <c r="L686" i="1"/>
  <c r="M686" i="1" s="1"/>
  <c r="L1941" i="1"/>
  <c r="M1941" i="1" s="1"/>
  <c r="L821" i="1"/>
  <c r="M821" i="1" s="1"/>
  <c r="L1427" i="1"/>
  <c r="M1427" i="1" s="1"/>
  <c r="L751" i="1"/>
  <c r="M751" i="1" s="1"/>
  <c r="L529" i="1"/>
  <c r="M529" i="1" s="1"/>
  <c r="L1830" i="1"/>
  <c r="M1830" i="1" s="1"/>
  <c r="L782" i="1"/>
  <c r="M782" i="1" s="1"/>
  <c r="L1383" i="1"/>
  <c r="M1383" i="1" s="1"/>
  <c r="L91" i="1"/>
  <c r="M91" i="1" s="1"/>
  <c r="L989" i="1"/>
  <c r="M989" i="1" s="1"/>
  <c r="L357" i="1"/>
  <c r="M357" i="1" s="1"/>
  <c r="L234" i="1"/>
  <c r="M234" i="1" s="1"/>
  <c r="L635" i="1"/>
  <c r="M635" i="1" s="1"/>
  <c r="L404" i="1"/>
  <c r="M404" i="1" s="1"/>
  <c r="L81" i="1"/>
  <c r="M81" i="1" s="1"/>
  <c r="L883" i="1"/>
  <c r="M883" i="1" s="1"/>
  <c r="L1942" i="1"/>
  <c r="M1942" i="1" s="1"/>
  <c r="L1269" i="1"/>
  <c r="M1269" i="1" s="1"/>
  <c r="L1833" i="1"/>
  <c r="M1833" i="1" s="1"/>
  <c r="L244" i="1"/>
  <c r="M244" i="1" s="1"/>
  <c r="L1017" i="1"/>
  <c r="M1017" i="1" s="1"/>
  <c r="L1377" i="1"/>
  <c r="M1377" i="1" s="1"/>
  <c r="L677" i="1"/>
  <c r="M677" i="1" s="1"/>
  <c r="L1088" i="1"/>
  <c r="M1088" i="1" s="1"/>
  <c r="L1425" i="1"/>
  <c r="M1425" i="1" s="1"/>
  <c r="L1095" i="1"/>
  <c r="M1095" i="1" s="1"/>
  <c r="L629" i="1"/>
  <c r="M629" i="1" s="1"/>
  <c r="L19" i="1"/>
  <c r="M19" i="1" s="1"/>
  <c r="L996" i="1"/>
  <c r="M996" i="1" s="1"/>
  <c r="L1048" i="1"/>
  <c r="M1048" i="1" s="1"/>
  <c r="L668" i="1"/>
  <c r="M668" i="1" s="1"/>
  <c r="L805" i="1"/>
  <c r="M805" i="1" s="1"/>
  <c r="L715" i="1"/>
  <c r="M715" i="1" s="1"/>
  <c r="L1263" i="1"/>
  <c r="M1263" i="1" s="1"/>
  <c r="L203" i="1"/>
  <c r="M203" i="1" s="1"/>
  <c r="L1251" i="1"/>
  <c r="M1251" i="1" s="1"/>
  <c r="L951" i="1"/>
  <c r="M951" i="1" s="1"/>
  <c r="L381" i="1"/>
  <c r="M381" i="1" s="1"/>
  <c r="L1329" i="1"/>
  <c r="M1329" i="1" s="1"/>
  <c r="L866" i="1"/>
  <c r="M866" i="1" s="1"/>
  <c r="L1850" i="1"/>
  <c r="M1850" i="1" s="1"/>
  <c r="L1271" i="1"/>
  <c r="M1271" i="1" s="1"/>
  <c r="L1652" i="1"/>
  <c r="M1652" i="1" s="1"/>
  <c r="L1094" i="1"/>
  <c r="M1094" i="1" s="1"/>
  <c r="L1513" i="1"/>
  <c r="M1513" i="1" s="1"/>
  <c r="L40" i="1"/>
  <c r="M40" i="1" s="1"/>
  <c r="L1122" i="1"/>
  <c r="M1122" i="1" s="1"/>
  <c r="L115" i="1"/>
  <c r="M115" i="1" s="1"/>
  <c r="L1031" i="1"/>
  <c r="M1031" i="1" s="1"/>
  <c r="L28" i="1"/>
  <c r="M28" i="1" s="1"/>
  <c r="L1294" i="1"/>
  <c r="M1294" i="1" s="1"/>
  <c r="L894" i="1"/>
  <c r="M894" i="1" s="1"/>
  <c r="L1128" i="1"/>
  <c r="M1128" i="1" s="1"/>
  <c r="L41" i="1"/>
  <c r="M41" i="1" s="1"/>
  <c r="L473" i="1"/>
  <c r="M473" i="1" s="1"/>
  <c r="L735" i="1"/>
  <c r="M735" i="1" s="1"/>
  <c r="L1119" i="1"/>
  <c r="M1119" i="1" s="1"/>
  <c r="L704" i="1"/>
  <c r="M704" i="1" s="1"/>
  <c r="L1596" i="1"/>
  <c r="M1596" i="1" s="1"/>
  <c r="L854" i="1"/>
  <c r="M854" i="1" s="1"/>
  <c r="L1845" i="1"/>
  <c r="M1845" i="1" s="1"/>
  <c r="L890" i="1"/>
  <c r="M890" i="1" s="1"/>
  <c r="L1518" i="1"/>
  <c r="M1518" i="1" s="1"/>
  <c r="L579" i="1"/>
  <c r="M579" i="1" s="1"/>
  <c r="L1058" i="1"/>
  <c r="M1058" i="1" s="1"/>
  <c r="L51" i="1"/>
  <c r="M51" i="1" s="1"/>
  <c r="L206" i="1"/>
  <c r="M206" i="1" s="1"/>
  <c r="L980" i="1"/>
  <c r="M980" i="1" s="1"/>
  <c r="L723" i="1"/>
  <c r="M723" i="1" s="1"/>
  <c r="L1416" i="1"/>
  <c r="M1416" i="1" s="1"/>
  <c r="L211" i="1"/>
  <c r="M211" i="1" s="1"/>
  <c r="L1113" i="1"/>
  <c r="M1113" i="1" s="1"/>
  <c r="L1057" i="1"/>
  <c r="M1057" i="1" s="1"/>
  <c r="L117" i="1"/>
  <c r="M117" i="1" s="1"/>
  <c r="L970" i="1"/>
  <c r="M970" i="1" s="1"/>
  <c r="L1237" i="1"/>
  <c r="M1237" i="1" s="1"/>
  <c r="L1014" i="1"/>
  <c r="M1014" i="1" s="1"/>
  <c r="L360" i="1"/>
  <c r="M360" i="1" s="1"/>
  <c r="L291" i="1"/>
  <c r="M291" i="1" s="1"/>
  <c r="L242" i="1"/>
  <c r="M242" i="1" s="1"/>
  <c r="L200" i="1"/>
  <c r="M200" i="1" s="1"/>
  <c r="L946" i="1"/>
  <c r="M946" i="1" s="1"/>
  <c r="L560" i="1"/>
  <c r="M560" i="1" s="1"/>
  <c r="L375" i="1"/>
  <c r="M375" i="1" s="1"/>
  <c r="L1162" i="1"/>
  <c r="M1162" i="1" s="1"/>
  <c r="L590" i="1"/>
  <c r="M590" i="1" s="1"/>
  <c r="L428" i="1"/>
  <c r="M428" i="1" s="1"/>
  <c r="L78" i="1"/>
  <c r="M78" i="1" s="1"/>
  <c r="L135" i="1"/>
  <c r="M135" i="1" s="1"/>
  <c r="L1996" i="1"/>
  <c r="M1996" i="1" s="1"/>
  <c r="L1389" i="1"/>
  <c r="M1389" i="1" s="1"/>
  <c r="L1551" i="1"/>
  <c r="M1551" i="1" s="1"/>
  <c r="L354" i="1"/>
  <c r="M354" i="1" s="1"/>
  <c r="L1288" i="1"/>
  <c r="M1288" i="1" s="1"/>
  <c r="L79" i="1"/>
  <c r="M79" i="1" s="1"/>
  <c r="L248" i="1"/>
  <c r="M248" i="1" s="1"/>
  <c r="L227" i="1"/>
  <c r="M227" i="1" s="1"/>
  <c r="L367" i="1"/>
  <c r="M367" i="1" s="1"/>
  <c r="L638" i="1"/>
  <c r="M638" i="1" s="1"/>
  <c r="L453" i="1"/>
  <c r="M453" i="1" s="1"/>
  <c r="L1558" i="1"/>
  <c r="M1558" i="1" s="1"/>
  <c r="L1110" i="1"/>
  <c r="M1110" i="1" s="1"/>
  <c r="L1378" i="1"/>
  <c r="M1378" i="1" s="1"/>
  <c r="L1787" i="1"/>
  <c r="M1787" i="1" s="1"/>
  <c r="L1718" i="1"/>
  <c r="M1718" i="1" s="1"/>
  <c r="L383" i="1"/>
  <c r="M383" i="1" s="1"/>
  <c r="L377" i="1"/>
  <c r="M377" i="1" s="1"/>
  <c r="L556" i="1"/>
  <c r="M556" i="1" s="1"/>
  <c r="L251" i="1"/>
  <c r="M251" i="1" s="1"/>
  <c r="L201" i="1"/>
  <c r="M201" i="1" s="1"/>
  <c r="L910" i="1"/>
  <c r="M910" i="1" s="1"/>
  <c r="L224" i="1"/>
  <c r="M224" i="1" s="1"/>
  <c r="L1286" i="1"/>
  <c r="M1286" i="1" s="1"/>
  <c r="L1768" i="1"/>
  <c r="M1768" i="1" s="1"/>
  <c r="L387" i="1"/>
  <c r="M387" i="1" s="1"/>
  <c r="L921" i="1"/>
  <c r="M921" i="1" s="1"/>
  <c r="L1358" i="1"/>
  <c r="M1358" i="1" s="1"/>
  <c r="L830" i="1"/>
  <c r="M830" i="1" s="1"/>
  <c r="L399" i="1"/>
  <c r="M399" i="1" s="1"/>
  <c r="L1344" i="1"/>
  <c r="M1344" i="1" s="1"/>
  <c r="L1036" i="1"/>
  <c r="M1036" i="1" s="1"/>
  <c r="L1777" i="1"/>
  <c r="M1777" i="1" s="1"/>
  <c r="L440" i="1"/>
  <c r="M440" i="1" s="1"/>
  <c r="L702" i="1"/>
  <c r="M702" i="1" s="1"/>
  <c r="L1725" i="1"/>
  <c r="M1725" i="1" s="1"/>
  <c r="L1325" i="1"/>
  <c r="M1325" i="1" s="1"/>
  <c r="L577" i="1"/>
  <c r="M577" i="1" s="1"/>
  <c r="L843" i="1"/>
  <c r="M843" i="1" s="1"/>
  <c r="L739" i="1"/>
  <c r="M739" i="1" s="1"/>
  <c r="L1395" i="1"/>
  <c r="M1395" i="1" s="1"/>
  <c r="L1107" i="1"/>
  <c r="M1107" i="1" s="1"/>
  <c r="L795" i="1"/>
  <c r="M795" i="1" s="1"/>
  <c r="L148" i="1"/>
  <c r="M148" i="1" s="1"/>
  <c r="L1339" i="1"/>
  <c r="M1339" i="1" s="1"/>
  <c r="L347" i="1"/>
  <c r="M347" i="1" s="1"/>
  <c r="L1327" i="1"/>
  <c r="M1327" i="1" s="1"/>
  <c r="L85" i="1"/>
  <c r="M85" i="1" s="1"/>
  <c r="L1444" i="1"/>
  <c r="M1444" i="1" s="1"/>
  <c r="L466" i="1"/>
  <c r="M466" i="1" s="1"/>
  <c r="L626" i="1"/>
  <c r="M626" i="1" s="1"/>
  <c r="L1556" i="1"/>
  <c r="M1556" i="1" s="1"/>
  <c r="L673" i="1"/>
  <c r="M673" i="1" s="1"/>
  <c r="L905" i="1"/>
  <c r="M905" i="1" s="1"/>
  <c r="L365" i="1"/>
  <c r="M365" i="1" s="1"/>
  <c r="L236" i="1"/>
  <c r="M236" i="1" s="1"/>
  <c r="L605" i="1"/>
  <c r="M605" i="1" s="1"/>
  <c r="L1275" i="1"/>
  <c r="M1275" i="1" s="1"/>
  <c r="L1393" i="1"/>
  <c r="M1393" i="1" s="1"/>
  <c r="L111" i="1"/>
  <c r="M111" i="1" s="1"/>
  <c r="L1241" i="1"/>
  <c r="M1241" i="1" s="1"/>
  <c r="L1132" i="1"/>
  <c r="M1132" i="1" s="1"/>
  <c r="L1042" i="1"/>
  <c r="M1042" i="1" s="1"/>
  <c r="L933" i="1"/>
  <c r="M933" i="1" s="1"/>
  <c r="L462" i="1"/>
  <c r="M462" i="1" s="1"/>
  <c r="L363" i="1"/>
  <c r="M363" i="1" s="1"/>
  <c r="L1209" i="1"/>
  <c r="M1209" i="1" s="1"/>
  <c r="L1256" i="1"/>
  <c r="M1256" i="1" s="1"/>
  <c r="L1624" i="1"/>
  <c r="M1624" i="1" s="1"/>
  <c r="L625" i="1"/>
  <c r="M625" i="1" s="1"/>
  <c r="L812" i="1"/>
  <c r="M812" i="1" s="1"/>
  <c r="L1070" i="1"/>
  <c r="M1070" i="1" s="1"/>
  <c r="L181" i="1"/>
  <c r="M181" i="1" s="1"/>
  <c r="L1267" i="1"/>
  <c r="M1267" i="1" s="1"/>
  <c r="L1402" i="1"/>
  <c r="M1402" i="1" s="1"/>
  <c r="L7" i="1"/>
  <c r="M7" i="1" s="1"/>
  <c r="L1083" i="1"/>
  <c r="M1083" i="1" s="1"/>
  <c r="L1028" i="1"/>
  <c r="M1028" i="1" s="1"/>
  <c r="L878" i="1"/>
  <c r="M878" i="1" s="1"/>
  <c r="L204" i="1"/>
  <c r="M204" i="1" s="1"/>
  <c r="L512" i="1"/>
  <c r="M512" i="1" s="1"/>
  <c r="L539" i="1"/>
  <c r="M539" i="1" s="1"/>
  <c r="L848" i="1"/>
  <c r="M848" i="1" s="1"/>
  <c r="L275" i="1"/>
  <c r="M275" i="1" s="1"/>
  <c r="L1570" i="1"/>
  <c r="M1570" i="1" s="1"/>
  <c r="L665" i="1"/>
  <c r="M665" i="1" s="1"/>
  <c r="L706" i="1"/>
  <c r="M706" i="1" s="1"/>
  <c r="L1168" i="1"/>
  <c r="M1168" i="1" s="1"/>
  <c r="L1345" i="1"/>
  <c r="M1345" i="1" s="1"/>
  <c r="L1195" i="1"/>
  <c r="M1195" i="1" s="1"/>
  <c r="L175" i="1"/>
  <c r="M175" i="1" s="1"/>
  <c r="L850" i="1"/>
  <c r="M850" i="1" s="1"/>
  <c r="L1225" i="1"/>
  <c r="M1225" i="1" s="1"/>
  <c r="L1301" i="1"/>
  <c r="M1301" i="1" s="1"/>
  <c r="L171" i="1"/>
  <c r="M171" i="1" s="1"/>
  <c r="L1207" i="1"/>
  <c r="M1207" i="1" s="1"/>
  <c r="L551" i="1"/>
  <c r="M551" i="1" s="1"/>
  <c r="L695" i="1"/>
  <c r="M695" i="1" s="1"/>
  <c r="L103" i="1"/>
  <c r="M103" i="1" s="1"/>
  <c r="L1450" i="1"/>
  <c r="M1450" i="1" s="1"/>
  <c r="L696" i="1"/>
  <c r="M696" i="1" s="1"/>
  <c r="L651" i="1"/>
  <c r="M651" i="1" s="1"/>
  <c r="L1167" i="1"/>
  <c r="M1167" i="1" s="1"/>
  <c r="L139" i="1"/>
  <c r="M139" i="1" s="1"/>
  <c r="L1179" i="1"/>
  <c r="M1179" i="1" s="1"/>
  <c r="L887" i="1"/>
  <c r="M887" i="1" s="1"/>
  <c r="L260" i="1"/>
  <c r="M260" i="1" s="1"/>
  <c r="L902" i="1"/>
  <c r="M902" i="1" s="1"/>
  <c r="L1342" i="1"/>
  <c r="M1342" i="1" s="1"/>
  <c r="L1105" i="1"/>
  <c r="M1105" i="1" s="1"/>
  <c r="L758" i="1"/>
  <c r="M758" i="1" s="1"/>
  <c r="L1464" i="1"/>
  <c r="M1464" i="1" s="1"/>
  <c r="L954" i="1"/>
  <c r="M954" i="1" s="1"/>
  <c r="L765" i="1"/>
  <c r="M765" i="1" s="1"/>
  <c r="L709" i="1"/>
  <c r="M709" i="1" s="1"/>
  <c r="L1050" i="1"/>
  <c r="M1050" i="1" s="1"/>
  <c r="L470" i="1"/>
  <c r="M470" i="1" s="1"/>
  <c r="L932" i="1"/>
  <c r="M932" i="1" s="1"/>
  <c r="L861" i="1"/>
  <c r="M861" i="1" s="1"/>
  <c r="L1206" i="1"/>
  <c r="M1206" i="1" s="1"/>
  <c r="L794" i="1"/>
  <c r="M794" i="1" s="1"/>
  <c r="L1064" i="1"/>
  <c r="M1064" i="1" s="1"/>
  <c r="L424" i="1"/>
  <c r="M424" i="1" s="1"/>
  <c r="L345" i="1"/>
  <c r="M345" i="1" s="1"/>
  <c r="L615" i="1"/>
  <c r="M615" i="1" s="1"/>
  <c r="L1055" i="1"/>
  <c r="M1055" i="1" s="1"/>
  <c r="L1086" i="1"/>
  <c r="M1086" i="1" s="1"/>
  <c r="L1291" i="1"/>
  <c r="M1291" i="1" s="1"/>
  <c r="L232" i="1"/>
  <c r="M232" i="1" s="1"/>
  <c r="L636" i="1"/>
  <c r="M636" i="1" s="1"/>
  <c r="L438" i="1"/>
  <c r="M438" i="1" s="1"/>
  <c r="L1385" i="1"/>
  <c r="M1385" i="1" s="1"/>
  <c r="L986" i="1"/>
  <c r="M986" i="1" s="1"/>
  <c r="L972" i="1"/>
  <c r="M972" i="1" s="1"/>
  <c r="L406" i="1"/>
  <c r="M406" i="1" s="1"/>
  <c r="L1233" i="1"/>
  <c r="M1233" i="1" s="1"/>
  <c r="L889" i="1"/>
  <c r="M889" i="1" s="1"/>
  <c r="L659" i="1"/>
  <c r="M659" i="1" s="1"/>
  <c r="L1336" i="1"/>
  <c r="M1336" i="1" s="1"/>
  <c r="L147" i="1"/>
  <c r="M147" i="1" s="1"/>
</calcChain>
</file>

<file path=xl/sharedStrings.xml><?xml version="1.0" encoding="utf-8"?>
<sst xmlns="http://schemas.openxmlformats.org/spreadsheetml/2006/main" count="8305" uniqueCount="134">
  <si>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</si>
  <si>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</si>
  <si>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</si>
  <si>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</si>
  <si>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</si>
  <si>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</si>
  <si>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</si>
  <si>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</si>
  <si>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</si>
  <si>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</si>
  <si>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</si>
  <si>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</si>
  <si>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</si>
  <si>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</si>
  <si>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</si>
  <si>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</si>
  <si>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</si>
  <si>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</si>
  <si>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</si>
  <si>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</si>
  <si>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</si>
  <si>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</si>
  <si>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</si>
  <si>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</si>
  <si>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</si>
  <si>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</si>
  <si>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</si>
  <si>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</si>
  <si>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</si>
  <si>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</si>
  <si>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</si>
  <si>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</si>
  <si>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</si>
  <si>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</si>
  <si>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</si>
  <si>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</si>
  <si>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</si>
  <si>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</si>
  <si>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</si>
  <si>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</si>
  <si>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</si>
  <si>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</si>
  <si>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</si>
  <si>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</si>
  <si>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</si>
  <si>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</si>
  <si>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</si>
  <si>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</si>
  <si>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</si>
  <si>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</si>
  <si>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</si>
  <si>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</si>
  <si>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</si>
  <si>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</si>
  <si>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</si>
  <si>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</si>
  <si>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</si>
  <si>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</si>
  <si>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</si>
  <si>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</si>
  <si>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</si>
  <si>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</si>
  <si>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</si>
  <si>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</si>
  <si>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</si>
  <si>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</si>
  <si>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</si>
  <si>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</si>
  <si>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</si>
  <si>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</si>
  <si>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</si>
  <si>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</si>
  <si>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</si>
  <si>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</si>
  <si>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</si>
  <si>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</si>
  <si>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</si>
  <si>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</si>
  <si>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</si>
  <si>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</si>
  <si>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</si>
  <si>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</si>
  <si>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</si>
  <si>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</si>
  <si>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</si>
  <si>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</si>
  <si>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</si>
  <si>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</si>
  <si>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</si>
  <si>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</si>
  <si>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</si>
  <si>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</si>
  <si>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</si>
  <si>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</si>
  <si>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</si>
  <si>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</si>
  <si>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</si>
  <si>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</si>
  <si>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</si>
  <si>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</si>
  <si>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</si>
  <si>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</si>
  <si>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</si>
  <si>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</si>
  <si>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</si>
  <si>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</si>
  <si>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</si>
  <si>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</si>
  <si>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</si>
  <si>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000006915834</t>
  </si>
  <si>
    <t>CN</t>
  </si>
  <si>
    <t>1PCS3070-SR10007WW</t>
  </si>
  <si>
    <t>S18341522503164</t>
  </si>
  <si>
    <t>2PP</t>
  </si>
  <si>
    <t>D07DEC18</t>
  </si>
  <si>
    <t>000006819248</t>
  </si>
  <si>
    <t>000006819231</t>
  </si>
  <si>
    <t>Y3Y80EA#ARL</t>
  </si>
  <si>
    <t>CZC737843V</t>
  </si>
  <si>
    <t>000006819309</t>
  </si>
  <si>
    <t>CZC7519DWD</t>
  </si>
  <si>
    <t>10191158</t>
  </si>
  <si>
    <t>169.254.52.211</t>
  </si>
  <si>
    <t>5C8A389634D3</t>
  </si>
  <si>
    <t>Missing in Inventory</t>
  </si>
  <si>
    <t>Missing in Full Inventory</t>
  </si>
  <si>
    <t>Scanned</t>
  </si>
  <si>
    <t>Res</t>
  </si>
  <si>
    <t>Different names</t>
  </si>
  <si>
    <t>ERROR</t>
  </si>
  <si>
    <t>1044</t>
  </si>
  <si>
    <t>4VDHU</t>
  </si>
  <si>
    <t>00108828615352125984</t>
  </si>
  <si>
    <t>4006381316132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</si>
</sst>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Alignment="1">
      <alignment wrapText="1"/>
    </xf>
    <xf numFmtId="49" fontId="2" fillId="2" borderId="1" xfId="1" applyNumberFormat="1" applyFont="1" applyFill="1" applyBorder="1" applyAlignment="1">
      <alignment horizontal="center" vertical="top"/>
    </xf>
    <xf numFmtId="49" fontId="0" fillId="0" borderId="0" xfId="0" applyNumberFormat="1" applyAlignment="1"/>
  </cellXfs>
  <cellStyles count="2">
    <cellStyle name="Normál" xfId="0" builtinId="0"/>
    <cellStyle name="Normal 4 3" xfId="1" xr:uid="{844C016F-CCCE-471D-A4F5-C78B600DE9E8}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9999"/>
        </patternFill>
      </fill>
    </dxf>
    <dxf>
      <font>
        <b/>
        <i val="0"/>
      </font>
      <fill>
        <patternFill>
          <bgColor rgb="FFFF9999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M2377"/>
  <sheetViews>
    <sheetView tabSelected="1" workbookViewId="0">
      <pane ySplit="1" topLeftCell="A2" activePane="bottomLeft" state="frozen"/>
      <selection pane="bottomLeft" activeCell="M11" sqref="M11"/>
    </sheetView>
  </sheetViews>
  <sheetFormatPr defaultColWidth="8.85546875" defaultRowHeight="15" x14ac:dyDescent="0.25"/>
  <cols>
    <col min="1" max="2" width="21.140625" style="4" bestFit="1" customWidth="1"/>
    <col min="3" max="3" width="12.42578125" hidden="1" customWidth="1"/>
    <col min="4" max="4" width="15.28515625" hidden="1" customWidth="1"/>
    <col min="5" max="12" width="8.85546875" hidden="1" customWidth="1"/>
    <col min="13" max="13" width="52.140625" customWidth="1"/>
  </cols>
  <sheetData>
    <row r="1" spans="1:13" ht="30" x14ac:dyDescent="0.25">
      <c r="A1" s="3" t="s">
        <v>107</v>
      </c>
      <c r="B1" s="3" t="s">
        <v>108</v>
      </c>
      <c r="C1" s="6" t="s">
        <v>124</v>
      </c>
      <c r="D1" s="6" t="s">
        <v>125</v>
      </c>
      <c r="E1" t="s">
        <v>126</v>
      </c>
      <c r="F1" s="6" t="s">
        <v>128</v>
      </c>
      <c r="G1" s="6"/>
      <c r="H1" s="6"/>
      <c r="I1" s="6"/>
      <c r="J1" s="6"/>
      <c r="L1" t="s">
        <v>127</v>
      </c>
      <c r="M1" t="s">
        <v>129</v>
      </c>
    </row>
    <row r="2" spans="1:13" x14ac:dyDescent="0.25">
      <c r="A2" s="5" t="s">
        <v>118</v>
      </c>
      <c r="B2" s="4" t="str">
        <f>SUBSTITUTE(SUBSTITUTE(A2,"ö","0"),"Ö","0")</f>
        <v>CZC737843V</v>
      </c>
      <c r="C2" t="str">
        <f>IF(AND(TRIM(A2)&lt;&gt;"",IFERROR(VLOOKUP(TRIM(B2),Inventory!E:E,1,0),0)=0),"X","_")</f>
        <v>_</v>
      </c>
      <c r="D2" t="str">
        <f>IF(AND(TRIM(A2)&lt;&gt;"",IFERROR(VLOOKUP(TRIM(B2),'Full Inventory'!F:F,1,0),0)=0),"X","_")</f>
        <v>X</v>
      </c>
      <c r="E2" t="str">
        <f t="shared" ref="E2:E19" si="0">IF(TRIM(A2)&lt;&gt;"","_","X")</f>
        <v>_</v>
      </c>
      <c r="F2" t="str">
        <f ca="1">IFERROR(IF(AND(C2&amp;D2&amp;E2="___",INDIRECT("Inventory!A"&amp;MATCH(VLOOKUP(B2,Inventory!E:E,1,0),Inventory!E:E,0))&lt;&gt;INDIRECT("'Full Inventory'!B"&amp;MATCH(VLOOKUP(B2,'Full Inventory'!F:F,1,0),'Full Inventory'!F:F,0))),"X","_"),"_")</f>
        <v>_</v>
      </c>
      <c r="L2" t="str">
        <f ca="1">C2&amp;D2&amp;E2&amp;F2</f>
        <v>_X__</v>
      </c>
      <c r="M2" t="str">
        <f ca="1">IF(L2="____","OK",IF(L2="_X__","NOT IN FULL INVENTORY",IF(L2="XX__","NOT IN FULL INVENTORY AND INVENTORY",IF(L2="X___","NOT IN INVENTORY",IF(L2="___X","DIFFERENT NAMES IN FULL INVENTORY AND INVENTORY","")))))</f>
        <v>NOT IN FULL INVENTORY</v>
      </c>
    </row>
    <row r="3" spans="1:13" x14ac:dyDescent="0.25">
      <c r="A3" s="5" t="s">
        <v>117</v>
      </c>
      <c r="B3" s="4" t="str">
        <f t="shared" ref="B3:B66" si="1">SUBSTITUTE(SUBSTITUTE(A3,"ö","0"),"Ö","0")</f>
        <v>Y3Y80EA#ARL</v>
      </c>
      <c r="C3" t="str">
        <f>IF(AND(TRIM(A3)&lt;&gt;"",IFERROR(VLOOKUP(TRIM(B3),Inventory!E:E,1,0),0)=0),"X","_")</f>
        <v>_</v>
      </c>
      <c r="D3" t="str">
        <f>IF(AND(TRIM(A3)&lt;&gt;"",IFERROR(VLOOKUP(TRIM(B3),'Full Inventory'!F:F,1,0),0)=0),"X","_")</f>
        <v>_</v>
      </c>
      <c r="E3" t="str">
        <f t="shared" si="0"/>
        <v>_</v>
      </c>
      <c r="F3" t="str">
        <f ca="1">IFERROR(IF(AND(C3&amp;D3&amp;E3="___",INDIRECT("Inventory!A"&amp;MATCH(VLOOKUP(B3,Inventory!E:E,1,0),Inventory!E:E,0))&lt;&gt;INDIRECT("'Full Inventory'!B"&amp;MATCH(VLOOKUP(B3,'Full Inventory'!F:F,1,0),'Full Inventory'!F:F,0))),"X","_"),"_")</f>
        <v>_</v>
      </c>
      <c r="L3" t="str">
        <f t="shared" ref="L3:L66" ca="1" si="2">C3&amp;D3&amp;E3&amp;F3</f>
        <v>____</v>
      </c>
      <c r="M3" t="str">
        <f t="shared" ref="M3:M66" ca="1" si="3">IF(L3="____","OK",IF(L3="_X__","NOT IN FULL INVENTORY",IF(L3="XX__","NOT IN FULL INVENTORY AND INVENTORY",IF(L3="X___","NOT IN INVENTORY",IF(L3="___X","DIFFERENT NAMES IN FULL INVENTORY AND INVENTORY","")))))</f>
        <v>OK</v>
      </c>
    </row>
    <row r="4" spans="1:13" x14ac:dyDescent="0.25">
      <c r="A4" s="5" t="s">
        <v>130</v>
      </c>
      <c r="B4" s="4" t="str">
        <f t="shared" si="1"/>
        <v>1044</v>
      </c>
      <c r="C4" t="str">
        <f>IF(AND(TRIM(A4)&lt;&gt;"",IFERROR(VLOOKUP(TRIM(B4),Inventory!E:E,1,0),0)=0),"X","_")</f>
        <v>X</v>
      </c>
      <c r="D4" t="str">
        <f>IF(AND(TRIM(A4)&lt;&gt;"",IFERROR(VLOOKUP(TRIM(B4),'Full Inventory'!F:F,1,0),0)=0),"X","_")</f>
        <v>X</v>
      </c>
      <c r="E4" t="str">
        <f t="shared" si="0"/>
        <v>_</v>
      </c>
      <c r="F4" t="str">
        <f ca="1">IFERROR(IF(AND(C4&amp;D4&amp;E4="___",INDIRECT("Inventory!A"&amp;MATCH(VLOOKUP(B4,Inventory!E:E,1,0),Inventory!E:E,0))&lt;&gt;INDIRECT("'Full Inventory'!B"&amp;MATCH(VLOOKUP(B4,'Full Inventory'!F:F,1,0),'Full Inventory'!F:F,0))),"X","_"),"_")</f>
        <v>_</v>
      </c>
      <c r="L4" t="str">
        <f t="shared" ca="1" si="2"/>
        <v>XX__</v>
      </c>
      <c r="M4" t="str">
        <f t="shared" ca="1" si="3"/>
        <v>NOT IN FULL INVENTORY AND INVENTORY</v>
      </c>
    </row>
    <row r="5" spans="1:13" x14ac:dyDescent="0.25">
      <c r="A5" s="5" t="s">
        <v>131</v>
      </c>
      <c r="B5" s="4" t="str">
        <f t="shared" si="1"/>
        <v>4VDHU</v>
      </c>
      <c r="C5" t="str">
        <f>IF(AND(TRIM(A5)&lt;&gt;"",IFERROR(VLOOKUP(TRIM(B5),Inventory!E:E,1,0),0)=0),"X","_")</f>
        <v>X</v>
      </c>
      <c r="D5" t="str">
        <f>IF(AND(TRIM(A5)&lt;&gt;"",IFERROR(VLOOKUP(TRIM(B5),'Full Inventory'!F:F,1,0),0)=0),"X","_")</f>
        <v>X</v>
      </c>
      <c r="E5" t="str">
        <f t="shared" si="0"/>
        <v>_</v>
      </c>
      <c r="F5" t="str">
        <f ca="1">IFERROR(IF(AND(C5&amp;D5&amp;E5="___",INDIRECT("Inventory!A"&amp;MATCH(VLOOKUP(B5,Inventory!E:E,1,0),Inventory!E:E,0))&lt;&gt;INDIRECT("'Full Inventory'!B"&amp;MATCH(VLOOKUP(B5,'Full Inventory'!F:F,1,0),'Full Inventory'!F:F,0))),"X","_"),"_")</f>
        <v>_</v>
      </c>
      <c r="L5" t="str">
        <f t="shared" ca="1" si="2"/>
        <v>XX__</v>
      </c>
      <c r="M5" t="str">
        <f t="shared" ca="1" si="3"/>
        <v>NOT IN FULL INVENTORY AND INVENTORY</v>
      </c>
    </row>
    <row r="6" spans="1:13" x14ac:dyDescent="0.25">
      <c r="A6" s="5" t="s">
        <v>132</v>
      </c>
      <c r="B6" s="4" t="str">
        <f t="shared" si="1"/>
        <v>00108828615352125984</v>
      </c>
      <c r="C6" t="str">
        <f>IF(AND(TRIM(A6)&lt;&gt;"",IFERROR(VLOOKUP(TRIM(B6),Inventory!E:E,1,0),0)=0),"X","_")</f>
        <v>X</v>
      </c>
      <c r="D6" t="str">
        <f>IF(AND(TRIM(A6)&lt;&gt;"",IFERROR(VLOOKUP(TRIM(B6),'Full Inventory'!F:F,1,0),0)=0),"X","_")</f>
        <v>X</v>
      </c>
      <c r="E6" t="str">
        <f t="shared" si="0"/>
        <v>_</v>
      </c>
      <c r="F6" t="str">
        <f ca="1">IFERROR(IF(AND(C6&amp;D6&amp;E6="___",INDIRECT("Inventory!A"&amp;MATCH(VLOOKUP(B6,Inventory!E:E,1,0),Inventory!E:E,0))&lt;&gt;INDIRECT("'Full Inventory'!B"&amp;MATCH(VLOOKUP(B6,'Full Inventory'!F:F,1,0),'Full Inventory'!F:F,0))),"X","_"),"_")</f>
        <v>_</v>
      </c>
      <c r="L6" t="str">
        <f t="shared" ca="1" si="2"/>
        <v>XX__</v>
      </c>
      <c r="M6" t="str">
        <f t="shared" ca="1" si="3"/>
        <v>NOT IN FULL INVENTORY AND INVENTORY</v>
      </c>
    </row>
    <row r="7" spans="1:13" x14ac:dyDescent="0.25">
      <c r="A7" s="5" t="s">
        <v>133</v>
      </c>
      <c r="B7" s="4" t="str">
        <f t="shared" si="1"/>
        <v>4006381316132</v>
      </c>
      <c r="C7" t="str">
        <f>IF(AND(TRIM(A7)&lt;&gt;"",IFERROR(VLOOKUP(TRIM(B7),Inventory!E:E,1,0),0)=0),"X","_")</f>
        <v>X</v>
      </c>
      <c r="D7" t="str">
        <f>IF(AND(TRIM(A7)&lt;&gt;"",IFERROR(VLOOKUP(TRIM(B7),'Full Inventory'!F:F,1,0),0)=0),"X","_")</f>
        <v>X</v>
      </c>
      <c r="E7" t="str">
        <f t="shared" si="0"/>
        <v>_</v>
      </c>
      <c r="F7" t="str">
        <f ca="1">IFERROR(IF(AND(C7&amp;D7&amp;E7="___",INDIRECT("Inventory!A"&amp;MATCH(VLOOKUP(B7,Inventory!E:E,1,0),Inventory!E:E,0))&lt;&gt;INDIRECT("'Full Inventory'!B"&amp;MATCH(VLOOKUP(B7,'Full Inventory'!F:F,1,0),'Full Inventory'!F:F,0))),"X","_"),"_")</f>
        <v>_</v>
      </c>
      <c r="L7" t="str">
        <f t="shared" ca="1" si="2"/>
        <v>XX__</v>
      </c>
      <c r="M7" t="str">
        <f t="shared" ca="1" si="3"/>
        <v>NOT IN FULL INVENTORY AND INVENTORY</v>
      </c>
    </row>
    <row r="8" spans="1:13" x14ac:dyDescent="0.25">
      <c r="A8" s="5"/>
      <c r="B8" s="4" t="str">
        <f t="shared" si="1"/>
        <v/>
      </c>
      <c r="C8" t="str">
        <f>IF(AND(TRIM(A8)&lt;&gt;"",IFERROR(VLOOKUP(TRIM(B8),Inventory!E:E,1,0),0)=0),"X","_")</f>
        <v>_</v>
      </c>
      <c r="D8" t="str">
        <f>IF(AND(TRIM(A8)&lt;&gt;"",IFERROR(VLOOKUP(TRIM(B8),'Full Inventory'!F:F,1,0),0)=0),"X","_")</f>
        <v>_</v>
      </c>
      <c r="E8" t="str">
        <f t="shared" si="0"/>
        <v>X</v>
      </c>
      <c r="F8" t="str">
        <f ca="1">IFERROR(IF(AND(C8&amp;D8&amp;E8="___",INDIRECT("Inventory!A"&amp;MATCH(VLOOKUP(B8,Inventory!E:E,1,0),Inventory!E:E,0))&lt;&gt;INDIRECT("'Full Inventory'!B"&amp;MATCH(VLOOKUP(B8,'Full Inventory'!F:F,1,0),'Full Inventory'!F:F,0))),"X","_"),"_")</f>
        <v>_</v>
      </c>
      <c r="L8" t="str">
        <f t="shared" ca="1" si="2"/>
        <v>__X_</v>
      </c>
      <c r="M8" t="str">
        <f t="shared" ca="1" si="3"/>
        <v/>
      </c>
    </row>
    <row r="9" spans="1:13" x14ac:dyDescent="0.25">
      <c r="A9" s="5"/>
      <c r="B9" s="4" t="str">
        <f t="shared" si="1"/>
        <v/>
      </c>
      <c r="C9" t="str">
        <f>IF(AND(TRIM(A9)&lt;&gt;"",IFERROR(VLOOKUP(TRIM(B9),Inventory!E:E,1,0),0)=0),"X","_")</f>
        <v>_</v>
      </c>
      <c r="D9" t="str">
        <f>IF(AND(TRIM(A9)&lt;&gt;"",IFERROR(VLOOKUP(TRIM(B9),'Full Inventory'!F:F,1,0),0)=0),"X","_")</f>
        <v>_</v>
      </c>
      <c r="E9" t="str">
        <f t="shared" si="0"/>
        <v>X</v>
      </c>
      <c r="F9" t="str">
        <f ca="1">IFERROR(IF(AND(C9&amp;D9&amp;E9="___",INDIRECT("Inventory!A"&amp;MATCH(VLOOKUP(B9,Inventory!E:E,1,0),Inventory!E:E,0))&lt;&gt;INDIRECT("'Full Inventory'!B"&amp;MATCH(VLOOKUP(B9,'Full Inventory'!F:F,1,0),'Full Inventory'!F:F,0))),"X","_"),"_")</f>
        <v>_</v>
      </c>
      <c r="L9" t="str">
        <f t="shared" ca="1" si="2"/>
        <v>__X_</v>
      </c>
      <c r="M9" t="str">
        <f t="shared" ca="1" si="3"/>
        <v/>
      </c>
    </row>
    <row r="10" spans="1:13" x14ac:dyDescent="0.25">
      <c r="A10" s="5"/>
      <c r="B10" s="4" t="str">
        <f t="shared" si="1"/>
        <v/>
      </c>
      <c r="C10" t="str">
        <f>IF(AND(TRIM(A10)&lt;&gt;"",IFERROR(VLOOKUP(TRIM(B10),Inventory!E:E,1,0),0)=0),"X","_")</f>
        <v>_</v>
      </c>
      <c r="D10" t="str">
        <f>IF(AND(TRIM(A10)&lt;&gt;"",IFERROR(VLOOKUP(TRIM(B10),'Full Inventory'!F:F,1,0),0)=0),"X","_")</f>
        <v>_</v>
      </c>
      <c r="E10" t="str">
        <f t="shared" si="0"/>
        <v>X</v>
      </c>
      <c r="F10" t="str">
        <f ca="1">IFERROR(IF(AND(C10&amp;D10&amp;E10="___",INDIRECT("Inventory!A"&amp;MATCH(VLOOKUP(B10,Inventory!E:E,1,0),Inventory!E:E,0))&lt;&gt;INDIRECT("'Full Inventory'!B"&amp;MATCH(VLOOKUP(B10,'Full Inventory'!F:F,1,0),'Full Inventory'!F:F,0))),"X","_"),"_")</f>
        <v>_</v>
      </c>
      <c r="L10" t="str">
        <f t="shared" ca="1" si="2"/>
        <v>__X_</v>
      </c>
      <c r="M10" t="str">
        <f t="shared" ca="1" si="3"/>
        <v/>
      </c>
    </row>
    <row r="11" spans="1:13" x14ac:dyDescent="0.25">
      <c r="A11" s="5"/>
      <c r="B11" s="4" t="str">
        <f t="shared" si="1"/>
        <v/>
      </c>
      <c r="C11" t="str">
        <f>IF(AND(TRIM(A11)&lt;&gt;"",IFERROR(VLOOKUP(TRIM(B11),Inventory!E:E,1,0),0)=0),"X","_")</f>
        <v>_</v>
      </c>
      <c r="D11" t="str">
        <f>IF(AND(TRIM(A11)&lt;&gt;"",IFERROR(VLOOKUP(TRIM(B11),'Full Inventory'!F:F,1,0),0)=0),"X","_")</f>
        <v>_</v>
      </c>
      <c r="E11" t="str">
        <f t="shared" si="0"/>
        <v>X</v>
      </c>
      <c r="F11" t="str">
        <f ca="1">IFERROR(IF(AND(C11&amp;D11&amp;E11="___",INDIRECT("Inventory!A"&amp;MATCH(VLOOKUP(B11,Inventory!E:E,1,0),Inventory!E:E,0))&lt;&gt;INDIRECT("'Full Inventory'!B"&amp;MATCH(VLOOKUP(B11,'Full Inventory'!F:F,1,0),'Full Inventory'!F:F,0))),"X","_"),"_")</f>
        <v>_</v>
      </c>
      <c r="L11" t="str">
        <f t="shared" ca="1" si="2"/>
        <v>__X_</v>
      </c>
      <c r="M11" t="str">
        <f t="shared" ca="1" si="3"/>
        <v/>
      </c>
    </row>
    <row r="12" spans="1:13" x14ac:dyDescent="0.25">
      <c r="A12" s="5"/>
      <c r="B12" s="4" t="str">
        <f t="shared" si="1"/>
        <v/>
      </c>
      <c r="C12" t="str">
        <f>IF(AND(TRIM(A12)&lt;&gt;"",IFERROR(VLOOKUP(TRIM(B12),Inventory!E:E,1,0),0)=0),"X","_")</f>
        <v>_</v>
      </c>
      <c r="D12" t="str">
        <f>IF(AND(TRIM(A12)&lt;&gt;"",IFERROR(VLOOKUP(TRIM(B12),'Full Inventory'!F:F,1,0),0)=0),"X","_")</f>
        <v>_</v>
      </c>
      <c r="E12" t="str">
        <f t="shared" si="0"/>
        <v>X</v>
      </c>
      <c r="F12" t="str">
        <f ca="1">IFERROR(IF(AND(C12&amp;D12&amp;E12="___",INDIRECT("Inventory!A"&amp;MATCH(VLOOKUP(B12,Inventory!E:E,1,0),Inventory!E:E,0))&lt;&gt;INDIRECT("'Full Inventory'!B"&amp;MATCH(VLOOKUP(B12,'Full Inventory'!F:F,1,0),'Full Inventory'!F:F,0))),"X","_"),"_")</f>
        <v>_</v>
      </c>
      <c r="L12" t="str">
        <f t="shared" ca="1" si="2"/>
        <v>__X_</v>
      </c>
      <c r="M12" t="str">
        <f t="shared" ca="1" si="3"/>
        <v/>
      </c>
    </row>
    <row r="13" spans="1:13" x14ac:dyDescent="0.25">
      <c r="A13" s="5"/>
      <c r="B13" s="4" t="str">
        <f t="shared" si="1"/>
        <v/>
      </c>
      <c r="C13" t="str">
        <f>IF(AND(TRIM(A13)&lt;&gt;"",IFERROR(VLOOKUP(TRIM(B13),Inventory!E:E,1,0),0)=0),"X","_")</f>
        <v>_</v>
      </c>
      <c r="D13" t="str">
        <f>IF(AND(TRIM(A13)&lt;&gt;"",IFERROR(VLOOKUP(TRIM(B13),'Full Inventory'!F:F,1,0),0)=0),"X","_")</f>
        <v>_</v>
      </c>
      <c r="E13" t="str">
        <f t="shared" si="0"/>
        <v>X</v>
      </c>
      <c r="F13" t="str">
        <f ca="1">IFERROR(IF(AND(C13&amp;D13&amp;E13="___",INDIRECT("Inventory!A"&amp;MATCH(VLOOKUP(B13,Inventory!E:E,1,0),Inventory!E:E,0))&lt;&gt;INDIRECT("'Full Inventory'!B"&amp;MATCH(VLOOKUP(B13,'Full Inventory'!F:F,1,0),'Full Inventory'!F:F,0))),"X","_"),"_")</f>
        <v>_</v>
      </c>
      <c r="L13" t="str">
        <f t="shared" ca="1" si="2"/>
        <v>__X_</v>
      </c>
      <c r="M13" t="str">
        <f t="shared" ca="1" si="3"/>
        <v/>
      </c>
    </row>
    <row r="14" spans="1:13" x14ac:dyDescent="0.25">
      <c r="A14" s="5"/>
      <c r="B14" s="4" t="str">
        <f t="shared" si="1"/>
        <v/>
      </c>
      <c r="C14" t="str">
        <f>IF(AND(TRIM(A14)&lt;&gt;"",IFERROR(VLOOKUP(TRIM(B14),Inventory!E:E,1,0),0)=0),"X","_")</f>
        <v>_</v>
      </c>
      <c r="D14" t="str">
        <f>IF(AND(TRIM(A14)&lt;&gt;"",IFERROR(VLOOKUP(TRIM(B14),'Full Inventory'!F:F,1,0),0)=0),"X","_")</f>
        <v>_</v>
      </c>
      <c r="E14" t="str">
        <f t="shared" si="0"/>
        <v>X</v>
      </c>
      <c r="F14" t="str">
        <f ca="1">IFERROR(IF(AND(C14&amp;D14&amp;E14="___",INDIRECT("Inventory!A"&amp;MATCH(VLOOKUP(B14,Inventory!E:E,1,0),Inventory!E:E,0))&lt;&gt;INDIRECT("'Full Inventory'!B"&amp;MATCH(VLOOKUP(B14,'Full Inventory'!F:F,1,0),'Full Inventory'!F:F,0))),"X","_"),"_")</f>
        <v>_</v>
      </c>
      <c r="L14" t="str">
        <f t="shared" ca="1" si="2"/>
        <v>__X_</v>
      </c>
      <c r="M14" t="str">
        <f t="shared" ca="1" si="3"/>
        <v/>
      </c>
    </row>
    <row r="15" spans="1:13" x14ac:dyDescent="0.25">
      <c r="A15" s="5"/>
      <c r="B15" s="4" t="str">
        <f t="shared" si="1"/>
        <v/>
      </c>
      <c r="C15" t="str">
        <f>IF(AND(TRIM(A15)&lt;&gt;"",IFERROR(VLOOKUP(TRIM(B15),Inventory!E:E,1,0),0)=0),"X","_")</f>
        <v>_</v>
      </c>
      <c r="D15" t="str">
        <f>IF(AND(TRIM(A15)&lt;&gt;"",IFERROR(VLOOKUP(TRIM(B15),'Full Inventory'!F:F,1,0),0)=0),"X","_")</f>
        <v>_</v>
      </c>
      <c r="E15" t="str">
        <f t="shared" si="0"/>
        <v>X</v>
      </c>
      <c r="F15" t="str">
        <f ca="1">IFERROR(IF(AND(C15&amp;D15&amp;E15="___",INDIRECT("Inventory!A"&amp;MATCH(VLOOKUP(B15,Inventory!E:E,1,0),Inventory!E:E,0))&lt;&gt;INDIRECT("'Full Inventory'!B"&amp;MATCH(VLOOKUP(B15,'Full Inventory'!F:F,1,0),'Full Inventory'!F:F,0))),"X","_"),"_")</f>
        <v>_</v>
      </c>
      <c r="L15" t="str">
        <f t="shared" ca="1" si="2"/>
        <v>__X_</v>
      </c>
      <c r="M15" t="str">
        <f t="shared" ca="1" si="3"/>
        <v/>
      </c>
    </row>
    <row r="16" spans="1:13" x14ac:dyDescent="0.25">
      <c r="A16" s="5"/>
      <c r="B16" s="4" t="str">
        <f t="shared" si="1"/>
        <v/>
      </c>
      <c r="C16" t="str">
        <f>IF(AND(TRIM(A16)&lt;&gt;"",IFERROR(VLOOKUP(TRIM(B16),Inventory!E:E,1,0),0)=0),"X","_")</f>
        <v>_</v>
      </c>
      <c r="D16" t="str">
        <f>IF(AND(TRIM(A16)&lt;&gt;"",IFERROR(VLOOKUP(TRIM(B16),'Full Inventory'!F:F,1,0),0)=0),"X","_")</f>
        <v>_</v>
      </c>
      <c r="E16" t="str">
        <f t="shared" si="0"/>
        <v>X</v>
      </c>
      <c r="F16" t="str">
        <f ca="1">IFERROR(IF(AND(C16&amp;D16&amp;E16="___",INDIRECT("Inventory!A"&amp;MATCH(VLOOKUP(B16,Inventory!E:E,1,0),Inventory!E:E,0))&lt;&gt;INDIRECT("'Full Inventory'!B"&amp;MATCH(VLOOKUP(B16,'Full Inventory'!F:F,1,0),'Full Inventory'!F:F,0))),"X","_"),"_")</f>
        <v>_</v>
      </c>
      <c r="L16" t="str">
        <f t="shared" ca="1" si="2"/>
        <v>__X_</v>
      </c>
      <c r="M16" t="str">
        <f t="shared" ca="1" si="3"/>
        <v/>
      </c>
    </row>
    <row r="17" spans="1:13" x14ac:dyDescent="0.25">
      <c r="A17" s="5"/>
      <c r="B17" s="4" t="str">
        <f t="shared" si="1"/>
        <v/>
      </c>
      <c r="C17" t="str">
        <f>IF(AND(TRIM(A17)&lt;&gt;"",IFERROR(VLOOKUP(TRIM(B17),Inventory!E:E,1,0),0)=0),"X","_")</f>
        <v>_</v>
      </c>
      <c r="D17" t="str">
        <f>IF(AND(TRIM(A17)&lt;&gt;"",IFERROR(VLOOKUP(TRIM(B17),'Full Inventory'!F:F,1,0),0)=0),"X","_")</f>
        <v>_</v>
      </c>
      <c r="E17" t="str">
        <f t="shared" si="0"/>
        <v>X</v>
      </c>
      <c r="F17" t="str">
        <f ca="1">IFERROR(IF(AND(C17&amp;D17&amp;E17="___",INDIRECT("Inventory!A"&amp;MATCH(VLOOKUP(B17,Inventory!E:E,1,0),Inventory!E:E,0))&lt;&gt;INDIRECT("'Full Inventory'!B"&amp;MATCH(VLOOKUP(B17,'Full Inventory'!F:F,1,0),'Full Inventory'!F:F,0))),"X","_"),"_")</f>
        <v>_</v>
      </c>
      <c r="L17" t="str">
        <f t="shared" ca="1" si="2"/>
        <v>__X_</v>
      </c>
      <c r="M17" t="str">
        <f t="shared" ca="1" si="3"/>
        <v/>
      </c>
    </row>
    <row r="18" spans="1:13" x14ac:dyDescent="0.25">
      <c r="A18" s="5"/>
      <c r="B18" s="4" t="str">
        <f t="shared" si="1"/>
        <v/>
      </c>
      <c r="C18" t="str">
        <f>IF(AND(TRIM(A18)&lt;&gt;"",IFERROR(VLOOKUP(TRIM(B18),Inventory!E:E,1,0),0)=0),"X","_")</f>
        <v>_</v>
      </c>
      <c r="D18" t="str">
        <f>IF(AND(TRIM(A18)&lt;&gt;"",IFERROR(VLOOKUP(TRIM(B18),'Full Inventory'!F:F,1,0),0)=0),"X","_")</f>
        <v>_</v>
      </c>
      <c r="E18" t="str">
        <f t="shared" si="0"/>
        <v>X</v>
      </c>
      <c r="F18" t="str">
        <f ca="1">IFERROR(IF(AND(C18&amp;D18&amp;E18="___",INDIRECT("Inventory!A"&amp;MATCH(VLOOKUP(B18,Inventory!E:E,1,0),Inventory!E:E,0))&lt;&gt;INDIRECT("'Full Inventory'!B"&amp;MATCH(VLOOKUP(B18,'Full Inventory'!F:F,1,0),'Full Inventory'!F:F,0))),"X","_"),"_")</f>
        <v>_</v>
      </c>
      <c r="L18" t="str">
        <f t="shared" ca="1" si="2"/>
        <v>__X_</v>
      </c>
      <c r="M18" t="str">
        <f t="shared" ca="1" si="3"/>
        <v/>
      </c>
    </row>
    <row r="19" spans="1:13" x14ac:dyDescent="0.25">
      <c r="A19" s="5"/>
      <c r="B19" s="4" t="str">
        <f t="shared" si="1"/>
        <v/>
      </c>
      <c r="C19" t="str">
        <f>IF(AND(TRIM(A19)&lt;&gt;"",IFERROR(VLOOKUP(TRIM(B19),Inventory!E:E,1,0),0)=0),"X","_")</f>
        <v>_</v>
      </c>
      <c r="D19" t="str">
        <f>IF(AND(TRIM(A19)&lt;&gt;"",IFERROR(VLOOKUP(TRIM(B19),'Full Inventory'!F:F,1,0),0)=0),"X","_")</f>
        <v>_</v>
      </c>
      <c r="E19" t="str">
        <f t="shared" si="0"/>
        <v>X</v>
      </c>
      <c r="F19" t="str">
        <f ca="1">IFERROR(IF(AND(C19&amp;D19&amp;E19="___",INDIRECT("Inventory!A"&amp;MATCH(VLOOKUP(B19,Inventory!E:E,1,0),Inventory!E:E,0))&lt;&gt;INDIRECT("'Full Inventory'!B"&amp;MATCH(VLOOKUP(B19,'Full Inventory'!F:F,1,0),'Full Inventory'!F:F,0))),"X","_"),"_")</f>
        <v>_</v>
      </c>
      <c r="L19" t="str">
        <f t="shared" ca="1" si="2"/>
        <v>__X_</v>
      </c>
      <c r="M19" t="str">
        <f t="shared" ca="1" si="3"/>
        <v/>
      </c>
    </row>
    <row r="20" spans="1:13" x14ac:dyDescent="0.25">
      <c r="A20" s="5"/>
      <c r="B20" s="4" t="str">
        <f t="shared" si="1"/>
        <v/>
      </c>
      <c r="C20" t="str">
        <f>IF(AND(TRIM(A20)&lt;&gt;"",IFERROR(VLOOKUP(TRIM(B20),Inventory!E:E,1,0),0)=0),"X","_")</f>
        <v>_</v>
      </c>
      <c r="D20" t="str">
        <f>IF(AND(TRIM(A20)&lt;&gt;"",IFERROR(VLOOKUP(TRIM(B20),'Full Inventory'!F:F,1,0),0)=0),"X","_")</f>
        <v>_</v>
      </c>
      <c r="E20" t="str">
        <f t="shared" ref="E20:E83" si="4">IF(TRIM(A20)&lt;&gt;"","_","X")</f>
        <v>X</v>
      </c>
      <c r="F20" t="str">
        <f ca="1">IFERROR(IF(AND(C20&amp;D20&amp;E20="___",INDIRECT("Inventory!A"&amp;MATCH(VLOOKUP(B20,Inventory!E:E,1,0),Inventory!E:E,0))&lt;&gt;INDIRECT("'Full Inventory'!B"&amp;MATCH(VLOOKUP(B20,'Full Inventory'!F:F,1,0),'Full Inventory'!F:F,0))),"X","_"),"_")</f>
        <v>_</v>
      </c>
      <c r="L20" t="str">
        <f t="shared" ca="1" si="2"/>
        <v>__X_</v>
      </c>
      <c r="M20" t="str">
        <f t="shared" ca="1" si="3"/>
        <v/>
      </c>
    </row>
    <row r="21" spans="1:13" x14ac:dyDescent="0.25">
      <c r="A21" s="5"/>
      <c r="B21" s="4" t="str">
        <f t="shared" si="1"/>
        <v/>
      </c>
      <c r="C21" t="str">
        <f>IF(AND(TRIM(A21)&lt;&gt;"",IFERROR(VLOOKUP(TRIM(B21),Inventory!E:E,1,0),0)=0),"X","_")</f>
        <v>_</v>
      </c>
      <c r="D21" t="str">
        <f>IF(AND(TRIM(A21)&lt;&gt;"",IFERROR(VLOOKUP(TRIM(B21),'Full Inventory'!F:F,1,0),0)=0),"X","_")</f>
        <v>_</v>
      </c>
      <c r="E21" t="str">
        <f t="shared" si="4"/>
        <v>X</v>
      </c>
      <c r="F21" t="str">
        <f ca="1">IFERROR(IF(AND(C21&amp;D21&amp;E21="___",INDIRECT("Inventory!A"&amp;MATCH(VLOOKUP(B21,Inventory!E:E,1,0),Inventory!E:E,0))&lt;&gt;INDIRECT("'Full Inventory'!B"&amp;MATCH(VLOOKUP(B21,'Full Inventory'!F:F,1,0),'Full Inventory'!F:F,0))),"X","_"),"_")</f>
        <v>_</v>
      </c>
      <c r="L21" t="str">
        <f t="shared" ca="1" si="2"/>
        <v>__X_</v>
      </c>
      <c r="M21" t="str">
        <f t="shared" ca="1" si="3"/>
        <v/>
      </c>
    </row>
    <row r="22" spans="1:13" x14ac:dyDescent="0.25">
      <c r="A22" s="5"/>
      <c r="B22" s="4" t="str">
        <f t="shared" si="1"/>
        <v/>
      </c>
      <c r="C22" t="str">
        <f>IF(AND(TRIM(A22)&lt;&gt;"",IFERROR(VLOOKUP(TRIM(B22),Inventory!E:E,1,0),0)=0),"X","_")</f>
        <v>_</v>
      </c>
      <c r="D22" t="str">
        <f>IF(AND(TRIM(A22)&lt;&gt;"",IFERROR(VLOOKUP(TRIM(B22),'Full Inventory'!F:F,1,0),0)=0),"X","_")</f>
        <v>_</v>
      </c>
      <c r="E22" t="str">
        <f t="shared" si="4"/>
        <v>X</v>
      </c>
      <c r="F22" t="str">
        <f ca="1">IFERROR(IF(AND(C22&amp;D22&amp;E22="___",INDIRECT("Inventory!A"&amp;MATCH(VLOOKUP(B22,Inventory!E:E,1,0),Inventory!E:E,0))&lt;&gt;INDIRECT("'Full Inventory'!B"&amp;MATCH(VLOOKUP(B22,'Full Inventory'!F:F,1,0),'Full Inventory'!F:F,0))),"X","_"),"_")</f>
        <v>_</v>
      </c>
      <c r="L22" t="str">
        <f t="shared" ca="1" si="2"/>
        <v>__X_</v>
      </c>
      <c r="M22" t="str">
        <f t="shared" ca="1" si="3"/>
        <v/>
      </c>
    </row>
    <row r="23" spans="1:13" x14ac:dyDescent="0.25">
      <c r="A23" s="5"/>
      <c r="B23" s="4" t="str">
        <f t="shared" si="1"/>
        <v/>
      </c>
      <c r="C23" t="str">
        <f>IF(AND(TRIM(A23)&lt;&gt;"",IFERROR(VLOOKUP(TRIM(B23),Inventory!E:E,1,0),0)=0),"X","_")</f>
        <v>_</v>
      </c>
      <c r="D23" t="str">
        <f>IF(AND(TRIM(A23)&lt;&gt;"",IFERROR(VLOOKUP(TRIM(B23),'Full Inventory'!F:F,1,0),0)=0),"X","_")</f>
        <v>_</v>
      </c>
      <c r="E23" t="str">
        <f t="shared" si="4"/>
        <v>X</v>
      </c>
      <c r="F23" t="str">
        <f ca="1">IFERROR(IF(AND(C23&amp;D23&amp;E23="___",INDIRECT("Inventory!A"&amp;MATCH(VLOOKUP(B23,Inventory!E:E,1,0),Inventory!E:E,0))&lt;&gt;INDIRECT("'Full Inventory'!B"&amp;MATCH(VLOOKUP(B23,'Full Inventory'!F:F,1,0),'Full Inventory'!F:F,0))),"X","_"),"_")</f>
        <v>_</v>
      </c>
      <c r="L23" t="str">
        <f t="shared" ca="1" si="2"/>
        <v>__X_</v>
      </c>
      <c r="M23" t="str">
        <f t="shared" ca="1" si="3"/>
        <v/>
      </c>
    </row>
    <row r="24" spans="1:13" x14ac:dyDescent="0.25">
      <c r="A24" s="5"/>
      <c r="B24" s="4" t="str">
        <f t="shared" si="1"/>
        <v/>
      </c>
      <c r="C24" t="str">
        <f>IF(AND(TRIM(A24)&lt;&gt;"",IFERROR(VLOOKUP(TRIM(B24),Inventory!E:E,1,0),0)=0),"X","_")</f>
        <v>_</v>
      </c>
      <c r="D24" t="str">
        <f>IF(AND(TRIM(A24)&lt;&gt;"",IFERROR(VLOOKUP(TRIM(B24),'Full Inventory'!F:F,1,0),0)=0),"X","_")</f>
        <v>_</v>
      </c>
      <c r="E24" t="str">
        <f t="shared" si="4"/>
        <v>X</v>
      </c>
      <c r="F24" t="str">
        <f ca="1">IFERROR(IF(AND(C24&amp;D24&amp;E24="___",INDIRECT("Inventory!A"&amp;MATCH(VLOOKUP(B24,Inventory!E:E,1,0),Inventory!E:E,0))&lt;&gt;INDIRECT("'Full Inventory'!B"&amp;MATCH(VLOOKUP(B24,'Full Inventory'!F:F,1,0),'Full Inventory'!F:F,0))),"X","_"),"_")</f>
        <v>_</v>
      </c>
      <c r="L24" t="str">
        <f t="shared" ca="1" si="2"/>
        <v>__X_</v>
      </c>
      <c r="M24" t="str">
        <f t="shared" ca="1" si="3"/>
        <v/>
      </c>
    </row>
    <row r="25" spans="1:13" x14ac:dyDescent="0.25">
      <c r="A25" s="5"/>
      <c r="B25" s="4" t="str">
        <f t="shared" si="1"/>
        <v/>
      </c>
      <c r="C25" t="str">
        <f>IF(AND(TRIM(A25)&lt;&gt;"",IFERROR(VLOOKUP(TRIM(B25),Inventory!E:E,1,0),0)=0),"X","_")</f>
        <v>_</v>
      </c>
      <c r="D25" t="str">
        <f>IF(AND(TRIM(A25)&lt;&gt;"",IFERROR(VLOOKUP(TRIM(B25),'Full Inventory'!F:F,1,0),0)=0),"X","_")</f>
        <v>_</v>
      </c>
      <c r="E25" t="str">
        <f t="shared" si="4"/>
        <v>X</v>
      </c>
      <c r="F25" t="str">
        <f ca="1">IFERROR(IF(AND(C25&amp;D25&amp;E25="___",INDIRECT("Inventory!A"&amp;MATCH(VLOOKUP(B25,Inventory!E:E,1,0),Inventory!E:E,0))&lt;&gt;INDIRECT("'Full Inventory'!B"&amp;MATCH(VLOOKUP(B25,'Full Inventory'!F:F,1,0),'Full Inventory'!F:F,0))),"X","_"),"_")</f>
        <v>_</v>
      </c>
      <c r="L25" t="str">
        <f t="shared" ca="1" si="2"/>
        <v>__X_</v>
      </c>
      <c r="M25" t="str">
        <f t="shared" ca="1" si="3"/>
        <v/>
      </c>
    </row>
    <row r="26" spans="1:13" x14ac:dyDescent="0.25">
      <c r="A26" s="5"/>
      <c r="B26" s="4" t="str">
        <f t="shared" si="1"/>
        <v/>
      </c>
      <c r="C26" t="str">
        <f>IF(AND(TRIM(A26)&lt;&gt;"",IFERROR(VLOOKUP(TRIM(B26),Inventory!E:E,1,0),0)=0),"X","_")</f>
        <v>_</v>
      </c>
      <c r="D26" t="str">
        <f>IF(AND(TRIM(A26)&lt;&gt;"",IFERROR(VLOOKUP(TRIM(B26),'Full Inventory'!F:F,1,0),0)=0),"X","_")</f>
        <v>_</v>
      </c>
      <c r="E26" t="str">
        <f t="shared" si="4"/>
        <v>X</v>
      </c>
      <c r="F26" t="str">
        <f ca="1">IFERROR(IF(AND(C26&amp;D26&amp;E26="___",INDIRECT("Inventory!A"&amp;MATCH(VLOOKUP(B26,Inventory!E:E,1,0),Inventory!E:E,0))&lt;&gt;INDIRECT("'Full Inventory'!B"&amp;MATCH(VLOOKUP(B26,'Full Inventory'!F:F,1,0),'Full Inventory'!F:F,0))),"X","_"),"_")</f>
        <v>_</v>
      </c>
      <c r="L26" t="str">
        <f t="shared" ca="1" si="2"/>
        <v>__X_</v>
      </c>
      <c r="M26" t="str">
        <f t="shared" ca="1" si="3"/>
        <v/>
      </c>
    </row>
    <row r="27" spans="1:13" x14ac:dyDescent="0.25">
      <c r="A27" s="5"/>
      <c r="B27" s="4" t="str">
        <f t="shared" si="1"/>
        <v/>
      </c>
      <c r="C27" t="str">
        <f>IF(AND(TRIM(A27)&lt;&gt;"",IFERROR(VLOOKUP(TRIM(B27),Inventory!E:E,1,0),0)=0),"X","_")</f>
        <v>_</v>
      </c>
      <c r="D27" t="str">
        <f>IF(AND(TRIM(A27)&lt;&gt;"",IFERROR(VLOOKUP(TRIM(B27),'Full Inventory'!F:F,1,0),0)=0),"X","_")</f>
        <v>_</v>
      </c>
      <c r="E27" t="str">
        <f t="shared" si="4"/>
        <v>X</v>
      </c>
      <c r="F27" t="str">
        <f ca="1">IFERROR(IF(AND(C27&amp;D27&amp;E27="___",INDIRECT("Inventory!A"&amp;MATCH(VLOOKUP(B27,Inventory!E:E,1,0),Inventory!E:E,0))&lt;&gt;INDIRECT("'Full Inventory'!B"&amp;MATCH(VLOOKUP(B27,'Full Inventory'!F:F,1,0),'Full Inventory'!F:F,0))),"X","_"),"_")</f>
        <v>_</v>
      </c>
      <c r="L27" t="str">
        <f t="shared" ca="1" si="2"/>
        <v>__X_</v>
      </c>
      <c r="M27" t="str">
        <f t="shared" ca="1" si="3"/>
        <v/>
      </c>
    </row>
    <row r="28" spans="1:13" x14ac:dyDescent="0.25">
      <c r="A28" s="5"/>
      <c r="B28" s="4" t="str">
        <f t="shared" si="1"/>
        <v/>
      </c>
      <c r="C28" t="str">
        <f>IF(AND(TRIM(A28)&lt;&gt;"",IFERROR(VLOOKUP(TRIM(B28),Inventory!E:E,1,0),0)=0),"X","_")</f>
        <v>_</v>
      </c>
      <c r="D28" t="str">
        <f>IF(AND(TRIM(A28)&lt;&gt;"",IFERROR(VLOOKUP(TRIM(B28),'Full Inventory'!F:F,1,0),0)=0),"X","_")</f>
        <v>_</v>
      </c>
      <c r="E28" t="str">
        <f t="shared" si="4"/>
        <v>X</v>
      </c>
      <c r="F28" t="str">
        <f ca="1">IFERROR(IF(AND(C28&amp;D28&amp;E28="___",INDIRECT("Inventory!A"&amp;MATCH(VLOOKUP(B28,Inventory!E:E,1,0),Inventory!E:E,0))&lt;&gt;INDIRECT("'Full Inventory'!B"&amp;MATCH(VLOOKUP(B28,'Full Inventory'!F:F,1,0),'Full Inventory'!F:F,0))),"X","_"),"_")</f>
        <v>_</v>
      </c>
      <c r="L28" t="str">
        <f t="shared" ca="1" si="2"/>
        <v>__X_</v>
      </c>
      <c r="M28" t="str">
        <f t="shared" ca="1" si="3"/>
        <v/>
      </c>
    </row>
    <row r="29" spans="1:13" x14ac:dyDescent="0.25">
      <c r="A29" s="5"/>
      <c r="B29" s="4" t="str">
        <f t="shared" si="1"/>
        <v/>
      </c>
      <c r="C29" t="str">
        <f>IF(AND(TRIM(A29)&lt;&gt;"",IFERROR(VLOOKUP(TRIM(B29),Inventory!E:E,1,0),0)=0),"X","_")</f>
        <v>_</v>
      </c>
      <c r="D29" t="str">
        <f>IF(AND(TRIM(A29)&lt;&gt;"",IFERROR(VLOOKUP(TRIM(B29),'Full Inventory'!F:F,1,0),0)=0),"X","_")</f>
        <v>_</v>
      </c>
      <c r="E29" t="str">
        <f t="shared" si="4"/>
        <v>X</v>
      </c>
      <c r="F29" t="str">
        <f ca="1">IFERROR(IF(AND(C29&amp;D29&amp;E29="___",INDIRECT("Inventory!A"&amp;MATCH(VLOOKUP(B29,Inventory!E:E,1,0),Inventory!E:E,0))&lt;&gt;INDIRECT("'Full Inventory'!B"&amp;MATCH(VLOOKUP(B29,'Full Inventory'!F:F,1,0),'Full Inventory'!F:F,0))),"X","_"),"_")</f>
        <v>_</v>
      </c>
      <c r="L29" t="str">
        <f t="shared" ca="1" si="2"/>
        <v>__X_</v>
      </c>
      <c r="M29" t="str">
        <f t="shared" ca="1" si="3"/>
        <v/>
      </c>
    </row>
    <row r="30" spans="1:13" x14ac:dyDescent="0.25">
      <c r="A30" s="5"/>
      <c r="B30" s="4" t="str">
        <f t="shared" si="1"/>
        <v/>
      </c>
      <c r="C30" t="str">
        <f>IF(AND(TRIM(A30)&lt;&gt;"",IFERROR(VLOOKUP(TRIM(B30),Inventory!E:E,1,0),0)=0),"X","_")</f>
        <v>_</v>
      </c>
      <c r="D30" t="str">
        <f>IF(AND(TRIM(A30)&lt;&gt;"",IFERROR(VLOOKUP(TRIM(B30),'Full Inventory'!F:F,1,0),0)=0),"X","_")</f>
        <v>_</v>
      </c>
      <c r="E30" t="str">
        <f t="shared" si="4"/>
        <v>X</v>
      </c>
      <c r="F30" t="str">
        <f ca="1">IFERROR(IF(AND(C30&amp;D30&amp;E30="___",INDIRECT("Inventory!A"&amp;MATCH(VLOOKUP(B30,Inventory!E:E,1,0),Inventory!E:E,0))&lt;&gt;INDIRECT("'Full Inventory'!B"&amp;MATCH(VLOOKUP(B30,'Full Inventory'!F:F,1,0),'Full Inventory'!F:F,0))),"X","_"),"_")</f>
        <v>_</v>
      </c>
      <c r="L30" t="str">
        <f t="shared" ca="1" si="2"/>
        <v>__X_</v>
      </c>
      <c r="M30" t="str">
        <f t="shared" ca="1" si="3"/>
        <v/>
      </c>
    </row>
    <row r="31" spans="1:13" x14ac:dyDescent="0.25">
      <c r="A31" s="5"/>
      <c r="B31" s="4" t="str">
        <f t="shared" si="1"/>
        <v/>
      </c>
      <c r="C31" t="str">
        <f>IF(AND(TRIM(A31)&lt;&gt;"",IFERROR(VLOOKUP(TRIM(B31),Inventory!E:E,1,0),0)=0),"X","_")</f>
        <v>_</v>
      </c>
      <c r="D31" t="str">
        <f>IF(AND(TRIM(A31)&lt;&gt;"",IFERROR(VLOOKUP(TRIM(B31),'Full Inventory'!F:F,1,0),0)=0),"X","_")</f>
        <v>_</v>
      </c>
      <c r="E31" t="str">
        <f t="shared" si="4"/>
        <v>X</v>
      </c>
      <c r="F31" t="str">
        <f ca="1">IFERROR(IF(AND(C31&amp;D31&amp;E31="___",INDIRECT("Inventory!A"&amp;MATCH(VLOOKUP(B31,Inventory!E:E,1,0),Inventory!E:E,0))&lt;&gt;INDIRECT("'Full Inventory'!B"&amp;MATCH(VLOOKUP(B31,'Full Inventory'!F:F,1,0),'Full Inventory'!F:F,0))),"X","_"),"_")</f>
        <v>_</v>
      </c>
      <c r="L31" t="str">
        <f t="shared" ca="1" si="2"/>
        <v>__X_</v>
      </c>
      <c r="M31" t="str">
        <f t="shared" ca="1" si="3"/>
        <v/>
      </c>
    </row>
    <row r="32" spans="1:13" x14ac:dyDescent="0.25">
      <c r="A32" s="5"/>
      <c r="B32" s="4" t="str">
        <f t="shared" si="1"/>
        <v/>
      </c>
      <c r="C32" t="str">
        <f>IF(AND(TRIM(A32)&lt;&gt;"",IFERROR(VLOOKUP(TRIM(B32),Inventory!E:E,1,0),0)=0),"X","_")</f>
        <v>_</v>
      </c>
      <c r="D32" t="str">
        <f>IF(AND(TRIM(A32)&lt;&gt;"",IFERROR(VLOOKUP(TRIM(B32),'Full Inventory'!F:F,1,0),0)=0),"X","_")</f>
        <v>_</v>
      </c>
      <c r="E32" t="str">
        <f t="shared" si="4"/>
        <v>X</v>
      </c>
      <c r="F32" t="str">
        <f ca="1">IFERROR(IF(AND(C32&amp;D32&amp;E32="___",INDIRECT("Inventory!A"&amp;MATCH(VLOOKUP(B32,Inventory!E:E,1,0),Inventory!E:E,0))&lt;&gt;INDIRECT("'Full Inventory'!B"&amp;MATCH(VLOOKUP(B32,'Full Inventory'!F:F,1,0),'Full Inventory'!F:F,0))),"X","_"),"_")</f>
        <v>_</v>
      </c>
      <c r="L32" t="str">
        <f t="shared" ca="1" si="2"/>
        <v>__X_</v>
      </c>
      <c r="M32" t="str">
        <f t="shared" ca="1" si="3"/>
        <v/>
      </c>
    </row>
    <row r="33" spans="1:13" x14ac:dyDescent="0.25">
      <c r="A33" s="5"/>
      <c r="B33" s="4" t="str">
        <f t="shared" si="1"/>
        <v/>
      </c>
      <c r="C33" t="str">
        <f>IF(AND(TRIM(A33)&lt;&gt;"",IFERROR(VLOOKUP(TRIM(B33),Inventory!E:E,1,0),0)=0),"X","_")</f>
        <v>_</v>
      </c>
      <c r="D33" t="str">
        <f>IF(AND(TRIM(A33)&lt;&gt;"",IFERROR(VLOOKUP(TRIM(B33),'Full Inventory'!F:F,1,0),0)=0),"X","_")</f>
        <v>_</v>
      </c>
      <c r="E33" t="str">
        <f t="shared" si="4"/>
        <v>X</v>
      </c>
      <c r="F33" t="str">
        <f ca="1">IFERROR(IF(AND(C33&amp;D33&amp;E33="___",INDIRECT("Inventory!A"&amp;MATCH(VLOOKUP(B33,Inventory!E:E,1,0),Inventory!E:E,0))&lt;&gt;INDIRECT("'Full Inventory'!B"&amp;MATCH(VLOOKUP(B33,'Full Inventory'!F:F,1,0),'Full Inventory'!F:F,0))),"X","_"),"_")</f>
        <v>_</v>
      </c>
      <c r="L33" t="str">
        <f t="shared" ca="1" si="2"/>
        <v>__X_</v>
      </c>
      <c r="M33" t="str">
        <f t="shared" ca="1" si="3"/>
        <v/>
      </c>
    </row>
    <row r="34" spans="1:13" x14ac:dyDescent="0.25">
      <c r="A34" s="5"/>
      <c r="B34" s="4" t="str">
        <f t="shared" si="1"/>
        <v/>
      </c>
      <c r="C34" t="str">
        <f>IF(AND(TRIM(A34)&lt;&gt;"",IFERROR(VLOOKUP(TRIM(B34),Inventory!E:E,1,0),0)=0),"X","_")</f>
        <v>_</v>
      </c>
      <c r="D34" t="str">
        <f>IF(AND(TRIM(A34)&lt;&gt;"",IFERROR(VLOOKUP(TRIM(B34),'Full Inventory'!F:F,1,0),0)=0),"X","_")</f>
        <v>_</v>
      </c>
      <c r="E34" t="str">
        <f t="shared" si="4"/>
        <v>X</v>
      </c>
      <c r="F34" t="str">
        <f ca="1">IFERROR(IF(AND(C34&amp;D34&amp;E34="___",INDIRECT("Inventory!A"&amp;MATCH(VLOOKUP(B34,Inventory!E:E,1,0),Inventory!E:E,0))&lt;&gt;INDIRECT("'Full Inventory'!B"&amp;MATCH(VLOOKUP(B34,'Full Inventory'!F:F,1,0),'Full Inventory'!F:F,0))),"X","_"),"_")</f>
        <v>_</v>
      </c>
      <c r="L34" t="str">
        <f t="shared" ca="1" si="2"/>
        <v>__X_</v>
      </c>
      <c r="M34" t="str">
        <f t="shared" ca="1" si="3"/>
        <v/>
      </c>
    </row>
    <row r="35" spans="1:13" x14ac:dyDescent="0.25">
      <c r="A35" s="5"/>
      <c r="B35" s="4" t="str">
        <f t="shared" si="1"/>
        <v/>
      </c>
      <c r="C35" t="str">
        <f>IF(AND(TRIM(A35)&lt;&gt;"",IFERROR(VLOOKUP(TRIM(B35),Inventory!E:E,1,0),0)=0),"X","_")</f>
        <v>_</v>
      </c>
      <c r="D35" t="str">
        <f>IF(AND(TRIM(A35)&lt;&gt;"",IFERROR(VLOOKUP(TRIM(B35),'Full Inventory'!F:F,1,0),0)=0),"X","_")</f>
        <v>_</v>
      </c>
      <c r="E35" t="str">
        <f t="shared" si="4"/>
        <v>X</v>
      </c>
      <c r="F35" t="str">
        <f ca="1">IFERROR(IF(AND(C35&amp;D35&amp;E35="___",INDIRECT("Inventory!A"&amp;MATCH(VLOOKUP(B35,Inventory!E:E,1,0),Inventory!E:E,0))&lt;&gt;INDIRECT("'Full Inventory'!B"&amp;MATCH(VLOOKUP(B35,'Full Inventory'!F:F,1,0),'Full Inventory'!F:F,0))),"X","_"),"_")</f>
        <v>_</v>
      </c>
      <c r="L35" t="str">
        <f t="shared" ca="1" si="2"/>
        <v>__X_</v>
      </c>
      <c r="M35" t="str">
        <f t="shared" ca="1" si="3"/>
        <v/>
      </c>
    </row>
    <row r="36" spans="1:13" x14ac:dyDescent="0.25">
      <c r="A36" s="5"/>
      <c r="B36" s="4" t="str">
        <f t="shared" si="1"/>
        <v/>
      </c>
      <c r="C36" t="str">
        <f>IF(AND(TRIM(A36)&lt;&gt;"",IFERROR(VLOOKUP(TRIM(B36),Inventory!E:E,1,0),0)=0),"X","_")</f>
        <v>_</v>
      </c>
      <c r="D36" t="str">
        <f>IF(AND(TRIM(A36)&lt;&gt;"",IFERROR(VLOOKUP(TRIM(B36),'Full Inventory'!F:F,1,0),0)=0),"X","_")</f>
        <v>_</v>
      </c>
      <c r="E36" t="str">
        <f t="shared" si="4"/>
        <v>X</v>
      </c>
      <c r="F36" t="str">
        <f ca="1">IFERROR(IF(AND(C36&amp;D36&amp;E36="___",INDIRECT("Inventory!A"&amp;MATCH(VLOOKUP(B36,Inventory!E:E,1,0),Inventory!E:E,0))&lt;&gt;INDIRECT("'Full Inventory'!B"&amp;MATCH(VLOOKUP(B36,'Full Inventory'!F:F,1,0),'Full Inventory'!F:F,0))),"X","_"),"_")</f>
        <v>_</v>
      </c>
      <c r="L36" t="str">
        <f t="shared" ca="1" si="2"/>
        <v>__X_</v>
      </c>
      <c r="M36" t="str">
        <f t="shared" ca="1" si="3"/>
        <v/>
      </c>
    </row>
    <row r="37" spans="1:13" x14ac:dyDescent="0.25">
      <c r="A37" s="5"/>
      <c r="B37" s="4" t="str">
        <f t="shared" si="1"/>
        <v/>
      </c>
      <c r="C37" t="str">
        <f>IF(AND(TRIM(A37)&lt;&gt;"",IFERROR(VLOOKUP(TRIM(B37),Inventory!E:E,1,0),0)=0),"X","_")</f>
        <v>_</v>
      </c>
      <c r="D37" t="str">
        <f>IF(AND(TRIM(A37)&lt;&gt;"",IFERROR(VLOOKUP(TRIM(B37),'Full Inventory'!F:F,1,0),0)=0),"X","_")</f>
        <v>_</v>
      </c>
      <c r="E37" t="str">
        <f t="shared" si="4"/>
        <v>X</v>
      </c>
      <c r="F37" t="str">
        <f ca="1">IFERROR(IF(AND(C37&amp;D37&amp;E37="___",INDIRECT("Inventory!A"&amp;MATCH(VLOOKUP(B37,Inventory!E:E,1,0),Inventory!E:E,0))&lt;&gt;INDIRECT("'Full Inventory'!B"&amp;MATCH(VLOOKUP(B37,'Full Inventory'!F:F,1,0),'Full Inventory'!F:F,0))),"X","_"),"_")</f>
        <v>_</v>
      </c>
      <c r="L37" t="str">
        <f t="shared" ca="1" si="2"/>
        <v>__X_</v>
      </c>
      <c r="M37" t="str">
        <f t="shared" ca="1" si="3"/>
        <v/>
      </c>
    </row>
    <row r="38" spans="1:13" x14ac:dyDescent="0.25">
      <c r="A38" s="5"/>
      <c r="B38" s="4" t="str">
        <f t="shared" si="1"/>
        <v/>
      </c>
      <c r="C38" t="str">
        <f>IF(AND(TRIM(A38)&lt;&gt;"",IFERROR(VLOOKUP(TRIM(B38),Inventory!E:E,1,0),0)=0),"X","_")</f>
        <v>_</v>
      </c>
      <c r="D38" t="str">
        <f>IF(AND(TRIM(A38)&lt;&gt;"",IFERROR(VLOOKUP(TRIM(B38),'Full Inventory'!F:F,1,0),0)=0),"X","_")</f>
        <v>_</v>
      </c>
      <c r="E38" t="str">
        <f t="shared" si="4"/>
        <v>X</v>
      </c>
      <c r="F38" t="str">
        <f ca="1">IFERROR(IF(AND(C38&amp;D38&amp;E38="___",INDIRECT("Inventory!A"&amp;MATCH(VLOOKUP(B38,Inventory!E:E,1,0),Inventory!E:E,0))&lt;&gt;INDIRECT("'Full Inventory'!B"&amp;MATCH(VLOOKUP(B38,'Full Inventory'!F:F,1,0),'Full Inventory'!F:F,0))),"X","_"),"_")</f>
        <v>_</v>
      </c>
      <c r="L38" t="str">
        <f t="shared" ca="1" si="2"/>
        <v>__X_</v>
      </c>
      <c r="M38" t="str">
        <f t="shared" ca="1" si="3"/>
        <v/>
      </c>
    </row>
    <row r="39" spans="1:13" x14ac:dyDescent="0.25">
      <c r="A39" s="5"/>
      <c r="B39" s="4" t="str">
        <f t="shared" si="1"/>
        <v/>
      </c>
      <c r="C39" t="str">
        <f>IF(AND(TRIM(A39)&lt;&gt;"",IFERROR(VLOOKUP(TRIM(B39),Inventory!E:E,1,0),0)=0),"X","_")</f>
        <v>_</v>
      </c>
      <c r="D39" t="str">
        <f>IF(AND(TRIM(A39)&lt;&gt;"",IFERROR(VLOOKUP(TRIM(B39),'Full Inventory'!F:F,1,0),0)=0),"X","_")</f>
        <v>_</v>
      </c>
      <c r="E39" t="str">
        <f t="shared" si="4"/>
        <v>X</v>
      </c>
      <c r="F39" t="str">
        <f ca="1">IFERROR(IF(AND(C39&amp;D39&amp;E39="___",INDIRECT("Inventory!A"&amp;MATCH(VLOOKUP(B39,Inventory!E:E,1,0),Inventory!E:E,0))&lt;&gt;INDIRECT("'Full Inventory'!B"&amp;MATCH(VLOOKUP(B39,'Full Inventory'!F:F,1,0),'Full Inventory'!F:F,0))),"X","_"),"_")</f>
        <v>_</v>
      </c>
      <c r="L39" t="str">
        <f t="shared" ca="1" si="2"/>
        <v>__X_</v>
      </c>
      <c r="M39" t="str">
        <f t="shared" ca="1" si="3"/>
        <v/>
      </c>
    </row>
    <row r="40" spans="1:13" x14ac:dyDescent="0.25">
      <c r="A40" s="5"/>
      <c r="B40" s="4" t="str">
        <f t="shared" si="1"/>
        <v/>
      </c>
      <c r="C40" t="str">
        <f>IF(AND(TRIM(A40)&lt;&gt;"",IFERROR(VLOOKUP(TRIM(B40),Inventory!E:E,1,0),0)=0),"X","_")</f>
        <v>_</v>
      </c>
      <c r="D40" t="str">
        <f>IF(AND(TRIM(A40)&lt;&gt;"",IFERROR(VLOOKUP(TRIM(B40),'Full Inventory'!F:F,1,0),0)=0),"X","_")</f>
        <v>_</v>
      </c>
      <c r="E40" t="str">
        <f t="shared" si="4"/>
        <v>X</v>
      </c>
      <c r="F40" t="str">
        <f ca="1">IFERROR(IF(AND(C40&amp;D40&amp;E40="___",INDIRECT("Inventory!A"&amp;MATCH(VLOOKUP(B40,Inventory!E:E,1,0),Inventory!E:E,0))&lt;&gt;INDIRECT("'Full Inventory'!B"&amp;MATCH(VLOOKUP(B40,'Full Inventory'!F:F,1,0),'Full Inventory'!F:F,0))),"X","_"),"_")</f>
        <v>_</v>
      </c>
      <c r="L40" t="str">
        <f t="shared" ca="1" si="2"/>
        <v>__X_</v>
      </c>
      <c r="M40" t="str">
        <f t="shared" ca="1" si="3"/>
        <v/>
      </c>
    </row>
    <row r="41" spans="1:13" x14ac:dyDescent="0.25">
      <c r="A41" s="5"/>
      <c r="B41" s="4" t="str">
        <f t="shared" si="1"/>
        <v/>
      </c>
      <c r="C41" t="str">
        <f>IF(AND(TRIM(A41)&lt;&gt;"",IFERROR(VLOOKUP(TRIM(B41),Inventory!E:E,1,0),0)=0),"X","_")</f>
        <v>_</v>
      </c>
      <c r="D41" t="str">
        <f>IF(AND(TRIM(A41)&lt;&gt;"",IFERROR(VLOOKUP(TRIM(B41),'Full Inventory'!F:F,1,0),0)=0),"X","_")</f>
        <v>_</v>
      </c>
      <c r="E41" t="str">
        <f t="shared" si="4"/>
        <v>X</v>
      </c>
      <c r="F41" t="str">
        <f ca="1">IFERROR(IF(AND(C41&amp;D41&amp;E41="___",INDIRECT("Inventory!A"&amp;MATCH(VLOOKUP(B41,Inventory!E:E,1,0),Inventory!E:E,0))&lt;&gt;INDIRECT("'Full Inventory'!B"&amp;MATCH(VLOOKUP(B41,'Full Inventory'!F:F,1,0),'Full Inventory'!F:F,0))),"X","_"),"_")</f>
        <v>_</v>
      </c>
      <c r="L41" t="str">
        <f t="shared" ca="1" si="2"/>
        <v>__X_</v>
      </c>
      <c r="M41" t="str">
        <f t="shared" ca="1" si="3"/>
        <v/>
      </c>
    </row>
    <row r="42" spans="1:13" x14ac:dyDescent="0.25">
      <c r="A42" s="5"/>
      <c r="B42" s="4" t="str">
        <f t="shared" si="1"/>
        <v/>
      </c>
      <c r="C42" t="str">
        <f>IF(AND(TRIM(A42)&lt;&gt;"",IFERROR(VLOOKUP(TRIM(B42),Inventory!E:E,1,0),0)=0),"X","_")</f>
        <v>_</v>
      </c>
      <c r="D42" t="str">
        <f>IF(AND(TRIM(A42)&lt;&gt;"",IFERROR(VLOOKUP(TRIM(B42),'Full Inventory'!F:F,1,0),0)=0),"X","_")</f>
        <v>_</v>
      </c>
      <c r="E42" t="str">
        <f t="shared" si="4"/>
        <v>X</v>
      </c>
      <c r="F42" t="str">
        <f ca="1">IFERROR(IF(AND(C42&amp;D42&amp;E42="___",INDIRECT("Inventory!A"&amp;MATCH(VLOOKUP(B42,Inventory!E:E,1,0),Inventory!E:E,0))&lt;&gt;INDIRECT("'Full Inventory'!B"&amp;MATCH(VLOOKUP(B42,'Full Inventory'!F:F,1,0),'Full Inventory'!F:F,0))),"X","_"),"_")</f>
        <v>_</v>
      </c>
      <c r="L42" t="str">
        <f t="shared" ca="1" si="2"/>
        <v>__X_</v>
      </c>
      <c r="M42" t="str">
        <f t="shared" ca="1" si="3"/>
        <v/>
      </c>
    </row>
    <row r="43" spans="1:13" x14ac:dyDescent="0.25">
      <c r="A43" s="5"/>
      <c r="B43" s="4" t="str">
        <f t="shared" si="1"/>
        <v/>
      </c>
      <c r="C43" t="str">
        <f>IF(AND(TRIM(A43)&lt;&gt;"",IFERROR(VLOOKUP(TRIM(B43),Inventory!E:E,1,0),0)=0),"X","_")</f>
        <v>_</v>
      </c>
      <c r="D43" t="str">
        <f>IF(AND(TRIM(A43)&lt;&gt;"",IFERROR(VLOOKUP(TRIM(B43),'Full Inventory'!F:F,1,0),0)=0),"X","_")</f>
        <v>_</v>
      </c>
      <c r="E43" t="str">
        <f t="shared" si="4"/>
        <v>X</v>
      </c>
      <c r="F43" t="str">
        <f ca="1">IFERROR(IF(AND(C43&amp;D43&amp;E43="___",INDIRECT("Inventory!A"&amp;MATCH(VLOOKUP(B43,Inventory!E:E,1,0),Inventory!E:E,0))&lt;&gt;INDIRECT("'Full Inventory'!B"&amp;MATCH(VLOOKUP(B43,'Full Inventory'!F:F,1,0),'Full Inventory'!F:F,0))),"X","_"),"_")</f>
        <v>_</v>
      </c>
      <c r="L43" t="str">
        <f t="shared" ca="1" si="2"/>
        <v>__X_</v>
      </c>
      <c r="M43" t="str">
        <f t="shared" ca="1" si="3"/>
        <v/>
      </c>
    </row>
    <row r="44" spans="1:13" x14ac:dyDescent="0.25">
      <c r="A44" s="5"/>
      <c r="B44" s="4" t="str">
        <f t="shared" si="1"/>
        <v/>
      </c>
      <c r="C44" t="str">
        <f>IF(AND(TRIM(A44)&lt;&gt;"",IFERROR(VLOOKUP(TRIM(B44),Inventory!E:E,1,0),0)=0),"X","_")</f>
        <v>_</v>
      </c>
      <c r="D44" t="str">
        <f>IF(AND(TRIM(A44)&lt;&gt;"",IFERROR(VLOOKUP(TRIM(B44),'Full Inventory'!F:F,1,0),0)=0),"X","_")</f>
        <v>_</v>
      </c>
      <c r="E44" t="str">
        <f t="shared" si="4"/>
        <v>X</v>
      </c>
      <c r="F44" t="str">
        <f ca="1">IFERROR(IF(AND(C44&amp;D44&amp;E44="___",INDIRECT("Inventory!A"&amp;MATCH(VLOOKUP(B44,Inventory!E:E,1,0),Inventory!E:E,0))&lt;&gt;INDIRECT("'Full Inventory'!B"&amp;MATCH(VLOOKUP(B44,'Full Inventory'!F:F,1,0),'Full Inventory'!F:F,0))),"X","_"),"_")</f>
        <v>_</v>
      </c>
      <c r="L44" t="str">
        <f t="shared" ca="1" si="2"/>
        <v>__X_</v>
      </c>
      <c r="M44" t="str">
        <f t="shared" ca="1" si="3"/>
        <v/>
      </c>
    </row>
    <row r="45" spans="1:13" x14ac:dyDescent="0.25">
      <c r="A45" s="5"/>
      <c r="B45" s="4" t="str">
        <f t="shared" si="1"/>
        <v/>
      </c>
      <c r="C45" t="str">
        <f>IF(AND(TRIM(A45)&lt;&gt;"",IFERROR(VLOOKUP(TRIM(B45),Inventory!E:E,1,0),0)=0),"X","_")</f>
        <v>_</v>
      </c>
      <c r="D45" t="str">
        <f>IF(AND(TRIM(A45)&lt;&gt;"",IFERROR(VLOOKUP(TRIM(B45),'Full Inventory'!F:F,1,0),0)=0),"X","_")</f>
        <v>_</v>
      </c>
      <c r="E45" t="str">
        <f t="shared" si="4"/>
        <v>X</v>
      </c>
      <c r="F45" t="str">
        <f ca="1">IFERROR(IF(AND(C45&amp;D45&amp;E45="___",INDIRECT("Inventory!A"&amp;MATCH(VLOOKUP(B45,Inventory!E:E,1,0),Inventory!E:E,0))&lt;&gt;INDIRECT("'Full Inventory'!B"&amp;MATCH(VLOOKUP(B45,'Full Inventory'!F:F,1,0),'Full Inventory'!F:F,0))),"X","_"),"_")</f>
        <v>_</v>
      </c>
      <c r="L45" t="str">
        <f t="shared" ca="1" si="2"/>
        <v>__X_</v>
      </c>
      <c r="M45" t="str">
        <f t="shared" ca="1" si="3"/>
        <v/>
      </c>
    </row>
    <row r="46" spans="1:13" x14ac:dyDescent="0.25">
      <c r="A46" s="5"/>
      <c r="B46" s="4" t="str">
        <f t="shared" si="1"/>
        <v/>
      </c>
      <c r="C46" t="str">
        <f>IF(AND(TRIM(A46)&lt;&gt;"",IFERROR(VLOOKUP(TRIM(B46),Inventory!E:E,1,0),0)=0),"X","_")</f>
        <v>_</v>
      </c>
      <c r="D46" t="str">
        <f>IF(AND(TRIM(A46)&lt;&gt;"",IFERROR(VLOOKUP(TRIM(B46),'Full Inventory'!F:F,1,0),0)=0),"X","_")</f>
        <v>_</v>
      </c>
      <c r="E46" t="str">
        <f t="shared" si="4"/>
        <v>X</v>
      </c>
      <c r="F46" t="str">
        <f ca="1">IFERROR(IF(AND(C46&amp;D46&amp;E46="___",INDIRECT("Inventory!A"&amp;MATCH(VLOOKUP(B46,Inventory!E:E,1,0),Inventory!E:E,0))&lt;&gt;INDIRECT("'Full Inventory'!B"&amp;MATCH(VLOOKUP(B46,'Full Inventory'!F:F,1,0),'Full Inventory'!F:F,0))),"X","_"),"_")</f>
        <v>_</v>
      </c>
      <c r="L46" t="str">
        <f t="shared" ca="1" si="2"/>
        <v>__X_</v>
      </c>
      <c r="M46" t="str">
        <f t="shared" ca="1" si="3"/>
        <v/>
      </c>
    </row>
    <row r="47" spans="1:13" x14ac:dyDescent="0.25">
      <c r="A47" s="5"/>
      <c r="B47" s="4" t="str">
        <f t="shared" si="1"/>
        <v/>
      </c>
      <c r="C47" t="str">
        <f>IF(AND(TRIM(A47)&lt;&gt;"",IFERROR(VLOOKUP(TRIM(B47),Inventory!E:E,1,0),0)=0),"X","_")</f>
        <v>_</v>
      </c>
      <c r="D47" t="str">
        <f>IF(AND(TRIM(A47)&lt;&gt;"",IFERROR(VLOOKUP(TRIM(B47),'Full Inventory'!F:F,1,0),0)=0),"X","_")</f>
        <v>_</v>
      </c>
      <c r="E47" t="str">
        <f t="shared" si="4"/>
        <v>X</v>
      </c>
      <c r="F47" t="str">
        <f ca="1">IFERROR(IF(AND(C47&amp;D47&amp;E47="___",INDIRECT("Inventory!A"&amp;MATCH(VLOOKUP(B47,Inventory!E:E,1,0),Inventory!E:E,0))&lt;&gt;INDIRECT("'Full Inventory'!B"&amp;MATCH(VLOOKUP(B47,'Full Inventory'!F:F,1,0),'Full Inventory'!F:F,0))),"X","_"),"_")</f>
        <v>_</v>
      </c>
      <c r="L47" t="str">
        <f t="shared" ca="1" si="2"/>
        <v>__X_</v>
      </c>
      <c r="M47" t="str">
        <f t="shared" ca="1" si="3"/>
        <v/>
      </c>
    </row>
    <row r="48" spans="1:13" x14ac:dyDescent="0.25">
      <c r="A48" s="5"/>
      <c r="B48" s="4" t="str">
        <f t="shared" si="1"/>
        <v/>
      </c>
      <c r="C48" t="str">
        <f>IF(AND(TRIM(A48)&lt;&gt;"",IFERROR(VLOOKUP(TRIM(B48),Inventory!E:E,1,0),0)=0),"X","_")</f>
        <v>_</v>
      </c>
      <c r="D48" t="str">
        <f>IF(AND(TRIM(A48)&lt;&gt;"",IFERROR(VLOOKUP(TRIM(B48),'Full Inventory'!F:F,1,0),0)=0),"X","_")</f>
        <v>_</v>
      </c>
      <c r="E48" t="str">
        <f t="shared" si="4"/>
        <v>X</v>
      </c>
      <c r="F48" t="str">
        <f ca="1">IFERROR(IF(AND(C48&amp;D48&amp;E48="___",INDIRECT("Inventory!A"&amp;MATCH(VLOOKUP(B48,Inventory!E:E,1,0),Inventory!E:E,0))&lt;&gt;INDIRECT("'Full Inventory'!B"&amp;MATCH(VLOOKUP(B48,'Full Inventory'!F:F,1,0),'Full Inventory'!F:F,0))),"X","_"),"_")</f>
        <v>_</v>
      </c>
      <c r="L48" t="str">
        <f t="shared" ca="1" si="2"/>
        <v>__X_</v>
      </c>
      <c r="M48" t="str">
        <f t="shared" ca="1" si="3"/>
        <v/>
      </c>
    </row>
    <row r="49" spans="1:13" x14ac:dyDescent="0.25">
      <c r="A49" s="5"/>
      <c r="B49" s="4" t="str">
        <f t="shared" si="1"/>
        <v/>
      </c>
      <c r="C49" t="str">
        <f>IF(AND(TRIM(A49)&lt;&gt;"",IFERROR(VLOOKUP(TRIM(B49),Inventory!E:E,1,0),0)=0),"X","_")</f>
        <v>_</v>
      </c>
      <c r="D49" t="str">
        <f>IF(AND(TRIM(A49)&lt;&gt;"",IFERROR(VLOOKUP(TRIM(B49),'Full Inventory'!F:F,1,0),0)=0),"X","_")</f>
        <v>_</v>
      </c>
      <c r="E49" t="str">
        <f t="shared" si="4"/>
        <v>X</v>
      </c>
      <c r="F49" t="str">
        <f ca="1">IFERROR(IF(AND(C49&amp;D49&amp;E49="___",INDIRECT("Inventory!A"&amp;MATCH(VLOOKUP(B49,Inventory!E:E,1,0),Inventory!E:E,0))&lt;&gt;INDIRECT("'Full Inventory'!B"&amp;MATCH(VLOOKUP(B49,'Full Inventory'!F:F,1,0),'Full Inventory'!F:F,0))),"X","_"),"_")</f>
        <v>_</v>
      </c>
      <c r="L49" t="str">
        <f t="shared" ca="1" si="2"/>
        <v>__X_</v>
      </c>
      <c r="M49" t="str">
        <f t="shared" ca="1" si="3"/>
        <v/>
      </c>
    </row>
    <row r="50" spans="1:13" x14ac:dyDescent="0.25">
      <c r="A50" s="5"/>
      <c r="B50" s="4" t="str">
        <f t="shared" si="1"/>
        <v/>
      </c>
      <c r="C50" t="str">
        <f>IF(AND(TRIM(A50)&lt;&gt;"",IFERROR(VLOOKUP(TRIM(B50),Inventory!E:E,1,0),0)=0),"X","_")</f>
        <v>_</v>
      </c>
      <c r="D50" t="str">
        <f>IF(AND(TRIM(A50)&lt;&gt;"",IFERROR(VLOOKUP(TRIM(B50),'Full Inventory'!F:F,1,0),0)=0),"X","_")</f>
        <v>_</v>
      </c>
      <c r="E50" t="str">
        <f t="shared" si="4"/>
        <v>X</v>
      </c>
      <c r="F50" t="str">
        <f ca="1">IFERROR(IF(AND(C50&amp;D50&amp;E50="___",INDIRECT("Inventory!A"&amp;MATCH(VLOOKUP(B50,Inventory!E:E,1,0),Inventory!E:E,0))&lt;&gt;INDIRECT("'Full Inventory'!B"&amp;MATCH(VLOOKUP(B50,'Full Inventory'!F:F,1,0),'Full Inventory'!F:F,0))),"X","_"),"_")</f>
        <v>_</v>
      </c>
      <c r="L50" t="str">
        <f t="shared" ca="1" si="2"/>
        <v>__X_</v>
      </c>
      <c r="M50" t="str">
        <f t="shared" ca="1" si="3"/>
        <v/>
      </c>
    </row>
    <row r="51" spans="1:13" x14ac:dyDescent="0.25">
      <c r="A51" s="5"/>
      <c r="B51" s="4" t="str">
        <f t="shared" si="1"/>
        <v/>
      </c>
      <c r="C51" t="str">
        <f>IF(AND(TRIM(A51)&lt;&gt;"",IFERROR(VLOOKUP(TRIM(B51),Inventory!E:E,1,0),0)=0),"X","_")</f>
        <v>_</v>
      </c>
      <c r="D51" t="str">
        <f>IF(AND(TRIM(A51)&lt;&gt;"",IFERROR(VLOOKUP(TRIM(B51),'Full Inventory'!F:F,1,0),0)=0),"X","_")</f>
        <v>_</v>
      </c>
      <c r="E51" t="str">
        <f t="shared" si="4"/>
        <v>X</v>
      </c>
      <c r="F51" t="str">
        <f ca="1">IFERROR(IF(AND(C51&amp;D51&amp;E51="___",INDIRECT("Inventory!A"&amp;MATCH(VLOOKUP(B51,Inventory!E:E,1,0),Inventory!E:E,0))&lt;&gt;INDIRECT("'Full Inventory'!B"&amp;MATCH(VLOOKUP(B51,'Full Inventory'!F:F,1,0),'Full Inventory'!F:F,0))),"X","_"),"_")</f>
        <v>_</v>
      </c>
      <c r="L51" t="str">
        <f t="shared" ca="1" si="2"/>
        <v>__X_</v>
      </c>
      <c r="M51" t="str">
        <f t="shared" ca="1" si="3"/>
        <v/>
      </c>
    </row>
    <row r="52" spans="1:13" x14ac:dyDescent="0.25">
      <c r="A52" s="5"/>
      <c r="B52" s="4" t="str">
        <f t="shared" si="1"/>
        <v/>
      </c>
      <c r="C52" t="str">
        <f>IF(AND(TRIM(A52)&lt;&gt;"",IFERROR(VLOOKUP(TRIM(B52),Inventory!E:E,1,0),0)=0),"X","_")</f>
        <v>_</v>
      </c>
      <c r="D52" t="str">
        <f>IF(AND(TRIM(A52)&lt;&gt;"",IFERROR(VLOOKUP(TRIM(B52),'Full Inventory'!F:F,1,0),0)=0),"X","_")</f>
        <v>_</v>
      </c>
      <c r="E52" t="str">
        <f t="shared" si="4"/>
        <v>X</v>
      </c>
      <c r="F52" t="str">
        <f ca="1">IFERROR(IF(AND(C52&amp;D52&amp;E52="___",INDIRECT("Inventory!A"&amp;MATCH(VLOOKUP(B52,Inventory!E:E,1,0),Inventory!E:E,0))&lt;&gt;INDIRECT("'Full Inventory'!B"&amp;MATCH(VLOOKUP(B52,'Full Inventory'!F:F,1,0),'Full Inventory'!F:F,0))),"X","_"),"_")</f>
        <v>_</v>
      </c>
      <c r="L52" t="str">
        <f t="shared" ca="1" si="2"/>
        <v>__X_</v>
      </c>
      <c r="M52" t="str">
        <f t="shared" ca="1" si="3"/>
        <v/>
      </c>
    </row>
    <row r="53" spans="1:13" x14ac:dyDescent="0.25">
      <c r="A53" s="5"/>
      <c r="B53" s="4" t="str">
        <f t="shared" si="1"/>
        <v/>
      </c>
      <c r="C53" t="str">
        <f>IF(AND(TRIM(A53)&lt;&gt;"",IFERROR(VLOOKUP(TRIM(B53),Inventory!E:E,1,0),0)=0),"X","_")</f>
        <v>_</v>
      </c>
      <c r="D53" t="str">
        <f>IF(AND(TRIM(A53)&lt;&gt;"",IFERROR(VLOOKUP(TRIM(B53),'Full Inventory'!F:F,1,0),0)=0),"X","_")</f>
        <v>_</v>
      </c>
      <c r="E53" t="str">
        <f t="shared" si="4"/>
        <v>X</v>
      </c>
      <c r="F53" t="str">
        <f ca="1">IFERROR(IF(AND(C53&amp;D53&amp;E53="___",INDIRECT("Inventory!A"&amp;MATCH(VLOOKUP(B53,Inventory!E:E,1,0),Inventory!E:E,0))&lt;&gt;INDIRECT("'Full Inventory'!B"&amp;MATCH(VLOOKUP(B53,'Full Inventory'!F:F,1,0),'Full Inventory'!F:F,0))),"X","_"),"_")</f>
        <v>_</v>
      </c>
      <c r="L53" t="str">
        <f t="shared" ca="1" si="2"/>
        <v>__X_</v>
      </c>
      <c r="M53" t="str">
        <f t="shared" ca="1" si="3"/>
        <v/>
      </c>
    </row>
    <row r="54" spans="1:13" x14ac:dyDescent="0.25">
      <c r="A54" s="5"/>
      <c r="B54" s="4" t="str">
        <f t="shared" si="1"/>
        <v/>
      </c>
      <c r="C54" t="str">
        <f>IF(AND(TRIM(A54)&lt;&gt;"",IFERROR(VLOOKUP(TRIM(B54),Inventory!E:E,1,0),0)=0),"X","_")</f>
        <v>_</v>
      </c>
      <c r="D54" t="str">
        <f>IF(AND(TRIM(A54)&lt;&gt;"",IFERROR(VLOOKUP(TRIM(B54),'Full Inventory'!F:F,1,0),0)=0),"X","_")</f>
        <v>_</v>
      </c>
      <c r="E54" t="str">
        <f t="shared" si="4"/>
        <v>X</v>
      </c>
      <c r="F54" t="str">
        <f ca="1">IFERROR(IF(AND(C54&amp;D54&amp;E54="___",INDIRECT("Inventory!A"&amp;MATCH(VLOOKUP(B54,Inventory!E:E,1,0),Inventory!E:E,0))&lt;&gt;INDIRECT("'Full Inventory'!B"&amp;MATCH(VLOOKUP(B54,'Full Inventory'!F:F,1,0),'Full Inventory'!F:F,0))),"X","_"),"_")</f>
        <v>_</v>
      </c>
      <c r="L54" t="str">
        <f t="shared" ca="1" si="2"/>
        <v>__X_</v>
      </c>
      <c r="M54" t="str">
        <f t="shared" ca="1" si="3"/>
        <v/>
      </c>
    </row>
    <row r="55" spans="1:13" x14ac:dyDescent="0.25">
      <c r="A55" s="5"/>
      <c r="B55" s="4" t="str">
        <f t="shared" si="1"/>
        <v/>
      </c>
      <c r="C55" t="str">
        <f>IF(AND(TRIM(A55)&lt;&gt;"",IFERROR(VLOOKUP(TRIM(B55),Inventory!E:E,1,0),0)=0),"X","_")</f>
        <v>_</v>
      </c>
      <c r="D55" t="str">
        <f>IF(AND(TRIM(A55)&lt;&gt;"",IFERROR(VLOOKUP(TRIM(B55),'Full Inventory'!F:F,1,0),0)=0),"X","_")</f>
        <v>_</v>
      </c>
      <c r="E55" t="str">
        <f t="shared" si="4"/>
        <v>X</v>
      </c>
      <c r="F55" t="str">
        <f ca="1">IFERROR(IF(AND(C55&amp;D55&amp;E55="___",INDIRECT("Inventory!A"&amp;MATCH(VLOOKUP(B55,Inventory!E:E,1,0),Inventory!E:E,0))&lt;&gt;INDIRECT("'Full Inventory'!B"&amp;MATCH(VLOOKUP(B55,'Full Inventory'!F:F,1,0),'Full Inventory'!F:F,0))),"X","_"),"_")</f>
        <v>_</v>
      </c>
      <c r="L55" t="str">
        <f t="shared" ca="1" si="2"/>
        <v>__X_</v>
      </c>
      <c r="M55" t="str">
        <f t="shared" ca="1" si="3"/>
        <v/>
      </c>
    </row>
    <row r="56" spans="1:13" x14ac:dyDescent="0.25">
      <c r="A56" s="5"/>
      <c r="B56" s="4" t="str">
        <f t="shared" si="1"/>
        <v/>
      </c>
      <c r="C56" t="str">
        <f>IF(AND(TRIM(A56)&lt;&gt;"",IFERROR(VLOOKUP(TRIM(B56),Inventory!E:E,1,0),0)=0),"X","_")</f>
        <v>_</v>
      </c>
      <c r="D56" t="str">
        <f>IF(AND(TRIM(A56)&lt;&gt;"",IFERROR(VLOOKUP(TRIM(B56),'Full Inventory'!F:F,1,0),0)=0),"X","_")</f>
        <v>_</v>
      </c>
      <c r="E56" t="str">
        <f t="shared" si="4"/>
        <v>X</v>
      </c>
      <c r="F56" t="str">
        <f ca="1">IFERROR(IF(AND(C56&amp;D56&amp;E56="___",INDIRECT("Inventory!A"&amp;MATCH(VLOOKUP(B56,Inventory!E:E,1,0),Inventory!E:E,0))&lt;&gt;INDIRECT("'Full Inventory'!B"&amp;MATCH(VLOOKUP(B56,'Full Inventory'!F:F,1,0),'Full Inventory'!F:F,0))),"X","_"),"_")</f>
        <v>_</v>
      </c>
      <c r="L56" t="str">
        <f t="shared" ca="1" si="2"/>
        <v>__X_</v>
      </c>
      <c r="M56" t="str">
        <f t="shared" ca="1" si="3"/>
        <v/>
      </c>
    </row>
    <row r="57" spans="1:13" x14ac:dyDescent="0.25">
      <c r="A57" s="5"/>
      <c r="B57" s="4" t="str">
        <f t="shared" si="1"/>
        <v/>
      </c>
      <c r="C57" t="str">
        <f>IF(AND(TRIM(A57)&lt;&gt;"",IFERROR(VLOOKUP(TRIM(B57),Inventory!E:E,1,0),0)=0),"X","_")</f>
        <v>_</v>
      </c>
      <c r="D57" t="str">
        <f>IF(AND(TRIM(A57)&lt;&gt;"",IFERROR(VLOOKUP(TRIM(B57),'Full Inventory'!F:F,1,0),0)=0),"X","_")</f>
        <v>_</v>
      </c>
      <c r="E57" t="str">
        <f t="shared" si="4"/>
        <v>X</v>
      </c>
      <c r="F57" t="str">
        <f ca="1">IFERROR(IF(AND(C57&amp;D57&amp;E57="___",INDIRECT("Inventory!A"&amp;MATCH(VLOOKUP(B57,Inventory!E:E,1,0),Inventory!E:E,0))&lt;&gt;INDIRECT("'Full Inventory'!B"&amp;MATCH(VLOOKUP(B57,'Full Inventory'!F:F,1,0),'Full Inventory'!F:F,0))),"X","_"),"_")</f>
        <v>_</v>
      </c>
      <c r="L57" t="str">
        <f t="shared" ca="1" si="2"/>
        <v>__X_</v>
      </c>
      <c r="M57" t="str">
        <f t="shared" ca="1" si="3"/>
        <v/>
      </c>
    </row>
    <row r="58" spans="1:13" x14ac:dyDescent="0.25">
      <c r="A58" s="5"/>
      <c r="B58" s="4" t="str">
        <f t="shared" si="1"/>
        <v/>
      </c>
      <c r="C58" t="str">
        <f>IF(AND(TRIM(A58)&lt;&gt;"",IFERROR(VLOOKUP(TRIM(B58),Inventory!E:E,1,0),0)=0),"X","_")</f>
        <v>_</v>
      </c>
      <c r="D58" t="str">
        <f>IF(AND(TRIM(A58)&lt;&gt;"",IFERROR(VLOOKUP(TRIM(B58),'Full Inventory'!F:F,1,0),0)=0),"X","_")</f>
        <v>_</v>
      </c>
      <c r="E58" t="str">
        <f t="shared" si="4"/>
        <v>X</v>
      </c>
      <c r="F58" t="str">
        <f ca="1">IFERROR(IF(AND(C58&amp;D58&amp;E58="___",INDIRECT("Inventory!A"&amp;MATCH(VLOOKUP(B58,Inventory!E:E,1,0),Inventory!E:E,0))&lt;&gt;INDIRECT("'Full Inventory'!B"&amp;MATCH(VLOOKUP(B58,'Full Inventory'!F:F,1,0),'Full Inventory'!F:F,0))),"X","_"),"_")</f>
        <v>_</v>
      </c>
      <c r="L58" t="str">
        <f t="shared" ca="1" si="2"/>
        <v>__X_</v>
      </c>
      <c r="M58" t="str">
        <f t="shared" ca="1" si="3"/>
        <v/>
      </c>
    </row>
    <row r="59" spans="1:13" x14ac:dyDescent="0.25">
      <c r="A59" s="5"/>
      <c r="B59" s="4" t="str">
        <f t="shared" si="1"/>
        <v/>
      </c>
      <c r="C59" t="str">
        <f>IF(AND(TRIM(A59)&lt;&gt;"",IFERROR(VLOOKUP(TRIM(B59),Inventory!E:E,1,0),0)=0),"X","_")</f>
        <v>_</v>
      </c>
      <c r="D59" t="str">
        <f>IF(AND(TRIM(A59)&lt;&gt;"",IFERROR(VLOOKUP(TRIM(B59),'Full Inventory'!F:F,1,0),0)=0),"X","_")</f>
        <v>_</v>
      </c>
      <c r="E59" t="str">
        <f t="shared" si="4"/>
        <v>X</v>
      </c>
      <c r="F59" t="str">
        <f ca="1">IFERROR(IF(AND(C59&amp;D59&amp;E59="___",INDIRECT("Inventory!A"&amp;MATCH(VLOOKUP(B59,Inventory!E:E,1,0),Inventory!E:E,0))&lt;&gt;INDIRECT("'Full Inventory'!B"&amp;MATCH(VLOOKUP(B59,'Full Inventory'!F:F,1,0),'Full Inventory'!F:F,0))),"X","_"),"_")</f>
        <v>_</v>
      </c>
      <c r="L59" t="str">
        <f t="shared" ca="1" si="2"/>
        <v>__X_</v>
      </c>
      <c r="M59" t="str">
        <f t="shared" ca="1" si="3"/>
        <v/>
      </c>
    </row>
    <row r="60" spans="1:13" x14ac:dyDescent="0.25">
      <c r="A60" s="5"/>
      <c r="B60" s="4" t="str">
        <f t="shared" si="1"/>
        <v/>
      </c>
      <c r="C60" t="str">
        <f>IF(AND(TRIM(A60)&lt;&gt;"",IFERROR(VLOOKUP(TRIM(B60),Inventory!E:E,1,0),0)=0),"X","_")</f>
        <v>_</v>
      </c>
      <c r="D60" t="str">
        <f>IF(AND(TRIM(A60)&lt;&gt;"",IFERROR(VLOOKUP(TRIM(B60),'Full Inventory'!F:F,1,0),0)=0),"X","_")</f>
        <v>_</v>
      </c>
      <c r="E60" t="str">
        <f t="shared" si="4"/>
        <v>X</v>
      </c>
      <c r="F60" t="str">
        <f ca="1">IFERROR(IF(AND(C60&amp;D60&amp;E60="___",INDIRECT("Inventory!A"&amp;MATCH(VLOOKUP(B60,Inventory!E:E,1,0),Inventory!E:E,0))&lt;&gt;INDIRECT("'Full Inventory'!B"&amp;MATCH(VLOOKUP(B60,'Full Inventory'!F:F,1,0),'Full Inventory'!F:F,0))),"X","_"),"_")</f>
        <v>_</v>
      </c>
      <c r="L60" t="str">
        <f t="shared" ca="1" si="2"/>
        <v>__X_</v>
      </c>
      <c r="M60" t="str">
        <f t="shared" ca="1" si="3"/>
        <v/>
      </c>
    </row>
    <row r="61" spans="1:13" x14ac:dyDescent="0.25">
      <c r="A61" s="5"/>
      <c r="B61" s="4" t="str">
        <f t="shared" si="1"/>
        <v/>
      </c>
      <c r="C61" t="str">
        <f>IF(AND(TRIM(A61)&lt;&gt;"",IFERROR(VLOOKUP(TRIM(B61),Inventory!E:E,1,0),0)=0),"X","_")</f>
        <v>_</v>
      </c>
      <c r="D61" t="str">
        <f>IF(AND(TRIM(A61)&lt;&gt;"",IFERROR(VLOOKUP(TRIM(B61),'Full Inventory'!F:F,1,0),0)=0),"X","_")</f>
        <v>_</v>
      </c>
      <c r="E61" t="str">
        <f t="shared" si="4"/>
        <v>X</v>
      </c>
      <c r="F61" t="str">
        <f ca="1">IFERROR(IF(AND(C61&amp;D61&amp;E61="___",INDIRECT("Inventory!A"&amp;MATCH(VLOOKUP(B61,Inventory!E:E,1,0),Inventory!E:E,0))&lt;&gt;INDIRECT("'Full Inventory'!B"&amp;MATCH(VLOOKUP(B61,'Full Inventory'!F:F,1,0),'Full Inventory'!F:F,0))),"X","_"),"_")</f>
        <v>_</v>
      </c>
      <c r="L61" t="str">
        <f t="shared" ca="1" si="2"/>
        <v>__X_</v>
      </c>
      <c r="M61" t="str">
        <f t="shared" ca="1" si="3"/>
        <v/>
      </c>
    </row>
    <row r="62" spans="1:13" x14ac:dyDescent="0.25">
      <c r="A62" s="5"/>
      <c r="B62" s="4" t="str">
        <f t="shared" si="1"/>
        <v/>
      </c>
      <c r="C62" t="str">
        <f>IF(AND(TRIM(A62)&lt;&gt;"",IFERROR(VLOOKUP(TRIM(B62),Inventory!E:E,1,0),0)=0),"X","_")</f>
        <v>_</v>
      </c>
      <c r="D62" t="str">
        <f>IF(AND(TRIM(A62)&lt;&gt;"",IFERROR(VLOOKUP(TRIM(B62),'Full Inventory'!F:F,1,0),0)=0),"X","_")</f>
        <v>_</v>
      </c>
      <c r="E62" t="str">
        <f t="shared" si="4"/>
        <v>X</v>
      </c>
      <c r="F62" t="str">
        <f ca="1">IFERROR(IF(AND(C62&amp;D62&amp;E62="___",INDIRECT("Inventory!A"&amp;MATCH(VLOOKUP(B62,Inventory!E:E,1,0),Inventory!E:E,0))&lt;&gt;INDIRECT("'Full Inventory'!B"&amp;MATCH(VLOOKUP(B62,'Full Inventory'!F:F,1,0),'Full Inventory'!F:F,0))),"X","_"),"_")</f>
        <v>_</v>
      </c>
      <c r="L62" t="str">
        <f t="shared" ca="1" si="2"/>
        <v>__X_</v>
      </c>
      <c r="M62" t="str">
        <f t="shared" ca="1" si="3"/>
        <v/>
      </c>
    </row>
    <row r="63" spans="1:13" x14ac:dyDescent="0.25">
      <c r="A63" s="5"/>
      <c r="B63" s="4" t="str">
        <f t="shared" si="1"/>
        <v/>
      </c>
      <c r="C63" t="str">
        <f>IF(AND(TRIM(A63)&lt;&gt;"",IFERROR(VLOOKUP(TRIM(B63),Inventory!E:E,1,0),0)=0),"X","_")</f>
        <v>_</v>
      </c>
      <c r="D63" t="str">
        <f>IF(AND(TRIM(A63)&lt;&gt;"",IFERROR(VLOOKUP(TRIM(B63),'Full Inventory'!F:F,1,0),0)=0),"X","_")</f>
        <v>_</v>
      </c>
      <c r="E63" t="str">
        <f t="shared" si="4"/>
        <v>X</v>
      </c>
      <c r="F63" t="str">
        <f ca="1">IFERROR(IF(AND(C63&amp;D63&amp;E63="___",INDIRECT("Inventory!A"&amp;MATCH(VLOOKUP(B63,Inventory!E:E,1,0),Inventory!E:E,0))&lt;&gt;INDIRECT("'Full Inventory'!B"&amp;MATCH(VLOOKUP(B63,'Full Inventory'!F:F,1,0),'Full Inventory'!F:F,0))),"X","_"),"_")</f>
        <v>_</v>
      </c>
      <c r="L63" t="str">
        <f t="shared" ca="1" si="2"/>
        <v>__X_</v>
      </c>
      <c r="M63" t="str">
        <f t="shared" ca="1" si="3"/>
        <v/>
      </c>
    </row>
    <row r="64" spans="1:13" x14ac:dyDescent="0.25">
      <c r="A64" s="5"/>
      <c r="B64" s="4" t="str">
        <f t="shared" si="1"/>
        <v/>
      </c>
      <c r="C64" t="str">
        <f>IF(AND(TRIM(A64)&lt;&gt;"",IFERROR(VLOOKUP(TRIM(B64),Inventory!E:E,1,0),0)=0),"X","_")</f>
        <v>_</v>
      </c>
      <c r="D64" t="str">
        <f>IF(AND(TRIM(A64)&lt;&gt;"",IFERROR(VLOOKUP(TRIM(B64),'Full Inventory'!F:F,1,0),0)=0),"X","_")</f>
        <v>_</v>
      </c>
      <c r="E64" t="str">
        <f t="shared" si="4"/>
        <v>X</v>
      </c>
      <c r="F64" t="str">
        <f ca="1">IFERROR(IF(AND(C64&amp;D64&amp;E64="___",INDIRECT("Inventory!A"&amp;MATCH(VLOOKUP(B64,Inventory!E:E,1,0),Inventory!E:E,0))&lt;&gt;INDIRECT("'Full Inventory'!B"&amp;MATCH(VLOOKUP(B64,'Full Inventory'!F:F,1,0),'Full Inventory'!F:F,0))),"X","_"),"_")</f>
        <v>_</v>
      </c>
      <c r="L64" t="str">
        <f t="shared" ca="1" si="2"/>
        <v>__X_</v>
      </c>
      <c r="M64" t="str">
        <f t="shared" ca="1" si="3"/>
        <v/>
      </c>
    </row>
    <row r="65" spans="1:13" x14ac:dyDescent="0.25">
      <c r="A65" s="5"/>
      <c r="B65" s="4" t="str">
        <f t="shared" si="1"/>
        <v/>
      </c>
      <c r="C65" t="str">
        <f>IF(AND(TRIM(A65)&lt;&gt;"",IFERROR(VLOOKUP(TRIM(B65),Inventory!E:E,1,0),0)=0),"X","_")</f>
        <v>_</v>
      </c>
      <c r="D65" t="str">
        <f>IF(AND(TRIM(A65)&lt;&gt;"",IFERROR(VLOOKUP(TRIM(B65),'Full Inventory'!F:F,1,0),0)=0),"X","_")</f>
        <v>_</v>
      </c>
      <c r="E65" t="str">
        <f t="shared" si="4"/>
        <v>X</v>
      </c>
      <c r="F65" t="str">
        <f ca="1">IFERROR(IF(AND(C65&amp;D65&amp;E65="___",INDIRECT("Inventory!A"&amp;MATCH(VLOOKUP(B65,Inventory!E:E,1,0),Inventory!E:E,0))&lt;&gt;INDIRECT("'Full Inventory'!B"&amp;MATCH(VLOOKUP(B65,'Full Inventory'!F:F,1,0),'Full Inventory'!F:F,0))),"X","_"),"_")</f>
        <v>_</v>
      </c>
      <c r="L65" t="str">
        <f t="shared" ca="1" si="2"/>
        <v>__X_</v>
      </c>
      <c r="M65" t="str">
        <f t="shared" ca="1" si="3"/>
        <v/>
      </c>
    </row>
    <row r="66" spans="1:13" x14ac:dyDescent="0.25">
      <c r="A66" s="5"/>
      <c r="B66" s="4" t="str">
        <f t="shared" si="1"/>
        <v/>
      </c>
      <c r="C66" t="str">
        <f>IF(AND(TRIM(A66)&lt;&gt;"",IFERROR(VLOOKUP(TRIM(B66),Inventory!E:E,1,0),0)=0),"X","_")</f>
        <v>_</v>
      </c>
      <c r="D66" t="str">
        <f>IF(AND(TRIM(A66)&lt;&gt;"",IFERROR(VLOOKUP(TRIM(B66),'Full Inventory'!F:F,1,0),0)=0),"X","_")</f>
        <v>_</v>
      </c>
      <c r="E66" t="str">
        <f t="shared" si="4"/>
        <v>X</v>
      </c>
      <c r="F66" t="str">
        <f ca="1">IFERROR(IF(AND(C66&amp;D66&amp;E66="___",INDIRECT("Inventory!A"&amp;MATCH(VLOOKUP(B66,Inventory!E:E,1,0),Inventory!E:E,0))&lt;&gt;INDIRECT("'Full Inventory'!B"&amp;MATCH(VLOOKUP(B66,'Full Inventory'!F:F,1,0),'Full Inventory'!F:F,0))),"X","_"),"_")</f>
        <v>_</v>
      </c>
      <c r="L66" t="str">
        <f t="shared" ca="1" si="2"/>
        <v>__X_</v>
      </c>
      <c r="M66" t="str">
        <f t="shared" ca="1" si="3"/>
        <v/>
      </c>
    </row>
    <row r="67" spans="1:13" x14ac:dyDescent="0.25">
      <c r="A67" s="5"/>
      <c r="B67" s="4" t="str">
        <f t="shared" ref="B67:B130" si="5">SUBSTITUTE(SUBSTITUTE(A67,"ö","0"),"Ö","0")</f>
        <v/>
      </c>
      <c r="C67" t="str">
        <f>IF(AND(TRIM(A67)&lt;&gt;"",IFERROR(VLOOKUP(TRIM(B67),Inventory!E:E,1,0),0)=0),"X","_")</f>
        <v>_</v>
      </c>
      <c r="D67" t="str">
        <f>IF(AND(TRIM(A67)&lt;&gt;"",IFERROR(VLOOKUP(TRIM(B67),'Full Inventory'!F:F,1,0),0)=0),"X","_")</f>
        <v>_</v>
      </c>
      <c r="E67" t="str">
        <f t="shared" si="4"/>
        <v>X</v>
      </c>
      <c r="F67" t="str">
        <f ca="1">IFERROR(IF(AND(C67&amp;D67&amp;E67="___",INDIRECT("Inventory!A"&amp;MATCH(VLOOKUP(B67,Inventory!E:E,1,0),Inventory!E:E,0))&lt;&gt;INDIRECT("'Full Inventory'!B"&amp;MATCH(VLOOKUP(B67,'Full Inventory'!F:F,1,0),'Full Inventory'!F:F,0))),"X","_"),"_")</f>
        <v>_</v>
      </c>
      <c r="L67" t="str">
        <f t="shared" ref="L67:L130" ca="1" si="6">C67&amp;D67&amp;E67&amp;F67</f>
        <v>__X_</v>
      </c>
      <c r="M67" t="str">
        <f t="shared" ref="M67:M130" ca="1" si="7">IF(L67="____","OK",IF(L67="_X__","NOT IN FULL INVENTORY",IF(L67="XX__","NOT IN FULL INVENTORY AND INVENTORY",IF(L67="X___","NOT IN INVENTORY",IF(L67="___X","DIFFERENT NAMES IN FULL INVENTORY AND INVENTORY","")))))</f>
        <v/>
      </c>
    </row>
    <row r="68" spans="1:13" x14ac:dyDescent="0.25">
      <c r="A68" s="5"/>
      <c r="B68" s="4" t="str">
        <f t="shared" si="5"/>
        <v/>
      </c>
      <c r="C68" t="str">
        <f>IF(AND(TRIM(A68)&lt;&gt;"",IFERROR(VLOOKUP(TRIM(B68),Inventory!E:E,1,0),0)=0),"X","_")</f>
        <v>_</v>
      </c>
      <c r="D68" t="str">
        <f>IF(AND(TRIM(A68)&lt;&gt;"",IFERROR(VLOOKUP(TRIM(B68),'Full Inventory'!F:F,1,0),0)=0),"X","_")</f>
        <v>_</v>
      </c>
      <c r="E68" t="str">
        <f t="shared" si="4"/>
        <v>X</v>
      </c>
      <c r="F68" t="str">
        <f ca="1">IFERROR(IF(AND(C68&amp;D68&amp;E68="___",INDIRECT("Inventory!A"&amp;MATCH(VLOOKUP(B68,Inventory!E:E,1,0),Inventory!E:E,0))&lt;&gt;INDIRECT("'Full Inventory'!B"&amp;MATCH(VLOOKUP(B68,'Full Inventory'!F:F,1,0),'Full Inventory'!F:F,0))),"X","_"),"_")</f>
        <v>_</v>
      </c>
      <c r="L68" t="str">
        <f t="shared" ca="1" si="6"/>
        <v>__X_</v>
      </c>
      <c r="M68" t="str">
        <f t="shared" ca="1" si="7"/>
        <v/>
      </c>
    </row>
    <row r="69" spans="1:13" x14ac:dyDescent="0.25">
      <c r="A69" s="5"/>
      <c r="B69" s="4" t="str">
        <f t="shared" si="5"/>
        <v/>
      </c>
      <c r="C69" t="str">
        <f>IF(AND(TRIM(A69)&lt;&gt;"",IFERROR(VLOOKUP(TRIM(B69),Inventory!E:E,1,0),0)=0),"X","_")</f>
        <v>_</v>
      </c>
      <c r="D69" t="str">
        <f>IF(AND(TRIM(A69)&lt;&gt;"",IFERROR(VLOOKUP(TRIM(B69),'Full Inventory'!F:F,1,0),0)=0),"X","_")</f>
        <v>_</v>
      </c>
      <c r="E69" t="str">
        <f t="shared" si="4"/>
        <v>X</v>
      </c>
      <c r="F69" t="str">
        <f ca="1">IFERROR(IF(AND(C69&amp;D69&amp;E69="___",INDIRECT("Inventory!A"&amp;MATCH(VLOOKUP(B69,Inventory!E:E,1,0),Inventory!E:E,0))&lt;&gt;INDIRECT("'Full Inventory'!B"&amp;MATCH(VLOOKUP(B69,'Full Inventory'!F:F,1,0),'Full Inventory'!F:F,0))),"X","_"),"_")</f>
        <v>_</v>
      </c>
      <c r="L69" t="str">
        <f t="shared" ca="1" si="6"/>
        <v>__X_</v>
      </c>
      <c r="M69" t="str">
        <f t="shared" ca="1" si="7"/>
        <v/>
      </c>
    </row>
    <row r="70" spans="1:13" x14ac:dyDescent="0.25">
      <c r="A70" s="5"/>
      <c r="B70" s="4" t="str">
        <f t="shared" si="5"/>
        <v/>
      </c>
      <c r="C70" t="str">
        <f>IF(AND(TRIM(A70)&lt;&gt;"",IFERROR(VLOOKUP(TRIM(B70),Inventory!E:E,1,0),0)=0),"X","_")</f>
        <v>_</v>
      </c>
      <c r="D70" t="str">
        <f>IF(AND(TRIM(A70)&lt;&gt;"",IFERROR(VLOOKUP(TRIM(B70),'Full Inventory'!F:F,1,0),0)=0),"X","_")</f>
        <v>_</v>
      </c>
      <c r="E70" t="str">
        <f t="shared" si="4"/>
        <v>X</v>
      </c>
      <c r="F70" t="str">
        <f ca="1">IFERROR(IF(AND(C70&amp;D70&amp;E70="___",INDIRECT("Inventory!A"&amp;MATCH(VLOOKUP(B70,Inventory!E:E,1,0),Inventory!E:E,0))&lt;&gt;INDIRECT("'Full Inventory'!B"&amp;MATCH(VLOOKUP(B70,'Full Inventory'!F:F,1,0),'Full Inventory'!F:F,0))),"X","_"),"_")</f>
        <v>_</v>
      </c>
      <c r="L70" t="str">
        <f t="shared" ca="1" si="6"/>
        <v>__X_</v>
      </c>
      <c r="M70" t="str">
        <f t="shared" ca="1" si="7"/>
        <v/>
      </c>
    </row>
    <row r="71" spans="1:13" x14ac:dyDescent="0.25">
      <c r="A71" s="5"/>
      <c r="B71" s="4" t="str">
        <f t="shared" si="5"/>
        <v/>
      </c>
      <c r="C71" t="str">
        <f>IF(AND(TRIM(A71)&lt;&gt;"",IFERROR(VLOOKUP(TRIM(B71),Inventory!E:E,1,0),0)=0),"X","_")</f>
        <v>_</v>
      </c>
      <c r="D71" t="str">
        <f>IF(AND(TRIM(A71)&lt;&gt;"",IFERROR(VLOOKUP(TRIM(B71),'Full Inventory'!F:F,1,0),0)=0),"X","_")</f>
        <v>_</v>
      </c>
      <c r="E71" t="str">
        <f t="shared" si="4"/>
        <v>X</v>
      </c>
      <c r="F71" t="str">
        <f ca="1">IFERROR(IF(AND(C71&amp;D71&amp;E71="___",INDIRECT("Inventory!A"&amp;MATCH(VLOOKUP(B71,Inventory!E:E,1,0),Inventory!E:E,0))&lt;&gt;INDIRECT("'Full Inventory'!B"&amp;MATCH(VLOOKUP(B71,'Full Inventory'!F:F,1,0),'Full Inventory'!F:F,0))),"X","_"),"_")</f>
        <v>_</v>
      </c>
      <c r="L71" t="str">
        <f t="shared" ca="1" si="6"/>
        <v>__X_</v>
      </c>
      <c r="M71" t="str">
        <f t="shared" ca="1" si="7"/>
        <v/>
      </c>
    </row>
    <row r="72" spans="1:13" x14ac:dyDescent="0.25">
      <c r="A72" s="5"/>
      <c r="B72" s="4" t="str">
        <f t="shared" si="5"/>
        <v/>
      </c>
      <c r="C72" t="str">
        <f>IF(AND(TRIM(A72)&lt;&gt;"",IFERROR(VLOOKUP(TRIM(B72),Inventory!E:E,1,0),0)=0),"X","_")</f>
        <v>_</v>
      </c>
      <c r="D72" t="str">
        <f>IF(AND(TRIM(A72)&lt;&gt;"",IFERROR(VLOOKUP(TRIM(B72),'Full Inventory'!F:F,1,0),0)=0),"X","_")</f>
        <v>_</v>
      </c>
      <c r="E72" t="str">
        <f t="shared" si="4"/>
        <v>X</v>
      </c>
      <c r="F72" t="str">
        <f ca="1">IFERROR(IF(AND(C72&amp;D72&amp;E72="___",INDIRECT("Inventory!A"&amp;MATCH(VLOOKUP(B72,Inventory!E:E,1,0),Inventory!E:E,0))&lt;&gt;INDIRECT("'Full Inventory'!B"&amp;MATCH(VLOOKUP(B72,'Full Inventory'!F:F,1,0),'Full Inventory'!F:F,0))),"X","_"),"_")</f>
        <v>_</v>
      </c>
      <c r="L72" t="str">
        <f t="shared" ca="1" si="6"/>
        <v>__X_</v>
      </c>
      <c r="M72" t="str">
        <f t="shared" ca="1" si="7"/>
        <v/>
      </c>
    </row>
    <row r="73" spans="1:13" x14ac:dyDescent="0.25">
      <c r="A73" s="5"/>
      <c r="B73" s="4" t="str">
        <f t="shared" si="5"/>
        <v/>
      </c>
      <c r="C73" t="str">
        <f>IF(AND(TRIM(A73)&lt;&gt;"",IFERROR(VLOOKUP(TRIM(B73),Inventory!E:E,1,0),0)=0),"X","_")</f>
        <v>_</v>
      </c>
      <c r="D73" t="str">
        <f>IF(AND(TRIM(A73)&lt;&gt;"",IFERROR(VLOOKUP(TRIM(B73),'Full Inventory'!F:F,1,0),0)=0),"X","_")</f>
        <v>_</v>
      </c>
      <c r="E73" t="str">
        <f t="shared" si="4"/>
        <v>X</v>
      </c>
      <c r="F73" t="str">
        <f ca="1">IFERROR(IF(AND(C73&amp;D73&amp;E73="___",INDIRECT("Inventory!A"&amp;MATCH(VLOOKUP(B73,Inventory!E:E,1,0),Inventory!E:E,0))&lt;&gt;INDIRECT("'Full Inventory'!B"&amp;MATCH(VLOOKUP(B73,'Full Inventory'!F:F,1,0),'Full Inventory'!F:F,0))),"X","_"),"_")</f>
        <v>_</v>
      </c>
      <c r="L73" t="str">
        <f t="shared" ca="1" si="6"/>
        <v>__X_</v>
      </c>
      <c r="M73" t="str">
        <f t="shared" ca="1" si="7"/>
        <v/>
      </c>
    </row>
    <row r="74" spans="1:13" x14ac:dyDescent="0.25">
      <c r="A74" s="5"/>
      <c r="B74" s="4" t="str">
        <f t="shared" si="5"/>
        <v/>
      </c>
      <c r="C74" t="str">
        <f>IF(AND(TRIM(A74)&lt;&gt;"",IFERROR(VLOOKUP(TRIM(B74),Inventory!E:E,1,0),0)=0),"X","_")</f>
        <v>_</v>
      </c>
      <c r="D74" t="str">
        <f>IF(AND(TRIM(A74)&lt;&gt;"",IFERROR(VLOOKUP(TRIM(B74),'Full Inventory'!F:F,1,0),0)=0),"X","_")</f>
        <v>_</v>
      </c>
      <c r="E74" t="str">
        <f t="shared" si="4"/>
        <v>X</v>
      </c>
      <c r="F74" t="str">
        <f ca="1">IFERROR(IF(AND(C74&amp;D74&amp;E74="___",INDIRECT("Inventory!A"&amp;MATCH(VLOOKUP(B74,Inventory!E:E,1,0),Inventory!E:E,0))&lt;&gt;INDIRECT("'Full Inventory'!B"&amp;MATCH(VLOOKUP(B74,'Full Inventory'!F:F,1,0),'Full Inventory'!F:F,0))),"X","_"),"_")</f>
        <v>_</v>
      </c>
      <c r="L74" t="str">
        <f t="shared" ca="1" si="6"/>
        <v>__X_</v>
      </c>
      <c r="M74" t="str">
        <f t="shared" ca="1" si="7"/>
        <v/>
      </c>
    </row>
    <row r="75" spans="1:13" x14ac:dyDescent="0.25">
      <c r="A75" s="5"/>
      <c r="B75" s="4" t="str">
        <f t="shared" si="5"/>
        <v/>
      </c>
      <c r="C75" t="str">
        <f>IF(AND(TRIM(A75)&lt;&gt;"",IFERROR(VLOOKUP(TRIM(B75),Inventory!E:E,1,0),0)=0),"X","_")</f>
        <v>_</v>
      </c>
      <c r="D75" t="str">
        <f>IF(AND(TRIM(A75)&lt;&gt;"",IFERROR(VLOOKUP(TRIM(B75),'Full Inventory'!F:F,1,0),0)=0),"X","_")</f>
        <v>_</v>
      </c>
      <c r="E75" t="str">
        <f t="shared" si="4"/>
        <v>X</v>
      </c>
      <c r="F75" t="str">
        <f ca="1">IFERROR(IF(AND(C75&amp;D75&amp;E75="___",INDIRECT("Inventory!A"&amp;MATCH(VLOOKUP(B75,Inventory!E:E,1,0),Inventory!E:E,0))&lt;&gt;INDIRECT("'Full Inventory'!B"&amp;MATCH(VLOOKUP(B75,'Full Inventory'!F:F,1,0),'Full Inventory'!F:F,0))),"X","_"),"_")</f>
        <v>_</v>
      </c>
      <c r="L75" t="str">
        <f t="shared" ca="1" si="6"/>
        <v>__X_</v>
      </c>
      <c r="M75" t="str">
        <f t="shared" ca="1" si="7"/>
        <v/>
      </c>
    </row>
    <row r="76" spans="1:13" x14ac:dyDescent="0.25">
      <c r="A76" s="5"/>
      <c r="B76" s="4" t="str">
        <f t="shared" si="5"/>
        <v/>
      </c>
      <c r="C76" t="str">
        <f>IF(AND(TRIM(A76)&lt;&gt;"",IFERROR(VLOOKUP(TRIM(B76),Inventory!E:E,1,0),0)=0),"X","_")</f>
        <v>_</v>
      </c>
      <c r="D76" t="str">
        <f>IF(AND(TRIM(A76)&lt;&gt;"",IFERROR(VLOOKUP(TRIM(B76),'Full Inventory'!F:F,1,0),0)=0),"X","_")</f>
        <v>_</v>
      </c>
      <c r="E76" t="str">
        <f t="shared" si="4"/>
        <v>X</v>
      </c>
      <c r="F76" t="str">
        <f ca="1">IFERROR(IF(AND(C76&amp;D76&amp;E76="___",INDIRECT("Inventory!A"&amp;MATCH(VLOOKUP(B76,Inventory!E:E,1,0),Inventory!E:E,0))&lt;&gt;INDIRECT("'Full Inventory'!B"&amp;MATCH(VLOOKUP(B76,'Full Inventory'!F:F,1,0),'Full Inventory'!F:F,0))),"X","_"),"_")</f>
        <v>_</v>
      </c>
      <c r="L76" t="str">
        <f t="shared" ca="1" si="6"/>
        <v>__X_</v>
      </c>
      <c r="M76" t="str">
        <f t="shared" ca="1" si="7"/>
        <v/>
      </c>
    </row>
    <row r="77" spans="1:13" x14ac:dyDescent="0.25">
      <c r="A77" s="5"/>
      <c r="B77" s="4" t="str">
        <f t="shared" si="5"/>
        <v/>
      </c>
      <c r="C77" t="str">
        <f>IF(AND(TRIM(A77)&lt;&gt;"",IFERROR(VLOOKUP(TRIM(B77),Inventory!E:E,1,0),0)=0),"X","_")</f>
        <v>_</v>
      </c>
      <c r="D77" t="str">
        <f>IF(AND(TRIM(A77)&lt;&gt;"",IFERROR(VLOOKUP(TRIM(B77),'Full Inventory'!F:F,1,0),0)=0),"X","_")</f>
        <v>_</v>
      </c>
      <c r="E77" t="str">
        <f t="shared" si="4"/>
        <v>X</v>
      </c>
      <c r="F77" t="str">
        <f ca="1">IFERROR(IF(AND(C77&amp;D77&amp;E77="___",INDIRECT("Inventory!A"&amp;MATCH(VLOOKUP(B77,Inventory!E:E,1,0),Inventory!E:E,0))&lt;&gt;INDIRECT("'Full Inventory'!B"&amp;MATCH(VLOOKUP(B77,'Full Inventory'!F:F,1,0),'Full Inventory'!F:F,0))),"X","_"),"_")</f>
        <v>_</v>
      </c>
      <c r="L77" t="str">
        <f t="shared" ca="1" si="6"/>
        <v>__X_</v>
      </c>
      <c r="M77" t="str">
        <f t="shared" ca="1" si="7"/>
        <v/>
      </c>
    </row>
    <row r="78" spans="1:13" x14ac:dyDescent="0.25">
      <c r="A78" s="5"/>
      <c r="B78" s="4" t="str">
        <f t="shared" si="5"/>
        <v/>
      </c>
      <c r="C78" t="str">
        <f>IF(AND(TRIM(A78)&lt;&gt;"",IFERROR(VLOOKUP(TRIM(B78),Inventory!E:E,1,0),0)=0),"X","_")</f>
        <v>_</v>
      </c>
      <c r="D78" t="str">
        <f>IF(AND(TRIM(A78)&lt;&gt;"",IFERROR(VLOOKUP(TRIM(B78),'Full Inventory'!F:F,1,0),0)=0),"X","_")</f>
        <v>_</v>
      </c>
      <c r="E78" t="str">
        <f t="shared" si="4"/>
        <v>X</v>
      </c>
      <c r="F78" t="str">
        <f ca="1">IFERROR(IF(AND(C78&amp;D78&amp;E78="___",INDIRECT("Inventory!A"&amp;MATCH(VLOOKUP(B78,Inventory!E:E,1,0),Inventory!E:E,0))&lt;&gt;INDIRECT("'Full Inventory'!B"&amp;MATCH(VLOOKUP(B78,'Full Inventory'!F:F,1,0),'Full Inventory'!F:F,0))),"X","_"),"_")</f>
        <v>_</v>
      </c>
      <c r="L78" t="str">
        <f t="shared" ca="1" si="6"/>
        <v>__X_</v>
      </c>
      <c r="M78" t="str">
        <f t="shared" ca="1" si="7"/>
        <v/>
      </c>
    </row>
    <row r="79" spans="1:13" x14ac:dyDescent="0.25">
      <c r="A79" s="5"/>
      <c r="B79" s="4" t="str">
        <f t="shared" si="5"/>
        <v/>
      </c>
      <c r="C79" t="str">
        <f>IF(AND(TRIM(A79)&lt;&gt;"",IFERROR(VLOOKUP(TRIM(B79),Inventory!E:E,1,0),0)=0),"X","_")</f>
        <v>_</v>
      </c>
      <c r="D79" t="str">
        <f>IF(AND(TRIM(A79)&lt;&gt;"",IFERROR(VLOOKUP(TRIM(B79),'Full Inventory'!F:F,1,0),0)=0),"X","_")</f>
        <v>_</v>
      </c>
      <c r="E79" t="str">
        <f t="shared" si="4"/>
        <v>X</v>
      </c>
      <c r="F79" t="str">
        <f ca="1">IFERROR(IF(AND(C79&amp;D79&amp;E79="___",INDIRECT("Inventory!A"&amp;MATCH(VLOOKUP(B79,Inventory!E:E,1,0),Inventory!E:E,0))&lt;&gt;INDIRECT("'Full Inventory'!B"&amp;MATCH(VLOOKUP(B79,'Full Inventory'!F:F,1,0),'Full Inventory'!F:F,0))),"X","_"),"_")</f>
        <v>_</v>
      </c>
      <c r="L79" t="str">
        <f t="shared" ca="1" si="6"/>
        <v>__X_</v>
      </c>
      <c r="M79" t="str">
        <f t="shared" ca="1" si="7"/>
        <v/>
      </c>
    </row>
    <row r="80" spans="1:13" x14ac:dyDescent="0.25">
      <c r="A80" s="5"/>
      <c r="B80" s="4" t="str">
        <f t="shared" si="5"/>
        <v/>
      </c>
      <c r="C80" t="str">
        <f>IF(AND(TRIM(A80)&lt;&gt;"",IFERROR(VLOOKUP(TRIM(B80),Inventory!E:E,1,0),0)=0),"X","_")</f>
        <v>_</v>
      </c>
      <c r="D80" t="str">
        <f>IF(AND(TRIM(A80)&lt;&gt;"",IFERROR(VLOOKUP(TRIM(B80),'Full Inventory'!F:F,1,0),0)=0),"X","_")</f>
        <v>_</v>
      </c>
      <c r="E80" t="str">
        <f t="shared" si="4"/>
        <v>X</v>
      </c>
      <c r="F80" t="str">
        <f ca="1">IFERROR(IF(AND(C80&amp;D80&amp;E80="___",INDIRECT("Inventory!A"&amp;MATCH(VLOOKUP(B80,Inventory!E:E,1,0),Inventory!E:E,0))&lt;&gt;INDIRECT("'Full Inventory'!B"&amp;MATCH(VLOOKUP(B80,'Full Inventory'!F:F,1,0),'Full Inventory'!F:F,0))),"X","_"),"_")</f>
        <v>_</v>
      </c>
      <c r="L80" t="str">
        <f t="shared" ca="1" si="6"/>
        <v>__X_</v>
      </c>
      <c r="M80" t="str">
        <f t="shared" ca="1" si="7"/>
        <v/>
      </c>
    </row>
    <row r="81" spans="1:13" x14ac:dyDescent="0.25">
      <c r="A81" s="5"/>
      <c r="B81" s="4" t="str">
        <f t="shared" si="5"/>
        <v/>
      </c>
      <c r="C81" t="str">
        <f>IF(AND(TRIM(A81)&lt;&gt;"",IFERROR(VLOOKUP(TRIM(B81),Inventory!E:E,1,0),0)=0),"X","_")</f>
        <v>_</v>
      </c>
      <c r="D81" t="str">
        <f>IF(AND(TRIM(A81)&lt;&gt;"",IFERROR(VLOOKUP(TRIM(B81),'Full Inventory'!F:F,1,0),0)=0),"X","_")</f>
        <v>_</v>
      </c>
      <c r="E81" t="str">
        <f t="shared" si="4"/>
        <v>X</v>
      </c>
      <c r="F81" t="str">
        <f ca="1">IFERROR(IF(AND(C81&amp;D81&amp;E81="___",INDIRECT("Inventory!A"&amp;MATCH(VLOOKUP(B81,Inventory!E:E,1,0),Inventory!E:E,0))&lt;&gt;INDIRECT("'Full Inventory'!B"&amp;MATCH(VLOOKUP(B81,'Full Inventory'!F:F,1,0),'Full Inventory'!F:F,0))),"X","_"),"_")</f>
        <v>_</v>
      </c>
      <c r="L81" t="str">
        <f t="shared" ca="1" si="6"/>
        <v>__X_</v>
      </c>
      <c r="M81" t="str">
        <f t="shared" ca="1" si="7"/>
        <v/>
      </c>
    </row>
    <row r="82" spans="1:13" x14ac:dyDescent="0.25">
      <c r="A82" s="5"/>
      <c r="B82" s="4" t="str">
        <f t="shared" si="5"/>
        <v/>
      </c>
      <c r="C82" t="str">
        <f>IF(AND(TRIM(A82)&lt;&gt;"",IFERROR(VLOOKUP(TRIM(B82),Inventory!E:E,1,0),0)=0),"X","_")</f>
        <v>_</v>
      </c>
      <c r="D82" t="str">
        <f>IF(AND(TRIM(A82)&lt;&gt;"",IFERROR(VLOOKUP(TRIM(B82),'Full Inventory'!F:F,1,0),0)=0),"X","_")</f>
        <v>_</v>
      </c>
      <c r="E82" t="str">
        <f t="shared" si="4"/>
        <v>X</v>
      </c>
      <c r="F82" t="str">
        <f ca="1">IFERROR(IF(AND(C82&amp;D82&amp;E82="___",INDIRECT("Inventory!A"&amp;MATCH(VLOOKUP(B82,Inventory!E:E,1,0),Inventory!E:E,0))&lt;&gt;INDIRECT("'Full Inventory'!B"&amp;MATCH(VLOOKUP(B82,'Full Inventory'!F:F,1,0),'Full Inventory'!F:F,0))),"X","_"),"_")</f>
        <v>_</v>
      </c>
      <c r="L82" t="str">
        <f t="shared" ca="1" si="6"/>
        <v>__X_</v>
      </c>
      <c r="M82" t="str">
        <f t="shared" ca="1" si="7"/>
        <v/>
      </c>
    </row>
    <row r="83" spans="1:13" x14ac:dyDescent="0.25">
      <c r="A83" s="5"/>
      <c r="B83" s="4" t="str">
        <f t="shared" si="5"/>
        <v/>
      </c>
      <c r="C83" t="str">
        <f>IF(AND(TRIM(A83)&lt;&gt;"",IFERROR(VLOOKUP(TRIM(B83),Inventory!E:E,1,0),0)=0),"X","_")</f>
        <v>_</v>
      </c>
      <c r="D83" t="str">
        <f>IF(AND(TRIM(A83)&lt;&gt;"",IFERROR(VLOOKUP(TRIM(B83),'Full Inventory'!F:F,1,0),0)=0),"X","_")</f>
        <v>_</v>
      </c>
      <c r="E83" t="str">
        <f t="shared" si="4"/>
        <v>X</v>
      </c>
      <c r="F83" t="str">
        <f ca="1">IFERROR(IF(AND(C83&amp;D83&amp;E83="___",INDIRECT("Inventory!A"&amp;MATCH(VLOOKUP(B83,Inventory!E:E,1,0),Inventory!E:E,0))&lt;&gt;INDIRECT("'Full Inventory'!B"&amp;MATCH(VLOOKUP(B83,'Full Inventory'!F:F,1,0),'Full Inventory'!F:F,0))),"X","_"),"_")</f>
        <v>_</v>
      </c>
      <c r="L83" t="str">
        <f t="shared" ca="1" si="6"/>
        <v>__X_</v>
      </c>
      <c r="M83" t="str">
        <f t="shared" ca="1" si="7"/>
        <v/>
      </c>
    </row>
    <row r="84" spans="1:13" x14ac:dyDescent="0.25">
      <c r="A84" s="5"/>
      <c r="B84" s="4" t="str">
        <f t="shared" si="5"/>
        <v/>
      </c>
      <c r="C84" t="str">
        <f>IF(AND(TRIM(A84)&lt;&gt;"",IFERROR(VLOOKUP(TRIM(B84),Inventory!E:E,1,0),0)=0),"X","_")</f>
        <v>_</v>
      </c>
      <c r="D84" t="str">
        <f>IF(AND(TRIM(A84)&lt;&gt;"",IFERROR(VLOOKUP(TRIM(B84),'Full Inventory'!F:F,1,0),0)=0),"X","_")</f>
        <v>_</v>
      </c>
      <c r="E84" t="str">
        <f t="shared" ref="E84:E147" si="8">IF(TRIM(A84)&lt;&gt;"","_","X")</f>
        <v>X</v>
      </c>
      <c r="F84" t="str">
        <f ca="1">IFERROR(IF(AND(C84&amp;D84&amp;E84="___",INDIRECT("Inventory!A"&amp;MATCH(VLOOKUP(B84,Inventory!E:E,1,0),Inventory!E:E,0))&lt;&gt;INDIRECT("'Full Inventory'!B"&amp;MATCH(VLOOKUP(B84,'Full Inventory'!F:F,1,0),'Full Inventory'!F:F,0))),"X","_"),"_")</f>
        <v>_</v>
      </c>
      <c r="L84" t="str">
        <f t="shared" ca="1" si="6"/>
        <v>__X_</v>
      </c>
      <c r="M84" t="str">
        <f t="shared" ca="1" si="7"/>
        <v/>
      </c>
    </row>
    <row r="85" spans="1:13" x14ac:dyDescent="0.25">
      <c r="A85" s="5"/>
      <c r="B85" s="4" t="str">
        <f t="shared" si="5"/>
        <v/>
      </c>
      <c r="C85" t="str">
        <f>IF(AND(TRIM(A85)&lt;&gt;"",IFERROR(VLOOKUP(TRIM(B85),Inventory!E:E,1,0),0)=0),"X","_")</f>
        <v>_</v>
      </c>
      <c r="D85" t="str">
        <f>IF(AND(TRIM(A85)&lt;&gt;"",IFERROR(VLOOKUP(TRIM(B85),'Full Inventory'!F:F,1,0),0)=0),"X","_")</f>
        <v>_</v>
      </c>
      <c r="E85" t="str">
        <f t="shared" si="8"/>
        <v>X</v>
      </c>
      <c r="F85" t="str">
        <f ca="1">IFERROR(IF(AND(C85&amp;D85&amp;E85="___",INDIRECT("Inventory!A"&amp;MATCH(VLOOKUP(B85,Inventory!E:E,1,0),Inventory!E:E,0))&lt;&gt;INDIRECT("'Full Inventory'!B"&amp;MATCH(VLOOKUP(B85,'Full Inventory'!F:F,1,0),'Full Inventory'!F:F,0))),"X","_"),"_")</f>
        <v>_</v>
      </c>
      <c r="L85" t="str">
        <f t="shared" ca="1" si="6"/>
        <v>__X_</v>
      </c>
      <c r="M85" t="str">
        <f t="shared" ca="1" si="7"/>
        <v/>
      </c>
    </row>
    <row r="86" spans="1:13" x14ac:dyDescent="0.25">
      <c r="A86" s="5"/>
      <c r="B86" s="4" t="str">
        <f t="shared" si="5"/>
        <v/>
      </c>
      <c r="C86" t="str">
        <f>IF(AND(TRIM(A86)&lt;&gt;"",IFERROR(VLOOKUP(TRIM(B86),Inventory!E:E,1,0),0)=0),"X","_")</f>
        <v>_</v>
      </c>
      <c r="D86" t="str">
        <f>IF(AND(TRIM(A86)&lt;&gt;"",IFERROR(VLOOKUP(TRIM(B86),'Full Inventory'!F:F,1,0),0)=0),"X","_")</f>
        <v>_</v>
      </c>
      <c r="E86" t="str">
        <f t="shared" si="8"/>
        <v>X</v>
      </c>
      <c r="F86" t="str">
        <f ca="1">IFERROR(IF(AND(C86&amp;D86&amp;E86="___",INDIRECT("Inventory!A"&amp;MATCH(VLOOKUP(B86,Inventory!E:E,1,0),Inventory!E:E,0))&lt;&gt;INDIRECT("'Full Inventory'!B"&amp;MATCH(VLOOKUP(B86,'Full Inventory'!F:F,1,0),'Full Inventory'!F:F,0))),"X","_"),"_")</f>
        <v>_</v>
      </c>
      <c r="L86" t="str">
        <f t="shared" ca="1" si="6"/>
        <v>__X_</v>
      </c>
      <c r="M86" t="str">
        <f t="shared" ca="1" si="7"/>
        <v/>
      </c>
    </row>
    <row r="87" spans="1:13" x14ac:dyDescent="0.25">
      <c r="A87" s="5"/>
      <c r="B87" s="4" t="str">
        <f t="shared" si="5"/>
        <v/>
      </c>
      <c r="C87" t="str">
        <f>IF(AND(TRIM(A87)&lt;&gt;"",IFERROR(VLOOKUP(TRIM(B87),Inventory!E:E,1,0),0)=0),"X","_")</f>
        <v>_</v>
      </c>
      <c r="D87" t="str">
        <f>IF(AND(TRIM(A87)&lt;&gt;"",IFERROR(VLOOKUP(TRIM(B87),'Full Inventory'!F:F,1,0),0)=0),"X","_")</f>
        <v>_</v>
      </c>
      <c r="E87" t="str">
        <f t="shared" si="8"/>
        <v>X</v>
      </c>
      <c r="F87" t="str">
        <f ca="1">IFERROR(IF(AND(C87&amp;D87&amp;E87="___",INDIRECT("Inventory!A"&amp;MATCH(VLOOKUP(B87,Inventory!E:E,1,0),Inventory!E:E,0))&lt;&gt;INDIRECT("'Full Inventory'!B"&amp;MATCH(VLOOKUP(B87,'Full Inventory'!F:F,1,0),'Full Inventory'!F:F,0))),"X","_"),"_")</f>
        <v>_</v>
      </c>
      <c r="L87" t="str">
        <f t="shared" ca="1" si="6"/>
        <v>__X_</v>
      </c>
      <c r="M87" t="str">
        <f t="shared" ca="1" si="7"/>
        <v/>
      </c>
    </row>
    <row r="88" spans="1:13" x14ac:dyDescent="0.25">
      <c r="A88" s="5"/>
      <c r="B88" s="4" t="str">
        <f t="shared" si="5"/>
        <v/>
      </c>
      <c r="C88" t="str">
        <f>IF(AND(TRIM(A88)&lt;&gt;"",IFERROR(VLOOKUP(TRIM(B88),Inventory!E:E,1,0),0)=0),"X","_")</f>
        <v>_</v>
      </c>
      <c r="D88" t="str">
        <f>IF(AND(TRIM(A88)&lt;&gt;"",IFERROR(VLOOKUP(TRIM(B88),'Full Inventory'!F:F,1,0),0)=0),"X","_")</f>
        <v>_</v>
      </c>
      <c r="E88" t="str">
        <f t="shared" si="8"/>
        <v>X</v>
      </c>
      <c r="F88" t="str">
        <f ca="1">IFERROR(IF(AND(C88&amp;D88&amp;E88="___",INDIRECT("Inventory!A"&amp;MATCH(VLOOKUP(B88,Inventory!E:E,1,0),Inventory!E:E,0))&lt;&gt;INDIRECT("'Full Inventory'!B"&amp;MATCH(VLOOKUP(B88,'Full Inventory'!F:F,1,0),'Full Inventory'!F:F,0))),"X","_"),"_")</f>
        <v>_</v>
      </c>
      <c r="L88" t="str">
        <f t="shared" ca="1" si="6"/>
        <v>__X_</v>
      </c>
      <c r="M88" t="str">
        <f t="shared" ca="1" si="7"/>
        <v/>
      </c>
    </row>
    <row r="89" spans="1:13" x14ac:dyDescent="0.25">
      <c r="A89" s="5"/>
      <c r="B89" s="4" t="str">
        <f t="shared" si="5"/>
        <v/>
      </c>
      <c r="C89" t="str">
        <f>IF(AND(TRIM(A89)&lt;&gt;"",IFERROR(VLOOKUP(TRIM(B89),Inventory!E:E,1,0),0)=0),"X","_")</f>
        <v>_</v>
      </c>
      <c r="D89" t="str">
        <f>IF(AND(TRIM(A89)&lt;&gt;"",IFERROR(VLOOKUP(TRIM(B89),'Full Inventory'!F:F,1,0),0)=0),"X","_")</f>
        <v>_</v>
      </c>
      <c r="E89" t="str">
        <f t="shared" si="8"/>
        <v>X</v>
      </c>
      <c r="F89" t="str">
        <f ca="1">IFERROR(IF(AND(C89&amp;D89&amp;E89="___",INDIRECT("Inventory!A"&amp;MATCH(VLOOKUP(B89,Inventory!E:E,1,0),Inventory!E:E,0))&lt;&gt;INDIRECT("'Full Inventory'!B"&amp;MATCH(VLOOKUP(B89,'Full Inventory'!F:F,1,0),'Full Inventory'!F:F,0))),"X","_"),"_")</f>
        <v>_</v>
      </c>
      <c r="L89" t="str">
        <f t="shared" ca="1" si="6"/>
        <v>__X_</v>
      </c>
      <c r="M89" t="str">
        <f t="shared" ca="1" si="7"/>
        <v/>
      </c>
    </row>
    <row r="90" spans="1:13" x14ac:dyDescent="0.25">
      <c r="A90" s="5"/>
      <c r="B90" s="4" t="str">
        <f t="shared" si="5"/>
        <v/>
      </c>
      <c r="C90" t="str">
        <f>IF(AND(TRIM(A90)&lt;&gt;"",IFERROR(VLOOKUP(TRIM(B90),Inventory!E:E,1,0),0)=0),"X","_")</f>
        <v>_</v>
      </c>
      <c r="D90" t="str">
        <f>IF(AND(TRIM(A90)&lt;&gt;"",IFERROR(VLOOKUP(TRIM(B90),'Full Inventory'!F:F,1,0),0)=0),"X","_")</f>
        <v>_</v>
      </c>
      <c r="E90" t="str">
        <f t="shared" si="8"/>
        <v>X</v>
      </c>
      <c r="F90" t="str">
        <f ca="1">IFERROR(IF(AND(C90&amp;D90&amp;E90="___",INDIRECT("Inventory!A"&amp;MATCH(VLOOKUP(B90,Inventory!E:E,1,0),Inventory!E:E,0))&lt;&gt;INDIRECT("'Full Inventory'!B"&amp;MATCH(VLOOKUP(B90,'Full Inventory'!F:F,1,0),'Full Inventory'!F:F,0))),"X","_"),"_")</f>
        <v>_</v>
      </c>
      <c r="L90" t="str">
        <f t="shared" ca="1" si="6"/>
        <v>__X_</v>
      </c>
      <c r="M90" t="str">
        <f t="shared" ca="1" si="7"/>
        <v/>
      </c>
    </row>
    <row r="91" spans="1:13" x14ac:dyDescent="0.25">
      <c r="A91" s="5"/>
      <c r="B91" s="4" t="str">
        <f t="shared" si="5"/>
        <v/>
      </c>
      <c r="C91" t="str">
        <f>IF(AND(TRIM(A91)&lt;&gt;"",IFERROR(VLOOKUP(TRIM(B91),Inventory!E:E,1,0),0)=0),"X","_")</f>
        <v>_</v>
      </c>
      <c r="D91" t="str">
        <f>IF(AND(TRIM(A91)&lt;&gt;"",IFERROR(VLOOKUP(TRIM(B91),'Full Inventory'!F:F,1,0),0)=0),"X","_")</f>
        <v>_</v>
      </c>
      <c r="E91" t="str">
        <f t="shared" si="8"/>
        <v>X</v>
      </c>
      <c r="F91" t="str">
        <f ca="1">IFERROR(IF(AND(C91&amp;D91&amp;E91="___",INDIRECT("Inventory!A"&amp;MATCH(VLOOKUP(B91,Inventory!E:E,1,0),Inventory!E:E,0))&lt;&gt;INDIRECT("'Full Inventory'!B"&amp;MATCH(VLOOKUP(B91,'Full Inventory'!F:F,1,0),'Full Inventory'!F:F,0))),"X","_"),"_")</f>
        <v>_</v>
      </c>
      <c r="L91" t="str">
        <f t="shared" ca="1" si="6"/>
        <v>__X_</v>
      </c>
      <c r="M91" t="str">
        <f t="shared" ca="1" si="7"/>
        <v/>
      </c>
    </row>
    <row r="92" spans="1:13" x14ac:dyDescent="0.25">
      <c r="A92" s="5"/>
      <c r="B92" s="4" t="str">
        <f t="shared" si="5"/>
        <v/>
      </c>
      <c r="C92" t="str">
        <f>IF(AND(TRIM(A92)&lt;&gt;"",IFERROR(VLOOKUP(TRIM(B92),Inventory!E:E,1,0),0)=0),"X","_")</f>
        <v>_</v>
      </c>
      <c r="D92" t="str">
        <f>IF(AND(TRIM(A92)&lt;&gt;"",IFERROR(VLOOKUP(TRIM(B92),'Full Inventory'!F:F,1,0),0)=0),"X","_")</f>
        <v>_</v>
      </c>
      <c r="E92" t="str">
        <f t="shared" si="8"/>
        <v>X</v>
      </c>
      <c r="F92" t="str">
        <f ca="1">IFERROR(IF(AND(C92&amp;D92&amp;E92="___",INDIRECT("Inventory!A"&amp;MATCH(VLOOKUP(B92,Inventory!E:E,1,0),Inventory!E:E,0))&lt;&gt;INDIRECT("'Full Inventory'!B"&amp;MATCH(VLOOKUP(B92,'Full Inventory'!F:F,1,0),'Full Inventory'!F:F,0))),"X","_"),"_")</f>
        <v>_</v>
      </c>
      <c r="L92" t="str">
        <f t="shared" ca="1" si="6"/>
        <v>__X_</v>
      </c>
      <c r="M92" t="str">
        <f t="shared" ca="1" si="7"/>
        <v/>
      </c>
    </row>
    <row r="93" spans="1:13" x14ac:dyDescent="0.25">
      <c r="A93" s="5"/>
      <c r="B93" s="4" t="str">
        <f t="shared" si="5"/>
        <v/>
      </c>
      <c r="C93" t="str">
        <f>IF(AND(TRIM(A93)&lt;&gt;"",IFERROR(VLOOKUP(TRIM(B93),Inventory!E:E,1,0),0)=0),"X","_")</f>
        <v>_</v>
      </c>
      <c r="D93" t="str">
        <f>IF(AND(TRIM(A93)&lt;&gt;"",IFERROR(VLOOKUP(TRIM(B93),'Full Inventory'!F:F,1,0),0)=0),"X","_")</f>
        <v>_</v>
      </c>
      <c r="E93" t="str">
        <f t="shared" si="8"/>
        <v>X</v>
      </c>
      <c r="F93" t="str">
        <f ca="1">IFERROR(IF(AND(C93&amp;D93&amp;E93="___",INDIRECT("Inventory!A"&amp;MATCH(VLOOKUP(B93,Inventory!E:E,1,0),Inventory!E:E,0))&lt;&gt;INDIRECT("'Full Inventory'!B"&amp;MATCH(VLOOKUP(B93,'Full Inventory'!F:F,1,0),'Full Inventory'!F:F,0))),"X","_"),"_")</f>
        <v>_</v>
      </c>
      <c r="L93" t="str">
        <f t="shared" ca="1" si="6"/>
        <v>__X_</v>
      </c>
      <c r="M93" t="str">
        <f t="shared" ca="1" si="7"/>
        <v/>
      </c>
    </row>
    <row r="94" spans="1:13" x14ac:dyDescent="0.25">
      <c r="A94" s="5"/>
      <c r="B94" s="4" t="str">
        <f t="shared" si="5"/>
        <v/>
      </c>
      <c r="C94" t="str">
        <f>IF(AND(TRIM(A94)&lt;&gt;"",IFERROR(VLOOKUP(TRIM(B94),Inventory!E:E,1,0),0)=0),"X","_")</f>
        <v>_</v>
      </c>
      <c r="D94" t="str">
        <f>IF(AND(TRIM(A94)&lt;&gt;"",IFERROR(VLOOKUP(TRIM(B94),'Full Inventory'!F:F,1,0),0)=0),"X","_")</f>
        <v>_</v>
      </c>
      <c r="E94" t="str">
        <f t="shared" si="8"/>
        <v>X</v>
      </c>
      <c r="F94" t="str">
        <f ca="1">IFERROR(IF(AND(C94&amp;D94&amp;E94="___",INDIRECT("Inventory!A"&amp;MATCH(VLOOKUP(B94,Inventory!E:E,1,0),Inventory!E:E,0))&lt;&gt;INDIRECT("'Full Inventory'!B"&amp;MATCH(VLOOKUP(B94,'Full Inventory'!F:F,1,0),'Full Inventory'!F:F,0))),"X","_"),"_")</f>
        <v>_</v>
      </c>
      <c r="L94" t="str">
        <f t="shared" ca="1" si="6"/>
        <v>__X_</v>
      </c>
      <c r="M94" t="str">
        <f t="shared" ca="1" si="7"/>
        <v/>
      </c>
    </row>
    <row r="95" spans="1:13" x14ac:dyDescent="0.25">
      <c r="A95" s="5"/>
      <c r="B95" s="4" t="str">
        <f t="shared" si="5"/>
        <v/>
      </c>
      <c r="C95" t="str">
        <f>IF(AND(TRIM(A95)&lt;&gt;"",IFERROR(VLOOKUP(TRIM(B95),Inventory!E:E,1,0),0)=0),"X","_")</f>
        <v>_</v>
      </c>
      <c r="D95" t="str">
        <f>IF(AND(TRIM(A95)&lt;&gt;"",IFERROR(VLOOKUP(TRIM(B95),'Full Inventory'!F:F,1,0),0)=0),"X","_")</f>
        <v>_</v>
      </c>
      <c r="E95" t="str">
        <f t="shared" si="8"/>
        <v>X</v>
      </c>
      <c r="F95" t="str">
        <f ca="1">IFERROR(IF(AND(C95&amp;D95&amp;E95="___",INDIRECT("Inventory!A"&amp;MATCH(VLOOKUP(B95,Inventory!E:E,1,0),Inventory!E:E,0))&lt;&gt;INDIRECT("'Full Inventory'!B"&amp;MATCH(VLOOKUP(B95,'Full Inventory'!F:F,1,0),'Full Inventory'!F:F,0))),"X","_"),"_")</f>
        <v>_</v>
      </c>
      <c r="L95" t="str">
        <f t="shared" ca="1" si="6"/>
        <v>__X_</v>
      </c>
      <c r="M95" t="str">
        <f t="shared" ca="1" si="7"/>
        <v/>
      </c>
    </row>
    <row r="96" spans="1:13" x14ac:dyDescent="0.25">
      <c r="A96" s="5"/>
      <c r="B96" s="4" t="str">
        <f t="shared" si="5"/>
        <v/>
      </c>
      <c r="C96" t="str">
        <f>IF(AND(TRIM(A96)&lt;&gt;"",IFERROR(VLOOKUP(TRIM(B96),Inventory!E:E,1,0),0)=0),"X","_")</f>
        <v>_</v>
      </c>
      <c r="D96" t="str">
        <f>IF(AND(TRIM(A96)&lt;&gt;"",IFERROR(VLOOKUP(TRIM(B96),'Full Inventory'!F:F,1,0),0)=0),"X","_")</f>
        <v>_</v>
      </c>
      <c r="E96" t="str">
        <f t="shared" si="8"/>
        <v>X</v>
      </c>
      <c r="F96" t="str">
        <f ca="1">IFERROR(IF(AND(C96&amp;D96&amp;E96="___",INDIRECT("Inventory!A"&amp;MATCH(VLOOKUP(B96,Inventory!E:E,1,0),Inventory!E:E,0))&lt;&gt;INDIRECT("'Full Inventory'!B"&amp;MATCH(VLOOKUP(B96,'Full Inventory'!F:F,1,0),'Full Inventory'!F:F,0))),"X","_"),"_")</f>
        <v>_</v>
      </c>
      <c r="L96" t="str">
        <f t="shared" ca="1" si="6"/>
        <v>__X_</v>
      </c>
      <c r="M96" t="str">
        <f t="shared" ca="1" si="7"/>
        <v/>
      </c>
    </row>
    <row r="97" spans="1:13" x14ac:dyDescent="0.25">
      <c r="A97" s="5"/>
      <c r="B97" s="4" t="str">
        <f t="shared" si="5"/>
        <v/>
      </c>
      <c r="C97" t="str">
        <f>IF(AND(TRIM(A97)&lt;&gt;"",IFERROR(VLOOKUP(TRIM(B97),Inventory!E:E,1,0),0)=0),"X","_")</f>
        <v>_</v>
      </c>
      <c r="D97" t="str">
        <f>IF(AND(TRIM(A97)&lt;&gt;"",IFERROR(VLOOKUP(TRIM(B97),'Full Inventory'!F:F,1,0),0)=0),"X","_")</f>
        <v>_</v>
      </c>
      <c r="E97" t="str">
        <f t="shared" si="8"/>
        <v>X</v>
      </c>
      <c r="F97" t="str">
        <f ca="1">IFERROR(IF(AND(C97&amp;D97&amp;E97="___",INDIRECT("Inventory!A"&amp;MATCH(VLOOKUP(B97,Inventory!E:E,1,0),Inventory!E:E,0))&lt;&gt;INDIRECT("'Full Inventory'!B"&amp;MATCH(VLOOKUP(B97,'Full Inventory'!F:F,1,0),'Full Inventory'!F:F,0))),"X","_"),"_")</f>
        <v>_</v>
      </c>
      <c r="L97" t="str">
        <f t="shared" ca="1" si="6"/>
        <v>__X_</v>
      </c>
      <c r="M97" t="str">
        <f t="shared" ca="1" si="7"/>
        <v/>
      </c>
    </row>
    <row r="98" spans="1:13" x14ac:dyDescent="0.25">
      <c r="A98" s="5"/>
      <c r="B98" s="4" t="str">
        <f t="shared" si="5"/>
        <v/>
      </c>
      <c r="C98" t="str">
        <f>IF(AND(TRIM(A98)&lt;&gt;"",IFERROR(VLOOKUP(TRIM(B98),Inventory!E:E,1,0),0)=0),"X","_")</f>
        <v>_</v>
      </c>
      <c r="D98" t="str">
        <f>IF(AND(TRIM(A98)&lt;&gt;"",IFERROR(VLOOKUP(TRIM(B98),'Full Inventory'!F:F,1,0),0)=0),"X","_")</f>
        <v>_</v>
      </c>
      <c r="E98" t="str">
        <f t="shared" si="8"/>
        <v>X</v>
      </c>
      <c r="F98" t="str">
        <f ca="1">IFERROR(IF(AND(C98&amp;D98&amp;E98="___",INDIRECT("Inventory!A"&amp;MATCH(VLOOKUP(B98,Inventory!E:E,1,0),Inventory!E:E,0))&lt;&gt;INDIRECT("'Full Inventory'!B"&amp;MATCH(VLOOKUP(B98,'Full Inventory'!F:F,1,0),'Full Inventory'!F:F,0))),"X","_"),"_")</f>
        <v>_</v>
      </c>
      <c r="L98" t="str">
        <f t="shared" ca="1" si="6"/>
        <v>__X_</v>
      </c>
      <c r="M98" t="str">
        <f t="shared" ca="1" si="7"/>
        <v/>
      </c>
    </row>
    <row r="99" spans="1:13" x14ac:dyDescent="0.25">
      <c r="A99" s="5"/>
      <c r="B99" s="4" t="str">
        <f t="shared" si="5"/>
        <v/>
      </c>
      <c r="C99" t="str">
        <f>IF(AND(TRIM(A99)&lt;&gt;"",IFERROR(VLOOKUP(TRIM(B99),Inventory!E:E,1,0),0)=0),"X","_")</f>
        <v>_</v>
      </c>
      <c r="D99" t="str">
        <f>IF(AND(TRIM(A99)&lt;&gt;"",IFERROR(VLOOKUP(TRIM(B99),'Full Inventory'!F:F,1,0),0)=0),"X","_")</f>
        <v>_</v>
      </c>
      <c r="E99" t="str">
        <f t="shared" si="8"/>
        <v>X</v>
      </c>
      <c r="F99" t="str">
        <f ca="1">IFERROR(IF(AND(C99&amp;D99&amp;E99="___",INDIRECT("Inventory!A"&amp;MATCH(VLOOKUP(B99,Inventory!E:E,1,0),Inventory!E:E,0))&lt;&gt;INDIRECT("'Full Inventory'!B"&amp;MATCH(VLOOKUP(B99,'Full Inventory'!F:F,1,0),'Full Inventory'!F:F,0))),"X","_"),"_")</f>
        <v>_</v>
      </c>
      <c r="L99" t="str">
        <f t="shared" ca="1" si="6"/>
        <v>__X_</v>
      </c>
      <c r="M99" t="str">
        <f t="shared" ca="1" si="7"/>
        <v/>
      </c>
    </row>
    <row r="100" spans="1:13" x14ac:dyDescent="0.25">
      <c r="A100" s="5"/>
      <c r="B100" s="4" t="str">
        <f t="shared" si="5"/>
        <v/>
      </c>
      <c r="C100" t="str">
        <f>IF(AND(TRIM(A100)&lt;&gt;"",IFERROR(VLOOKUP(TRIM(B100),Inventory!E:E,1,0),0)=0),"X","_")</f>
        <v>_</v>
      </c>
      <c r="D100" t="str">
        <f>IF(AND(TRIM(A100)&lt;&gt;"",IFERROR(VLOOKUP(TRIM(B100),'Full Inventory'!F:F,1,0),0)=0),"X","_")</f>
        <v>_</v>
      </c>
      <c r="E100" t="str">
        <f t="shared" si="8"/>
        <v>X</v>
      </c>
      <c r="F100" t="str">
        <f ca="1">IFERROR(IF(AND(C100&amp;D100&amp;E100="___",INDIRECT("Inventory!A"&amp;MATCH(VLOOKUP(B100,Inventory!E:E,1,0),Inventory!E:E,0))&lt;&gt;INDIRECT("'Full Inventory'!B"&amp;MATCH(VLOOKUP(B100,'Full Inventory'!F:F,1,0),'Full Inventory'!F:F,0))),"X","_"),"_")</f>
        <v>_</v>
      </c>
      <c r="L100" t="str">
        <f t="shared" ca="1" si="6"/>
        <v>__X_</v>
      </c>
      <c r="M100" t="str">
        <f t="shared" ca="1" si="7"/>
        <v/>
      </c>
    </row>
    <row r="101" spans="1:13" x14ac:dyDescent="0.25">
      <c r="A101" s="5"/>
      <c r="B101" s="4" t="str">
        <f t="shared" si="5"/>
        <v/>
      </c>
      <c r="C101" t="str">
        <f>IF(AND(TRIM(A101)&lt;&gt;"",IFERROR(VLOOKUP(TRIM(B101),Inventory!E:E,1,0),0)=0),"X","_")</f>
        <v>_</v>
      </c>
      <c r="D101" t="str">
        <f>IF(AND(TRIM(A101)&lt;&gt;"",IFERROR(VLOOKUP(TRIM(B101),'Full Inventory'!F:F,1,0),0)=0),"X","_")</f>
        <v>_</v>
      </c>
      <c r="E101" t="str">
        <f t="shared" si="8"/>
        <v>X</v>
      </c>
      <c r="F101" t="str">
        <f ca="1">IFERROR(IF(AND(C101&amp;D101&amp;E101="___",INDIRECT("Inventory!A"&amp;MATCH(VLOOKUP(B101,Inventory!E:E,1,0),Inventory!E:E,0))&lt;&gt;INDIRECT("'Full Inventory'!B"&amp;MATCH(VLOOKUP(B101,'Full Inventory'!F:F,1,0),'Full Inventory'!F:F,0))),"X","_"),"_")</f>
        <v>_</v>
      </c>
      <c r="L101" t="str">
        <f t="shared" ca="1" si="6"/>
        <v>__X_</v>
      </c>
      <c r="M101" t="str">
        <f t="shared" ca="1" si="7"/>
        <v/>
      </c>
    </row>
    <row r="102" spans="1:13" x14ac:dyDescent="0.25">
      <c r="A102" s="5"/>
      <c r="B102" s="4" t="str">
        <f t="shared" si="5"/>
        <v/>
      </c>
      <c r="C102" t="str">
        <f>IF(AND(TRIM(A102)&lt;&gt;"",IFERROR(VLOOKUP(TRIM(B102),Inventory!E:E,1,0),0)=0),"X","_")</f>
        <v>_</v>
      </c>
      <c r="D102" t="str">
        <f>IF(AND(TRIM(A102)&lt;&gt;"",IFERROR(VLOOKUP(TRIM(B102),'Full Inventory'!F:F,1,0),0)=0),"X","_")</f>
        <v>_</v>
      </c>
      <c r="E102" t="str">
        <f t="shared" si="8"/>
        <v>X</v>
      </c>
      <c r="F102" t="str">
        <f ca="1">IFERROR(IF(AND(C102&amp;D102&amp;E102="___",INDIRECT("Inventory!A"&amp;MATCH(VLOOKUP(B102,Inventory!E:E,1,0),Inventory!E:E,0))&lt;&gt;INDIRECT("'Full Inventory'!B"&amp;MATCH(VLOOKUP(B102,'Full Inventory'!F:F,1,0),'Full Inventory'!F:F,0))),"X","_"),"_")</f>
        <v>_</v>
      </c>
      <c r="L102" t="str">
        <f t="shared" ca="1" si="6"/>
        <v>__X_</v>
      </c>
      <c r="M102" t="str">
        <f t="shared" ca="1" si="7"/>
        <v/>
      </c>
    </row>
    <row r="103" spans="1:13" x14ac:dyDescent="0.25">
      <c r="A103" s="5"/>
      <c r="B103" s="4" t="str">
        <f t="shared" si="5"/>
        <v/>
      </c>
      <c r="C103" t="str">
        <f>IF(AND(TRIM(A103)&lt;&gt;"",IFERROR(VLOOKUP(TRIM(B103),Inventory!E:E,1,0),0)=0),"X","_")</f>
        <v>_</v>
      </c>
      <c r="D103" t="str">
        <f>IF(AND(TRIM(A103)&lt;&gt;"",IFERROR(VLOOKUP(TRIM(B103),'Full Inventory'!F:F,1,0),0)=0),"X","_")</f>
        <v>_</v>
      </c>
      <c r="E103" t="str">
        <f t="shared" si="8"/>
        <v>X</v>
      </c>
      <c r="F103" t="str">
        <f ca="1">IFERROR(IF(AND(C103&amp;D103&amp;E103="___",INDIRECT("Inventory!A"&amp;MATCH(VLOOKUP(B103,Inventory!E:E,1,0),Inventory!E:E,0))&lt;&gt;INDIRECT("'Full Inventory'!B"&amp;MATCH(VLOOKUP(B103,'Full Inventory'!F:F,1,0),'Full Inventory'!F:F,0))),"X","_"),"_")</f>
        <v>_</v>
      </c>
      <c r="L103" t="str">
        <f t="shared" ca="1" si="6"/>
        <v>__X_</v>
      </c>
      <c r="M103" t="str">
        <f t="shared" ca="1" si="7"/>
        <v/>
      </c>
    </row>
    <row r="104" spans="1:13" x14ac:dyDescent="0.25">
      <c r="A104" s="5"/>
      <c r="B104" s="4" t="str">
        <f t="shared" si="5"/>
        <v/>
      </c>
      <c r="C104" t="str">
        <f>IF(AND(TRIM(A104)&lt;&gt;"",IFERROR(VLOOKUP(TRIM(B104),Inventory!E:E,1,0),0)=0),"X","_")</f>
        <v>_</v>
      </c>
      <c r="D104" t="str">
        <f>IF(AND(TRIM(A104)&lt;&gt;"",IFERROR(VLOOKUP(TRIM(B104),'Full Inventory'!F:F,1,0),0)=0),"X","_")</f>
        <v>_</v>
      </c>
      <c r="E104" t="str">
        <f t="shared" si="8"/>
        <v>X</v>
      </c>
      <c r="F104" t="str">
        <f ca="1">IFERROR(IF(AND(C104&amp;D104&amp;E104="___",INDIRECT("Inventory!A"&amp;MATCH(VLOOKUP(B104,Inventory!E:E,1,0),Inventory!E:E,0))&lt;&gt;INDIRECT("'Full Inventory'!B"&amp;MATCH(VLOOKUP(B104,'Full Inventory'!F:F,1,0),'Full Inventory'!F:F,0))),"X","_"),"_")</f>
        <v>_</v>
      </c>
      <c r="L104" t="str">
        <f t="shared" ca="1" si="6"/>
        <v>__X_</v>
      </c>
      <c r="M104" t="str">
        <f t="shared" ca="1" si="7"/>
        <v/>
      </c>
    </row>
    <row r="105" spans="1:13" x14ac:dyDescent="0.25">
      <c r="A105" s="5"/>
      <c r="B105" s="4" t="str">
        <f t="shared" si="5"/>
        <v/>
      </c>
      <c r="C105" t="str">
        <f>IF(AND(TRIM(A105)&lt;&gt;"",IFERROR(VLOOKUP(TRIM(B105),Inventory!E:E,1,0),0)=0),"X","_")</f>
        <v>_</v>
      </c>
      <c r="D105" t="str">
        <f>IF(AND(TRIM(A105)&lt;&gt;"",IFERROR(VLOOKUP(TRIM(B105),'Full Inventory'!F:F,1,0),0)=0),"X","_")</f>
        <v>_</v>
      </c>
      <c r="E105" t="str">
        <f t="shared" si="8"/>
        <v>X</v>
      </c>
      <c r="F105" t="str">
        <f ca="1">IFERROR(IF(AND(C105&amp;D105&amp;E105="___",INDIRECT("Inventory!A"&amp;MATCH(VLOOKUP(B105,Inventory!E:E,1,0),Inventory!E:E,0))&lt;&gt;INDIRECT("'Full Inventory'!B"&amp;MATCH(VLOOKUP(B105,'Full Inventory'!F:F,1,0),'Full Inventory'!F:F,0))),"X","_"),"_")</f>
        <v>_</v>
      </c>
      <c r="L105" t="str">
        <f t="shared" ca="1" si="6"/>
        <v>__X_</v>
      </c>
      <c r="M105" t="str">
        <f t="shared" ca="1" si="7"/>
        <v/>
      </c>
    </row>
    <row r="106" spans="1:13" x14ac:dyDescent="0.25">
      <c r="A106" s="5"/>
      <c r="B106" s="4" t="str">
        <f t="shared" si="5"/>
        <v/>
      </c>
      <c r="C106" t="str">
        <f>IF(AND(TRIM(A106)&lt;&gt;"",IFERROR(VLOOKUP(TRIM(B106),Inventory!E:E,1,0),0)=0),"X","_")</f>
        <v>_</v>
      </c>
      <c r="D106" t="str">
        <f>IF(AND(TRIM(A106)&lt;&gt;"",IFERROR(VLOOKUP(TRIM(B106),'Full Inventory'!F:F,1,0),0)=0),"X","_")</f>
        <v>_</v>
      </c>
      <c r="E106" t="str">
        <f t="shared" si="8"/>
        <v>X</v>
      </c>
      <c r="F106" t="str">
        <f ca="1">IFERROR(IF(AND(C106&amp;D106&amp;E106="___",INDIRECT("Inventory!A"&amp;MATCH(VLOOKUP(B106,Inventory!E:E,1,0),Inventory!E:E,0))&lt;&gt;INDIRECT("'Full Inventory'!B"&amp;MATCH(VLOOKUP(B106,'Full Inventory'!F:F,1,0),'Full Inventory'!F:F,0))),"X","_"),"_")</f>
        <v>_</v>
      </c>
      <c r="L106" t="str">
        <f t="shared" ca="1" si="6"/>
        <v>__X_</v>
      </c>
      <c r="M106" t="str">
        <f t="shared" ca="1" si="7"/>
        <v/>
      </c>
    </row>
    <row r="107" spans="1:13" x14ac:dyDescent="0.25">
      <c r="A107" s="5"/>
      <c r="B107" s="4" t="str">
        <f t="shared" si="5"/>
        <v/>
      </c>
      <c r="C107" t="str">
        <f>IF(AND(TRIM(A107)&lt;&gt;"",IFERROR(VLOOKUP(TRIM(B107),Inventory!E:E,1,0),0)=0),"X","_")</f>
        <v>_</v>
      </c>
      <c r="D107" t="str">
        <f>IF(AND(TRIM(A107)&lt;&gt;"",IFERROR(VLOOKUP(TRIM(B107),'Full Inventory'!F:F,1,0),0)=0),"X","_")</f>
        <v>_</v>
      </c>
      <c r="E107" t="str">
        <f t="shared" si="8"/>
        <v>X</v>
      </c>
      <c r="F107" t="str">
        <f ca="1">IFERROR(IF(AND(C107&amp;D107&amp;E107="___",INDIRECT("Inventory!A"&amp;MATCH(VLOOKUP(B107,Inventory!E:E,1,0),Inventory!E:E,0))&lt;&gt;INDIRECT("'Full Inventory'!B"&amp;MATCH(VLOOKUP(B107,'Full Inventory'!F:F,1,0),'Full Inventory'!F:F,0))),"X","_"),"_")</f>
        <v>_</v>
      </c>
      <c r="L107" t="str">
        <f t="shared" ca="1" si="6"/>
        <v>__X_</v>
      </c>
      <c r="M107" t="str">
        <f t="shared" ca="1" si="7"/>
        <v/>
      </c>
    </row>
    <row r="108" spans="1:13" x14ac:dyDescent="0.25">
      <c r="A108" s="5"/>
      <c r="B108" s="4" t="str">
        <f t="shared" si="5"/>
        <v/>
      </c>
      <c r="C108" t="str">
        <f>IF(AND(TRIM(A108)&lt;&gt;"",IFERROR(VLOOKUP(TRIM(B108),Inventory!E:E,1,0),0)=0),"X","_")</f>
        <v>_</v>
      </c>
      <c r="D108" t="str">
        <f>IF(AND(TRIM(A108)&lt;&gt;"",IFERROR(VLOOKUP(TRIM(B108),'Full Inventory'!F:F,1,0),0)=0),"X","_")</f>
        <v>_</v>
      </c>
      <c r="E108" t="str">
        <f t="shared" si="8"/>
        <v>X</v>
      </c>
      <c r="F108" t="str">
        <f ca="1">IFERROR(IF(AND(C108&amp;D108&amp;E108="___",INDIRECT("Inventory!A"&amp;MATCH(VLOOKUP(B108,Inventory!E:E,1,0),Inventory!E:E,0))&lt;&gt;INDIRECT("'Full Inventory'!B"&amp;MATCH(VLOOKUP(B108,'Full Inventory'!F:F,1,0),'Full Inventory'!F:F,0))),"X","_"),"_")</f>
        <v>_</v>
      </c>
      <c r="L108" t="str">
        <f t="shared" ca="1" si="6"/>
        <v>__X_</v>
      </c>
      <c r="M108" t="str">
        <f t="shared" ca="1" si="7"/>
        <v/>
      </c>
    </row>
    <row r="109" spans="1:13" x14ac:dyDescent="0.25">
      <c r="A109" s="5"/>
      <c r="B109" s="4" t="str">
        <f t="shared" si="5"/>
        <v/>
      </c>
      <c r="C109" t="str">
        <f>IF(AND(TRIM(A109)&lt;&gt;"",IFERROR(VLOOKUP(TRIM(B109),Inventory!E:E,1,0),0)=0),"X","_")</f>
        <v>_</v>
      </c>
      <c r="D109" t="str">
        <f>IF(AND(TRIM(A109)&lt;&gt;"",IFERROR(VLOOKUP(TRIM(B109),'Full Inventory'!F:F,1,0),0)=0),"X","_")</f>
        <v>_</v>
      </c>
      <c r="E109" t="str">
        <f t="shared" si="8"/>
        <v>X</v>
      </c>
      <c r="F109" t="str">
        <f ca="1">IFERROR(IF(AND(C109&amp;D109&amp;E109="___",INDIRECT("Inventory!A"&amp;MATCH(VLOOKUP(B109,Inventory!E:E,1,0),Inventory!E:E,0))&lt;&gt;INDIRECT("'Full Inventory'!B"&amp;MATCH(VLOOKUP(B109,'Full Inventory'!F:F,1,0),'Full Inventory'!F:F,0))),"X","_"),"_")</f>
        <v>_</v>
      </c>
      <c r="L109" t="str">
        <f t="shared" ca="1" si="6"/>
        <v>__X_</v>
      </c>
      <c r="M109" t="str">
        <f t="shared" ca="1" si="7"/>
        <v/>
      </c>
    </row>
    <row r="110" spans="1:13" x14ac:dyDescent="0.25">
      <c r="A110" s="5"/>
      <c r="B110" s="4" t="str">
        <f t="shared" si="5"/>
        <v/>
      </c>
      <c r="C110" t="str">
        <f>IF(AND(TRIM(A110)&lt;&gt;"",IFERROR(VLOOKUP(TRIM(B110),Inventory!E:E,1,0),0)=0),"X","_")</f>
        <v>_</v>
      </c>
      <c r="D110" t="str">
        <f>IF(AND(TRIM(A110)&lt;&gt;"",IFERROR(VLOOKUP(TRIM(B110),'Full Inventory'!F:F,1,0),0)=0),"X","_")</f>
        <v>_</v>
      </c>
      <c r="E110" t="str">
        <f t="shared" si="8"/>
        <v>X</v>
      </c>
      <c r="F110" t="str">
        <f ca="1">IFERROR(IF(AND(C110&amp;D110&amp;E110="___",INDIRECT("Inventory!A"&amp;MATCH(VLOOKUP(B110,Inventory!E:E,1,0),Inventory!E:E,0))&lt;&gt;INDIRECT("'Full Inventory'!B"&amp;MATCH(VLOOKUP(B110,'Full Inventory'!F:F,1,0),'Full Inventory'!F:F,0))),"X","_"),"_")</f>
        <v>_</v>
      </c>
      <c r="L110" t="str">
        <f t="shared" ca="1" si="6"/>
        <v>__X_</v>
      </c>
      <c r="M110" t="str">
        <f t="shared" ca="1" si="7"/>
        <v/>
      </c>
    </row>
    <row r="111" spans="1:13" x14ac:dyDescent="0.25">
      <c r="A111" s="5"/>
      <c r="B111" s="4" t="str">
        <f t="shared" si="5"/>
        <v/>
      </c>
      <c r="C111" t="str">
        <f>IF(AND(TRIM(A111)&lt;&gt;"",IFERROR(VLOOKUP(TRIM(B111),Inventory!E:E,1,0),0)=0),"X","_")</f>
        <v>_</v>
      </c>
      <c r="D111" t="str">
        <f>IF(AND(TRIM(A111)&lt;&gt;"",IFERROR(VLOOKUP(TRIM(B111),'Full Inventory'!F:F,1,0),0)=0),"X","_")</f>
        <v>_</v>
      </c>
      <c r="E111" t="str">
        <f t="shared" si="8"/>
        <v>X</v>
      </c>
      <c r="F111" t="str">
        <f ca="1">IFERROR(IF(AND(C111&amp;D111&amp;E111="___",INDIRECT("Inventory!A"&amp;MATCH(VLOOKUP(B111,Inventory!E:E,1,0),Inventory!E:E,0))&lt;&gt;INDIRECT("'Full Inventory'!B"&amp;MATCH(VLOOKUP(B111,'Full Inventory'!F:F,1,0),'Full Inventory'!F:F,0))),"X","_"),"_")</f>
        <v>_</v>
      </c>
      <c r="L111" t="str">
        <f t="shared" ca="1" si="6"/>
        <v>__X_</v>
      </c>
      <c r="M111" t="str">
        <f t="shared" ca="1" si="7"/>
        <v/>
      </c>
    </row>
    <row r="112" spans="1:13" x14ac:dyDescent="0.25">
      <c r="A112" s="5"/>
      <c r="B112" s="4" t="str">
        <f t="shared" si="5"/>
        <v/>
      </c>
      <c r="C112" t="str">
        <f>IF(AND(TRIM(A112)&lt;&gt;"",IFERROR(VLOOKUP(TRIM(B112),Inventory!E:E,1,0),0)=0),"X","_")</f>
        <v>_</v>
      </c>
      <c r="D112" t="str">
        <f>IF(AND(TRIM(A112)&lt;&gt;"",IFERROR(VLOOKUP(TRIM(B112),'Full Inventory'!F:F,1,0),0)=0),"X","_")</f>
        <v>_</v>
      </c>
      <c r="E112" t="str">
        <f t="shared" si="8"/>
        <v>X</v>
      </c>
      <c r="F112" t="str">
        <f ca="1">IFERROR(IF(AND(C112&amp;D112&amp;E112="___",INDIRECT("Inventory!A"&amp;MATCH(VLOOKUP(B112,Inventory!E:E,1,0),Inventory!E:E,0))&lt;&gt;INDIRECT("'Full Inventory'!B"&amp;MATCH(VLOOKUP(B112,'Full Inventory'!F:F,1,0),'Full Inventory'!F:F,0))),"X","_"),"_")</f>
        <v>_</v>
      </c>
      <c r="L112" t="str">
        <f t="shared" ca="1" si="6"/>
        <v>__X_</v>
      </c>
      <c r="M112" t="str">
        <f t="shared" ca="1" si="7"/>
        <v/>
      </c>
    </row>
    <row r="113" spans="1:13" x14ac:dyDescent="0.25">
      <c r="A113" s="5"/>
      <c r="B113" s="4" t="str">
        <f t="shared" si="5"/>
        <v/>
      </c>
      <c r="C113" t="str">
        <f>IF(AND(TRIM(A113)&lt;&gt;"",IFERROR(VLOOKUP(TRIM(B113),Inventory!E:E,1,0),0)=0),"X","_")</f>
        <v>_</v>
      </c>
      <c r="D113" t="str">
        <f>IF(AND(TRIM(A113)&lt;&gt;"",IFERROR(VLOOKUP(TRIM(B113),'Full Inventory'!F:F,1,0),0)=0),"X","_")</f>
        <v>_</v>
      </c>
      <c r="E113" t="str">
        <f t="shared" si="8"/>
        <v>X</v>
      </c>
      <c r="F113" t="str">
        <f ca="1">IFERROR(IF(AND(C113&amp;D113&amp;E113="___",INDIRECT("Inventory!A"&amp;MATCH(VLOOKUP(B113,Inventory!E:E,1,0),Inventory!E:E,0))&lt;&gt;INDIRECT("'Full Inventory'!B"&amp;MATCH(VLOOKUP(B113,'Full Inventory'!F:F,1,0),'Full Inventory'!F:F,0))),"X","_"),"_")</f>
        <v>_</v>
      </c>
      <c r="L113" t="str">
        <f t="shared" ca="1" si="6"/>
        <v>__X_</v>
      </c>
      <c r="M113" t="str">
        <f t="shared" ca="1" si="7"/>
        <v/>
      </c>
    </row>
    <row r="114" spans="1:13" x14ac:dyDescent="0.25">
      <c r="A114" s="5"/>
      <c r="B114" s="4" t="str">
        <f t="shared" si="5"/>
        <v/>
      </c>
      <c r="C114" t="str">
        <f>IF(AND(TRIM(A114)&lt;&gt;"",IFERROR(VLOOKUP(TRIM(B114),Inventory!E:E,1,0),0)=0),"X","_")</f>
        <v>_</v>
      </c>
      <c r="D114" t="str">
        <f>IF(AND(TRIM(A114)&lt;&gt;"",IFERROR(VLOOKUP(TRIM(B114),'Full Inventory'!F:F,1,0),0)=0),"X","_")</f>
        <v>_</v>
      </c>
      <c r="E114" t="str">
        <f t="shared" si="8"/>
        <v>X</v>
      </c>
      <c r="F114" t="str">
        <f ca="1">IFERROR(IF(AND(C114&amp;D114&amp;E114="___",INDIRECT("Inventory!A"&amp;MATCH(VLOOKUP(B114,Inventory!E:E,1,0),Inventory!E:E,0))&lt;&gt;INDIRECT("'Full Inventory'!B"&amp;MATCH(VLOOKUP(B114,'Full Inventory'!F:F,1,0),'Full Inventory'!F:F,0))),"X","_"),"_")</f>
        <v>_</v>
      </c>
      <c r="L114" t="str">
        <f t="shared" ca="1" si="6"/>
        <v>__X_</v>
      </c>
      <c r="M114" t="str">
        <f t="shared" ca="1" si="7"/>
        <v/>
      </c>
    </row>
    <row r="115" spans="1:13" x14ac:dyDescent="0.25">
      <c r="A115" s="5"/>
      <c r="B115" s="4" t="str">
        <f t="shared" si="5"/>
        <v/>
      </c>
      <c r="C115" t="str">
        <f>IF(AND(TRIM(A115)&lt;&gt;"",IFERROR(VLOOKUP(TRIM(B115),Inventory!E:E,1,0),0)=0),"X","_")</f>
        <v>_</v>
      </c>
      <c r="D115" t="str">
        <f>IF(AND(TRIM(A115)&lt;&gt;"",IFERROR(VLOOKUP(TRIM(B115),'Full Inventory'!F:F,1,0),0)=0),"X","_")</f>
        <v>_</v>
      </c>
      <c r="E115" t="str">
        <f t="shared" si="8"/>
        <v>X</v>
      </c>
      <c r="F115" t="str">
        <f ca="1">IFERROR(IF(AND(C115&amp;D115&amp;E115="___",INDIRECT("Inventory!A"&amp;MATCH(VLOOKUP(B115,Inventory!E:E,1,0),Inventory!E:E,0))&lt;&gt;INDIRECT("'Full Inventory'!B"&amp;MATCH(VLOOKUP(B115,'Full Inventory'!F:F,1,0),'Full Inventory'!F:F,0))),"X","_"),"_")</f>
        <v>_</v>
      </c>
      <c r="L115" t="str">
        <f t="shared" ca="1" si="6"/>
        <v>__X_</v>
      </c>
      <c r="M115" t="str">
        <f t="shared" ca="1" si="7"/>
        <v/>
      </c>
    </row>
    <row r="116" spans="1:13" x14ac:dyDescent="0.25">
      <c r="A116" s="5"/>
      <c r="B116" s="4" t="str">
        <f t="shared" si="5"/>
        <v/>
      </c>
      <c r="C116" t="str">
        <f>IF(AND(TRIM(A116)&lt;&gt;"",IFERROR(VLOOKUP(TRIM(B116),Inventory!E:E,1,0),0)=0),"X","_")</f>
        <v>_</v>
      </c>
      <c r="D116" t="str">
        <f>IF(AND(TRIM(A116)&lt;&gt;"",IFERROR(VLOOKUP(TRIM(B116),'Full Inventory'!F:F,1,0),0)=0),"X","_")</f>
        <v>_</v>
      </c>
      <c r="E116" t="str">
        <f t="shared" si="8"/>
        <v>X</v>
      </c>
      <c r="F116" t="str">
        <f ca="1">IFERROR(IF(AND(C116&amp;D116&amp;E116="___",INDIRECT("Inventory!A"&amp;MATCH(VLOOKUP(B116,Inventory!E:E,1,0),Inventory!E:E,0))&lt;&gt;INDIRECT("'Full Inventory'!B"&amp;MATCH(VLOOKUP(B116,'Full Inventory'!F:F,1,0),'Full Inventory'!F:F,0))),"X","_"),"_")</f>
        <v>_</v>
      </c>
      <c r="L116" t="str">
        <f t="shared" ca="1" si="6"/>
        <v>__X_</v>
      </c>
      <c r="M116" t="str">
        <f t="shared" ca="1" si="7"/>
        <v/>
      </c>
    </row>
    <row r="117" spans="1:13" x14ac:dyDescent="0.25">
      <c r="A117" s="5"/>
      <c r="B117" s="4" t="str">
        <f t="shared" si="5"/>
        <v/>
      </c>
      <c r="C117" t="str">
        <f>IF(AND(TRIM(A117)&lt;&gt;"",IFERROR(VLOOKUP(TRIM(B117),Inventory!E:E,1,0),0)=0),"X","_")</f>
        <v>_</v>
      </c>
      <c r="D117" t="str">
        <f>IF(AND(TRIM(A117)&lt;&gt;"",IFERROR(VLOOKUP(TRIM(B117),'Full Inventory'!F:F,1,0),0)=0),"X","_")</f>
        <v>_</v>
      </c>
      <c r="E117" t="str">
        <f t="shared" si="8"/>
        <v>X</v>
      </c>
      <c r="F117" t="str">
        <f ca="1">IFERROR(IF(AND(C117&amp;D117&amp;E117="___",INDIRECT("Inventory!A"&amp;MATCH(VLOOKUP(B117,Inventory!E:E,1,0),Inventory!E:E,0))&lt;&gt;INDIRECT("'Full Inventory'!B"&amp;MATCH(VLOOKUP(B117,'Full Inventory'!F:F,1,0),'Full Inventory'!F:F,0))),"X","_"),"_")</f>
        <v>_</v>
      </c>
      <c r="L117" t="str">
        <f t="shared" ca="1" si="6"/>
        <v>__X_</v>
      </c>
      <c r="M117" t="str">
        <f t="shared" ca="1" si="7"/>
        <v/>
      </c>
    </row>
    <row r="118" spans="1:13" x14ac:dyDescent="0.25">
      <c r="A118" s="5"/>
      <c r="B118" s="4" t="str">
        <f t="shared" si="5"/>
        <v/>
      </c>
      <c r="C118" t="str">
        <f>IF(AND(TRIM(A118)&lt;&gt;"",IFERROR(VLOOKUP(TRIM(B118),Inventory!E:E,1,0),0)=0),"X","_")</f>
        <v>_</v>
      </c>
      <c r="D118" t="str">
        <f>IF(AND(TRIM(A118)&lt;&gt;"",IFERROR(VLOOKUP(TRIM(B118),'Full Inventory'!F:F,1,0),0)=0),"X","_")</f>
        <v>_</v>
      </c>
      <c r="E118" t="str">
        <f t="shared" si="8"/>
        <v>X</v>
      </c>
      <c r="F118" t="str">
        <f ca="1">IFERROR(IF(AND(C118&amp;D118&amp;E118="___",INDIRECT("Inventory!A"&amp;MATCH(VLOOKUP(B118,Inventory!E:E,1,0),Inventory!E:E,0))&lt;&gt;INDIRECT("'Full Inventory'!B"&amp;MATCH(VLOOKUP(B118,'Full Inventory'!F:F,1,0),'Full Inventory'!F:F,0))),"X","_"),"_")</f>
        <v>_</v>
      </c>
      <c r="L118" t="str">
        <f t="shared" ca="1" si="6"/>
        <v>__X_</v>
      </c>
      <c r="M118" t="str">
        <f t="shared" ca="1" si="7"/>
        <v/>
      </c>
    </row>
    <row r="119" spans="1:13" x14ac:dyDescent="0.25">
      <c r="A119" s="5"/>
      <c r="B119" s="4" t="str">
        <f t="shared" si="5"/>
        <v/>
      </c>
      <c r="C119" t="str">
        <f>IF(AND(TRIM(A119)&lt;&gt;"",IFERROR(VLOOKUP(TRIM(B119),Inventory!E:E,1,0),0)=0),"X","_")</f>
        <v>_</v>
      </c>
      <c r="D119" t="str">
        <f>IF(AND(TRIM(A119)&lt;&gt;"",IFERROR(VLOOKUP(TRIM(B119),'Full Inventory'!F:F,1,0),0)=0),"X","_")</f>
        <v>_</v>
      </c>
      <c r="E119" t="str">
        <f t="shared" si="8"/>
        <v>X</v>
      </c>
      <c r="F119" t="str">
        <f ca="1">IFERROR(IF(AND(C119&amp;D119&amp;E119="___",INDIRECT("Inventory!A"&amp;MATCH(VLOOKUP(B119,Inventory!E:E,1,0),Inventory!E:E,0))&lt;&gt;INDIRECT("'Full Inventory'!B"&amp;MATCH(VLOOKUP(B119,'Full Inventory'!F:F,1,0),'Full Inventory'!F:F,0))),"X","_"),"_")</f>
        <v>_</v>
      </c>
      <c r="L119" t="str">
        <f t="shared" ca="1" si="6"/>
        <v>__X_</v>
      </c>
      <c r="M119" t="str">
        <f t="shared" ca="1" si="7"/>
        <v/>
      </c>
    </row>
    <row r="120" spans="1:13" x14ac:dyDescent="0.25">
      <c r="A120" s="5"/>
      <c r="B120" s="4" t="str">
        <f t="shared" si="5"/>
        <v/>
      </c>
      <c r="C120" t="str">
        <f>IF(AND(TRIM(A120)&lt;&gt;"",IFERROR(VLOOKUP(TRIM(B120),Inventory!E:E,1,0),0)=0),"X","_")</f>
        <v>_</v>
      </c>
      <c r="D120" t="str">
        <f>IF(AND(TRIM(A120)&lt;&gt;"",IFERROR(VLOOKUP(TRIM(B120),'Full Inventory'!F:F,1,0),0)=0),"X","_")</f>
        <v>_</v>
      </c>
      <c r="E120" t="str">
        <f t="shared" si="8"/>
        <v>X</v>
      </c>
      <c r="F120" t="str">
        <f ca="1">IFERROR(IF(AND(C120&amp;D120&amp;E120="___",INDIRECT("Inventory!A"&amp;MATCH(VLOOKUP(B120,Inventory!E:E,1,0),Inventory!E:E,0))&lt;&gt;INDIRECT("'Full Inventory'!B"&amp;MATCH(VLOOKUP(B120,'Full Inventory'!F:F,1,0),'Full Inventory'!F:F,0))),"X","_"),"_")</f>
        <v>_</v>
      </c>
      <c r="L120" t="str">
        <f t="shared" ca="1" si="6"/>
        <v>__X_</v>
      </c>
      <c r="M120" t="str">
        <f t="shared" ca="1" si="7"/>
        <v/>
      </c>
    </row>
    <row r="121" spans="1:13" x14ac:dyDescent="0.25">
      <c r="A121" s="5"/>
      <c r="B121" s="4" t="str">
        <f t="shared" si="5"/>
        <v/>
      </c>
      <c r="C121" t="str">
        <f>IF(AND(TRIM(A121)&lt;&gt;"",IFERROR(VLOOKUP(TRIM(B121),Inventory!E:E,1,0),0)=0),"X","_")</f>
        <v>_</v>
      </c>
      <c r="D121" t="str">
        <f>IF(AND(TRIM(A121)&lt;&gt;"",IFERROR(VLOOKUP(TRIM(B121),'Full Inventory'!F:F,1,0),0)=0),"X","_")</f>
        <v>_</v>
      </c>
      <c r="E121" t="str">
        <f t="shared" si="8"/>
        <v>X</v>
      </c>
      <c r="F121" t="str">
        <f ca="1">IFERROR(IF(AND(C121&amp;D121&amp;E121="___",INDIRECT("Inventory!A"&amp;MATCH(VLOOKUP(B121,Inventory!E:E,1,0),Inventory!E:E,0))&lt;&gt;INDIRECT("'Full Inventory'!B"&amp;MATCH(VLOOKUP(B121,'Full Inventory'!F:F,1,0),'Full Inventory'!F:F,0))),"X","_"),"_")</f>
        <v>_</v>
      </c>
      <c r="L121" t="str">
        <f t="shared" ca="1" si="6"/>
        <v>__X_</v>
      </c>
      <c r="M121" t="str">
        <f t="shared" ca="1" si="7"/>
        <v/>
      </c>
    </row>
    <row r="122" spans="1:13" x14ac:dyDescent="0.25">
      <c r="A122" s="5"/>
      <c r="B122" s="4" t="str">
        <f t="shared" si="5"/>
        <v/>
      </c>
      <c r="C122" t="str">
        <f>IF(AND(TRIM(A122)&lt;&gt;"",IFERROR(VLOOKUP(TRIM(B122),Inventory!E:E,1,0),0)=0),"X","_")</f>
        <v>_</v>
      </c>
      <c r="D122" t="str">
        <f>IF(AND(TRIM(A122)&lt;&gt;"",IFERROR(VLOOKUP(TRIM(B122),'Full Inventory'!F:F,1,0),0)=0),"X","_")</f>
        <v>_</v>
      </c>
      <c r="E122" t="str">
        <f t="shared" si="8"/>
        <v>X</v>
      </c>
      <c r="F122" t="str">
        <f ca="1">IFERROR(IF(AND(C122&amp;D122&amp;E122="___",INDIRECT("Inventory!A"&amp;MATCH(VLOOKUP(B122,Inventory!E:E,1,0),Inventory!E:E,0))&lt;&gt;INDIRECT("'Full Inventory'!B"&amp;MATCH(VLOOKUP(B122,'Full Inventory'!F:F,1,0),'Full Inventory'!F:F,0))),"X","_"),"_")</f>
        <v>_</v>
      </c>
      <c r="L122" t="str">
        <f t="shared" ca="1" si="6"/>
        <v>__X_</v>
      </c>
      <c r="M122" t="str">
        <f t="shared" ca="1" si="7"/>
        <v/>
      </c>
    </row>
    <row r="123" spans="1:13" x14ac:dyDescent="0.25">
      <c r="A123" s="5"/>
      <c r="B123" s="4" t="str">
        <f t="shared" si="5"/>
        <v/>
      </c>
      <c r="C123" t="str">
        <f>IF(AND(TRIM(A123)&lt;&gt;"",IFERROR(VLOOKUP(TRIM(B123),Inventory!E:E,1,0),0)=0),"X","_")</f>
        <v>_</v>
      </c>
      <c r="D123" t="str">
        <f>IF(AND(TRIM(A123)&lt;&gt;"",IFERROR(VLOOKUP(TRIM(B123),'Full Inventory'!F:F,1,0),0)=0),"X","_")</f>
        <v>_</v>
      </c>
      <c r="E123" t="str">
        <f t="shared" si="8"/>
        <v>X</v>
      </c>
      <c r="F123" t="str">
        <f ca="1">IFERROR(IF(AND(C123&amp;D123&amp;E123="___",INDIRECT("Inventory!A"&amp;MATCH(VLOOKUP(B123,Inventory!E:E,1,0),Inventory!E:E,0))&lt;&gt;INDIRECT("'Full Inventory'!B"&amp;MATCH(VLOOKUP(B123,'Full Inventory'!F:F,1,0),'Full Inventory'!F:F,0))),"X","_"),"_")</f>
        <v>_</v>
      </c>
      <c r="L123" t="str">
        <f t="shared" ca="1" si="6"/>
        <v>__X_</v>
      </c>
      <c r="M123" t="str">
        <f t="shared" ca="1" si="7"/>
        <v/>
      </c>
    </row>
    <row r="124" spans="1:13" x14ac:dyDescent="0.25">
      <c r="A124" s="5"/>
      <c r="B124" s="4" t="str">
        <f t="shared" si="5"/>
        <v/>
      </c>
      <c r="C124" t="str">
        <f>IF(AND(TRIM(A124)&lt;&gt;"",IFERROR(VLOOKUP(TRIM(B124),Inventory!E:E,1,0),0)=0),"X","_")</f>
        <v>_</v>
      </c>
      <c r="D124" t="str">
        <f>IF(AND(TRIM(A124)&lt;&gt;"",IFERROR(VLOOKUP(TRIM(B124),'Full Inventory'!F:F,1,0),0)=0),"X","_")</f>
        <v>_</v>
      </c>
      <c r="E124" t="str">
        <f t="shared" si="8"/>
        <v>X</v>
      </c>
      <c r="F124" t="str">
        <f ca="1">IFERROR(IF(AND(C124&amp;D124&amp;E124="___",INDIRECT("Inventory!A"&amp;MATCH(VLOOKUP(B124,Inventory!E:E,1,0),Inventory!E:E,0))&lt;&gt;INDIRECT("'Full Inventory'!B"&amp;MATCH(VLOOKUP(B124,'Full Inventory'!F:F,1,0),'Full Inventory'!F:F,0))),"X","_"),"_")</f>
        <v>_</v>
      </c>
      <c r="L124" t="str">
        <f t="shared" ca="1" si="6"/>
        <v>__X_</v>
      </c>
      <c r="M124" t="str">
        <f t="shared" ca="1" si="7"/>
        <v/>
      </c>
    </row>
    <row r="125" spans="1:13" x14ac:dyDescent="0.25">
      <c r="A125" s="5"/>
      <c r="B125" s="4" t="str">
        <f t="shared" si="5"/>
        <v/>
      </c>
      <c r="C125" t="str">
        <f>IF(AND(TRIM(A125)&lt;&gt;"",IFERROR(VLOOKUP(TRIM(B125),Inventory!E:E,1,0),0)=0),"X","_")</f>
        <v>_</v>
      </c>
      <c r="D125" t="str">
        <f>IF(AND(TRIM(A125)&lt;&gt;"",IFERROR(VLOOKUP(TRIM(B125),'Full Inventory'!F:F,1,0),0)=0),"X","_")</f>
        <v>_</v>
      </c>
      <c r="E125" t="str">
        <f t="shared" si="8"/>
        <v>X</v>
      </c>
      <c r="F125" t="str">
        <f ca="1">IFERROR(IF(AND(C125&amp;D125&amp;E125="___",INDIRECT("Inventory!A"&amp;MATCH(VLOOKUP(B125,Inventory!E:E,1,0),Inventory!E:E,0))&lt;&gt;INDIRECT("'Full Inventory'!B"&amp;MATCH(VLOOKUP(B125,'Full Inventory'!F:F,1,0),'Full Inventory'!F:F,0))),"X","_"),"_")</f>
        <v>_</v>
      </c>
      <c r="L125" t="str">
        <f t="shared" ca="1" si="6"/>
        <v>__X_</v>
      </c>
      <c r="M125" t="str">
        <f t="shared" ca="1" si="7"/>
        <v/>
      </c>
    </row>
    <row r="126" spans="1:13" x14ac:dyDescent="0.25">
      <c r="A126" s="5"/>
      <c r="B126" s="4" t="str">
        <f t="shared" si="5"/>
        <v/>
      </c>
      <c r="C126" t="str">
        <f>IF(AND(TRIM(A126)&lt;&gt;"",IFERROR(VLOOKUP(TRIM(B126),Inventory!E:E,1,0),0)=0),"X","_")</f>
        <v>_</v>
      </c>
      <c r="D126" t="str">
        <f>IF(AND(TRIM(A126)&lt;&gt;"",IFERROR(VLOOKUP(TRIM(B126),'Full Inventory'!F:F,1,0),0)=0),"X","_")</f>
        <v>_</v>
      </c>
      <c r="E126" t="str">
        <f t="shared" si="8"/>
        <v>X</v>
      </c>
      <c r="F126" t="str">
        <f ca="1">IFERROR(IF(AND(C126&amp;D126&amp;E126="___",INDIRECT("Inventory!A"&amp;MATCH(VLOOKUP(B126,Inventory!E:E,1,0),Inventory!E:E,0))&lt;&gt;INDIRECT("'Full Inventory'!B"&amp;MATCH(VLOOKUP(B126,'Full Inventory'!F:F,1,0),'Full Inventory'!F:F,0))),"X","_"),"_")</f>
        <v>_</v>
      </c>
      <c r="L126" t="str">
        <f t="shared" ca="1" si="6"/>
        <v>__X_</v>
      </c>
      <c r="M126" t="str">
        <f t="shared" ca="1" si="7"/>
        <v/>
      </c>
    </row>
    <row r="127" spans="1:13" x14ac:dyDescent="0.25">
      <c r="A127" s="5"/>
      <c r="B127" s="4" t="str">
        <f t="shared" si="5"/>
        <v/>
      </c>
      <c r="C127" t="str">
        <f>IF(AND(TRIM(A127)&lt;&gt;"",IFERROR(VLOOKUP(TRIM(B127),Inventory!E:E,1,0),0)=0),"X","_")</f>
        <v>_</v>
      </c>
      <c r="D127" t="str">
        <f>IF(AND(TRIM(A127)&lt;&gt;"",IFERROR(VLOOKUP(TRIM(B127),'Full Inventory'!F:F,1,0),0)=0),"X","_")</f>
        <v>_</v>
      </c>
      <c r="E127" t="str">
        <f t="shared" si="8"/>
        <v>X</v>
      </c>
      <c r="F127" t="str">
        <f ca="1">IFERROR(IF(AND(C127&amp;D127&amp;E127="___",INDIRECT("Inventory!A"&amp;MATCH(VLOOKUP(B127,Inventory!E:E,1,0),Inventory!E:E,0))&lt;&gt;INDIRECT("'Full Inventory'!B"&amp;MATCH(VLOOKUP(B127,'Full Inventory'!F:F,1,0),'Full Inventory'!F:F,0))),"X","_"),"_")</f>
        <v>_</v>
      </c>
      <c r="L127" t="str">
        <f t="shared" ca="1" si="6"/>
        <v>__X_</v>
      </c>
      <c r="M127" t="str">
        <f t="shared" ca="1" si="7"/>
        <v/>
      </c>
    </row>
    <row r="128" spans="1:13" x14ac:dyDescent="0.25">
      <c r="A128" s="5"/>
      <c r="B128" s="4" t="str">
        <f t="shared" si="5"/>
        <v/>
      </c>
      <c r="C128" t="str">
        <f>IF(AND(TRIM(A128)&lt;&gt;"",IFERROR(VLOOKUP(TRIM(B128),Inventory!E:E,1,0),0)=0),"X","_")</f>
        <v>_</v>
      </c>
      <c r="D128" t="str">
        <f>IF(AND(TRIM(A128)&lt;&gt;"",IFERROR(VLOOKUP(TRIM(B128),'Full Inventory'!F:F,1,0),0)=0),"X","_")</f>
        <v>_</v>
      </c>
      <c r="E128" t="str">
        <f t="shared" si="8"/>
        <v>X</v>
      </c>
      <c r="F128" t="str">
        <f ca="1">IFERROR(IF(AND(C128&amp;D128&amp;E128="___",INDIRECT("Inventory!A"&amp;MATCH(VLOOKUP(B128,Inventory!E:E,1,0),Inventory!E:E,0))&lt;&gt;INDIRECT("'Full Inventory'!B"&amp;MATCH(VLOOKUP(B128,'Full Inventory'!F:F,1,0),'Full Inventory'!F:F,0))),"X","_"),"_")</f>
        <v>_</v>
      </c>
      <c r="L128" t="str">
        <f t="shared" ca="1" si="6"/>
        <v>__X_</v>
      </c>
      <c r="M128" t="str">
        <f t="shared" ca="1" si="7"/>
        <v/>
      </c>
    </row>
    <row r="129" spans="1:13" x14ac:dyDescent="0.25">
      <c r="A129" s="5"/>
      <c r="B129" s="4" t="str">
        <f t="shared" si="5"/>
        <v/>
      </c>
      <c r="C129" t="str">
        <f>IF(AND(TRIM(A129)&lt;&gt;"",IFERROR(VLOOKUP(TRIM(B129),Inventory!E:E,1,0),0)=0),"X","_")</f>
        <v>_</v>
      </c>
      <c r="D129" t="str">
        <f>IF(AND(TRIM(A129)&lt;&gt;"",IFERROR(VLOOKUP(TRIM(B129),'Full Inventory'!F:F,1,0),0)=0),"X","_")</f>
        <v>_</v>
      </c>
      <c r="E129" t="str">
        <f t="shared" si="8"/>
        <v>X</v>
      </c>
      <c r="F129" t="str">
        <f ca="1">IFERROR(IF(AND(C129&amp;D129&amp;E129="___",INDIRECT("Inventory!A"&amp;MATCH(VLOOKUP(B129,Inventory!E:E,1,0),Inventory!E:E,0))&lt;&gt;INDIRECT("'Full Inventory'!B"&amp;MATCH(VLOOKUP(B129,'Full Inventory'!F:F,1,0),'Full Inventory'!F:F,0))),"X","_"),"_")</f>
        <v>_</v>
      </c>
      <c r="L129" t="str">
        <f t="shared" ca="1" si="6"/>
        <v>__X_</v>
      </c>
      <c r="M129" t="str">
        <f t="shared" ca="1" si="7"/>
        <v/>
      </c>
    </row>
    <row r="130" spans="1:13" x14ac:dyDescent="0.25">
      <c r="A130" s="5"/>
      <c r="B130" s="4" t="str">
        <f t="shared" si="5"/>
        <v/>
      </c>
      <c r="C130" t="str">
        <f>IF(AND(TRIM(A130)&lt;&gt;"",IFERROR(VLOOKUP(TRIM(B130),Inventory!E:E,1,0),0)=0),"X","_")</f>
        <v>_</v>
      </c>
      <c r="D130" t="str">
        <f>IF(AND(TRIM(A130)&lt;&gt;"",IFERROR(VLOOKUP(TRIM(B130),'Full Inventory'!F:F,1,0),0)=0),"X","_")</f>
        <v>_</v>
      </c>
      <c r="E130" t="str">
        <f t="shared" si="8"/>
        <v>X</v>
      </c>
      <c r="F130" t="str">
        <f ca="1">IFERROR(IF(AND(C130&amp;D130&amp;E130="___",INDIRECT("Inventory!A"&amp;MATCH(VLOOKUP(B130,Inventory!E:E,1,0),Inventory!E:E,0))&lt;&gt;INDIRECT("'Full Inventory'!B"&amp;MATCH(VLOOKUP(B130,'Full Inventory'!F:F,1,0),'Full Inventory'!F:F,0))),"X","_"),"_")</f>
        <v>_</v>
      </c>
      <c r="L130" t="str">
        <f t="shared" ca="1" si="6"/>
        <v>__X_</v>
      </c>
      <c r="M130" t="str">
        <f t="shared" ca="1" si="7"/>
        <v/>
      </c>
    </row>
    <row r="131" spans="1:13" x14ac:dyDescent="0.25">
      <c r="A131" s="5"/>
      <c r="B131" s="4" t="str">
        <f t="shared" ref="B131:B194" si="9">SUBSTITUTE(SUBSTITUTE(A131,"ö","0"),"Ö","0")</f>
        <v/>
      </c>
      <c r="C131" t="str">
        <f>IF(AND(TRIM(A131)&lt;&gt;"",IFERROR(VLOOKUP(TRIM(B131),Inventory!E:E,1,0),0)=0),"X","_")</f>
        <v>_</v>
      </c>
      <c r="D131" t="str">
        <f>IF(AND(TRIM(A131)&lt;&gt;"",IFERROR(VLOOKUP(TRIM(B131),'Full Inventory'!F:F,1,0),0)=0),"X","_")</f>
        <v>_</v>
      </c>
      <c r="E131" t="str">
        <f t="shared" si="8"/>
        <v>X</v>
      </c>
      <c r="F131" t="str">
        <f ca="1">IFERROR(IF(AND(C131&amp;D131&amp;E131="___",INDIRECT("Inventory!A"&amp;MATCH(VLOOKUP(B131,Inventory!E:E,1,0),Inventory!E:E,0))&lt;&gt;INDIRECT("'Full Inventory'!B"&amp;MATCH(VLOOKUP(B131,'Full Inventory'!F:F,1,0),'Full Inventory'!F:F,0))),"X","_"),"_")</f>
        <v>_</v>
      </c>
      <c r="L131" t="str">
        <f t="shared" ref="L131:L194" ca="1" si="10">C131&amp;D131&amp;E131&amp;F131</f>
        <v>__X_</v>
      </c>
      <c r="M131" t="str">
        <f t="shared" ref="M131:M194" ca="1" si="11">IF(L131="____","OK",IF(L131="_X__","NOT IN FULL INVENTORY",IF(L131="XX__","NOT IN FULL INVENTORY AND INVENTORY",IF(L131="X___","NOT IN INVENTORY",IF(L131="___X","DIFFERENT NAMES IN FULL INVENTORY AND INVENTORY","")))))</f>
        <v/>
      </c>
    </row>
    <row r="132" spans="1:13" x14ac:dyDescent="0.25">
      <c r="A132" s="5"/>
      <c r="B132" s="4" t="str">
        <f t="shared" si="9"/>
        <v/>
      </c>
      <c r="C132" t="str">
        <f>IF(AND(TRIM(A132)&lt;&gt;"",IFERROR(VLOOKUP(TRIM(B132),Inventory!E:E,1,0),0)=0),"X","_")</f>
        <v>_</v>
      </c>
      <c r="D132" t="str">
        <f>IF(AND(TRIM(A132)&lt;&gt;"",IFERROR(VLOOKUP(TRIM(B132),'Full Inventory'!F:F,1,0),0)=0),"X","_")</f>
        <v>_</v>
      </c>
      <c r="E132" t="str">
        <f t="shared" si="8"/>
        <v>X</v>
      </c>
      <c r="F132" t="str">
        <f ca="1">IFERROR(IF(AND(C132&amp;D132&amp;E132="___",INDIRECT("Inventory!A"&amp;MATCH(VLOOKUP(B132,Inventory!E:E,1,0),Inventory!E:E,0))&lt;&gt;INDIRECT("'Full Inventory'!B"&amp;MATCH(VLOOKUP(B132,'Full Inventory'!F:F,1,0),'Full Inventory'!F:F,0))),"X","_"),"_")</f>
        <v>_</v>
      </c>
      <c r="L132" t="str">
        <f t="shared" ca="1" si="10"/>
        <v>__X_</v>
      </c>
      <c r="M132" t="str">
        <f t="shared" ca="1" si="11"/>
        <v/>
      </c>
    </row>
    <row r="133" spans="1:13" x14ac:dyDescent="0.25">
      <c r="A133" s="5"/>
      <c r="B133" s="4" t="str">
        <f t="shared" si="9"/>
        <v/>
      </c>
      <c r="C133" t="str">
        <f>IF(AND(TRIM(A133)&lt;&gt;"",IFERROR(VLOOKUP(TRIM(B133),Inventory!E:E,1,0),0)=0),"X","_")</f>
        <v>_</v>
      </c>
      <c r="D133" t="str">
        <f>IF(AND(TRIM(A133)&lt;&gt;"",IFERROR(VLOOKUP(TRIM(B133),'Full Inventory'!F:F,1,0),0)=0),"X","_")</f>
        <v>_</v>
      </c>
      <c r="E133" t="str">
        <f t="shared" si="8"/>
        <v>X</v>
      </c>
      <c r="F133" t="str">
        <f ca="1">IFERROR(IF(AND(C133&amp;D133&amp;E133="___",INDIRECT("Inventory!A"&amp;MATCH(VLOOKUP(B133,Inventory!E:E,1,0),Inventory!E:E,0))&lt;&gt;INDIRECT("'Full Inventory'!B"&amp;MATCH(VLOOKUP(B133,'Full Inventory'!F:F,1,0),'Full Inventory'!F:F,0))),"X","_"),"_")</f>
        <v>_</v>
      </c>
      <c r="L133" t="str">
        <f t="shared" ca="1" si="10"/>
        <v>__X_</v>
      </c>
      <c r="M133" t="str">
        <f t="shared" ca="1" si="11"/>
        <v/>
      </c>
    </row>
    <row r="134" spans="1:13" x14ac:dyDescent="0.25">
      <c r="A134" s="5"/>
      <c r="B134" s="4" t="str">
        <f t="shared" si="9"/>
        <v/>
      </c>
      <c r="C134" t="str">
        <f>IF(AND(TRIM(A134)&lt;&gt;"",IFERROR(VLOOKUP(TRIM(B134),Inventory!E:E,1,0),0)=0),"X","_")</f>
        <v>_</v>
      </c>
      <c r="D134" t="str">
        <f>IF(AND(TRIM(A134)&lt;&gt;"",IFERROR(VLOOKUP(TRIM(B134),'Full Inventory'!F:F,1,0),0)=0),"X","_")</f>
        <v>_</v>
      </c>
      <c r="E134" t="str">
        <f t="shared" si="8"/>
        <v>X</v>
      </c>
      <c r="F134" t="str">
        <f ca="1">IFERROR(IF(AND(C134&amp;D134&amp;E134="___",INDIRECT("Inventory!A"&amp;MATCH(VLOOKUP(B134,Inventory!E:E,1,0),Inventory!E:E,0))&lt;&gt;INDIRECT("'Full Inventory'!B"&amp;MATCH(VLOOKUP(B134,'Full Inventory'!F:F,1,0),'Full Inventory'!F:F,0))),"X","_"),"_")</f>
        <v>_</v>
      </c>
      <c r="L134" t="str">
        <f t="shared" ca="1" si="10"/>
        <v>__X_</v>
      </c>
      <c r="M134" t="str">
        <f t="shared" ca="1" si="11"/>
        <v/>
      </c>
    </row>
    <row r="135" spans="1:13" x14ac:dyDescent="0.25">
      <c r="A135" s="5"/>
      <c r="B135" s="4" t="str">
        <f t="shared" si="9"/>
        <v/>
      </c>
      <c r="C135" t="str">
        <f>IF(AND(TRIM(A135)&lt;&gt;"",IFERROR(VLOOKUP(TRIM(B135),Inventory!E:E,1,0),0)=0),"X","_")</f>
        <v>_</v>
      </c>
      <c r="D135" t="str">
        <f>IF(AND(TRIM(A135)&lt;&gt;"",IFERROR(VLOOKUP(TRIM(B135),'Full Inventory'!F:F,1,0),0)=0),"X","_")</f>
        <v>_</v>
      </c>
      <c r="E135" t="str">
        <f t="shared" si="8"/>
        <v>X</v>
      </c>
      <c r="F135" t="str">
        <f ca="1">IFERROR(IF(AND(C135&amp;D135&amp;E135="___",INDIRECT("Inventory!A"&amp;MATCH(VLOOKUP(B135,Inventory!E:E,1,0),Inventory!E:E,0))&lt;&gt;INDIRECT("'Full Inventory'!B"&amp;MATCH(VLOOKUP(B135,'Full Inventory'!F:F,1,0),'Full Inventory'!F:F,0))),"X","_"),"_")</f>
        <v>_</v>
      </c>
      <c r="L135" t="str">
        <f t="shared" ca="1" si="10"/>
        <v>__X_</v>
      </c>
      <c r="M135" t="str">
        <f t="shared" ca="1" si="11"/>
        <v/>
      </c>
    </row>
    <row r="136" spans="1:13" x14ac:dyDescent="0.25">
      <c r="A136" s="5"/>
      <c r="B136" s="4" t="str">
        <f t="shared" si="9"/>
        <v/>
      </c>
      <c r="C136" t="str">
        <f>IF(AND(TRIM(A136)&lt;&gt;"",IFERROR(VLOOKUP(TRIM(B136),Inventory!E:E,1,0),0)=0),"X","_")</f>
        <v>_</v>
      </c>
      <c r="D136" t="str">
        <f>IF(AND(TRIM(A136)&lt;&gt;"",IFERROR(VLOOKUP(TRIM(B136),'Full Inventory'!F:F,1,0),0)=0),"X","_")</f>
        <v>_</v>
      </c>
      <c r="E136" t="str">
        <f t="shared" si="8"/>
        <v>X</v>
      </c>
      <c r="F136" t="str">
        <f ca="1">IFERROR(IF(AND(C136&amp;D136&amp;E136="___",INDIRECT("Inventory!A"&amp;MATCH(VLOOKUP(B136,Inventory!E:E,1,0),Inventory!E:E,0))&lt;&gt;INDIRECT("'Full Inventory'!B"&amp;MATCH(VLOOKUP(B136,'Full Inventory'!F:F,1,0),'Full Inventory'!F:F,0))),"X","_"),"_")</f>
        <v>_</v>
      </c>
      <c r="L136" t="str">
        <f t="shared" ca="1" si="10"/>
        <v>__X_</v>
      </c>
      <c r="M136" t="str">
        <f t="shared" ca="1" si="11"/>
        <v/>
      </c>
    </row>
    <row r="137" spans="1:13" x14ac:dyDescent="0.25">
      <c r="A137" s="5"/>
      <c r="B137" s="4" t="str">
        <f t="shared" si="9"/>
        <v/>
      </c>
      <c r="C137" t="str">
        <f>IF(AND(TRIM(A137)&lt;&gt;"",IFERROR(VLOOKUP(TRIM(B137),Inventory!E:E,1,0),0)=0),"X","_")</f>
        <v>_</v>
      </c>
      <c r="D137" t="str">
        <f>IF(AND(TRIM(A137)&lt;&gt;"",IFERROR(VLOOKUP(TRIM(B137),'Full Inventory'!F:F,1,0),0)=0),"X","_")</f>
        <v>_</v>
      </c>
      <c r="E137" t="str">
        <f t="shared" si="8"/>
        <v>X</v>
      </c>
      <c r="F137" t="str">
        <f ca="1">IFERROR(IF(AND(C137&amp;D137&amp;E137="___",INDIRECT("Inventory!A"&amp;MATCH(VLOOKUP(B137,Inventory!E:E,1,0),Inventory!E:E,0))&lt;&gt;INDIRECT("'Full Inventory'!B"&amp;MATCH(VLOOKUP(B137,'Full Inventory'!F:F,1,0),'Full Inventory'!F:F,0))),"X","_"),"_")</f>
        <v>_</v>
      </c>
      <c r="L137" t="str">
        <f t="shared" ca="1" si="10"/>
        <v>__X_</v>
      </c>
      <c r="M137" t="str">
        <f t="shared" ca="1" si="11"/>
        <v/>
      </c>
    </row>
    <row r="138" spans="1:13" x14ac:dyDescent="0.25">
      <c r="A138" s="5"/>
      <c r="B138" s="4" t="str">
        <f t="shared" si="9"/>
        <v/>
      </c>
      <c r="C138" t="str">
        <f>IF(AND(TRIM(A138)&lt;&gt;"",IFERROR(VLOOKUP(TRIM(B138),Inventory!E:E,1,0),0)=0),"X","_")</f>
        <v>_</v>
      </c>
      <c r="D138" t="str">
        <f>IF(AND(TRIM(A138)&lt;&gt;"",IFERROR(VLOOKUP(TRIM(B138),'Full Inventory'!F:F,1,0),0)=0),"X","_")</f>
        <v>_</v>
      </c>
      <c r="E138" t="str">
        <f t="shared" si="8"/>
        <v>X</v>
      </c>
      <c r="F138" t="str">
        <f ca="1">IFERROR(IF(AND(C138&amp;D138&amp;E138="___",INDIRECT("Inventory!A"&amp;MATCH(VLOOKUP(B138,Inventory!E:E,1,0),Inventory!E:E,0))&lt;&gt;INDIRECT("'Full Inventory'!B"&amp;MATCH(VLOOKUP(B138,'Full Inventory'!F:F,1,0),'Full Inventory'!F:F,0))),"X","_"),"_")</f>
        <v>_</v>
      </c>
      <c r="L138" t="str">
        <f t="shared" ca="1" si="10"/>
        <v>__X_</v>
      </c>
      <c r="M138" t="str">
        <f t="shared" ca="1" si="11"/>
        <v/>
      </c>
    </row>
    <row r="139" spans="1:13" x14ac:dyDescent="0.25">
      <c r="A139" s="5"/>
      <c r="B139" s="4" t="str">
        <f t="shared" si="9"/>
        <v/>
      </c>
      <c r="C139" t="str">
        <f>IF(AND(TRIM(A139)&lt;&gt;"",IFERROR(VLOOKUP(TRIM(B139),Inventory!E:E,1,0),0)=0),"X","_")</f>
        <v>_</v>
      </c>
      <c r="D139" t="str">
        <f>IF(AND(TRIM(A139)&lt;&gt;"",IFERROR(VLOOKUP(TRIM(B139),'Full Inventory'!F:F,1,0),0)=0),"X","_")</f>
        <v>_</v>
      </c>
      <c r="E139" t="str">
        <f t="shared" si="8"/>
        <v>X</v>
      </c>
      <c r="F139" t="str">
        <f ca="1">IFERROR(IF(AND(C139&amp;D139&amp;E139="___",INDIRECT("Inventory!A"&amp;MATCH(VLOOKUP(B139,Inventory!E:E,1,0),Inventory!E:E,0))&lt;&gt;INDIRECT("'Full Inventory'!B"&amp;MATCH(VLOOKUP(B139,'Full Inventory'!F:F,1,0),'Full Inventory'!F:F,0))),"X","_"),"_")</f>
        <v>_</v>
      </c>
      <c r="L139" t="str">
        <f t="shared" ca="1" si="10"/>
        <v>__X_</v>
      </c>
      <c r="M139" t="str">
        <f t="shared" ca="1" si="11"/>
        <v/>
      </c>
    </row>
    <row r="140" spans="1:13" x14ac:dyDescent="0.25">
      <c r="A140" s="5"/>
      <c r="B140" s="4" t="str">
        <f t="shared" si="9"/>
        <v/>
      </c>
      <c r="C140" t="str">
        <f>IF(AND(TRIM(A140)&lt;&gt;"",IFERROR(VLOOKUP(TRIM(B140),Inventory!E:E,1,0),0)=0),"X","_")</f>
        <v>_</v>
      </c>
      <c r="D140" t="str">
        <f>IF(AND(TRIM(A140)&lt;&gt;"",IFERROR(VLOOKUP(TRIM(B140),'Full Inventory'!F:F,1,0),0)=0),"X","_")</f>
        <v>_</v>
      </c>
      <c r="E140" t="str">
        <f t="shared" si="8"/>
        <v>X</v>
      </c>
      <c r="F140" t="str">
        <f ca="1">IFERROR(IF(AND(C140&amp;D140&amp;E140="___",INDIRECT("Inventory!A"&amp;MATCH(VLOOKUP(B140,Inventory!E:E,1,0),Inventory!E:E,0))&lt;&gt;INDIRECT("'Full Inventory'!B"&amp;MATCH(VLOOKUP(B140,'Full Inventory'!F:F,1,0),'Full Inventory'!F:F,0))),"X","_"),"_")</f>
        <v>_</v>
      </c>
      <c r="L140" t="str">
        <f t="shared" ca="1" si="10"/>
        <v>__X_</v>
      </c>
      <c r="M140" t="str">
        <f t="shared" ca="1" si="11"/>
        <v/>
      </c>
    </row>
    <row r="141" spans="1:13" x14ac:dyDescent="0.25">
      <c r="A141" s="5"/>
      <c r="B141" s="4" t="str">
        <f t="shared" si="9"/>
        <v/>
      </c>
      <c r="C141" t="str">
        <f>IF(AND(TRIM(A141)&lt;&gt;"",IFERROR(VLOOKUP(TRIM(B141),Inventory!E:E,1,0),0)=0),"X","_")</f>
        <v>_</v>
      </c>
      <c r="D141" t="str">
        <f>IF(AND(TRIM(A141)&lt;&gt;"",IFERROR(VLOOKUP(TRIM(B141),'Full Inventory'!F:F,1,0),0)=0),"X","_")</f>
        <v>_</v>
      </c>
      <c r="E141" t="str">
        <f t="shared" si="8"/>
        <v>X</v>
      </c>
      <c r="F141" t="str">
        <f ca="1">IFERROR(IF(AND(C141&amp;D141&amp;E141="___",INDIRECT("Inventory!A"&amp;MATCH(VLOOKUP(B141,Inventory!E:E,1,0),Inventory!E:E,0))&lt;&gt;INDIRECT("'Full Inventory'!B"&amp;MATCH(VLOOKUP(B141,'Full Inventory'!F:F,1,0),'Full Inventory'!F:F,0))),"X","_"),"_")</f>
        <v>_</v>
      </c>
      <c r="L141" t="str">
        <f t="shared" ca="1" si="10"/>
        <v>__X_</v>
      </c>
      <c r="M141" t="str">
        <f t="shared" ca="1" si="11"/>
        <v/>
      </c>
    </row>
    <row r="142" spans="1:13" x14ac:dyDescent="0.25">
      <c r="A142" s="5"/>
      <c r="B142" s="4" t="str">
        <f t="shared" si="9"/>
        <v/>
      </c>
      <c r="C142" t="str">
        <f>IF(AND(TRIM(A142)&lt;&gt;"",IFERROR(VLOOKUP(TRIM(B142),Inventory!E:E,1,0),0)=0),"X","_")</f>
        <v>_</v>
      </c>
      <c r="D142" t="str">
        <f>IF(AND(TRIM(A142)&lt;&gt;"",IFERROR(VLOOKUP(TRIM(B142),'Full Inventory'!F:F,1,0),0)=0),"X","_")</f>
        <v>_</v>
      </c>
      <c r="E142" t="str">
        <f t="shared" si="8"/>
        <v>X</v>
      </c>
      <c r="F142" t="str">
        <f ca="1">IFERROR(IF(AND(C142&amp;D142&amp;E142="___",INDIRECT("Inventory!A"&amp;MATCH(VLOOKUP(B142,Inventory!E:E,1,0),Inventory!E:E,0))&lt;&gt;INDIRECT("'Full Inventory'!B"&amp;MATCH(VLOOKUP(B142,'Full Inventory'!F:F,1,0),'Full Inventory'!F:F,0))),"X","_"),"_")</f>
        <v>_</v>
      </c>
      <c r="L142" t="str">
        <f t="shared" ca="1" si="10"/>
        <v>__X_</v>
      </c>
      <c r="M142" t="str">
        <f t="shared" ca="1" si="11"/>
        <v/>
      </c>
    </row>
    <row r="143" spans="1:13" x14ac:dyDescent="0.25">
      <c r="A143" s="5"/>
      <c r="B143" s="4" t="str">
        <f t="shared" si="9"/>
        <v/>
      </c>
      <c r="C143" t="str">
        <f>IF(AND(TRIM(A143)&lt;&gt;"",IFERROR(VLOOKUP(TRIM(B143),Inventory!E:E,1,0),0)=0),"X","_")</f>
        <v>_</v>
      </c>
      <c r="D143" t="str">
        <f>IF(AND(TRIM(A143)&lt;&gt;"",IFERROR(VLOOKUP(TRIM(B143),'Full Inventory'!F:F,1,0),0)=0),"X","_")</f>
        <v>_</v>
      </c>
      <c r="E143" t="str">
        <f t="shared" si="8"/>
        <v>X</v>
      </c>
      <c r="F143" t="str">
        <f ca="1">IFERROR(IF(AND(C143&amp;D143&amp;E143="___",INDIRECT("Inventory!A"&amp;MATCH(VLOOKUP(B143,Inventory!E:E,1,0),Inventory!E:E,0))&lt;&gt;INDIRECT("'Full Inventory'!B"&amp;MATCH(VLOOKUP(B143,'Full Inventory'!F:F,1,0),'Full Inventory'!F:F,0))),"X","_"),"_")</f>
        <v>_</v>
      </c>
      <c r="L143" t="str">
        <f t="shared" ca="1" si="10"/>
        <v>__X_</v>
      </c>
      <c r="M143" t="str">
        <f t="shared" ca="1" si="11"/>
        <v/>
      </c>
    </row>
    <row r="144" spans="1:13" x14ac:dyDescent="0.25">
      <c r="A144" s="5"/>
      <c r="B144" s="4" t="str">
        <f t="shared" si="9"/>
        <v/>
      </c>
      <c r="C144" t="str">
        <f>IF(AND(TRIM(A144)&lt;&gt;"",IFERROR(VLOOKUP(TRIM(B144),Inventory!E:E,1,0),0)=0),"X","_")</f>
        <v>_</v>
      </c>
      <c r="D144" t="str">
        <f>IF(AND(TRIM(A144)&lt;&gt;"",IFERROR(VLOOKUP(TRIM(B144),'Full Inventory'!F:F,1,0),0)=0),"X","_")</f>
        <v>_</v>
      </c>
      <c r="E144" t="str">
        <f t="shared" si="8"/>
        <v>X</v>
      </c>
      <c r="F144" t="str">
        <f ca="1">IFERROR(IF(AND(C144&amp;D144&amp;E144="___",INDIRECT("Inventory!A"&amp;MATCH(VLOOKUP(B144,Inventory!E:E,1,0),Inventory!E:E,0))&lt;&gt;INDIRECT("'Full Inventory'!B"&amp;MATCH(VLOOKUP(B144,'Full Inventory'!F:F,1,0),'Full Inventory'!F:F,0))),"X","_"),"_")</f>
        <v>_</v>
      </c>
      <c r="L144" t="str">
        <f t="shared" ca="1" si="10"/>
        <v>__X_</v>
      </c>
      <c r="M144" t="str">
        <f t="shared" ca="1" si="11"/>
        <v/>
      </c>
    </row>
    <row r="145" spans="1:13" x14ac:dyDescent="0.25">
      <c r="A145" s="5"/>
      <c r="B145" s="4" t="str">
        <f t="shared" si="9"/>
        <v/>
      </c>
      <c r="C145" t="str">
        <f>IF(AND(TRIM(A145)&lt;&gt;"",IFERROR(VLOOKUP(TRIM(B145),Inventory!E:E,1,0),0)=0),"X","_")</f>
        <v>_</v>
      </c>
      <c r="D145" t="str">
        <f>IF(AND(TRIM(A145)&lt;&gt;"",IFERROR(VLOOKUP(TRIM(B145),'Full Inventory'!F:F,1,0),0)=0),"X","_")</f>
        <v>_</v>
      </c>
      <c r="E145" t="str">
        <f t="shared" si="8"/>
        <v>X</v>
      </c>
      <c r="F145" t="str">
        <f ca="1">IFERROR(IF(AND(C145&amp;D145&amp;E145="___",INDIRECT("Inventory!A"&amp;MATCH(VLOOKUP(B145,Inventory!E:E,1,0),Inventory!E:E,0))&lt;&gt;INDIRECT("'Full Inventory'!B"&amp;MATCH(VLOOKUP(B145,'Full Inventory'!F:F,1,0),'Full Inventory'!F:F,0))),"X","_"),"_")</f>
        <v>_</v>
      </c>
      <c r="L145" t="str">
        <f t="shared" ca="1" si="10"/>
        <v>__X_</v>
      </c>
      <c r="M145" t="str">
        <f t="shared" ca="1" si="11"/>
        <v/>
      </c>
    </row>
    <row r="146" spans="1:13" x14ac:dyDescent="0.25">
      <c r="A146" s="5"/>
      <c r="B146" s="4" t="str">
        <f t="shared" si="9"/>
        <v/>
      </c>
      <c r="C146" t="str">
        <f>IF(AND(TRIM(A146)&lt;&gt;"",IFERROR(VLOOKUP(TRIM(B146),Inventory!E:E,1,0),0)=0),"X","_")</f>
        <v>_</v>
      </c>
      <c r="D146" t="str">
        <f>IF(AND(TRIM(A146)&lt;&gt;"",IFERROR(VLOOKUP(TRIM(B146),'Full Inventory'!F:F,1,0),0)=0),"X","_")</f>
        <v>_</v>
      </c>
      <c r="E146" t="str">
        <f t="shared" si="8"/>
        <v>X</v>
      </c>
      <c r="F146" t="str">
        <f ca="1">IFERROR(IF(AND(C146&amp;D146&amp;E146="___",INDIRECT("Inventory!A"&amp;MATCH(VLOOKUP(B146,Inventory!E:E,1,0),Inventory!E:E,0))&lt;&gt;INDIRECT("'Full Inventory'!B"&amp;MATCH(VLOOKUP(B146,'Full Inventory'!F:F,1,0),'Full Inventory'!F:F,0))),"X","_"),"_")</f>
        <v>_</v>
      </c>
      <c r="L146" t="str">
        <f t="shared" ca="1" si="10"/>
        <v>__X_</v>
      </c>
      <c r="M146" t="str">
        <f t="shared" ca="1" si="11"/>
        <v/>
      </c>
    </row>
    <row r="147" spans="1:13" x14ac:dyDescent="0.25">
      <c r="A147" s="5"/>
      <c r="B147" s="4" t="str">
        <f t="shared" si="9"/>
        <v/>
      </c>
      <c r="C147" t="str">
        <f>IF(AND(TRIM(A147)&lt;&gt;"",IFERROR(VLOOKUP(TRIM(B147),Inventory!E:E,1,0),0)=0),"X","_")</f>
        <v>_</v>
      </c>
      <c r="D147" t="str">
        <f>IF(AND(TRIM(A147)&lt;&gt;"",IFERROR(VLOOKUP(TRIM(B147),'Full Inventory'!F:F,1,0),0)=0),"X","_")</f>
        <v>_</v>
      </c>
      <c r="E147" t="str">
        <f t="shared" si="8"/>
        <v>X</v>
      </c>
      <c r="F147" t="str">
        <f ca="1">IFERROR(IF(AND(C147&amp;D147&amp;E147="___",INDIRECT("Inventory!A"&amp;MATCH(VLOOKUP(B147,Inventory!E:E,1,0),Inventory!E:E,0))&lt;&gt;INDIRECT("'Full Inventory'!B"&amp;MATCH(VLOOKUP(B147,'Full Inventory'!F:F,1,0),'Full Inventory'!F:F,0))),"X","_"),"_")</f>
        <v>_</v>
      </c>
      <c r="L147" t="str">
        <f t="shared" ca="1" si="10"/>
        <v>__X_</v>
      </c>
      <c r="M147" t="str">
        <f t="shared" ca="1" si="11"/>
        <v/>
      </c>
    </row>
    <row r="148" spans="1:13" x14ac:dyDescent="0.25">
      <c r="A148" s="5"/>
      <c r="B148" s="4" t="str">
        <f t="shared" si="9"/>
        <v/>
      </c>
      <c r="C148" t="str">
        <f>IF(AND(TRIM(A148)&lt;&gt;"",IFERROR(VLOOKUP(TRIM(B148),Inventory!E:E,1,0),0)=0),"X","_")</f>
        <v>_</v>
      </c>
      <c r="D148" t="str">
        <f>IF(AND(TRIM(A148)&lt;&gt;"",IFERROR(VLOOKUP(TRIM(B148),'Full Inventory'!F:F,1,0),0)=0),"X","_")</f>
        <v>_</v>
      </c>
      <c r="E148" t="str">
        <f t="shared" ref="E148:E211" si="12">IF(TRIM(A148)&lt;&gt;"","_","X")</f>
        <v>X</v>
      </c>
      <c r="F148" t="str">
        <f ca="1">IFERROR(IF(AND(C148&amp;D148&amp;E148="___",INDIRECT("Inventory!A"&amp;MATCH(VLOOKUP(B148,Inventory!E:E,1,0),Inventory!E:E,0))&lt;&gt;INDIRECT("'Full Inventory'!B"&amp;MATCH(VLOOKUP(B148,'Full Inventory'!F:F,1,0),'Full Inventory'!F:F,0))),"X","_"),"_")</f>
        <v>_</v>
      </c>
      <c r="L148" t="str">
        <f t="shared" ca="1" si="10"/>
        <v>__X_</v>
      </c>
      <c r="M148" t="str">
        <f t="shared" ca="1" si="11"/>
        <v/>
      </c>
    </row>
    <row r="149" spans="1:13" x14ac:dyDescent="0.25">
      <c r="A149" s="5"/>
      <c r="B149" s="4" t="str">
        <f t="shared" si="9"/>
        <v/>
      </c>
      <c r="C149" t="str">
        <f>IF(AND(TRIM(A149)&lt;&gt;"",IFERROR(VLOOKUP(TRIM(B149),Inventory!E:E,1,0),0)=0),"X","_")</f>
        <v>_</v>
      </c>
      <c r="D149" t="str">
        <f>IF(AND(TRIM(A149)&lt;&gt;"",IFERROR(VLOOKUP(TRIM(B149),'Full Inventory'!F:F,1,0),0)=0),"X","_")</f>
        <v>_</v>
      </c>
      <c r="E149" t="str">
        <f t="shared" si="12"/>
        <v>X</v>
      </c>
      <c r="F149" t="str">
        <f ca="1">IFERROR(IF(AND(C149&amp;D149&amp;E149="___",INDIRECT("Inventory!A"&amp;MATCH(VLOOKUP(B149,Inventory!E:E,1,0),Inventory!E:E,0))&lt;&gt;INDIRECT("'Full Inventory'!B"&amp;MATCH(VLOOKUP(B149,'Full Inventory'!F:F,1,0),'Full Inventory'!F:F,0))),"X","_"),"_")</f>
        <v>_</v>
      </c>
      <c r="L149" t="str">
        <f t="shared" ca="1" si="10"/>
        <v>__X_</v>
      </c>
      <c r="M149" t="str">
        <f t="shared" ca="1" si="11"/>
        <v/>
      </c>
    </row>
    <row r="150" spans="1:13" x14ac:dyDescent="0.25">
      <c r="A150" s="5"/>
      <c r="B150" s="4" t="str">
        <f t="shared" si="9"/>
        <v/>
      </c>
      <c r="C150" t="str">
        <f>IF(AND(TRIM(A150)&lt;&gt;"",IFERROR(VLOOKUP(TRIM(B150),Inventory!E:E,1,0),0)=0),"X","_")</f>
        <v>_</v>
      </c>
      <c r="D150" t="str">
        <f>IF(AND(TRIM(A150)&lt;&gt;"",IFERROR(VLOOKUP(TRIM(B150),'Full Inventory'!F:F,1,0),0)=0),"X","_")</f>
        <v>_</v>
      </c>
      <c r="E150" t="str">
        <f t="shared" si="12"/>
        <v>X</v>
      </c>
      <c r="F150" t="str">
        <f ca="1">IFERROR(IF(AND(C150&amp;D150&amp;E150="___",INDIRECT("Inventory!A"&amp;MATCH(VLOOKUP(B150,Inventory!E:E,1,0),Inventory!E:E,0))&lt;&gt;INDIRECT("'Full Inventory'!B"&amp;MATCH(VLOOKUP(B150,'Full Inventory'!F:F,1,0),'Full Inventory'!F:F,0))),"X","_"),"_")</f>
        <v>_</v>
      </c>
      <c r="L150" t="str">
        <f t="shared" ca="1" si="10"/>
        <v>__X_</v>
      </c>
      <c r="M150" t="str">
        <f t="shared" ca="1" si="11"/>
        <v/>
      </c>
    </row>
    <row r="151" spans="1:13" x14ac:dyDescent="0.25">
      <c r="A151" s="5"/>
      <c r="B151" s="4" t="str">
        <f t="shared" si="9"/>
        <v/>
      </c>
      <c r="C151" t="str">
        <f>IF(AND(TRIM(A151)&lt;&gt;"",IFERROR(VLOOKUP(TRIM(B151),Inventory!E:E,1,0),0)=0),"X","_")</f>
        <v>_</v>
      </c>
      <c r="D151" t="str">
        <f>IF(AND(TRIM(A151)&lt;&gt;"",IFERROR(VLOOKUP(TRIM(B151),'Full Inventory'!F:F,1,0),0)=0),"X","_")</f>
        <v>_</v>
      </c>
      <c r="E151" t="str">
        <f t="shared" si="12"/>
        <v>X</v>
      </c>
      <c r="F151" t="str">
        <f ca="1">IFERROR(IF(AND(C151&amp;D151&amp;E151="___",INDIRECT("Inventory!A"&amp;MATCH(VLOOKUP(B151,Inventory!E:E,1,0),Inventory!E:E,0))&lt;&gt;INDIRECT("'Full Inventory'!B"&amp;MATCH(VLOOKUP(B151,'Full Inventory'!F:F,1,0),'Full Inventory'!F:F,0))),"X","_"),"_")</f>
        <v>_</v>
      </c>
      <c r="L151" t="str">
        <f t="shared" ca="1" si="10"/>
        <v>__X_</v>
      </c>
      <c r="M151" t="str">
        <f t="shared" ca="1" si="11"/>
        <v/>
      </c>
    </row>
    <row r="152" spans="1:13" x14ac:dyDescent="0.25">
      <c r="A152" s="5"/>
      <c r="B152" s="4" t="str">
        <f t="shared" si="9"/>
        <v/>
      </c>
      <c r="C152" t="str">
        <f>IF(AND(TRIM(A152)&lt;&gt;"",IFERROR(VLOOKUP(TRIM(B152),Inventory!E:E,1,0),0)=0),"X","_")</f>
        <v>_</v>
      </c>
      <c r="D152" t="str">
        <f>IF(AND(TRIM(A152)&lt;&gt;"",IFERROR(VLOOKUP(TRIM(B152),'Full Inventory'!F:F,1,0),0)=0),"X","_")</f>
        <v>_</v>
      </c>
      <c r="E152" t="str">
        <f t="shared" si="12"/>
        <v>X</v>
      </c>
      <c r="F152" t="str">
        <f ca="1">IFERROR(IF(AND(C152&amp;D152&amp;E152="___",INDIRECT("Inventory!A"&amp;MATCH(VLOOKUP(B152,Inventory!E:E,1,0),Inventory!E:E,0))&lt;&gt;INDIRECT("'Full Inventory'!B"&amp;MATCH(VLOOKUP(B152,'Full Inventory'!F:F,1,0),'Full Inventory'!F:F,0))),"X","_"),"_")</f>
        <v>_</v>
      </c>
      <c r="L152" t="str">
        <f t="shared" ca="1" si="10"/>
        <v>__X_</v>
      </c>
      <c r="M152" t="str">
        <f t="shared" ca="1" si="11"/>
        <v/>
      </c>
    </row>
    <row r="153" spans="1:13" x14ac:dyDescent="0.25">
      <c r="A153" s="5"/>
      <c r="B153" s="4" t="str">
        <f t="shared" si="9"/>
        <v/>
      </c>
      <c r="C153" t="str">
        <f>IF(AND(TRIM(A153)&lt;&gt;"",IFERROR(VLOOKUP(TRIM(B153),Inventory!E:E,1,0),0)=0),"X","_")</f>
        <v>_</v>
      </c>
      <c r="D153" t="str">
        <f>IF(AND(TRIM(A153)&lt;&gt;"",IFERROR(VLOOKUP(TRIM(B153),'Full Inventory'!F:F,1,0),0)=0),"X","_")</f>
        <v>_</v>
      </c>
      <c r="E153" t="str">
        <f t="shared" si="12"/>
        <v>X</v>
      </c>
      <c r="F153" t="str">
        <f ca="1">IFERROR(IF(AND(C153&amp;D153&amp;E153="___",INDIRECT("Inventory!A"&amp;MATCH(VLOOKUP(B153,Inventory!E:E,1,0),Inventory!E:E,0))&lt;&gt;INDIRECT("'Full Inventory'!B"&amp;MATCH(VLOOKUP(B153,'Full Inventory'!F:F,1,0),'Full Inventory'!F:F,0))),"X","_"),"_")</f>
        <v>_</v>
      </c>
      <c r="L153" t="str">
        <f t="shared" ca="1" si="10"/>
        <v>__X_</v>
      </c>
      <c r="M153" t="str">
        <f t="shared" ca="1" si="11"/>
        <v/>
      </c>
    </row>
    <row r="154" spans="1:13" x14ac:dyDescent="0.25">
      <c r="A154" s="5"/>
      <c r="B154" s="4" t="str">
        <f t="shared" si="9"/>
        <v/>
      </c>
      <c r="C154" t="str">
        <f>IF(AND(TRIM(A154)&lt;&gt;"",IFERROR(VLOOKUP(TRIM(B154),Inventory!E:E,1,0),0)=0),"X","_")</f>
        <v>_</v>
      </c>
      <c r="D154" t="str">
        <f>IF(AND(TRIM(A154)&lt;&gt;"",IFERROR(VLOOKUP(TRIM(B154),'Full Inventory'!F:F,1,0),0)=0),"X","_")</f>
        <v>_</v>
      </c>
      <c r="E154" t="str">
        <f t="shared" si="12"/>
        <v>X</v>
      </c>
      <c r="F154" t="str">
        <f ca="1">IFERROR(IF(AND(C154&amp;D154&amp;E154="___",INDIRECT("Inventory!A"&amp;MATCH(VLOOKUP(B154,Inventory!E:E,1,0),Inventory!E:E,0))&lt;&gt;INDIRECT("'Full Inventory'!B"&amp;MATCH(VLOOKUP(B154,'Full Inventory'!F:F,1,0),'Full Inventory'!F:F,0))),"X","_"),"_")</f>
        <v>_</v>
      </c>
      <c r="L154" t="str">
        <f t="shared" ca="1" si="10"/>
        <v>__X_</v>
      </c>
      <c r="M154" t="str">
        <f t="shared" ca="1" si="11"/>
        <v/>
      </c>
    </row>
    <row r="155" spans="1:13" x14ac:dyDescent="0.25">
      <c r="A155" s="5"/>
      <c r="B155" s="4" t="str">
        <f t="shared" si="9"/>
        <v/>
      </c>
      <c r="C155" t="str">
        <f>IF(AND(TRIM(A155)&lt;&gt;"",IFERROR(VLOOKUP(TRIM(B155),Inventory!E:E,1,0),0)=0),"X","_")</f>
        <v>_</v>
      </c>
      <c r="D155" t="str">
        <f>IF(AND(TRIM(A155)&lt;&gt;"",IFERROR(VLOOKUP(TRIM(B155),'Full Inventory'!F:F,1,0),0)=0),"X","_")</f>
        <v>_</v>
      </c>
      <c r="E155" t="str">
        <f t="shared" si="12"/>
        <v>X</v>
      </c>
      <c r="F155" t="str">
        <f ca="1">IFERROR(IF(AND(C155&amp;D155&amp;E155="___",INDIRECT("Inventory!A"&amp;MATCH(VLOOKUP(B155,Inventory!E:E,1,0),Inventory!E:E,0))&lt;&gt;INDIRECT("'Full Inventory'!B"&amp;MATCH(VLOOKUP(B155,'Full Inventory'!F:F,1,0),'Full Inventory'!F:F,0))),"X","_"),"_")</f>
        <v>_</v>
      </c>
      <c r="L155" t="str">
        <f t="shared" ca="1" si="10"/>
        <v>__X_</v>
      </c>
      <c r="M155" t="str">
        <f t="shared" ca="1" si="11"/>
        <v/>
      </c>
    </row>
    <row r="156" spans="1:13" x14ac:dyDescent="0.25">
      <c r="A156" s="5"/>
      <c r="B156" s="4" t="str">
        <f t="shared" si="9"/>
        <v/>
      </c>
      <c r="C156" t="str">
        <f>IF(AND(TRIM(A156)&lt;&gt;"",IFERROR(VLOOKUP(TRIM(B156),Inventory!E:E,1,0),0)=0),"X","_")</f>
        <v>_</v>
      </c>
      <c r="D156" t="str">
        <f>IF(AND(TRIM(A156)&lt;&gt;"",IFERROR(VLOOKUP(TRIM(B156),'Full Inventory'!F:F,1,0),0)=0),"X","_")</f>
        <v>_</v>
      </c>
      <c r="E156" t="str">
        <f t="shared" si="12"/>
        <v>X</v>
      </c>
      <c r="F156" t="str">
        <f ca="1">IFERROR(IF(AND(C156&amp;D156&amp;E156="___",INDIRECT("Inventory!A"&amp;MATCH(VLOOKUP(B156,Inventory!E:E,1,0),Inventory!E:E,0))&lt;&gt;INDIRECT("'Full Inventory'!B"&amp;MATCH(VLOOKUP(B156,'Full Inventory'!F:F,1,0),'Full Inventory'!F:F,0))),"X","_"),"_")</f>
        <v>_</v>
      </c>
      <c r="L156" t="str">
        <f t="shared" ca="1" si="10"/>
        <v>__X_</v>
      </c>
      <c r="M156" t="str">
        <f t="shared" ca="1" si="11"/>
        <v/>
      </c>
    </row>
    <row r="157" spans="1:13" x14ac:dyDescent="0.25">
      <c r="A157" s="5"/>
      <c r="B157" s="4" t="str">
        <f t="shared" si="9"/>
        <v/>
      </c>
      <c r="C157" t="str">
        <f>IF(AND(TRIM(A157)&lt;&gt;"",IFERROR(VLOOKUP(TRIM(B157),Inventory!E:E,1,0),0)=0),"X","_")</f>
        <v>_</v>
      </c>
      <c r="D157" t="str">
        <f>IF(AND(TRIM(A157)&lt;&gt;"",IFERROR(VLOOKUP(TRIM(B157),'Full Inventory'!F:F,1,0),0)=0),"X","_")</f>
        <v>_</v>
      </c>
      <c r="E157" t="str">
        <f t="shared" si="12"/>
        <v>X</v>
      </c>
      <c r="F157" t="str">
        <f ca="1">IFERROR(IF(AND(C157&amp;D157&amp;E157="___",INDIRECT("Inventory!A"&amp;MATCH(VLOOKUP(B157,Inventory!E:E,1,0),Inventory!E:E,0))&lt;&gt;INDIRECT("'Full Inventory'!B"&amp;MATCH(VLOOKUP(B157,'Full Inventory'!F:F,1,0),'Full Inventory'!F:F,0))),"X","_"),"_")</f>
        <v>_</v>
      </c>
      <c r="L157" t="str">
        <f t="shared" ca="1" si="10"/>
        <v>__X_</v>
      </c>
      <c r="M157" t="str">
        <f t="shared" ca="1" si="11"/>
        <v/>
      </c>
    </row>
    <row r="158" spans="1:13" x14ac:dyDescent="0.25">
      <c r="A158" s="5"/>
      <c r="B158" s="4" t="str">
        <f t="shared" si="9"/>
        <v/>
      </c>
      <c r="C158" t="str">
        <f>IF(AND(TRIM(A158)&lt;&gt;"",IFERROR(VLOOKUP(TRIM(B158),Inventory!E:E,1,0),0)=0),"X","_")</f>
        <v>_</v>
      </c>
      <c r="D158" t="str">
        <f>IF(AND(TRIM(A158)&lt;&gt;"",IFERROR(VLOOKUP(TRIM(B158),'Full Inventory'!F:F,1,0),0)=0),"X","_")</f>
        <v>_</v>
      </c>
      <c r="E158" t="str">
        <f t="shared" si="12"/>
        <v>X</v>
      </c>
      <c r="F158" t="str">
        <f ca="1">IFERROR(IF(AND(C158&amp;D158&amp;E158="___",INDIRECT("Inventory!A"&amp;MATCH(VLOOKUP(B158,Inventory!E:E,1,0),Inventory!E:E,0))&lt;&gt;INDIRECT("'Full Inventory'!B"&amp;MATCH(VLOOKUP(B158,'Full Inventory'!F:F,1,0),'Full Inventory'!F:F,0))),"X","_"),"_")</f>
        <v>_</v>
      </c>
      <c r="L158" t="str">
        <f t="shared" ca="1" si="10"/>
        <v>__X_</v>
      </c>
      <c r="M158" t="str">
        <f t="shared" ca="1" si="11"/>
        <v/>
      </c>
    </row>
    <row r="159" spans="1:13" x14ac:dyDescent="0.25">
      <c r="A159" s="5"/>
      <c r="B159" s="4" t="str">
        <f t="shared" si="9"/>
        <v/>
      </c>
      <c r="C159" t="str">
        <f>IF(AND(TRIM(A159)&lt;&gt;"",IFERROR(VLOOKUP(TRIM(B159),Inventory!E:E,1,0),0)=0),"X","_")</f>
        <v>_</v>
      </c>
      <c r="D159" t="str">
        <f>IF(AND(TRIM(A159)&lt;&gt;"",IFERROR(VLOOKUP(TRIM(B159),'Full Inventory'!F:F,1,0),0)=0),"X","_")</f>
        <v>_</v>
      </c>
      <c r="E159" t="str">
        <f t="shared" si="12"/>
        <v>X</v>
      </c>
      <c r="F159" t="str">
        <f ca="1">IFERROR(IF(AND(C159&amp;D159&amp;E159="___",INDIRECT("Inventory!A"&amp;MATCH(VLOOKUP(B159,Inventory!E:E,1,0),Inventory!E:E,0))&lt;&gt;INDIRECT("'Full Inventory'!B"&amp;MATCH(VLOOKUP(B159,'Full Inventory'!F:F,1,0),'Full Inventory'!F:F,0))),"X","_"),"_")</f>
        <v>_</v>
      </c>
      <c r="L159" t="str">
        <f t="shared" ca="1" si="10"/>
        <v>__X_</v>
      </c>
      <c r="M159" t="str">
        <f t="shared" ca="1" si="11"/>
        <v/>
      </c>
    </row>
    <row r="160" spans="1:13" x14ac:dyDescent="0.25">
      <c r="A160" s="5"/>
      <c r="B160" s="4" t="str">
        <f t="shared" si="9"/>
        <v/>
      </c>
      <c r="C160" t="str">
        <f>IF(AND(TRIM(A160)&lt;&gt;"",IFERROR(VLOOKUP(TRIM(B160),Inventory!E:E,1,0),0)=0),"X","_")</f>
        <v>_</v>
      </c>
      <c r="D160" t="str">
        <f>IF(AND(TRIM(A160)&lt;&gt;"",IFERROR(VLOOKUP(TRIM(B160),'Full Inventory'!F:F,1,0),0)=0),"X","_")</f>
        <v>_</v>
      </c>
      <c r="E160" t="str">
        <f t="shared" si="12"/>
        <v>X</v>
      </c>
      <c r="F160" t="str">
        <f ca="1">IFERROR(IF(AND(C160&amp;D160&amp;E160="___",INDIRECT("Inventory!A"&amp;MATCH(VLOOKUP(B160,Inventory!E:E,1,0),Inventory!E:E,0))&lt;&gt;INDIRECT("'Full Inventory'!B"&amp;MATCH(VLOOKUP(B160,'Full Inventory'!F:F,1,0),'Full Inventory'!F:F,0))),"X","_"),"_")</f>
        <v>_</v>
      </c>
      <c r="L160" t="str">
        <f t="shared" ca="1" si="10"/>
        <v>__X_</v>
      </c>
      <c r="M160" t="str">
        <f t="shared" ca="1" si="11"/>
        <v/>
      </c>
    </row>
    <row r="161" spans="1:13" x14ac:dyDescent="0.25">
      <c r="A161" s="5"/>
      <c r="B161" s="4" t="str">
        <f t="shared" si="9"/>
        <v/>
      </c>
      <c r="C161" t="str">
        <f>IF(AND(TRIM(A161)&lt;&gt;"",IFERROR(VLOOKUP(TRIM(B161),Inventory!E:E,1,0),0)=0),"X","_")</f>
        <v>_</v>
      </c>
      <c r="D161" t="str">
        <f>IF(AND(TRIM(A161)&lt;&gt;"",IFERROR(VLOOKUP(TRIM(B161),'Full Inventory'!F:F,1,0),0)=0),"X","_")</f>
        <v>_</v>
      </c>
      <c r="E161" t="str">
        <f t="shared" si="12"/>
        <v>X</v>
      </c>
      <c r="F161" t="str">
        <f ca="1">IFERROR(IF(AND(C161&amp;D161&amp;E161="___",INDIRECT("Inventory!A"&amp;MATCH(VLOOKUP(B161,Inventory!E:E,1,0),Inventory!E:E,0))&lt;&gt;INDIRECT("'Full Inventory'!B"&amp;MATCH(VLOOKUP(B161,'Full Inventory'!F:F,1,0),'Full Inventory'!F:F,0))),"X","_"),"_")</f>
        <v>_</v>
      </c>
      <c r="L161" t="str">
        <f t="shared" ca="1" si="10"/>
        <v>__X_</v>
      </c>
      <c r="M161" t="str">
        <f t="shared" ca="1" si="11"/>
        <v/>
      </c>
    </row>
    <row r="162" spans="1:13" x14ac:dyDescent="0.25">
      <c r="A162" s="5"/>
      <c r="B162" s="4" t="str">
        <f t="shared" si="9"/>
        <v/>
      </c>
      <c r="C162" t="str">
        <f>IF(AND(TRIM(A162)&lt;&gt;"",IFERROR(VLOOKUP(TRIM(B162),Inventory!E:E,1,0),0)=0),"X","_")</f>
        <v>_</v>
      </c>
      <c r="D162" t="str">
        <f>IF(AND(TRIM(A162)&lt;&gt;"",IFERROR(VLOOKUP(TRIM(B162),'Full Inventory'!F:F,1,0),0)=0),"X","_")</f>
        <v>_</v>
      </c>
      <c r="E162" t="str">
        <f t="shared" si="12"/>
        <v>X</v>
      </c>
      <c r="F162" t="str">
        <f ca="1">IFERROR(IF(AND(C162&amp;D162&amp;E162="___",INDIRECT("Inventory!A"&amp;MATCH(VLOOKUP(B162,Inventory!E:E,1,0),Inventory!E:E,0))&lt;&gt;INDIRECT("'Full Inventory'!B"&amp;MATCH(VLOOKUP(B162,'Full Inventory'!F:F,1,0),'Full Inventory'!F:F,0))),"X","_"),"_")</f>
        <v>_</v>
      </c>
      <c r="L162" t="str">
        <f t="shared" ca="1" si="10"/>
        <v>__X_</v>
      </c>
      <c r="M162" t="str">
        <f t="shared" ca="1" si="11"/>
        <v/>
      </c>
    </row>
    <row r="163" spans="1:13" x14ac:dyDescent="0.25">
      <c r="A163" s="5"/>
      <c r="B163" s="4" t="str">
        <f t="shared" si="9"/>
        <v/>
      </c>
      <c r="C163" t="str">
        <f>IF(AND(TRIM(A163)&lt;&gt;"",IFERROR(VLOOKUP(TRIM(B163),Inventory!E:E,1,0),0)=0),"X","_")</f>
        <v>_</v>
      </c>
      <c r="D163" t="str">
        <f>IF(AND(TRIM(A163)&lt;&gt;"",IFERROR(VLOOKUP(TRIM(B163),'Full Inventory'!F:F,1,0),0)=0),"X","_")</f>
        <v>_</v>
      </c>
      <c r="E163" t="str">
        <f t="shared" si="12"/>
        <v>X</v>
      </c>
      <c r="F163" t="str">
        <f ca="1">IFERROR(IF(AND(C163&amp;D163&amp;E163="___",INDIRECT("Inventory!A"&amp;MATCH(VLOOKUP(B163,Inventory!E:E,1,0),Inventory!E:E,0))&lt;&gt;INDIRECT("'Full Inventory'!B"&amp;MATCH(VLOOKUP(B163,'Full Inventory'!F:F,1,0),'Full Inventory'!F:F,0))),"X","_"),"_")</f>
        <v>_</v>
      </c>
      <c r="L163" t="str">
        <f t="shared" ca="1" si="10"/>
        <v>__X_</v>
      </c>
      <c r="M163" t="str">
        <f t="shared" ca="1" si="11"/>
        <v/>
      </c>
    </row>
    <row r="164" spans="1:13" x14ac:dyDescent="0.25">
      <c r="A164" s="5"/>
      <c r="B164" s="4" t="str">
        <f t="shared" si="9"/>
        <v/>
      </c>
      <c r="C164" t="str">
        <f>IF(AND(TRIM(A164)&lt;&gt;"",IFERROR(VLOOKUP(TRIM(B164),Inventory!E:E,1,0),0)=0),"X","_")</f>
        <v>_</v>
      </c>
      <c r="D164" t="str">
        <f>IF(AND(TRIM(A164)&lt;&gt;"",IFERROR(VLOOKUP(TRIM(B164),'Full Inventory'!F:F,1,0),0)=0),"X","_")</f>
        <v>_</v>
      </c>
      <c r="E164" t="str">
        <f t="shared" si="12"/>
        <v>X</v>
      </c>
      <c r="F164" t="str">
        <f ca="1">IFERROR(IF(AND(C164&amp;D164&amp;E164="___",INDIRECT("Inventory!A"&amp;MATCH(VLOOKUP(B164,Inventory!E:E,1,0),Inventory!E:E,0))&lt;&gt;INDIRECT("'Full Inventory'!B"&amp;MATCH(VLOOKUP(B164,'Full Inventory'!F:F,1,0),'Full Inventory'!F:F,0))),"X","_"),"_")</f>
        <v>_</v>
      </c>
      <c r="L164" t="str">
        <f t="shared" ca="1" si="10"/>
        <v>__X_</v>
      </c>
      <c r="M164" t="str">
        <f t="shared" ca="1" si="11"/>
        <v/>
      </c>
    </row>
    <row r="165" spans="1:13" x14ac:dyDescent="0.25">
      <c r="A165" s="5"/>
      <c r="B165" s="4" t="str">
        <f t="shared" si="9"/>
        <v/>
      </c>
      <c r="C165" t="str">
        <f>IF(AND(TRIM(A165)&lt;&gt;"",IFERROR(VLOOKUP(TRIM(B165),Inventory!E:E,1,0),0)=0),"X","_")</f>
        <v>_</v>
      </c>
      <c r="D165" t="str">
        <f>IF(AND(TRIM(A165)&lt;&gt;"",IFERROR(VLOOKUP(TRIM(B165),'Full Inventory'!F:F,1,0),0)=0),"X","_")</f>
        <v>_</v>
      </c>
      <c r="E165" t="str">
        <f t="shared" si="12"/>
        <v>X</v>
      </c>
      <c r="F165" t="str">
        <f ca="1">IFERROR(IF(AND(C165&amp;D165&amp;E165="___",INDIRECT("Inventory!A"&amp;MATCH(VLOOKUP(B165,Inventory!E:E,1,0),Inventory!E:E,0))&lt;&gt;INDIRECT("'Full Inventory'!B"&amp;MATCH(VLOOKUP(B165,'Full Inventory'!F:F,1,0),'Full Inventory'!F:F,0))),"X","_"),"_")</f>
        <v>_</v>
      </c>
      <c r="L165" t="str">
        <f t="shared" ca="1" si="10"/>
        <v>__X_</v>
      </c>
      <c r="M165" t="str">
        <f t="shared" ca="1" si="11"/>
        <v/>
      </c>
    </row>
    <row r="166" spans="1:13" x14ac:dyDescent="0.25">
      <c r="A166" s="5"/>
      <c r="B166" s="4" t="str">
        <f t="shared" si="9"/>
        <v/>
      </c>
      <c r="C166" t="str">
        <f>IF(AND(TRIM(A166)&lt;&gt;"",IFERROR(VLOOKUP(TRIM(B166),Inventory!E:E,1,0),0)=0),"X","_")</f>
        <v>_</v>
      </c>
      <c r="D166" t="str">
        <f>IF(AND(TRIM(A166)&lt;&gt;"",IFERROR(VLOOKUP(TRIM(B166),'Full Inventory'!F:F,1,0),0)=0),"X","_")</f>
        <v>_</v>
      </c>
      <c r="E166" t="str">
        <f t="shared" si="12"/>
        <v>X</v>
      </c>
      <c r="F166" t="str">
        <f ca="1">IFERROR(IF(AND(C166&amp;D166&amp;E166="___",INDIRECT("Inventory!A"&amp;MATCH(VLOOKUP(B166,Inventory!E:E,1,0),Inventory!E:E,0))&lt;&gt;INDIRECT("'Full Inventory'!B"&amp;MATCH(VLOOKUP(B166,'Full Inventory'!F:F,1,0),'Full Inventory'!F:F,0))),"X","_"),"_")</f>
        <v>_</v>
      </c>
      <c r="L166" t="str">
        <f t="shared" ca="1" si="10"/>
        <v>__X_</v>
      </c>
      <c r="M166" t="str">
        <f t="shared" ca="1" si="11"/>
        <v/>
      </c>
    </row>
    <row r="167" spans="1:13" x14ac:dyDescent="0.25">
      <c r="A167" s="5"/>
      <c r="B167" s="4" t="str">
        <f t="shared" si="9"/>
        <v/>
      </c>
      <c r="C167" t="str">
        <f>IF(AND(TRIM(A167)&lt;&gt;"",IFERROR(VLOOKUP(TRIM(B167),Inventory!E:E,1,0),0)=0),"X","_")</f>
        <v>_</v>
      </c>
      <c r="D167" t="str">
        <f>IF(AND(TRIM(A167)&lt;&gt;"",IFERROR(VLOOKUP(TRIM(B167),'Full Inventory'!F:F,1,0),0)=0),"X","_")</f>
        <v>_</v>
      </c>
      <c r="E167" t="str">
        <f t="shared" si="12"/>
        <v>X</v>
      </c>
      <c r="F167" t="str">
        <f ca="1">IFERROR(IF(AND(C167&amp;D167&amp;E167="___",INDIRECT("Inventory!A"&amp;MATCH(VLOOKUP(B167,Inventory!E:E,1,0),Inventory!E:E,0))&lt;&gt;INDIRECT("'Full Inventory'!B"&amp;MATCH(VLOOKUP(B167,'Full Inventory'!F:F,1,0),'Full Inventory'!F:F,0))),"X","_"),"_")</f>
        <v>_</v>
      </c>
      <c r="L167" t="str">
        <f t="shared" ca="1" si="10"/>
        <v>__X_</v>
      </c>
      <c r="M167" t="str">
        <f t="shared" ca="1" si="11"/>
        <v/>
      </c>
    </row>
    <row r="168" spans="1:13" x14ac:dyDescent="0.25">
      <c r="A168" s="5"/>
      <c r="B168" s="4" t="str">
        <f t="shared" si="9"/>
        <v/>
      </c>
      <c r="C168" t="str">
        <f>IF(AND(TRIM(A168)&lt;&gt;"",IFERROR(VLOOKUP(TRIM(B168),Inventory!E:E,1,0),0)=0),"X","_")</f>
        <v>_</v>
      </c>
      <c r="D168" t="str">
        <f>IF(AND(TRIM(A168)&lt;&gt;"",IFERROR(VLOOKUP(TRIM(B168),'Full Inventory'!F:F,1,0),0)=0),"X","_")</f>
        <v>_</v>
      </c>
      <c r="E168" t="str">
        <f t="shared" si="12"/>
        <v>X</v>
      </c>
      <c r="F168" t="str">
        <f ca="1">IFERROR(IF(AND(C168&amp;D168&amp;E168="___",INDIRECT("Inventory!A"&amp;MATCH(VLOOKUP(B168,Inventory!E:E,1,0),Inventory!E:E,0))&lt;&gt;INDIRECT("'Full Inventory'!B"&amp;MATCH(VLOOKUP(B168,'Full Inventory'!F:F,1,0),'Full Inventory'!F:F,0))),"X","_"),"_")</f>
        <v>_</v>
      </c>
      <c r="L168" t="str">
        <f t="shared" ca="1" si="10"/>
        <v>__X_</v>
      </c>
      <c r="M168" t="str">
        <f t="shared" ca="1" si="11"/>
        <v/>
      </c>
    </row>
    <row r="169" spans="1:13" x14ac:dyDescent="0.25">
      <c r="A169" s="5"/>
      <c r="B169" s="4" t="str">
        <f t="shared" si="9"/>
        <v/>
      </c>
      <c r="C169" t="str">
        <f>IF(AND(TRIM(A169)&lt;&gt;"",IFERROR(VLOOKUP(TRIM(B169),Inventory!E:E,1,0),0)=0),"X","_")</f>
        <v>_</v>
      </c>
      <c r="D169" t="str">
        <f>IF(AND(TRIM(A169)&lt;&gt;"",IFERROR(VLOOKUP(TRIM(B169),'Full Inventory'!F:F,1,0),0)=0),"X","_")</f>
        <v>_</v>
      </c>
      <c r="E169" t="str">
        <f t="shared" si="12"/>
        <v>X</v>
      </c>
      <c r="F169" t="str">
        <f ca="1">IFERROR(IF(AND(C169&amp;D169&amp;E169="___",INDIRECT("Inventory!A"&amp;MATCH(VLOOKUP(B169,Inventory!E:E,1,0),Inventory!E:E,0))&lt;&gt;INDIRECT("'Full Inventory'!B"&amp;MATCH(VLOOKUP(B169,'Full Inventory'!F:F,1,0),'Full Inventory'!F:F,0))),"X","_"),"_")</f>
        <v>_</v>
      </c>
      <c r="L169" t="str">
        <f t="shared" ca="1" si="10"/>
        <v>__X_</v>
      </c>
      <c r="M169" t="str">
        <f t="shared" ca="1" si="11"/>
        <v/>
      </c>
    </row>
    <row r="170" spans="1:13" x14ac:dyDescent="0.25">
      <c r="A170" s="5"/>
      <c r="B170" s="4" t="str">
        <f t="shared" si="9"/>
        <v/>
      </c>
      <c r="C170" t="str">
        <f>IF(AND(TRIM(A170)&lt;&gt;"",IFERROR(VLOOKUP(TRIM(B170),Inventory!E:E,1,0),0)=0),"X","_")</f>
        <v>_</v>
      </c>
      <c r="D170" t="str">
        <f>IF(AND(TRIM(A170)&lt;&gt;"",IFERROR(VLOOKUP(TRIM(B170),'Full Inventory'!F:F,1,0),0)=0),"X","_")</f>
        <v>_</v>
      </c>
      <c r="E170" t="str">
        <f t="shared" si="12"/>
        <v>X</v>
      </c>
      <c r="F170" t="str">
        <f ca="1">IFERROR(IF(AND(C170&amp;D170&amp;E170="___",INDIRECT("Inventory!A"&amp;MATCH(VLOOKUP(B170,Inventory!E:E,1,0),Inventory!E:E,0))&lt;&gt;INDIRECT("'Full Inventory'!B"&amp;MATCH(VLOOKUP(B170,'Full Inventory'!F:F,1,0),'Full Inventory'!F:F,0))),"X","_"),"_")</f>
        <v>_</v>
      </c>
      <c r="L170" t="str">
        <f t="shared" ca="1" si="10"/>
        <v>__X_</v>
      </c>
      <c r="M170" t="str">
        <f t="shared" ca="1" si="11"/>
        <v/>
      </c>
    </row>
    <row r="171" spans="1:13" x14ac:dyDescent="0.25">
      <c r="A171" s="5"/>
      <c r="B171" s="4" t="str">
        <f t="shared" si="9"/>
        <v/>
      </c>
      <c r="C171" t="str">
        <f>IF(AND(TRIM(A171)&lt;&gt;"",IFERROR(VLOOKUP(TRIM(B171),Inventory!E:E,1,0),0)=0),"X","_")</f>
        <v>_</v>
      </c>
      <c r="D171" t="str">
        <f>IF(AND(TRIM(A171)&lt;&gt;"",IFERROR(VLOOKUP(TRIM(B171),'Full Inventory'!F:F,1,0),0)=0),"X","_")</f>
        <v>_</v>
      </c>
      <c r="E171" t="str">
        <f t="shared" si="12"/>
        <v>X</v>
      </c>
      <c r="F171" t="str">
        <f ca="1">IFERROR(IF(AND(C171&amp;D171&amp;E171="___",INDIRECT("Inventory!A"&amp;MATCH(VLOOKUP(B171,Inventory!E:E,1,0),Inventory!E:E,0))&lt;&gt;INDIRECT("'Full Inventory'!B"&amp;MATCH(VLOOKUP(B171,'Full Inventory'!F:F,1,0),'Full Inventory'!F:F,0))),"X","_"),"_")</f>
        <v>_</v>
      </c>
      <c r="L171" t="str">
        <f t="shared" ca="1" si="10"/>
        <v>__X_</v>
      </c>
      <c r="M171" t="str">
        <f t="shared" ca="1" si="11"/>
        <v/>
      </c>
    </row>
    <row r="172" spans="1:13" x14ac:dyDescent="0.25">
      <c r="A172" s="5"/>
      <c r="B172" s="4" t="str">
        <f t="shared" si="9"/>
        <v/>
      </c>
      <c r="C172" t="str">
        <f>IF(AND(TRIM(A172)&lt;&gt;"",IFERROR(VLOOKUP(TRIM(B172),Inventory!E:E,1,0),0)=0),"X","_")</f>
        <v>_</v>
      </c>
      <c r="D172" t="str">
        <f>IF(AND(TRIM(A172)&lt;&gt;"",IFERROR(VLOOKUP(TRIM(B172),'Full Inventory'!F:F,1,0),0)=0),"X","_")</f>
        <v>_</v>
      </c>
      <c r="E172" t="str">
        <f t="shared" si="12"/>
        <v>X</v>
      </c>
      <c r="F172" t="str">
        <f ca="1">IFERROR(IF(AND(C172&amp;D172&amp;E172="___",INDIRECT("Inventory!A"&amp;MATCH(VLOOKUP(B172,Inventory!E:E,1,0),Inventory!E:E,0))&lt;&gt;INDIRECT("'Full Inventory'!B"&amp;MATCH(VLOOKUP(B172,'Full Inventory'!F:F,1,0),'Full Inventory'!F:F,0))),"X","_"),"_")</f>
        <v>_</v>
      </c>
      <c r="L172" t="str">
        <f t="shared" ca="1" si="10"/>
        <v>__X_</v>
      </c>
      <c r="M172" t="str">
        <f t="shared" ca="1" si="11"/>
        <v/>
      </c>
    </row>
    <row r="173" spans="1:13" x14ac:dyDescent="0.25">
      <c r="A173" s="5"/>
      <c r="B173" s="4" t="str">
        <f t="shared" si="9"/>
        <v/>
      </c>
      <c r="C173" t="str">
        <f>IF(AND(TRIM(A173)&lt;&gt;"",IFERROR(VLOOKUP(TRIM(B173),Inventory!E:E,1,0),0)=0),"X","_")</f>
        <v>_</v>
      </c>
      <c r="D173" t="str">
        <f>IF(AND(TRIM(A173)&lt;&gt;"",IFERROR(VLOOKUP(TRIM(B173),'Full Inventory'!F:F,1,0),0)=0),"X","_")</f>
        <v>_</v>
      </c>
      <c r="E173" t="str">
        <f t="shared" si="12"/>
        <v>X</v>
      </c>
      <c r="F173" t="str">
        <f ca="1">IFERROR(IF(AND(C173&amp;D173&amp;E173="___",INDIRECT("Inventory!A"&amp;MATCH(VLOOKUP(B173,Inventory!E:E,1,0),Inventory!E:E,0))&lt;&gt;INDIRECT("'Full Inventory'!B"&amp;MATCH(VLOOKUP(B173,'Full Inventory'!F:F,1,0),'Full Inventory'!F:F,0))),"X","_"),"_")</f>
        <v>_</v>
      </c>
      <c r="L173" t="str">
        <f t="shared" ca="1" si="10"/>
        <v>__X_</v>
      </c>
      <c r="M173" t="str">
        <f t="shared" ca="1" si="11"/>
        <v/>
      </c>
    </row>
    <row r="174" spans="1:13" x14ac:dyDescent="0.25">
      <c r="A174" s="5"/>
      <c r="B174" s="4" t="str">
        <f t="shared" si="9"/>
        <v/>
      </c>
      <c r="C174" t="str">
        <f>IF(AND(TRIM(A174)&lt;&gt;"",IFERROR(VLOOKUP(TRIM(B174),Inventory!E:E,1,0),0)=0),"X","_")</f>
        <v>_</v>
      </c>
      <c r="D174" t="str">
        <f>IF(AND(TRIM(A174)&lt;&gt;"",IFERROR(VLOOKUP(TRIM(B174),'Full Inventory'!F:F,1,0),0)=0),"X","_")</f>
        <v>_</v>
      </c>
      <c r="E174" t="str">
        <f t="shared" si="12"/>
        <v>X</v>
      </c>
      <c r="F174" t="str">
        <f ca="1">IFERROR(IF(AND(C174&amp;D174&amp;E174="___",INDIRECT("Inventory!A"&amp;MATCH(VLOOKUP(B174,Inventory!E:E,1,0),Inventory!E:E,0))&lt;&gt;INDIRECT("'Full Inventory'!B"&amp;MATCH(VLOOKUP(B174,'Full Inventory'!F:F,1,0),'Full Inventory'!F:F,0))),"X","_"),"_")</f>
        <v>_</v>
      </c>
      <c r="L174" t="str">
        <f t="shared" ca="1" si="10"/>
        <v>__X_</v>
      </c>
      <c r="M174" t="str">
        <f t="shared" ca="1" si="11"/>
        <v/>
      </c>
    </row>
    <row r="175" spans="1:13" x14ac:dyDescent="0.25">
      <c r="A175" s="5"/>
      <c r="B175" s="4" t="str">
        <f t="shared" si="9"/>
        <v/>
      </c>
      <c r="C175" t="str">
        <f>IF(AND(TRIM(A175)&lt;&gt;"",IFERROR(VLOOKUP(TRIM(B175),Inventory!E:E,1,0),0)=0),"X","_")</f>
        <v>_</v>
      </c>
      <c r="D175" t="str">
        <f>IF(AND(TRIM(A175)&lt;&gt;"",IFERROR(VLOOKUP(TRIM(B175),'Full Inventory'!F:F,1,0),0)=0),"X","_")</f>
        <v>_</v>
      </c>
      <c r="E175" t="str">
        <f t="shared" si="12"/>
        <v>X</v>
      </c>
      <c r="F175" t="str">
        <f ca="1">IFERROR(IF(AND(C175&amp;D175&amp;E175="___",INDIRECT("Inventory!A"&amp;MATCH(VLOOKUP(B175,Inventory!E:E,1,0),Inventory!E:E,0))&lt;&gt;INDIRECT("'Full Inventory'!B"&amp;MATCH(VLOOKUP(B175,'Full Inventory'!F:F,1,0),'Full Inventory'!F:F,0))),"X","_"),"_")</f>
        <v>_</v>
      </c>
      <c r="L175" t="str">
        <f t="shared" ca="1" si="10"/>
        <v>__X_</v>
      </c>
      <c r="M175" t="str">
        <f t="shared" ca="1" si="11"/>
        <v/>
      </c>
    </row>
    <row r="176" spans="1:13" x14ac:dyDescent="0.25">
      <c r="A176" s="5"/>
      <c r="B176" s="4" t="str">
        <f t="shared" si="9"/>
        <v/>
      </c>
      <c r="C176" t="str">
        <f>IF(AND(TRIM(A176)&lt;&gt;"",IFERROR(VLOOKUP(TRIM(B176),Inventory!E:E,1,0),0)=0),"X","_")</f>
        <v>_</v>
      </c>
      <c r="D176" t="str">
        <f>IF(AND(TRIM(A176)&lt;&gt;"",IFERROR(VLOOKUP(TRIM(B176),'Full Inventory'!F:F,1,0),0)=0),"X","_")</f>
        <v>_</v>
      </c>
      <c r="E176" t="str">
        <f t="shared" si="12"/>
        <v>X</v>
      </c>
      <c r="F176" t="str">
        <f ca="1">IFERROR(IF(AND(C176&amp;D176&amp;E176="___",INDIRECT("Inventory!A"&amp;MATCH(VLOOKUP(B176,Inventory!E:E,1,0),Inventory!E:E,0))&lt;&gt;INDIRECT("'Full Inventory'!B"&amp;MATCH(VLOOKUP(B176,'Full Inventory'!F:F,1,0),'Full Inventory'!F:F,0))),"X","_"),"_")</f>
        <v>_</v>
      </c>
      <c r="L176" t="str">
        <f t="shared" ca="1" si="10"/>
        <v>__X_</v>
      </c>
      <c r="M176" t="str">
        <f t="shared" ca="1" si="11"/>
        <v/>
      </c>
    </row>
    <row r="177" spans="1:13" x14ac:dyDescent="0.25">
      <c r="A177" s="5"/>
      <c r="B177" s="4" t="str">
        <f t="shared" si="9"/>
        <v/>
      </c>
      <c r="C177" t="str">
        <f>IF(AND(TRIM(A177)&lt;&gt;"",IFERROR(VLOOKUP(TRIM(B177),Inventory!E:E,1,0),0)=0),"X","_")</f>
        <v>_</v>
      </c>
      <c r="D177" t="str">
        <f>IF(AND(TRIM(A177)&lt;&gt;"",IFERROR(VLOOKUP(TRIM(B177),'Full Inventory'!F:F,1,0),0)=0),"X","_")</f>
        <v>_</v>
      </c>
      <c r="E177" t="str">
        <f t="shared" si="12"/>
        <v>X</v>
      </c>
      <c r="F177" t="str">
        <f ca="1">IFERROR(IF(AND(C177&amp;D177&amp;E177="___",INDIRECT("Inventory!A"&amp;MATCH(VLOOKUP(B177,Inventory!E:E,1,0),Inventory!E:E,0))&lt;&gt;INDIRECT("'Full Inventory'!B"&amp;MATCH(VLOOKUP(B177,'Full Inventory'!F:F,1,0),'Full Inventory'!F:F,0))),"X","_"),"_")</f>
        <v>_</v>
      </c>
      <c r="L177" t="str">
        <f t="shared" ca="1" si="10"/>
        <v>__X_</v>
      </c>
      <c r="M177" t="str">
        <f t="shared" ca="1" si="11"/>
        <v/>
      </c>
    </row>
    <row r="178" spans="1:13" x14ac:dyDescent="0.25">
      <c r="A178" s="5"/>
      <c r="B178" s="4" t="str">
        <f t="shared" si="9"/>
        <v/>
      </c>
      <c r="C178" t="str">
        <f>IF(AND(TRIM(A178)&lt;&gt;"",IFERROR(VLOOKUP(TRIM(B178),Inventory!E:E,1,0),0)=0),"X","_")</f>
        <v>_</v>
      </c>
      <c r="D178" t="str">
        <f>IF(AND(TRIM(A178)&lt;&gt;"",IFERROR(VLOOKUP(TRIM(B178),'Full Inventory'!F:F,1,0),0)=0),"X","_")</f>
        <v>_</v>
      </c>
      <c r="E178" t="str">
        <f t="shared" si="12"/>
        <v>X</v>
      </c>
      <c r="F178" t="str">
        <f ca="1">IFERROR(IF(AND(C178&amp;D178&amp;E178="___",INDIRECT("Inventory!A"&amp;MATCH(VLOOKUP(B178,Inventory!E:E,1,0),Inventory!E:E,0))&lt;&gt;INDIRECT("'Full Inventory'!B"&amp;MATCH(VLOOKUP(B178,'Full Inventory'!F:F,1,0),'Full Inventory'!F:F,0))),"X","_"),"_")</f>
        <v>_</v>
      </c>
      <c r="L178" t="str">
        <f t="shared" ca="1" si="10"/>
        <v>__X_</v>
      </c>
      <c r="M178" t="str">
        <f t="shared" ca="1" si="11"/>
        <v/>
      </c>
    </row>
    <row r="179" spans="1:13" x14ac:dyDescent="0.25">
      <c r="A179" s="5"/>
      <c r="B179" s="4" t="str">
        <f t="shared" si="9"/>
        <v/>
      </c>
      <c r="C179" t="str">
        <f>IF(AND(TRIM(A179)&lt;&gt;"",IFERROR(VLOOKUP(TRIM(B179),Inventory!E:E,1,0),0)=0),"X","_")</f>
        <v>_</v>
      </c>
      <c r="D179" t="str">
        <f>IF(AND(TRIM(A179)&lt;&gt;"",IFERROR(VLOOKUP(TRIM(B179),'Full Inventory'!F:F,1,0),0)=0),"X","_")</f>
        <v>_</v>
      </c>
      <c r="E179" t="str">
        <f t="shared" si="12"/>
        <v>X</v>
      </c>
      <c r="F179" t="str">
        <f ca="1">IFERROR(IF(AND(C179&amp;D179&amp;E179="___",INDIRECT("Inventory!A"&amp;MATCH(VLOOKUP(B179,Inventory!E:E,1,0),Inventory!E:E,0))&lt;&gt;INDIRECT("'Full Inventory'!B"&amp;MATCH(VLOOKUP(B179,'Full Inventory'!F:F,1,0),'Full Inventory'!F:F,0))),"X","_"),"_")</f>
        <v>_</v>
      </c>
      <c r="L179" t="str">
        <f t="shared" ca="1" si="10"/>
        <v>__X_</v>
      </c>
      <c r="M179" t="str">
        <f t="shared" ca="1" si="11"/>
        <v/>
      </c>
    </row>
    <row r="180" spans="1:13" x14ac:dyDescent="0.25">
      <c r="A180" s="5"/>
      <c r="B180" s="4" t="str">
        <f t="shared" si="9"/>
        <v/>
      </c>
      <c r="C180" t="str">
        <f>IF(AND(TRIM(A180)&lt;&gt;"",IFERROR(VLOOKUP(TRIM(B180),Inventory!E:E,1,0),0)=0),"X","_")</f>
        <v>_</v>
      </c>
      <c r="D180" t="str">
        <f>IF(AND(TRIM(A180)&lt;&gt;"",IFERROR(VLOOKUP(TRIM(B180),'Full Inventory'!F:F,1,0),0)=0),"X","_")</f>
        <v>_</v>
      </c>
      <c r="E180" t="str">
        <f t="shared" si="12"/>
        <v>X</v>
      </c>
      <c r="F180" t="str">
        <f ca="1">IFERROR(IF(AND(C180&amp;D180&amp;E180="___",INDIRECT("Inventory!A"&amp;MATCH(VLOOKUP(B180,Inventory!E:E,1,0),Inventory!E:E,0))&lt;&gt;INDIRECT("'Full Inventory'!B"&amp;MATCH(VLOOKUP(B180,'Full Inventory'!F:F,1,0),'Full Inventory'!F:F,0))),"X","_"),"_")</f>
        <v>_</v>
      </c>
      <c r="L180" t="str">
        <f t="shared" ca="1" si="10"/>
        <v>__X_</v>
      </c>
      <c r="M180" t="str">
        <f t="shared" ca="1" si="11"/>
        <v/>
      </c>
    </row>
    <row r="181" spans="1:13" x14ac:dyDescent="0.25">
      <c r="A181" s="5"/>
      <c r="B181" s="4" t="str">
        <f t="shared" si="9"/>
        <v/>
      </c>
      <c r="C181" t="str">
        <f>IF(AND(TRIM(A181)&lt;&gt;"",IFERROR(VLOOKUP(TRIM(B181),Inventory!E:E,1,0),0)=0),"X","_")</f>
        <v>_</v>
      </c>
      <c r="D181" t="str">
        <f>IF(AND(TRIM(A181)&lt;&gt;"",IFERROR(VLOOKUP(TRIM(B181),'Full Inventory'!F:F,1,0),0)=0),"X","_")</f>
        <v>_</v>
      </c>
      <c r="E181" t="str">
        <f t="shared" si="12"/>
        <v>X</v>
      </c>
      <c r="F181" t="str">
        <f ca="1">IFERROR(IF(AND(C181&amp;D181&amp;E181="___",INDIRECT("Inventory!A"&amp;MATCH(VLOOKUP(B181,Inventory!E:E,1,0),Inventory!E:E,0))&lt;&gt;INDIRECT("'Full Inventory'!B"&amp;MATCH(VLOOKUP(B181,'Full Inventory'!F:F,1,0),'Full Inventory'!F:F,0))),"X","_"),"_")</f>
        <v>_</v>
      </c>
      <c r="L181" t="str">
        <f t="shared" ca="1" si="10"/>
        <v>__X_</v>
      </c>
      <c r="M181" t="str">
        <f t="shared" ca="1" si="11"/>
        <v/>
      </c>
    </row>
    <row r="182" spans="1:13" x14ac:dyDescent="0.25">
      <c r="A182" s="5"/>
      <c r="B182" s="4" t="str">
        <f t="shared" si="9"/>
        <v/>
      </c>
      <c r="C182" t="str">
        <f>IF(AND(TRIM(A182)&lt;&gt;"",IFERROR(VLOOKUP(TRIM(B182),Inventory!E:E,1,0),0)=0),"X","_")</f>
        <v>_</v>
      </c>
      <c r="D182" t="str">
        <f>IF(AND(TRIM(A182)&lt;&gt;"",IFERROR(VLOOKUP(TRIM(B182),'Full Inventory'!F:F,1,0),0)=0),"X","_")</f>
        <v>_</v>
      </c>
      <c r="E182" t="str">
        <f t="shared" si="12"/>
        <v>X</v>
      </c>
      <c r="F182" t="str">
        <f ca="1">IFERROR(IF(AND(C182&amp;D182&amp;E182="___",INDIRECT("Inventory!A"&amp;MATCH(VLOOKUP(B182,Inventory!E:E,1,0),Inventory!E:E,0))&lt;&gt;INDIRECT("'Full Inventory'!B"&amp;MATCH(VLOOKUP(B182,'Full Inventory'!F:F,1,0),'Full Inventory'!F:F,0))),"X","_"),"_")</f>
        <v>_</v>
      </c>
      <c r="L182" t="str">
        <f t="shared" ca="1" si="10"/>
        <v>__X_</v>
      </c>
      <c r="M182" t="str">
        <f t="shared" ca="1" si="11"/>
        <v/>
      </c>
    </row>
    <row r="183" spans="1:13" x14ac:dyDescent="0.25">
      <c r="A183" s="5"/>
      <c r="B183" s="4" t="str">
        <f t="shared" si="9"/>
        <v/>
      </c>
      <c r="C183" t="str">
        <f>IF(AND(TRIM(A183)&lt;&gt;"",IFERROR(VLOOKUP(TRIM(B183),Inventory!E:E,1,0),0)=0),"X","_")</f>
        <v>_</v>
      </c>
      <c r="D183" t="str">
        <f>IF(AND(TRIM(A183)&lt;&gt;"",IFERROR(VLOOKUP(TRIM(B183),'Full Inventory'!F:F,1,0),0)=0),"X","_")</f>
        <v>_</v>
      </c>
      <c r="E183" t="str">
        <f t="shared" si="12"/>
        <v>X</v>
      </c>
      <c r="F183" t="str">
        <f ca="1">IFERROR(IF(AND(C183&amp;D183&amp;E183="___",INDIRECT("Inventory!A"&amp;MATCH(VLOOKUP(B183,Inventory!E:E,1,0),Inventory!E:E,0))&lt;&gt;INDIRECT("'Full Inventory'!B"&amp;MATCH(VLOOKUP(B183,'Full Inventory'!F:F,1,0),'Full Inventory'!F:F,0))),"X","_"),"_")</f>
        <v>_</v>
      </c>
      <c r="L183" t="str">
        <f t="shared" ca="1" si="10"/>
        <v>__X_</v>
      </c>
      <c r="M183" t="str">
        <f t="shared" ca="1" si="11"/>
        <v/>
      </c>
    </row>
    <row r="184" spans="1:13" x14ac:dyDescent="0.25">
      <c r="A184" s="5"/>
      <c r="B184" s="4" t="str">
        <f t="shared" si="9"/>
        <v/>
      </c>
      <c r="C184" t="str">
        <f>IF(AND(TRIM(A184)&lt;&gt;"",IFERROR(VLOOKUP(TRIM(B184),Inventory!E:E,1,0),0)=0),"X","_")</f>
        <v>_</v>
      </c>
      <c r="D184" t="str">
        <f>IF(AND(TRIM(A184)&lt;&gt;"",IFERROR(VLOOKUP(TRIM(B184),'Full Inventory'!F:F,1,0),0)=0),"X","_")</f>
        <v>_</v>
      </c>
      <c r="E184" t="str">
        <f t="shared" si="12"/>
        <v>X</v>
      </c>
      <c r="F184" t="str">
        <f ca="1">IFERROR(IF(AND(C184&amp;D184&amp;E184="___",INDIRECT("Inventory!A"&amp;MATCH(VLOOKUP(B184,Inventory!E:E,1,0),Inventory!E:E,0))&lt;&gt;INDIRECT("'Full Inventory'!B"&amp;MATCH(VLOOKUP(B184,'Full Inventory'!F:F,1,0),'Full Inventory'!F:F,0))),"X","_"),"_")</f>
        <v>_</v>
      </c>
      <c r="L184" t="str">
        <f t="shared" ca="1" si="10"/>
        <v>__X_</v>
      </c>
      <c r="M184" t="str">
        <f t="shared" ca="1" si="11"/>
        <v/>
      </c>
    </row>
    <row r="185" spans="1:13" x14ac:dyDescent="0.25">
      <c r="A185" s="5"/>
      <c r="B185" s="4" t="str">
        <f t="shared" si="9"/>
        <v/>
      </c>
      <c r="C185" t="str">
        <f>IF(AND(TRIM(A185)&lt;&gt;"",IFERROR(VLOOKUP(TRIM(B185),Inventory!E:E,1,0),0)=0),"X","_")</f>
        <v>_</v>
      </c>
      <c r="D185" t="str">
        <f>IF(AND(TRIM(A185)&lt;&gt;"",IFERROR(VLOOKUP(TRIM(B185),'Full Inventory'!F:F,1,0),0)=0),"X","_")</f>
        <v>_</v>
      </c>
      <c r="E185" t="str">
        <f t="shared" si="12"/>
        <v>X</v>
      </c>
      <c r="F185" t="str">
        <f ca="1">IFERROR(IF(AND(C185&amp;D185&amp;E185="___",INDIRECT("Inventory!A"&amp;MATCH(VLOOKUP(B185,Inventory!E:E,1,0),Inventory!E:E,0))&lt;&gt;INDIRECT("'Full Inventory'!B"&amp;MATCH(VLOOKUP(B185,'Full Inventory'!F:F,1,0),'Full Inventory'!F:F,0))),"X","_"),"_")</f>
        <v>_</v>
      </c>
      <c r="L185" t="str">
        <f t="shared" ca="1" si="10"/>
        <v>__X_</v>
      </c>
      <c r="M185" t="str">
        <f t="shared" ca="1" si="11"/>
        <v/>
      </c>
    </row>
    <row r="186" spans="1:13" x14ac:dyDescent="0.25">
      <c r="A186" s="5"/>
      <c r="B186" s="4" t="str">
        <f t="shared" si="9"/>
        <v/>
      </c>
      <c r="C186" t="str">
        <f>IF(AND(TRIM(A186)&lt;&gt;"",IFERROR(VLOOKUP(TRIM(B186),Inventory!E:E,1,0),0)=0),"X","_")</f>
        <v>_</v>
      </c>
      <c r="D186" t="str">
        <f>IF(AND(TRIM(A186)&lt;&gt;"",IFERROR(VLOOKUP(TRIM(B186),'Full Inventory'!F:F,1,0),0)=0),"X","_")</f>
        <v>_</v>
      </c>
      <c r="E186" t="str">
        <f t="shared" si="12"/>
        <v>X</v>
      </c>
      <c r="F186" t="str">
        <f ca="1">IFERROR(IF(AND(C186&amp;D186&amp;E186="___",INDIRECT("Inventory!A"&amp;MATCH(VLOOKUP(B186,Inventory!E:E,1,0),Inventory!E:E,0))&lt;&gt;INDIRECT("'Full Inventory'!B"&amp;MATCH(VLOOKUP(B186,'Full Inventory'!F:F,1,0),'Full Inventory'!F:F,0))),"X","_"),"_")</f>
        <v>_</v>
      </c>
      <c r="L186" t="str">
        <f t="shared" ca="1" si="10"/>
        <v>__X_</v>
      </c>
      <c r="M186" t="str">
        <f t="shared" ca="1" si="11"/>
        <v/>
      </c>
    </row>
    <row r="187" spans="1:13" x14ac:dyDescent="0.25">
      <c r="A187" s="5"/>
      <c r="B187" s="4" t="str">
        <f t="shared" si="9"/>
        <v/>
      </c>
      <c r="C187" t="str">
        <f>IF(AND(TRIM(A187)&lt;&gt;"",IFERROR(VLOOKUP(TRIM(B187),Inventory!E:E,1,0),0)=0),"X","_")</f>
        <v>_</v>
      </c>
      <c r="D187" t="str">
        <f>IF(AND(TRIM(A187)&lt;&gt;"",IFERROR(VLOOKUP(TRIM(B187),'Full Inventory'!F:F,1,0),0)=0),"X","_")</f>
        <v>_</v>
      </c>
      <c r="E187" t="str">
        <f t="shared" si="12"/>
        <v>X</v>
      </c>
      <c r="F187" t="str">
        <f ca="1">IFERROR(IF(AND(C187&amp;D187&amp;E187="___",INDIRECT("Inventory!A"&amp;MATCH(VLOOKUP(B187,Inventory!E:E,1,0),Inventory!E:E,0))&lt;&gt;INDIRECT("'Full Inventory'!B"&amp;MATCH(VLOOKUP(B187,'Full Inventory'!F:F,1,0),'Full Inventory'!F:F,0))),"X","_"),"_")</f>
        <v>_</v>
      </c>
      <c r="L187" t="str">
        <f t="shared" ca="1" si="10"/>
        <v>__X_</v>
      </c>
      <c r="M187" t="str">
        <f t="shared" ca="1" si="11"/>
        <v/>
      </c>
    </row>
    <row r="188" spans="1:13" x14ac:dyDescent="0.25">
      <c r="A188" s="5"/>
      <c r="B188" s="4" t="str">
        <f t="shared" si="9"/>
        <v/>
      </c>
      <c r="C188" t="str">
        <f>IF(AND(TRIM(A188)&lt;&gt;"",IFERROR(VLOOKUP(TRIM(B188),Inventory!E:E,1,0),0)=0),"X","_")</f>
        <v>_</v>
      </c>
      <c r="D188" t="str">
        <f>IF(AND(TRIM(A188)&lt;&gt;"",IFERROR(VLOOKUP(TRIM(B188),'Full Inventory'!F:F,1,0),0)=0),"X","_")</f>
        <v>_</v>
      </c>
      <c r="E188" t="str">
        <f t="shared" si="12"/>
        <v>X</v>
      </c>
      <c r="F188" t="str">
        <f ca="1">IFERROR(IF(AND(C188&amp;D188&amp;E188="___",INDIRECT("Inventory!A"&amp;MATCH(VLOOKUP(B188,Inventory!E:E,1,0),Inventory!E:E,0))&lt;&gt;INDIRECT("'Full Inventory'!B"&amp;MATCH(VLOOKUP(B188,'Full Inventory'!F:F,1,0),'Full Inventory'!F:F,0))),"X","_"),"_")</f>
        <v>_</v>
      </c>
      <c r="L188" t="str">
        <f t="shared" ca="1" si="10"/>
        <v>__X_</v>
      </c>
      <c r="M188" t="str">
        <f t="shared" ca="1" si="11"/>
        <v/>
      </c>
    </row>
    <row r="189" spans="1:13" x14ac:dyDescent="0.25">
      <c r="A189" s="5"/>
      <c r="B189" s="4" t="str">
        <f t="shared" si="9"/>
        <v/>
      </c>
      <c r="C189" t="str">
        <f>IF(AND(TRIM(A189)&lt;&gt;"",IFERROR(VLOOKUP(TRIM(B189),Inventory!E:E,1,0),0)=0),"X","_")</f>
        <v>_</v>
      </c>
      <c r="D189" t="str">
        <f>IF(AND(TRIM(A189)&lt;&gt;"",IFERROR(VLOOKUP(TRIM(B189),'Full Inventory'!F:F,1,0),0)=0),"X","_")</f>
        <v>_</v>
      </c>
      <c r="E189" t="str">
        <f t="shared" si="12"/>
        <v>X</v>
      </c>
      <c r="F189" t="str">
        <f ca="1">IFERROR(IF(AND(C189&amp;D189&amp;E189="___",INDIRECT("Inventory!A"&amp;MATCH(VLOOKUP(B189,Inventory!E:E,1,0),Inventory!E:E,0))&lt;&gt;INDIRECT("'Full Inventory'!B"&amp;MATCH(VLOOKUP(B189,'Full Inventory'!F:F,1,0),'Full Inventory'!F:F,0))),"X","_"),"_")</f>
        <v>_</v>
      </c>
      <c r="L189" t="str">
        <f t="shared" ca="1" si="10"/>
        <v>__X_</v>
      </c>
      <c r="M189" t="str">
        <f t="shared" ca="1" si="11"/>
        <v/>
      </c>
    </row>
    <row r="190" spans="1:13" x14ac:dyDescent="0.25">
      <c r="A190" s="5"/>
      <c r="B190" s="4" t="str">
        <f t="shared" si="9"/>
        <v/>
      </c>
      <c r="C190" t="str">
        <f>IF(AND(TRIM(A190)&lt;&gt;"",IFERROR(VLOOKUP(TRIM(B190),Inventory!E:E,1,0),0)=0),"X","_")</f>
        <v>_</v>
      </c>
      <c r="D190" t="str">
        <f>IF(AND(TRIM(A190)&lt;&gt;"",IFERROR(VLOOKUP(TRIM(B190),'Full Inventory'!F:F,1,0),0)=0),"X","_")</f>
        <v>_</v>
      </c>
      <c r="E190" t="str">
        <f t="shared" si="12"/>
        <v>X</v>
      </c>
      <c r="F190" t="str">
        <f ca="1">IFERROR(IF(AND(C190&amp;D190&amp;E190="___",INDIRECT("Inventory!A"&amp;MATCH(VLOOKUP(B190,Inventory!E:E,1,0),Inventory!E:E,0))&lt;&gt;INDIRECT("'Full Inventory'!B"&amp;MATCH(VLOOKUP(B190,'Full Inventory'!F:F,1,0),'Full Inventory'!F:F,0))),"X","_"),"_")</f>
        <v>_</v>
      </c>
      <c r="L190" t="str">
        <f t="shared" ca="1" si="10"/>
        <v>__X_</v>
      </c>
      <c r="M190" t="str">
        <f t="shared" ca="1" si="11"/>
        <v/>
      </c>
    </row>
    <row r="191" spans="1:13" x14ac:dyDescent="0.25">
      <c r="A191" s="5"/>
      <c r="B191" s="4" t="str">
        <f t="shared" si="9"/>
        <v/>
      </c>
      <c r="C191" t="str">
        <f>IF(AND(TRIM(A191)&lt;&gt;"",IFERROR(VLOOKUP(TRIM(B191),Inventory!E:E,1,0),0)=0),"X","_")</f>
        <v>_</v>
      </c>
      <c r="D191" t="str">
        <f>IF(AND(TRIM(A191)&lt;&gt;"",IFERROR(VLOOKUP(TRIM(B191),'Full Inventory'!F:F,1,0),0)=0),"X","_")</f>
        <v>_</v>
      </c>
      <c r="E191" t="str">
        <f t="shared" si="12"/>
        <v>X</v>
      </c>
      <c r="F191" t="str">
        <f ca="1">IFERROR(IF(AND(C191&amp;D191&amp;E191="___",INDIRECT("Inventory!A"&amp;MATCH(VLOOKUP(B191,Inventory!E:E,1,0),Inventory!E:E,0))&lt;&gt;INDIRECT("'Full Inventory'!B"&amp;MATCH(VLOOKUP(B191,'Full Inventory'!F:F,1,0),'Full Inventory'!F:F,0))),"X","_"),"_")</f>
        <v>_</v>
      </c>
      <c r="L191" t="str">
        <f t="shared" ca="1" si="10"/>
        <v>__X_</v>
      </c>
      <c r="M191" t="str">
        <f t="shared" ca="1" si="11"/>
        <v/>
      </c>
    </row>
    <row r="192" spans="1:13" x14ac:dyDescent="0.25">
      <c r="A192" s="5"/>
      <c r="B192" s="4" t="str">
        <f t="shared" si="9"/>
        <v/>
      </c>
      <c r="C192" t="str">
        <f>IF(AND(TRIM(A192)&lt;&gt;"",IFERROR(VLOOKUP(TRIM(B192),Inventory!E:E,1,0),0)=0),"X","_")</f>
        <v>_</v>
      </c>
      <c r="D192" t="str">
        <f>IF(AND(TRIM(A192)&lt;&gt;"",IFERROR(VLOOKUP(TRIM(B192),'Full Inventory'!F:F,1,0),0)=0),"X","_")</f>
        <v>_</v>
      </c>
      <c r="E192" t="str">
        <f t="shared" si="12"/>
        <v>X</v>
      </c>
      <c r="F192" t="str">
        <f ca="1">IFERROR(IF(AND(C192&amp;D192&amp;E192="___",INDIRECT("Inventory!A"&amp;MATCH(VLOOKUP(B192,Inventory!E:E,1,0),Inventory!E:E,0))&lt;&gt;INDIRECT("'Full Inventory'!B"&amp;MATCH(VLOOKUP(B192,'Full Inventory'!F:F,1,0),'Full Inventory'!F:F,0))),"X","_"),"_")</f>
        <v>_</v>
      </c>
      <c r="L192" t="str">
        <f t="shared" ca="1" si="10"/>
        <v>__X_</v>
      </c>
      <c r="M192" t="str">
        <f t="shared" ca="1" si="11"/>
        <v/>
      </c>
    </row>
    <row r="193" spans="1:13" x14ac:dyDescent="0.25">
      <c r="A193" s="5"/>
      <c r="B193" s="4" t="str">
        <f t="shared" si="9"/>
        <v/>
      </c>
      <c r="C193" t="str">
        <f>IF(AND(TRIM(A193)&lt;&gt;"",IFERROR(VLOOKUP(TRIM(B193),Inventory!E:E,1,0),0)=0),"X","_")</f>
        <v>_</v>
      </c>
      <c r="D193" t="str">
        <f>IF(AND(TRIM(A193)&lt;&gt;"",IFERROR(VLOOKUP(TRIM(B193),'Full Inventory'!F:F,1,0),0)=0),"X","_")</f>
        <v>_</v>
      </c>
      <c r="E193" t="str">
        <f t="shared" si="12"/>
        <v>X</v>
      </c>
      <c r="F193" t="str">
        <f ca="1">IFERROR(IF(AND(C193&amp;D193&amp;E193="___",INDIRECT("Inventory!A"&amp;MATCH(VLOOKUP(B193,Inventory!E:E,1,0),Inventory!E:E,0))&lt;&gt;INDIRECT("'Full Inventory'!B"&amp;MATCH(VLOOKUP(B193,'Full Inventory'!F:F,1,0),'Full Inventory'!F:F,0))),"X","_"),"_")</f>
        <v>_</v>
      </c>
      <c r="L193" t="str">
        <f t="shared" ca="1" si="10"/>
        <v>__X_</v>
      </c>
      <c r="M193" t="str">
        <f t="shared" ca="1" si="11"/>
        <v/>
      </c>
    </row>
    <row r="194" spans="1:13" x14ac:dyDescent="0.25">
      <c r="A194" s="5"/>
      <c r="B194" s="4" t="str">
        <f t="shared" si="9"/>
        <v/>
      </c>
      <c r="C194" t="str">
        <f>IF(AND(TRIM(A194)&lt;&gt;"",IFERROR(VLOOKUP(TRIM(B194),Inventory!E:E,1,0),0)=0),"X","_")</f>
        <v>_</v>
      </c>
      <c r="D194" t="str">
        <f>IF(AND(TRIM(A194)&lt;&gt;"",IFERROR(VLOOKUP(TRIM(B194),'Full Inventory'!F:F,1,0),0)=0),"X","_")</f>
        <v>_</v>
      </c>
      <c r="E194" t="str">
        <f t="shared" si="12"/>
        <v>X</v>
      </c>
      <c r="F194" t="str">
        <f ca="1">IFERROR(IF(AND(C194&amp;D194&amp;E194="___",INDIRECT("Inventory!A"&amp;MATCH(VLOOKUP(B194,Inventory!E:E,1,0),Inventory!E:E,0))&lt;&gt;INDIRECT("'Full Inventory'!B"&amp;MATCH(VLOOKUP(B194,'Full Inventory'!F:F,1,0),'Full Inventory'!F:F,0))),"X","_"),"_")</f>
        <v>_</v>
      </c>
      <c r="L194" t="str">
        <f t="shared" ca="1" si="10"/>
        <v>__X_</v>
      </c>
      <c r="M194" t="str">
        <f t="shared" ca="1" si="11"/>
        <v/>
      </c>
    </row>
    <row r="195" spans="1:13" x14ac:dyDescent="0.25">
      <c r="A195" s="5"/>
      <c r="B195" s="4" t="str">
        <f t="shared" ref="B195:B258" si="13">SUBSTITUTE(SUBSTITUTE(A195,"ö","0"),"Ö","0")</f>
        <v/>
      </c>
      <c r="C195" t="str">
        <f>IF(AND(TRIM(A195)&lt;&gt;"",IFERROR(VLOOKUP(TRIM(B195),Inventory!E:E,1,0),0)=0),"X","_")</f>
        <v>_</v>
      </c>
      <c r="D195" t="str">
        <f>IF(AND(TRIM(A195)&lt;&gt;"",IFERROR(VLOOKUP(TRIM(B195),'Full Inventory'!F:F,1,0),0)=0),"X","_")</f>
        <v>_</v>
      </c>
      <c r="E195" t="str">
        <f t="shared" si="12"/>
        <v>X</v>
      </c>
      <c r="F195" t="str">
        <f ca="1">IFERROR(IF(AND(C195&amp;D195&amp;E195="___",INDIRECT("Inventory!A"&amp;MATCH(VLOOKUP(B195,Inventory!E:E,1,0),Inventory!E:E,0))&lt;&gt;INDIRECT("'Full Inventory'!B"&amp;MATCH(VLOOKUP(B195,'Full Inventory'!F:F,1,0),'Full Inventory'!F:F,0))),"X","_"),"_")</f>
        <v>_</v>
      </c>
      <c r="L195" t="str">
        <f t="shared" ref="L195:L258" ca="1" si="14">C195&amp;D195&amp;E195&amp;F195</f>
        <v>__X_</v>
      </c>
      <c r="M195" t="str">
        <f t="shared" ref="M195:M258" ca="1" si="15">IF(L195="____","OK",IF(L195="_X__","NOT IN FULL INVENTORY",IF(L195="XX__","NOT IN FULL INVENTORY AND INVENTORY",IF(L195="X___","NOT IN INVENTORY",IF(L195="___X","DIFFERENT NAMES IN FULL INVENTORY AND INVENTORY","")))))</f>
        <v/>
      </c>
    </row>
    <row r="196" spans="1:13" x14ac:dyDescent="0.25">
      <c r="A196" s="5"/>
      <c r="B196" s="4" t="str">
        <f t="shared" si="13"/>
        <v/>
      </c>
      <c r="C196" t="str">
        <f>IF(AND(TRIM(A196)&lt;&gt;"",IFERROR(VLOOKUP(TRIM(B196),Inventory!E:E,1,0),0)=0),"X","_")</f>
        <v>_</v>
      </c>
      <c r="D196" t="str">
        <f>IF(AND(TRIM(A196)&lt;&gt;"",IFERROR(VLOOKUP(TRIM(B196),'Full Inventory'!F:F,1,0),0)=0),"X","_")</f>
        <v>_</v>
      </c>
      <c r="E196" t="str">
        <f t="shared" si="12"/>
        <v>X</v>
      </c>
      <c r="F196" t="str">
        <f ca="1">IFERROR(IF(AND(C196&amp;D196&amp;E196="___",INDIRECT("Inventory!A"&amp;MATCH(VLOOKUP(B196,Inventory!E:E,1,0),Inventory!E:E,0))&lt;&gt;INDIRECT("'Full Inventory'!B"&amp;MATCH(VLOOKUP(B196,'Full Inventory'!F:F,1,0),'Full Inventory'!F:F,0))),"X","_"),"_")</f>
        <v>_</v>
      </c>
      <c r="L196" t="str">
        <f t="shared" ca="1" si="14"/>
        <v>__X_</v>
      </c>
      <c r="M196" t="str">
        <f t="shared" ca="1" si="15"/>
        <v/>
      </c>
    </row>
    <row r="197" spans="1:13" x14ac:dyDescent="0.25">
      <c r="A197" s="5"/>
      <c r="B197" s="4" t="str">
        <f t="shared" si="13"/>
        <v/>
      </c>
      <c r="C197" t="str">
        <f>IF(AND(TRIM(A197)&lt;&gt;"",IFERROR(VLOOKUP(TRIM(B197),Inventory!E:E,1,0),0)=0),"X","_")</f>
        <v>_</v>
      </c>
      <c r="D197" t="str">
        <f>IF(AND(TRIM(A197)&lt;&gt;"",IFERROR(VLOOKUP(TRIM(B197),'Full Inventory'!F:F,1,0),0)=0),"X","_")</f>
        <v>_</v>
      </c>
      <c r="E197" t="str">
        <f t="shared" si="12"/>
        <v>X</v>
      </c>
      <c r="F197" t="str">
        <f ca="1">IFERROR(IF(AND(C197&amp;D197&amp;E197="___",INDIRECT("Inventory!A"&amp;MATCH(VLOOKUP(B197,Inventory!E:E,1,0),Inventory!E:E,0))&lt;&gt;INDIRECT("'Full Inventory'!B"&amp;MATCH(VLOOKUP(B197,'Full Inventory'!F:F,1,0),'Full Inventory'!F:F,0))),"X","_"),"_")</f>
        <v>_</v>
      </c>
      <c r="L197" t="str">
        <f t="shared" ca="1" si="14"/>
        <v>__X_</v>
      </c>
      <c r="M197" t="str">
        <f t="shared" ca="1" si="15"/>
        <v/>
      </c>
    </row>
    <row r="198" spans="1:13" x14ac:dyDescent="0.25">
      <c r="A198" s="5"/>
      <c r="B198" s="4" t="str">
        <f t="shared" si="13"/>
        <v/>
      </c>
      <c r="C198" t="str">
        <f>IF(AND(TRIM(A198)&lt;&gt;"",IFERROR(VLOOKUP(TRIM(B198),Inventory!E:E,1,0),0)=0),"X","_")</f>
        <v>_</v>
      </c>
      <c r="D198" t="str">
        <f>IF(AND(TRIM(A198)&lt;&gt;"",IFERROR(VLOOKUP(TRIM(B198),'Full Inventory'!F:F,1,0),0)=0),"X","_")</f>
        <v>_</v>
      </c>
      <c r="E198" t="str">
        <f t="shared" si="12"/>
        <v>X</v>
      </c>
      <c r="F198" t="str">
        <f ca="1">IFERROR(IF(AND(C198&amp;D198&amp;E198="___",INDIRECT("Inventory!A"&amp;MATCH(VLOOKUP(B198,Inventory!E:E,1,0),Inventory!E:E,0))&lt;&gt;INDIRECT("'Full Inventory'!B"&amp;MATCH(VLOOKUP(B198,'Full Inventory'!F:F,1,0),'Full Inventory'!F:F,0))),"X","_"),"_")</f>
        <v>_</v>
      </c>
      <c r="L198" t="str">
        <f t="shared" ca="1" si="14"/>
        <v>__X_</v>
      </c>
      <c r="M198" t="str">
        <f t="shared" ca="1" si="15"/>
        <v/>
      </c>
    </row>
    <row r="199" spans="1:13" x14ac:dyDescent="0.25">
      <c r="A199" s="5"/>
      <c r="B199" s="4" t="str">
        <f t="shared" si="13"/>
        <v/>
      </c>
      <c r="C199" t="str">
        <f>IF(AND(TRIM(A199)&lt;&gt;"",IFERROR(VLOOKUP(TRIM(B199),Inventory!E:E,1,0),0)=0),"X","_")</f>
        <v>_</v>
      </c>
      <c r="D199" t="str">
        <f>IF(AND(TRIM(A199)&lt;&gt;"",IFERROR(VLOOKUP(TRIM(B199),'Full Inventory'!F:F,1,0),0)=0),"X","_")</f>
        <v>_</v>
      </c>
      <c r="E199" t="str">
        <f t="shared" si="12"/>
        <v>X</v>
      </c>
      <c r="F199" t="str">
        <f ca="1">IFERROR(IF(AND(C199&amp;D199&amp;E199="___",INDIRECT("Inventory!A"&amp;MATCH(VLOOKUP(B199,Inventory!E:E,1,0),Inventory!E:E,0))&lt;&gt;INDIRECT("'Full Inventory'!B"&amp;MATCH(VLOOKUP(B199,'Full Inventory'!F:F,1,0),'Full Inventory'!F:F,0))),"X","_"),"_")</f>
        <v>_</v>
      </c>
      <c r="L199" t="str">
        <f t="shared" ca="1" si="14"/>
        <v>__X_</v>
      </c>
      <c r="M199" t="str">
        <f t="shared" ca="1" si="15"/>
        <v/>
      </c>
    </row>
    <row r="200" spans="1:13" x14ac:dyDescent="0.25">
      <c r="A200" s="5"/>
      <c r="B200" s="4" t="str">
        <f t="shared" si="13"/>
        <v/>
      </c>
      <c r="C200" t="str">
        <f>IF(AND(TRIM(A200)&lt;&gt;"",IFERROR(VLOOKUP(TRIM(B200),Inventory!E:E,1,0),0)=0),"X","_")</f>
        <v>_</v>
      </c>
      <c r="D200" t="str">
        <f>IF(AND(TRIM(A200)&lt;&gt;"",IFERROR(VLOOKUP(TRIM(B200),'Full Inventory'!F:F,1,0),0)=0),"X","_")</f>
        <v>_</v>
      </c>
      <c r="E200" t="str">
        <f t="shared" si="12"/>
        <v>X</v>
      </c>
      <c r="F200" t="str">
        <f ca="1">IFERROR(IF(AND(C200&amp;D200&amp;E200="___",INDIRECT("Inventory!A"&amp;MATCH(VLOOKUP(B200,Inventory!E:E,1,0),Inventory!E:E,0))&lt;&gt;INDIRECT("'Full Inventory'!B"&amp;MATCH(VLOOKUP(B200,'Full Inventory'!F:F,1,0),'Full Inventory'!F:F,0))),"X","_"),"_")</f>
        <v>_</v>
      </c>
      <c r="L200" t="str">
        <f t="shared" ca="1" si="14"/>
        <v>__X_</v>
      </c>
      <c r="M200" t="str">
        <f t="shared" ca="1" si="15"/>
        <v/>
      </c>
    </row>
    <row r="201" spans="1:13" x14ac:dyDescent="0.25">
      <c r="A201" s="5"/>
      <c r="B201" s="4" t="str">
        <f t="shared" si="13"/>
        <v/>
      </c>
      <c r="C201" t="str">
        <f>IF(AND(TRIM(A201)&lt;&gt;"",IFERROR(VLOOKUP(TRIM(B201),Inventory!E:E,1,0),0)=0),"X","_")</f>
        <v>_</v>
      </c>
      <c r="D201" t="str">
        <f>IF(AND(TRIM(A201)&lt;&gt;"",IFERROR(VLOOKUP(TRIM(B201),'Full Inventory'!F:F,1,0),0)=0),"X","_")</f>
        <v>_</v>
      </c>
      <c r="E201" t="str">
        <f t="shared" si="12"/>
        <v>X</v>
      </c>
      <c r="F201" t="str">
        <f ca="1">IFERROR(IF(AND(C201&amp;D201&amp;E201="___",INDIRECT("Inventory!A"&amp;MATCH(VLOOKUP(B201,Inventory!E:E,1,0),Inventory!E:E,0))&lt;&gt;INDIRECT("'Full Inventory'!B"&amp;MATCH(VLOOKUP(B201,'Full Inventory'!F:F,1,0),'Full Inventory'!F:F,0))),"X","_"),"_")</f>
        <v>_</v>
      </c>
      <c r="L201" t="str">
        <f t="shared" ca="1" si="14"/>
        <v>__X_</v>
      </c>
      <c r="M201" t="str">
        <f t="shared" ca="1" si="15"/>
        <v/>
      </c>
    </row>
    <row r="202" spans="1:13" x14ac:dyDescent="0.25">
      <c r="A202" s="5"/>
      <c r="B202" s="4" t="str">
        <f t="shared" si="13"/>
        <v/>
      </c>
      <c r="C202" t="str">
        <f>IF(AND(TRIM(A202)&lt;&gt;"",IFERROR(VLOOKUP(TRIM(B202),Inventory!E:E,1,0),0)=0),"X","_")</f>
        <v>_</v>
      </c>
      <c r="D202" t="str">
        <f>IF(AND(TRIM(A202)&lt;&gt;"",IFERROR(VLOOKUP(TRIM(B202),'Full Inventory'!F:F,1,0),0)=0),"X","_")</f>
        <v>_</v>
      </c>
      <c r="E202" t="str">
        <f t="shared" si="12"/>
        <v>X</v>
      </c>
      <c r="F202" t="str">
        <f ca="1">IFERROR(IF(AND(C202&amp;D202&amp;E202="___",INDIRECT("Inventory!A"&amp;MATCH(VLOOKUP(B202,Inventory!E:E,1,0),Inventory!E:E,0))&lt;&gt;INDIRECT("'Full Inventory'!B"&amp;MATCH(VLOOKUP(B202,'Full Inventory'!F:F,1,0),'Full Inventory'!F:F,0))),"X","_"),"_")</f>
        <v>_</v>
      </c>
      <c r="L202" t="str">
        <f t="shared" ca="1" si="14"/>
        <v>__X_</v>
      </c>
      <c r="M202" t="str">
        <f t="shared" ca="1" si="15"/>
        <v/>
      </c>
    </row>
    <row r="203" spans="1:13" x14ac:dyDescent="0.25">
      <c r="A203" s="5"/>
      <c r="B203" s="4" t="str">
        <f t="shared" si="13"/>
        <v/>
      </c>
      <c r="C203" t="str">
        <f>IF(AND(TRIM(A203)&lt;&gt;"",IFERROR(VLOOKUP(TRIM(B203),Inventory!E:E,1,0),0)=0),"X","_")</f>
        <v>_</v>
      </c>
      <c r="D203" t="str">
        <f>IF(AND(TRIM(A203)&lt;&gt;"",IFERROR(VLOOKUP(TRIM(B203),'Full Inventory'!F:F,1,0),0)=0),"X","_")</f>
        <v>_</v>
      </c>
      <c r="E203" t="str">
        <f t="shared" si="12"/>
        <v>X</v>
      </c>
      <c r="F203" t="str">
        <f ca="1">IFERROR(IF(AND(C203&amp;D203&amp;E203="___",INDIRECT("Inventory!A"&amp;MATCH(VLOOKUP(B203,Inventory!E:E,1,0),Inventory!E:E,0))&lt;&gt;INDIRECT("'Full Inventory'!B"&amp;MATCH(VLOOKUP(B203,'Full Inventory'!F:F,1,0),'Full Inventory'!F:F,0))),"X","_"),"_")</f>
        <v>_</v>
      </c>
      <c r="L203" t="str">
        <f t="shared" ca="1" si="14"/>
        <v>__X_</v>
      </c>
      <c r="M203" t="str">
        <f t="shared" ca="1" si="15"/>
        <v/>
      </c>
    </row>
    <row r="204" spans="1:13" x14ac:dyDescent="0.25">
      <c r="A204" s="5"/>
      <c r="B204" s="4" t="str">
        <f t="shared" si="13"/>
        <v/>
      </c>
      <c r="C204" t="str">
        <f>IF(AND(TRIM(A204)&lt;&gt;"",IFERROR(VLOOKUP(TRIM(B204),Inventory!E:E,1,0),0)=0),"X","_")</f>
        <v>_</v>
      </c>
      <c r="D204" t="str">
        <f>IF(AND(TRIM(A204)&lt;&gt;"",IFERROR(VLOOKUP(TRIM(B204),'Full Inventory'!F:F,1,0),0)=0),"X","_")</f>
        <v>_</v>
      </c>
      <c r="E204" t="str">
        <f t="shared" si="12"/>
        <v>X</v>
      </c>
      <c r="F204" t="str">
        <f ca="1">IFERROR(IF(AND(C204&amp;D204&amp;E204="___",INDIRECT("Inventory!A"&amp;MATCH(VLOOKUP(B204,Inventory!E:E,1,0),Inventory!E:E,0))&lt;&gt;INDIRECT("'Full Inventory'!B"&amp;MATCH(VLOOKUP(B204,'Full Inventory'!F:F,1,0),'Full Inventory'!F:F,0))),"X","_"),"_")</f>
        <v>_</v>
      </c>
      <c r="L204" t="str">
        <f t="shared" ca="1" si="14"/>
        <v>__X_</v>
      </c>
      <c r="M204" t="str">
        <f t="shared" ca="1" si="15"/>
        <v/>
      </c>
    </row>
    <row r="205" spans="1:13" x14ac:dyDescent="0.25">
      <c r="A205" s="5"/>
      <c r="B205" s="4" t="str">
        <f t="shared" si="13"/>
        <v/>
      </c>
      <c r="C205" t="str">
        <f>IF(AND(TRIM(A205)&lt;&gt;"",IFERROR(VLOOKUP(TRIM(B205),Inventory!E:E,1,0),0)=0),"X","_")</f>
        <v>_</v>
      </c>
      <c r="D205" t="str">
        <f>IF(AND(TRIM(A205)&lt;&gt;"",IFERROR(VLOOKUP(TRIM(B205),'Full Inventory'!F:F,1,0),0)=0),"X","_")</f>
        <v>_</v>
      </c>
      <c r="E205" t="str">
        <f t="shared" si="12"/>
        <v>X</v>
      </c>
      <c r="F205" t="str">
        <f ca="1">IFERROR(IF(AND(C205&amp;D205&amp;E205="___",INDIRECT("Inventory!A"&amp;MATCH(VLOOKUP(B205,Inventory!E:E,1,0),Inventory!E:E,0))&lt;&gt;INDIRECT("'Full Inventory'!B"&amp;MATCH(VLOOKUP(B205,'Full Inventory'!F:F,1,0),'Full Inventory'!F:F,0))),"X","_"),"_")</f>
        <v>_</v>
      </c>
      <c r="L205" t="str">
        <f t="shared" ca="1" si="14"/>
        <v>__X_</v>
      </c>
      <c r="M205" t="str">
        <f t="shared" ca="1" si="15"/>
        <v/>
      </c>
    </row>
    <row r="206" spans="1:13" x14ac:dyDescent="0.25">
      <c r="A206" s="5"/>
      <c r="B206" s="4" t="str">
        <f t="shared" si="13"/>
        <v/>
      </c>
      <c r="C206" t="str">
        <f>IF(AND(TRIM(A206)&lt;&gt;"",IFERROR(VLOOKUP(TRIM(B206),Inventory!E:E,1,0),0)=0),"X","_")</f>
        <v>_</v>
      </c>
      <c r="D206" t="str">
        <f>IF(AND(TRIM(A206)&lt;&gt;"",IFERROR(VLOOKUP(TRIM(B206),'Full Inventory'!F:F,1,0),0)=0),"X","_")</f>
        <v>_</v>
      </c>
      <c r="E206" t="str">
        <f t="shared" si="12"/>
        <v>X</v>
      </c>
      <c r="F206" t="str">
        <f ca="1">IFERROR(IF(AND(C206&amp;D206&amp;E206="___",INDIRECT("Inventory!A"&amp;MATCH(VLOOKUP(B206,Inventory!E:E,1,0),Inventory!E:E,0))&lt;&gt;INDIRECT("'Full Inventory'!B"&amp;MATCH(VLOOKUP(B206,'Full Inventory'!F:F,1,0),'Full Inventory'!F:F,0))),"X","_"),"_")</f>
        <v>_</v>
      </c>
      <c r="L206" t="str">
        <f t="shared" ca="1" si="14"/>
        <v>__X_</v>
      </c>
      <c r="M206" t="str">
        <f t="shared" ca="1" si="15"/>
        <v/>
      </c>
    </row>
    <row r="207" spans="1:13" x14ac:dyDescent="0.25">
      <c r="A207" s="5"/>
      <c r="B207" s="4" t="str">
        <f t="shared" si="13"/>
        <v/>
      </c>
      <c r="C207" t="str">
        <f>IF(AND(TRIM(A207)&lt;&gt;"",IFERROR(VLOOKUP(TRIM(B207),Inventory!E:E,1,0),0)=0),"X","_")</f>
        <v>_</v>
      </c>
      <c r="D207" t="str">
        <f>IF(AND(TRIM(A207)&lt;&gt;"",IFERROR(VLOOKUP(TRIM(B207),'Full Inventory'!F:F,1,0),0)=0),"X","_")</f>
        <v>_</v>
      </c>
      <c r="E207" t="str">
        <f t="shared" si="12"/>
        <v>X</v>
      </c>
      <c r="F207" t="str">
        <f ca="1">IFERROR(IF(AND(C207&amp;D207&amp;E207="___",INDIRECT("Inventory!A"&amp;MATCH(VLOOKUP(B207,Inventory!E:E,1,0),Inventory!E:E,0))&lt;&gt;INDIRECT("'Full Inventory'!B"&amp;MATCH(VLOOKUP(B207,'Full Inventory'!F:F,1,0),'Full Inventory'!F:F,0))),"X","_"),"_")</f>
        <v>_</v>
      </c>
      <c r="L207" t="str">
        <f t="shared" ca="1" si="14"/>
        <v>__X_</v>
      </c>
      <c r="M207" t="str">
        <f t="shared" ca="1" si="15"/>
        <v/>
      </c>
    </row>
    <row r="208" spans="1:13" x14ac:dyDescent="0.25">
      <c r="A208" s="5"/>
      <c r="B208" s="4" t="str">
        <f t="shared" si="13"/>
        <v/>
      </c>
      <c r="C208" t="str">
        <f>IF(AND(TRIM(A208)&lt;&gt;"",IFERROR(VLOOKUP(TRIM(B208),Inventory!E:E,1,0),0)=0),"X","_")</f>
        <v>_</v>
      </c>
      <c r="D208" t="str">
        <f>IF(AND(TRIM(A208)&lt;&gt;"",IFERROR(VLOOKUP(TRIM(B208),'Full Inventory'!F:F,1,0),0)=0),"X","_")</f>
        <v>_</v>
      </c>
      <c r="E208" t="str">
        <f t="shared" si="12"/>
        <v>X</v>
      </c>
      <c r="F208" t="str">
        <f ca="1">IFERROR(IF(AND(C208&amp;D208&amp;E208="___",INDIRECT("Inventory!A"&amp;MATCH(VLOOKUP(B208,Inventory!E:E,1,0),Inventory!E:E,0))&lt;&gt;INDIRECT("'Full Inventory'!B"&amp;MATCH(VLOOKUP(B208,'Full Inventory'!F:F,1,0),'Full Inventory'!F:F,0))),"X","_"),"_")</f>
        <v>_</v>
      </c>
      <c r="L208" t="str">
        <f t="shared" ca="1" si="14"/>
        <v>__X_</v>
      </c>
      <c r="M208" t="str">
        <f t="shared" ca="1" si="15"/>
        <v/>
      </c>
    </row>
    <row r="209" spans="1:13" x14ac:dyDescent="0.25">
      <c r="A209" s="5"/>
      <c r="B209" s="4" t="str">
        <f t="shared" si="13"/>
        <v/>
      </c>
      <c r="C209" t="str">
        <f>IF(AND(TRIM(A209)&lt;&gt;"",IFERROR(VLOOKUP(TRIM(B209),Inventory!E:E,1,0),0)=0),"X","_")</f>
        <v>_</v>
      </c>
      <c r="D209" t="str">
        <f>IF(AND(TRIM(A209)&lt;&gt;"",IFERROR(VLOOKUP(TRIM(B209),'Full Inventory'!F:F,1,0),0)=0),"X","_")</f>
        <v>_</v>
      </c>
      <c r="E209" t="str">
        <f t="shared" si="12"/>
        <v>X</v>
      </c>
      <c r="F209" t="str">
        <f ca="1">IFERROR(IF(AND(C209&amp;D209&amp;E209="___",INDIRECT("Inventory!A"&amp;MATCH(VLOOKUP(B209,Inventory!E:E,1,0),Inventory!E:E,0))&lt;&gt;INDIRECT("'Full Inventory'!B"&amp;MATCH(VLOOKUP(B209,'Full Inventory'!F:F,1,0),'Full Inventory'!F:F,0))),"X","_"),"_")</f>
        <v>_</v>
      </c>
      <c r="L209" t="str">
        <f t="shared" ca="1" si="14"/>
        <v>__X_</v>
      </c>
      <c r="M209" t="str">
        <f t="shared" ca="1" si="15"/>
        <v/>
      </c>
    </row>
    <row r="210" spans="1:13" x14ac:dyDescent="0.25">
      <c r="A210" s="5"/>
      <c r="B210" s="4" t="str">
        <f t="shared" si="13"/>
        <v/>
      </c>
      <c r="C210" t="str">
        <f>IF(AND(TRIM(A210)&lt;&gt;"",IFERROR(VLOOKUP(TRIM(B210),Inventory!E:E,1,0),0)=0),"X","_")</f>
        <v>_</v>
      </c>
      <c r="D210" t="str">
        <f>IF(AND(TRIM(A210)&lt;&gt;"",IFERROR(VLOOKUP(TRIM(B210),'Full Inventory'!F:F,1,0),0)=0),"X","_")</f>
        <v>_</v>
      </c>
      <c r="E210" t="str">
        <f t="shared" si="12"/>
        <v>X</v>
      </c>
      <c r="F210" t="str">
        <f ca="1">IFERROR(IF(AND(C210&amp;D210&amp;E210="___",INDIRECT("Inventory!A"&amp;MATCH(VLOOKUP(B210,Inventory!E:E,1,0),Inventory!E:E,0))&lt;&gt;INDIRECT("'Full Inventory'!B"&amp;MATCH(VLOOKUP(B210,'Full Inventory'!F:F,1,0),'Full Inventory'!F:F,0))),"X","_"),"_")</f>
        <v>_</v>
      </c>
      <c r="L210" t="str">
        <f t="shared" ca="1" si="14"/>
        <v>__X_</v>
      </c>
      <c r="M210" t="str">
        <f t="shared" ca="1" si="15"/>
        <v/>
      </c>
    </row>
    <row r="211" spans="1:13" x14ac:dyDescent="0.25">
      <c r="A211" s="5"/>
      <c r="B211" s="4" t="str">
        <f t="shared" si="13"/>
        <v/>
      </c>
      <c r="C211" t="str">
        <f>IF(AND(TRIM(A211)&lt;&gt;"",IFERROR(VLOOKUP(TRIM(B211),Inventory!E:E,1,0),0)=0),"X","_")</f>
        <v>_</v>
      </c>
      <c r="D211" t="str">
        <f>IF(AND(TRIM(A211)&lt;&gt;"",IFERROR(VLOOKUP(TRIM(B211),'Full Inventory'!F:F,1,0),0)=0),"X","_")</f>
        <v>_</v>
      </c>
      <c r="E211" t="str">
        <f t="shared" si="12"/>
        <v>X</v>
      </c>
      <c r="F211" t="str">
        <f ca="1">IFERROR(IF(AND(C211&amp;D211&amp;E211="___",INDIRECT("Inventory!A"&amp;MATCH(VLOOKUP(B211,Inventory!E:E,1,0),Inventory!E:E,0))&lt;&gt;INDIRECT("'Full Inventory'!B"&amp;MATCH(VLOOKUP(B211,'Full Inventory'!F:F,1,0),'Full Inventory'!F:F,0))),"X","_"),"_")</f>
        <v>_</v>
      </c>
      <c r="L211" t="str">
        <f t="shared" ca="1" si="14"/>
        <v>__X_</v>
      </c>
      <c r="M211" t="str">
        <f t="shared" ca="1" si="15"/>
        <v/>
      </c>
    </row>
    <row r="212" spans="1:13" x14ac:dyDescent="0.25">
      <c r="A212" s="5"/>
      <c r="B212" s="4" t="str">
        <f t="shared" si="13"/>
        <v/>
      </c>
      <c r="C212" t="str">
        <f>IF(AND(TRIM(A212)&lt;&gt;"",IFERROR(VLOOKUP(TRIM(B212),Inventory!E:E,1,0),0)=0),"X","_")</f>
        <v>_</v>
      </c>
      <c r="D212" t="str">
        <f>IF(AND(TRIM(A212)&lt;&gt;"",IFERROR(VLOOKUP(TRIM(B212),'Full Inventory'!F:F,1,0),0)=0),"X","_")</f>
        <v>_</v>
      </c>
      <c r="E212" t="str">
        <f t="shared" ref="E212:E275" si="16">IF(TRIM(A212)&lt;&gt;"","_","X")</f>
        <v>X</v>
      </c>
      <c r="F212" t="str">
        <f ca="1">IFERROR(IF(AND(C212&amp;D212&amp;E212="___",INDIRECT("Inventory!A"&amp;MATCH(VLOOKUP(B212,Inventory!E:E,1,0),Inventory!E:E,0))&lt;&gt;INDIRECT("'Full Inventory'!B"&amp;MATCH(VLOOKUP(B212,'Full Inventory'!F:F,1,0),'Full Inventory'!F:F,0))),"X","_"),"_")</f>
        <v>_</v>
      </c>
      <c r="L212" t="str">
        <f t="shared" ca="1" si="14"/>
        <v>__X_</v>
      </c>
      <c r="M212" t="str">
        <f t="shared" ca="1" si="15"/>
        <v/>
      </c>
    </row>
    <row r="213" spans="1:13" x14ac:dyDescent="0.25">
      <c r="A213" s="5"/>
      <c r="B213" s="4" t="str">
        <f t="shared" si="13"/>
        <v/>
      </c>
      <c r="C213" t="str">
        <f>IF(AND(TRIM(A213)&lt;&gt;"",IFERROR(VLOOKUP(TRIM(B213),Inventory!E:E,1,0),0)=0),"X","_")</f>
        <v>_</v>
      </c>
      <c r="D213" t="str">
        <f>IF(AND(TRIM(A213)&lt;&gt;"",IFERROR(VLOOKUP(TRIM(B213),'Full Inventory'!F:F,1,0),0)=0),"X","_")</f>
        <v>_</v>
      </c>
      <c r="E213" t="str">
        <f t="shared" si="16"/>
        <v>X</v>
      </c>
      <c r="F213" t="str">
        <f ca="1">IFERROR(IF(AND(C213&amp;D213&amp;E213="___",INDIRECT("Inventory!A"&amp;MATCH(VLOOKUP(B213,Inventory!E:E,1,0),Inventory!E:E,0))&lt;&gt;INDIRECT("'Full Inventory'!B"&amp;MATCH(VLOOKUP(B213,'Full Inventory'!F:F,1,0),'Full Inventory'!F:F,0))),"X","_"),"_")</f>
        <v>_</v>
      </c>
      <c r="L213" t="str">
        <f t="shared" ca="1" si="14"/>
        <v>__X_</v>
      </c>
      <c r="M213" t="str">
        <f t="shared" ca="1" si="15"/>
        <v/>
      </c>
    </row>
    <row r="214" spans="1:13" x14ac:dyDescent="0.25">
      <c r="A214" s="5"/>
      <c r="B214" s="4" t="str">
        <f t="shared" si="13"/>
        <v/>
      </c>
      <c r="C214" t="str">
        <f>IF(AND(TRIM(A214)&lt;&gt;"",IFERROR(VLOOKUP(TRIM(B214),Inventory!E:E,1,0),0)=0),"X","_")</f>
        <v>_</v>
      </c>
      <c r="D214" t="str">
        <f>IF(AND(TRIM(A214)&lt;&gt;"",IFERROR(VLOOKUP(TRIM(B214),'Full Inventory'!F:F,1,0),0)=0),"X","_")</f>
        <v>_</v>
      </c>
      <c r="E214" t="str">
        <f t="shared" si="16"/>
        <v>X</v>
      </c>
      <c r="F214" t="str">
        <f ca="1">IFERROR(IF(AND(C214&amp;D214&amp;E214="___",INDIRECT("Inventory!A"&amp;MATCH(VLOOKUP(B214,Inventory!E:E,1,0),Inventory!E:E,0))&lt;&gt;INDIRECT("'Full Inventory'!B"&amp;MATCH(VLOOKUP(B214,'Full Inventory'!F:F,1,0),'Full Inventory'!F:F,0))),"X","_"),"_")</f>
        <v>_</v>
      </c>
      <c r="L214" t="str">
        <f t="shared" ca="1" si="14"/>
        <v>__X_</v>
      </c>
      <c r="M214" t="str">
        <f t="shared" ca="1" si="15"/>
        <v/>
      </c>
    </row>
    <row r="215" spans="1:13" x14ac:dyDescent="0.25">
      <c r="A215" s="5"/>
      <c r="B215" s="4" t="str">
        <f t="shared" si="13"/>
        <v/>
      </c>
      <c r="C215" t="str">
        <f>IF(AND(TRIM(A215)&lt;&gt;"",IFERROR(VLOOKUP(TRIM(B215),Inventory!E:E,1,0),0)=0),"X","_")</f>
        <v>_</v>
      </c>
      <c r="D215" t="str">
        <f>IF(AND(TRIM(A215)&lt;&gt;"",IFERROR(VLOOKUP(TRIM(B215),'Full Inventory'!F:F,1,0),0)=0),"X","_")</f>
        <v>_</v>
      </c>
      <c r="E215" t="str">
        <f t="shared" si="16"/>
        <v>X</v>
      </c>
      <c r="F215" t="str">
        <f ca="1">IFERROR(IF(AND(C215&amp;D215&amp;E215="___",INDIRECT("Inventory!A"&amp;MATCH(VLOOKUP(B215,Inventory!E:E,1,0),Inventory!E:E,0))&lt;&gt;INDIRECT("'Full Inventory'!B"&amp;MATCH(VLOOKUP(B215,'Full Inventory'!F:F,1,0),'Full Inventory'!F:F,0))),"X","_"),"_")</f>
        <v>_</v>
      </c>
      <c r="L215" t="str">
        <f t="shared" ca="1" si="14"/>
        <v>__X_</v>
      </c>
      <c r="M215" t="str">
        <f t="shared" ca="1" si="15"/>
        <v/>
      </c>
    </row>
    <row r="216" spans="1:13" x14ac:dyDescent="0.25">
      <c r="A216" s="5"/>
      <c r="B216" s="4" t="str">
        <f t="shared" si="13"/>
        <v/>
      </c>
      <c r="C216" t="str">
        <f>IF(AND(TRIM(A216)&lt;&gt;"",IFERROR(VLOOKUP(TRIM(B216),Inventory!E:E,1,0),0)=0),"X","_")</f>
        <v>_</v>
      </c>
      <c r="D216" t="str">
        <f>IF(AND(TRIM(A216)&lt;&gt;"",IFERROR(VLOOKUP(TRIM(B216),'Full Inventory'!F:F,1,0),0)=0),"X","_")</f>
        <v>_</v>
      </c>
      <c r="E216" t="str">
        <f t="shared" si="16"/>
        <v>X</v>
      </c>
      <c r="F216" t="str">
        <f ca="1">IFERROR(IF(AND(C216&amp;D216&amp;E216="___",INDIRECT("Inventory!A"&amp;MATCH(VLOOKUP(B216,Inventory!E:E,1,0),Inventory!E:E,0))&lt;&gt;INDIRECT("'Full Inventory'!B"&amp;MATCH(VLOOKUP(B216,'Full Inventory'!F:F,1,0),'Full Inventory'!F:F,0))),"X","_"),"_")</f>
        <v>_</v>
      </c>
      <c r="L216" t="str">
        <f t="shared" ca="1" si="14"/>
        <v>__X_</v>
      </c>
      <c r="M216" t="str">
        <f t="shared" ca="1" si="15"/>
        <v/>
      </c>
    </row>
    <row r="217" spans="1:13" x14ac:dyDescent="0.25">
      <c r="A217" s="5"/>
      <c r="B217" s="4" t="str">
        <f t="shared" si="13"/>
        <v/>
      </c>
      <c r="C217" t="str">
        <f>IF(AND(TRIM(A217)&lt;&gt;"",IFERROR(VLOOKUP(TRIM(B217),Inventory!E:E,1,0),0)=0),"X","_")</f>
        <v>_</v>
      </c>
      <c r="D217" t="str">
        <f>IF(AND(TRIM(A217)&lt;&gt;"",IFERROR(VLOOKUP(TRIM(B217),'Full Inventory'!F:F,1,0),0)=0),"X","_")</f>
        <v>_</v>
      </c>
      <c r="E217" t="str">
        <f t="shared" si="16"/>
        <v>X</v>
      </c>
      <c r="F217" t="str">
        <f ca="1">IFERROR(IF(AND(C217&amp;D217&amp;E217="___",INDIRECT("Inventory!A"&amp;MATCH(VLOOKUP(B217,Inventory!E:E,1,0),Inventory!E:E,0))&lt;&gt;INDIRECT("'Full Inventory'!B"&amp;MATCH(VLOOKUP(B217,'Full Inventory'!F:F,1,0),'Full Inventory'!F:F,0))),"X","_"),"_")</f>
        <v>_</v>
      </c>
      <c r="L217" t="str">
        <f t="shared" ca="1" si="14"/>
        <v>__X_</v>
      </c>
      <c r="M217" t="str">
        <f t="shared" ca="1" si="15"/>
        <v/>
      </c>
    </row>
    <row r="218" spans="1:13" x14ac:dyDescent="0.25">
      <c r="A218" s="5"/>
      <c r="B218" s="4" t="str">
        <f t="shared" si="13"/>
        <v/>
      </c>
      <c r="C218" t="str">
        <f>IF(AND(TRIM(A218)&lt;&gt;"",IFERROR(VLOOKUP(TRIM(B218),Inventory!E:E,1,0),0)=0),"X","_")</f>
        <v>_</v>
      </c>
      <c r="D218" t="str">
        <f>IF(AND(TRIM(A218)&lt;&gt;"",IFERROR(VLOOKUP(TRIM(B218),'Full Inventory'!F:F,1,0),0)=0),"X","_")</f>
        <v>_</v>
      </c>
      <c r="E218" t="str">
        <f t="shared" si="16"/>
        <v>X</v>
      </c>
      <c r="F218" t="str">
        <f ca="1">IFERROR(IF(AND(C218&amp;D218&amp;E218="___",INDIRECT("Inventory!A"&amp;MATCH(VLOOKUP(B218,Inventory!E:E,1,0),Inventory!E:E,0))&lt;&gt;INDIRECT("'Full Inventory'!B"&amp;MATCH(VLOOKUP(B218,'Full Inventory'!F:F,1,0),'Full Inventory'!F:F,0))),"X","_"),"_")</f>
        <v>_</v>
      </c>
      <c r="L218" t="str">
        <f t="shared" ca="1" si="14"/>
        <v>__X_</v>
      </c>
      <c r="M218" t="str">
        <f t="shared" ca="1" si="15"/>
        <v/>
      </c>
    </row>
    <row r="219" spans="1:13" x14ac:dyDescent="0.25">
      <c r="A219" s="5"/>
      <c r="B219" s="4" t="str">
        <f t="shared" si="13"/>
        <v/>
      </c>
      <c r="C219" t="str">
        <f>IF(AND(TRIM(A219)&lt;&gt;"",IFERROR(VLOOKUP(TRIM(B219),Inventory!E:E,1,0),0)=0),"X","_")</f>
        <v>_</v>
      </c>
      <c r="D219" t="str">
        <f>IF(AND(TRIM(A219)&lt;&gt;"",IFERROR(VLOOKUP(TRIM(B219),'Full Inventory'!F:F,1,0),0)=0),"X","_")</f>
        <v>_</v>
      </c>
      <c r="E219" t="str">
        <f t="shared" si="16"/>
        <v>X</v>
      </c>
      <c r="F219" t="str">
        <f ca="1">IFERROR(IF(AND(C219&amp;D219&amp;E219="___",INDIRECT("Inventory!A"&amp;MATCH(VLOOKUP(B219,Inventory!E:E,1,0),Inventory!E:E,0))&lt;&gt;INDIRECT("'Full Inventory'!B"&amp;MATCH(VLOOKUP(B219,'Full Inventory'!F:F,1,0),'Full Inventory'!F:F,0))),"X","_"),"_")</f>
        <v>_</v>
      </c>
      <c r="L219" t="str">
        <f t="shared" ca="1" si="14"/>
        <v>__X_</v>
      </c>
      <c r="M219" t="str">
        <f t="shared" ca="1" si="15"/>
        <v/>
      </c>
    </row>
    <row r="220" spans="1:13" x14ac:dyDescent="0.25">
      <c r="A220" s="5"/>
      <c r="B220" s="4" t="str">
        <f t="shared" si="13"/>
        <v/>
      </c>
      <c r="C220" t="str">
        <f>IF(AND(TRIM(A220)&lt;&gt;"",IFERROR(VLOOKUP(TRIM(B220),Inventory!E:E,1,0),0)=0),"X","_")</f>
        <v>_</v>
      </c>
      <c r="D220" t="str">
        <f>IF(AND(TRIM(A220)&lt;&gt;"",IFERROR(VLOOKUP(TRIM(B220),'Full Inventory'!F:F,1,0),0)=0),"X","_")</f>
        <v>_</v>
      </c>
      <c r="E220" t="str">
        <f t="shared" si="16"/>
        <v>X</v>
      </c>
      <c r="F220" t="str">
        <f ca="1">IFERROR(IF(AND(C220&amp;D220&amp;E220="___",INDIRECT("Inventory!A"&amp;MATCH(VLOOKUP(B220,Inventory!E:E,1,0),Inventory!E:E,0))&lt;&gt;INDIRECT("'Full Inventory'!B"&amp;MATCH(VLOOKUP(B220,'Full Inventory'!F:F,1,0),'Full Inventory'!F:F,0))),"X","_"),"_")</f>
        <v>_</v>
      </c>
      <c r="L220" t="str">
        <f t="shared" ca="1" si="14"/>
        <v>__X_</v>
      </c>
      <c r="M220" t="str">
        <f t="shared" ca="1" si="15"/>
        <v/>
      </c>
    </row>
    <row r="221" spans="1:13" x14ac:dyDescent="0.25">
      <c r="A221" s="5"/>
      <c r="B221" s="4" t="str">
        <f t="shared" si="13"/>
        <v/>
      </c>
      <c r="C221" t="str">
        <f>IF(AND(TRIM(A221)&lt;&gt;"",IFERROR(VLOOKUP(TRIM(B221),Inventory!E:E,1,0),0)=0),"X","_")</f>
        <v>_</v>
      </c>
      <c r="D221" t="str">
        <f>IF(AND(TRIM(A221)&lt;&gt;"",IFERROR(VLOOKUP(TRIM(B221),'Full Inventory'!F:F,1,0),0)=0),"X","_")</f>
        <v>_</v>
      </c>
      <c r="E221" t="str">
        <f t="shared" si="16"/>
        <v>X</v>
      </c>
      <c r="F221" t="str">
        <f ca="1">IFERROR(IF(AND(C221&amp;D221&amp;E221="___",INDIRECT("Inventory!A"&amp;MATCH(VLOOKUP(B221,Inventory!E:E,1,0),Inventory!E:E,0))&lt;&gt;INDIRECT("'Full Inventory'!B"&amp;MATCH(VLOOKUP(B221,'Full Inventory'!F:F,1,0),'Full Inventory'!F:F,0))),"X","_"),"_")</f>
        <v>_</v>
      </c>
      <c r="L221" t="str">
        <f t="shared" ca="1" si="14"/>
        <v>__X_</v>
      </c>
      <c r="M221" t="str">
        <f t="shared" ca="1" si="15"/>
        <v/>
      </c>
    </row>
    <row r="222" spans="1:13" x14ac:dyDescent="0.25">
      <c r="A222" s="5"/>
      <c r="B222" s="4" t="str">
        <f t="shared" si="13"/>
        <v/>
      </c>
      <c r="C222" t="str">
        <f>IF(AND(TRIM(A222)&lt;&gt;"",IFERROR(VLOOKUP(TRIM(B222),Inventory!E:E,1,0),0)=0),"X","_")</f>
        <v>_</v>
      </c>
      <c r="D222" t="str">
        <f>IF(AND(TRIM(A222)&lt;&gt;"",IFERROR(VLOOKUP(TRIM(B222),'Full Inventory'!F:F,1,0),0)=0),"X","_")</f>
        <v>_</v>
      </c>
      <c r="E222" t="str">
        <f t="shared" si="16"/>
        <v>X</v>
      </c>
      <c r="F222" t="str">
        <f ca="1">IFERROR(IF(AND(C222&amp;D222&amp;E222="___",INDIRECT("Inventory!A"&amp;MATCH(VLOOKUP(B222,Inventory!E:E,1,0),Inventory!E:E,0))&lt;&gt;INDIRECT("'Full Inventory'!B"&amp;MATCH(VLOOKUP(B222,'Full Inventory'!F:F,1,0),'Full Inventory'!F:F,0))),"X","_"),"_")</f>
        <v>_</v>
      </c>
      <c r="L222" t="str">
        <f t="shared" ca="1" si="14"/>
        <v>__X_</v>
      </c>
      <c r="M222" t="str">
        <f t="shared" ca="1" si="15"/>
        <v/>
      </c>
    </row>
    <row r="223" spans="1:13" x14ac:dyDescent="0.25">
      <c r="A223" s="5"/>
      <c r="B223" s="4" t="str">
        <f t="shared" si="13"/>
        <v/>
      </c>
      <c r="C223" t="str">
        <f>IF(AND(TRIM(A223)&lt;&gt;"",IFERROR(VLOOKUP(TRIM(B223),Inventory!E:E,1,0),0)=0),"X","_")</f>
        <v>_</v>
      </c>
      <c r="D223" t="str">
        <f>IF(AND(TRIM(A223)&lt;&gt;"",IFERROR(VLOOKUP(TRIM(B223),'Full Inventory'!F:F,1,0),0)=0),"X","_")</f>
        <v>_</v>
      </c>
      <c r="E223" t="str">
        <f t="shared" si="16"/>
        <v>X</v>
      </c>
      <c r="F223" t="str">
        <f ca="1">IFERROR(IF(AND(C223&amp;D223&amp;E223="___",INDIRECT("Inventory!A"&amp;MATCH(VLOOKUP(B223,Inventory!E:E,1,0),Inventory!E:E,0))&lt;&gt;INDIRECT("'Full Inventory'!B"&amp;MATCH(VLOOKUP(B223,'Full Inventory'!F:F,1,0),'Full Inventory'!F:F,0))),"X","_"),"_")</f>
        <v>_</v>
      </c>
      <c r="L223" t="str">
        <f t="shared" ca="1" si="14"/>
        <v>__X_</v>
      </c>
      <c r="M223" t="str">
        <f t="shared" ca="1" si="15"/>
        <v/>
      </c>
    </row>
    <row r="224" spans="1:13" x14ac:dyDescent="0.25">
      <c r="A224" s="5"/>
      <c r="B224" s="4" t="str">
        <f t="shared" si="13"/>
        <v/>
      </c>
      <c r="C224" t="str">
        <f>IF(AND(TRIM(A224)&lt;&gt;"",IFERROR(VLOOKUP(TRIM(B224),Inventory!E:E,1,0),0)=0),"X","_")</f>
        <v>_</v>
      </c>
      <c r="D224" t="str">
        <f>IF(AND(TRIM(A224)&lt;&gt;"",IFERROR(VLOOKUP(TRIM(B224),'Full Inventory'!F:F,1,0),0)=0),"X","_")</f>
        <v>_</v>
      </c>
      <c r="E224" t="str">
        <f t="shared" si="16"/>
        <v>X</v>
      </c>
      <c r="F224" t="str">
        <f ca="1">IFERROR(IF(AND(C224&amp;D224&amp;E224="___",INDIRECT("Inventory!A"&amp;MATCH(VLOOKUP(B224,Inventory!E:E,1,0),Inventory!E:E,0))&lt;&gt;INDIRECT("'Full Inventory'!B"&amp;MATCH(VLOOKUP(B224,'Full Inventory'!F:F,1,0),'Full Inventory'!F:F,0))),"X","_"),"_")</f>
        <v>_</v>
      </c>
      <c r="L224" t="str">
        <f t="shared" ca="1" si="14"/>
        <v>__X_</v>
      </c>
      <c r="M224" t="str">
        <f t="shared" ca="1" si="15"/>
        <v/>
      </c>
    </row>
    <row r="225" spans="1:13" x14ac:dyDescent="0.25">
      <c r="A225" s="5"/>
      <c r="B225" s="4" t="str">
        <f t="shared" si="13"/>
        <v/>
      </c>
      <c r="C225" t="str">
        <f>IF(AND(TRIM(A225)&lt;&gt;"",IFERROR(VLOOKUP(TRIM(B225),Inventory!E:E,1,0),0)=0),"X","_")</f>
        <v>_</v>
      </c>
      <c r="D225" t="str">
        <f>IF(AND(TRIM(A225)&lt;&gt;"",IFERROR(VLOOKUP(TRIM(B225),'Full Inventory'!F:F,1,0),0)=0),"X","_")</f>
        <v>_</v>
      </c>
      <c r="E225" t="str">
        <f t="shared" si="16"/>
        <v>X</v>
      </c>
      <c r="F225" t="str">
        <f ca="1">IFERROR(IF(AND(C225&amp;D225&amp;E225="___",INDIRECT("Inventory!A"&amp;MATCH(VLOOKUP(B225,Inventory!E:E,1,0),Inventory!E:E,0))&lt;&gt;INDIRECT("'Full Inventory'!B"&amp;MATCH(VLOOKUP(B225,'Full Inventory'!F:F,1,0),'Full Inventory'!F:F,0))),"X","_"),"_")</f>
        <v>_</v>
      </c>
      <c r="L225" t="str">
        <f t="shared" ca="1" si="14"/>
        <v>__X_</v>
      </c>
      <c r="M225" t="str">
        <f t="shared" ca="1" si="15"/>
        <v/>
      </c>
    </row>
    <row r="226" spans="1:13" x14ac:dyDescent="0.25">
      <c r="A226" s="5"/>
      <c r="B226" s="4" t="str">
        <f t="shared" si="13"/>
        <v/>
      </c>
      <c r="C226" t="str">
        <f>IF(AND(TRIM(A226)&lt;&gt;"",IFERROR(VLOOKUP(TRIM(B226),Inventory!E:E,1,0),0)=0),"X","_")</f>
        <v>_</v>
      </c>
      <c r="D226" t="str">
        <f>IF(AND(TRIM(A226)&lt;&gt;"",IFERROR(VLOOKUP(TRIM(B226),'Full Inventory'!F:F,1,0),0)=0),"X","_")</f>
        <v>_</v>
      </c>
      <c r="E226" t="str">
        <f t="shared" si="16"/>
        <v>X</v>
      </c>
      <c r="F226" t="str">
        <f ca="1">IFERROR(IF(AND(C226&amp;D226&amp;E226="___",INDIRECT("Inventory!A"&amp;MATCH(VLOOKUP(B226,Inventory!E:E,1,0),Inventory!E:E,0))&lt;&gt;INDIRECT("'Full Inventory'!B"&amp;MATCH(VLOOKUP(B226,'Full Inventory'!F:F,1,0),'Full Inventory'!F:F,0))),"X","_"),"_")</f>
        <v>_</v>
      </c>
      <c r="L226" t="str">
        <f t="shared" ca="1" si="14"/>
        <v>__X_</v>
      </c>
      <c r="M226" t="str">
        <f t="shared" ca="1" si="15"/>
        <v/>
      </c>
    </row>
    <row r="227" spans="1:13" x14ac:dyDescent="0.25">
      <c r="A227" s="5"/>
      <c r="B227" s="4" t="str">
        <f t="shared" si="13"/>
        <v/>
      </c>
      <c r="C227" t="str">
        <f>IF(AND(TRIM(A227)&lt;&gt;"",IFERROR(VLOOKUP(TRIM(B227),Inventory!E:E,1,0),0)=0),"X","_")</f>
        <v>_</v>
      </c>
      <c r="D227" t="str">
        <f>IF(AND(TRIM(A227)&lt;&gt;"",IFERROR(VLOOKUP(TRIM(B227),'Full Inventory'!F:F,1,0),0)=0),"X","_")</f>
        <v>_</v>
      </c>
      <c r="E227" t="str">
        <f t="shared" si="16"/>
        <v>X</v>
      </c>
      <c r="F227" t="str">
        <f ca="1">IFERROR(IF(AND(C227&amp;D227&amp;E227="___",INDIRECT("Inventory!A"&amp;MATCH(VLOOKUP(B227,Inventory!E:E,1,0),Inventory!E:E,0))&lt;&gt;INDIRECT("'Full Inventory'!B"&amp;MATCH(VLOOKUP(B227,'Full Inventory'!F:F,1,0),'Full Inventory'!F:F,0))),"X","_"),"_")</f>
        <v>_</v>
      </c>
      <c r="L227" t="str">
        <f t="shared" ca="1" si="14"/>
        <v>__X_</v>
      </c>
      <c r="M227" t="str">
        <f t="shared" ca="1" si="15"/>
        <v/>
      </c>
    </row>
    <row r="228" spans="1:13" x14ac:dyDescent="0.25">
      <c r="A228" s="5"/>
      <c r="B228" s="4" t="str">
        <f t="shared" si="13"/>
        <v/>
      </c>
      <c r="C228" t="str">
        <f>IF(AND(TRIM(A228)&lt;&gt;"",IFERROR(VLOOKUP(TRIM(B228),Inventory!E:E,1,0),0)=0),"X","_")</f>
        <v>_</v>
      </c>
      <c r="D228" t="str">
        <f>IF(AND(TRIM(A228)&lt;&gt;"",IFERROR(VLOOKUP(TRIM(B228),'Full Inventory'!F:F,1,0),0)=0),"X","_")</f>
        <v>_</v>
      </c>
      <c r="E228" t="str">
        <f t="shared" si="16"/>
        <v>X</v>
      </c>
      <c r="F228" t="str">
        <f ca="1">IFERROR(IF(AND(C228&amp;D228&amp;E228="___",INDIRECT("Inventory!A"&amp;MATCH(VLOOKUP(B228,Inventory!E:E,1,0),Inventory!E:E,0))&lt;&gt;INDIRECT("'Full Inventory'!B"&amp;MATCH(VLOOKUP(B228,'Full Inventory'!F:F,1,0),'Full Inventory'!F:F,0))),"X","_"),"_")</f>
        <v>_</v>
      </c>
      <c r="L228" t="str">
        <f t="shared" ca="1" si="14"/>
        <v>__X_</v>
      </c>
      <c r="M228" t="str">
        <f t="shared" ca="1" si="15"/>
        <v/>
      </c>
    </row>
    <row r="229" spans="1:13" x14ac:dyDescent="0.25">
      <c r="A229" s="5"/>
      <c r="B229" s="4" t="str">
        <f t="shared" si="13"/>
        <v/>
      </c>
      <c r="C229" t="str">
        <f>IF(AND(TRIM(A229)&lt;&gt;"",IFERROR(VLOOKUP(TRIM(B229),Inventory!E:E,1,0),0)=0),"X","_")</f>
        <v>_</v>
      </c>
      <c r="D229" t="str">
        <f>IF(AND(TRIM(A229)&lt;&gt;"",IFERROR(VLOOKUP(TRIM(B229),'Full Inventory'!F:F,1,0),0)=0),"X","_")</f>
        <v>_</v>
      </c>
      <c r="E229" t="str">
        <f t="shared" si="16"/>
        <v>X</v>
      </c>
      <c r="F229" t="str">
        <f ca="1">IFERROR(IF(AND(C229&amp;D229&amp;E229="___",INDIRECT("Inventory!A"&amp;MATCH(VLOOKUP(B229,Inventory!E:E,1,0),Inventory!E:E,0))&lt;&gt;INDIRECT("'Full Inventory'!B"&amp;MATCH(VLOOKUP(B229,'Full Inventory'!F:F,1,0),'Full Inventory'!F:F,0))),"X","_"),"_")</f>
        <v>_</v>
      </c>
      <c r="L229" t="str">
        <f t="shared" ca="1" si="14"/>
        <v>__X_</v>
      </c>
      <c r="M229" t="str">
        <f t="shared" ca="1" si="15"/>
        <v/>
      </c>
    </row>
    <row r="230" spans="1:13" x14ac:dyDescent="0.25">
      <c r="A230" s="5"/>
      <c r="B230" s="4" t="str">
        <f t="shared" si="13"/>
        <v/>
      </c>
      <c r="C230" t="str">
        <f>IF(AND(TRIM(A230)&lt;&gt;"",IFERROR(VLOOKUP(TRIM(B230),Inventory!E:E,1,0),0)=0),"X","_")</f>
        <v>_</v>
      </c>
      <c r="D230" t="str">
        <f>IF(AND(TRIM(A230)&lt;&gt;"",IFERROR(VLOOKUP(TRIM(B230),'Full Inventory'!F:F,1,0),0)=0),"X","_")</f>
        <v>_</v>
      </c>
      <c r="E230" t="str">
        <f t="shared" si="16"/>
        <v>X</v>
      </c>
      <c r="F230" t="str">
        <f ca="1">IFERROR(IF(AND(C230&amp;D230&amp;E230="___",INDIRECT("Inventory!A"&amp;MATCH(VLOOKUP(B230,Inventory!E:E,1,0),Inventory!E:E,0))&lt;&gt;INDIRECT("'Full Inventory'!B"&amp;MATCH(VLOOKUP(B230,'Full Inventory'!F:F,1,0),'Full Inventory'!F:F,0))),"X","_"),"_")</f>
        <v>_</v>
      </c>
      <c r="L230" t="str">
        <f t="shared" ca="1" si="14"/>
        <v>__X_</v>
      </c>
      <c r="M230" t="str">
        <f t="shared" ca="1" si="15"/>
        <v/>
      </c>
    </row>
    <row r="231" spans="1:13" x14ac:dyDescent="0.25">
      <c r="A231" s="5"/>
      <c r="B231" s="4" t="str">
        <f t="shared" si="13"/>
        <v/>
      </c>
      <c r="C231" t="str">
        <f>IF(AND(TRIM(A231)&lt;&gt;"",IFERROR(VLOOKUP(TRIM(B231),Inventory!E:E,1,0),0)=0),"X","_")</f>
        <v>_</v>
      </c>
      <c r="D231" t="str">
        <f>IF(AND(TRIM(A231)&lt;&gt;"",IFERROR(VLOOKUP(TRIM(B231),'Full Inventory'!F:F,1,0),0)=0),"X","_")</f>
        <v>_</v>
      </c>
      <c r="E231" t="str">
        <f t="shared" si="16"/>
        <v>X</v>
      </c>
      <c r="F231" t="str">
        <f ca="1">IFERROR(IF(AND(C231&amp;D231&amp;E231="___",INDIRECT("Inventory!A"&amp;MATCH(VLOOKUP(B231,Inventory!E:E,1,0),Inventory!E:E,0))&lt;&gt;INDIRECT("'Full Inventory'!B"&amp;MATCH(VLOOKUP(B231,'Full Inventory'!F:F,1,0),'Full Inventory'!F:F,0))),"X","_"),"_")</f>
        <v>_</v>
      </c>
      <c r="L231" t="str">
        <f t="shared" ca="1" si="14"/>
        <v>__X_</v>
      </c>
      <c r="M231" t="str">
        <f t="shared" ca="1" si="15"/>
        <v/>
      </c>
    </row>
    <row r="232" spans="1:13" x14ac:dyDescent="0.25">
      <c r="A232" s="5"/>
      <c r="B232" s="4" t="str">
        <f t="shared" si="13"/>
        <v/>
      </c>
      <c r="C232" t="str">
        <f>IF(AND(TRIM(A232)&lt;&gt;"",IFERROR(VLOOKUP(TRIM(B232),Inventory!E:E,1,0),0)=0),"X","_")</f>
        <v>_</v>
      </c>
      <c r="D232" t="str">
        <f>IF(AND(TRIM(A232)&lt;&gt;"",IFERROR(VLOOKUP(TRIM(B232),'Full Inventory'!F:F,1,0),0)=0),"X","_")</f>
        <v>_</v>
      </c>
      <c r="E232" t="str">
        <f t="shared" si="16"/>
        <v>X</v>
      </c>
      <c r="F232" t="str">
        <f ca="1">IFERROR(IF(AND(C232&amp;D232&amp;E232="___",INDIRECT("Inventory!A"&amp;MATCH(VLOOKUP(B232,Inventory!E:E,1,0),Inventory!E:E,0))&lt;&gt;INDIRECT("'Full Inventory'!B"&amp;MATCH(VLOOKUP(B232,'Full Inventory'!F:F,1,0),'Full Inventory'!F:F,0))),"X","_"),"_")</f>
        <v>_</v>
      </c>
      <c r="L232" t="str">
        <f t="shared" ca="1" si="14"/>
        <v>__X_</v>
      </c>
      <c r="M232" t="str">
        <f t="shared" ca="1" si="15"/>
        <v/>
      </c>
    </row>
    <row r="233" spans="1:13" x14ac:dyDescent="0.25">
      <c r="A233" s="5"/>
      <c r="B233" s="4" t="str">
        <f t="shared" si="13"/>
        <v/>
      </c>
      <c r="C233" t="str">
        <f>IF(AND(TRIM(A233)&lt;&gt;"",IFERROR(VLOOKUP(TRIM(B233),Inventory!E:E,1,0),0)=0),"X","_")</f>
        <v>_</v>
      </c>
      <c r="D233" t="str">
        <f>IF(AND(TRIM(A233)&lt;&gt;"",IFERROR(VLOOKUP(TRIM(B233),'Full Inventory'!F:F,1,0),0)=0),"X","_")</f>
        <v>_</v>
      </c>
      <c r="E233" t="str">
        <f t="shared" si="16"/>
        <v>X</v>
      </c>
      <c r="F233" t="str">
        <f ca="1">IFERROR(IF(AND(C233&amp;D233&amp;E233="___",INDIRECT("Inventory!A"&amp;MATCH(VLOOKUP(B233,Inventory!E:E,1,0),Inventory!E:E,0))&lt;&gt;INDIRECT("'Full Inventory'!B"&amp;MATCH(VLOOKUP(B233,'Full Inventory'!F:F,1,0),'Full Inventory'!F:F,0))),"X","_"),"_")</f>
        <v>_</v>
      </c>
      <c r="L233" t="str">
        <f t="shared" ca="1" si="14"/>
        <v>__X_</v>
      </c>
      <c r="M233" t="str">
        <f t="shared" ca="1" si="15"/>
        <v/>
      </c>
    </row>
    <row r="234" spans="1:13" x14ac:dyDescent="0.25">
      <c r="A234" s="5"/>
      <c r="B234" s="4" t="str">
        <f t="shared" si="13"/>
        <v/>
      </c>
      <c r="C234" t="str">
        <f>IF(AND(TRIM(A234)&lt;&gt;"",IFERROR(VLOOKUP(TRIM(B234),Inventory!E:E,1,0),0)=0),"X","_")</f>
        <v>_</v>
      </c>
      <c r="D234" t="str">
        <f>IF(AND(TRIM(A234)&lt;&gt;"",IFERROR(VLOOKUP(TRIM(B234),'Full Inventory'!F:F,1,0),0)=0),"X","_")</f>
        <v>_</v>
      </c>
      <c r="E234" t="str">
        <f t="shared" si="16"/>
        <v>X</v>
      </c>
      <c r="F234" t="str">
        <f ca="1">IFERROR(IF(AND(C234&amp;D234&amp;E234="___",INDIRECT("Inventory!A"&amp;MATCH(VLOOKUP(B234,Inventory!E:E,1,0),Inventory!E:E,0))&lt;&gt;INDIRECT("'Full Inventory'!B"&amp;MATCH(VLOOKUP(B234,'Full Inventory'!F:F,1,0),'Full Inventory'!F:F,0))),"X","_"),"_")</f>
        <v>_</v>
      </c>
      <c r="L234" t="str">
        <f t="shared" ca="1" si="14"/>
        <v>__X_</v>
      </c>
      <c r="M234" t="str">
        <f t="shared" ca="1" si="15"/>
        <v/>
      </c>
    </row>
    <row r="235" spans="1:13" x14ac:dyDescent="0.25">
      <c r="A235" s="5"/>
      <c r="B235" s="4" t="str">
        <f t="shared" si="13"/>
        <v/>
      </c>
      <c r="C235" t="str">
        <f>IF(AND(TRIM(A235)&lt;&gt;"",IFERROR(VLOOKUP(TRIM(B235),Inventory!E:E,1,0),0)=0),"X","_")</f>
        <v>_</v>
      </c>
      <c r="D235" t="str">
        <f>IF(AND(TRIM(A235)&lt;&gt;"",IFERROR(VLOOKUP(TRIM(B235),'Full Inventory'!F:F,1,0),0)=0),"X","_")</f>
        <v>_</v>
      </c>
      <c r="E235" t="str">
        <f t="shared" si="16"/>
        <v>X</v>
      </c>
      <c r="F235" t="str">
        <f ca="1">IFERROR(IF(AND(C235&amp;D235&amp;E235="___",INDIRECT("Inventory!A"&amp;MATCH(VLOOKUP(B235,Inventory!E:E,1,0),Inventory!E:E,0))&lt;&gt;INDIRECT("'Full Inventory'!B"&amp;MATCH(VLOOKUP(B235,'Full Inventory'!F:F,1,0),'Full Inventory'!F:F,0))),"X","_"),"_")</f>
        <v>_</v>
      </c>
      <c r="L235" t="str">
        <f t="shared" ca="1" si="14"/>
        <v>__X_</v>
      </c>
      <c r="M235" t="str">
        <f t="shared" ca="1" si="15"/>
        <v/>
      </c>
    </row>
    <row r="236" spans="1:13" x14ac:dyDescent="0.25">
      <c r="A236" s="5"/>
      <c r="B236" s="4" t="str">
        <f t="shared" si="13"/>
        <v/>
      </c>
      <c r="C236" t="str">
        <f>IF(AND(TRIM(A236)&lt;&gt;"",IFERROR(VLOOKUP(TRIM(B236),Inventory!E:E,1,0),0)=0),"X","_")</f>
        <v>_</v>
      </c>
      <c r="D236" t="str">
        <f>IF(AND(TRIM(A236)&lt;&gt;"",IFERROR(VLOOKUP(TRIM(B236),'Full Inventory'!F:F,1,0),0)=0),"X","_")</f>
        <v>_</v>
      </c>
      <c r="E236" t="str">
        <f t="shared" si="16"/>
        <v>X</v>
      </c>
      <c r="F236" t="str">
        <f ca="1">IFERROR(IF(AND(C236&amp;D236&amp;E236="___",INDIRECT("Inventory!A"&amp;MATCH(VLOOKUP(B236,Inventory!E:E,1,0),Inventory!E:E,0))&lt;&gt;INDIRECT("'Full Inventory'!B"&amp;MATCH(VLOOKUP(B236,'Full Inventory'!F:F,1,0),'Full Inventory'!F:F,0))),"X","_"),"_")</f>
        <v>_</v>
      </c>
      <c r="L236" t="str">
        <f t="shared" ca="1" si="14"/>
        <v>__X_</v>
      </c>
      <c r="M236" t="str">
        <f t="shared" ca="1" si="15"/>
        <v/>
      </c>
    </row>
    <row r="237" spans="1:13" x14ac:dyDescent="0.25">
      <c r="A237" s="5"/>
      <c r="B237" s="4" t="str">
        <f t="shared" si="13"/>
        <v/>
      </c>
      <c r="C237" t="str">
        <f>IF(AND(TRIM(A237)&lt;&gt;"",IFERROR(VLOOKUP(TRIM(B237),Inventory!E:E,1,0),0)=0),"X","_")</f>
        <v>_</v>
      </c>
      <c r="D237" t="str">
        <f>IF(AND(TRIM(A237)&lt;&gt;"",IFERROR(VLOOKUP(TRIM(B237),'Full Inventory'!F:F,1,0),0)=0),"X","_")</f>
        <v>_</v>
      </c>
      <c r="E237" t="str">
        <f t="shared" si="16"/>
        <v>X</v>
      </c>
      <c r="F237" t="str">
        <f ca="1">IFERROR(IF(AND(C237&amp;D237&amp;E237="___",INDIRECT("Inventory!A"&amp;MATCH(VLOOKUP(B237,Inventory!E:E,1,0),Inventory!E:E,0))&lt;&gt;INDIRECT("'Full Inventory'!B"&amp;MATCH(VLOOKUP(B237,'Full Inventory'!F:F,1,0),'Full Inventory'!F:F,0))),"X","_"),"_")</f>
        <v>_</v>
      </c>
      <c r="L237" t="str">
        <f t="shared" ca="1" si="14"/>
        <v>__X_</v>
      </c>
      <c r="M237" t="str">
        <f t="shared" ca="1" si="15"/>
        <v/>
      </c>
    </row>
    <row r="238" spans="1:13" x14ac:dyDescent="0.25">
      <c r="A238" s="5"/>
      <c r="B238" s="4" t="str">
        <f t="shared" si="13"/>
        <v/>
      </c>
      <c r="C238" t="str">
        <f>IF(AND(TRIM(A238)&lt;&gt;"",IFERROR(VLOOKUP(TRIM(B238),Inventory!E:E,1,0),0)=0),"X","_")</f>
        <v>_</v>
      </c>
      <c r="D238" t="str">
        <f>IF(AND(TRIM(A238)&lt;&gt;"",IFERROR(VLOOKUP(TRIM(B238),'Full Inventory'!F:F,1,0),0)=0),"X","_")</f>
        <v>_</v>
      </c>
      <c r="E238" t="str">
        <f t="shared" si="16"/>
        <v>X</v>
      </c>
      <c r="F238" t="str">
        <f ca="1">IFERROR(IF(AND(C238&amp;D238&amp;E238="___",INDIRECT("Inventory!A"&amp;MATCH(VLOOKUP(B238,Inventory!E:E,1,0),Inventory!E:E,0))&lt;&gt;INDIRECT("'Full Inventory'!B"&amp;MATCH(VLOOKUP(B238,'Full Inventory'!F:F,1,0),'Full Inventory'!F:F,0))),"X","_"),"_")</f>
        <v>_</v>
      </c>
      <c r="L238" t="str">
        <f t="shared" ca="1" si="14"/>
        <v>__X_</v>
      </c>
      <c r="M238" t="str">
        <f t="shared" ca="1" si="15"/>
        <v/>
      </c>
    </row>
    <row r="239" spans="1:13" x14ac:dyDescent="0.25">
      <c r="A239" s="5"/>
      <c r="B239" s="4" t="str">
        <f t="shared" si="13"/>
        <v/>
      </c>
      <c r="C239" t="str">
        <f>IF(AND(TRIM(A239)&lt;&gt;"",IFERROR(VLOOKUP(TRIM(B239),Inventory!E:E,1,0),0)=0),"X","_")</f>
        <v>_</v>
      </c>
      <c r="D239" t="str">
        <f>IF(AND(TRIM(A239)&lt;&gt;"",IFERROR(VLOOKUP(TRIM(B239),'Full Inventory'!F:F,1,0),0)=0),"X","_")</f>
        <v>_</v>
      </c>
      <c r="E239" t="str">
        <f t="shared" si="16"/>
        <v>X</v>
      </c>
      <c r="F239" t="str">
        <f ca="1">IFERROR(IF(AND(C239&amp;D239&amp;E239="___",INDIRECT("Inventory!A"&amp;MATCH(VLOOKUP(B239,Inventory!E:E,1,0),Inventory!E:E,0))&lt;&gt;INDIRECT("'Full Inventory'!B"&amp;MATCH(VLOOKUP(B239,'Full Inventory'!F:F,1,0),'Full Inventory'!F:F,0))),"X","_"),"_")</f>
        <v>_</v>
      </c>
      <c r="L239" t="str">
        <f t="shared" ca="1" si="14"/>
        <v>__X_</v>
      </c>
      <c r="M239" t="str">
        <f t="shared" ca="1" si="15"/>
        <v/>
      </c>
    </row>
    <row r="240" spans="1:13" x14ac:dyDescent="0.25">
      <c r="A240" s="5"/>
      <c r="B240" s="4" t="str">
        <f t="shared" si="13"/>
        <v/>
      </c>
      <c r="C240" t="str">
        <f>IF(AND(TRIM(A240)&lt;&gt;"",IFERROR(VLOOKUP(TRIM(B240),Inventory!E:E,1,0),0)=0),"X","_")</f>
        <v>_</v>
      </c>
      <c r="D240" t="str">
        <f>IF(AND(TRIM(A240)&lt;&gt;"",IFERROR(VLOOKUP(TRIM(B240),'Full Inventory'!F:F,1,0),0)=0),"X","_")</f>
        <v>_</v>
      </c>
      <c r="E240" t="str">
        <f t="shared" si="16"/>
        <v>X</v>
      </c>
      <c r="F240" t="str">
        <f ca="1">IFERROR(IF(AND(C240&amp;D240&amp;E240="___",INDIRECT("Inventory!A"&amp;MATCH(VLOOKUP(B240,Inventory!E:E,1,0),Inventory!E:E,0))&lt;&gt;INDIRECT("'Full Inventory'!B"&amp;MATCH(VLOOKUP(B240,'Full Inventory'!F:F,1,0),'Full Inventory'!F:F,0))),"X","_"),"_")</f>
        <v>_</v>
      </c>
      <c r="L240" t="str">
        <f t="shared" ca="1" si="14"/>
        <v>__X_</v>
      </c>
      <c r="M240" t="str">
        <f t="shared" ca="1" si="15"/>
        <v/>
      </c>
    </row>
    <row r="241" spans="1:13" x14ac:dyDescent="0.25">
      <c r="A241" s="5"/>
      <c r="B241" s="4" t="str">
        <f t="shared" si="13"/>
        <v/>
      </c>
      <c r="C241" t="str">
        <f>IF(AND(TRIM(A241)&lt;&gt;"",IFERROR(VLOOKUP(TRIM(B241),Inventory!E:E,1,0),0)=0),"X","_")</f>
        <v>_</v>
      </c>
      <c r="D241" t="str">
        <f>IF(AND(TRIM(A241)&lt;&gt;"",IFERROR(VLOOKUP(TRIM(B241),'Full Inventory'!F:F,1,0),0)=0),"X","_")</f>
        <v>_</v>
      </c>
      <c r="E241" t="str">
        <f t="shared" si="16"/>
        <v>X</v>
      </c>
      <c r="F241" t="str">
        <f ca="1">IFERROR(IF(AND(C241&amp;D241&amp;E241="___",INDIRECT("Inventory!A"&amp;MATCH(VLOOKUP(B241,Inventory!E:E,1,0),Inventory!E:E,0))&lt;&gt;INDIRECT("'Full Inventory'!B"&amp;MATCH(VLOOKUP(B241,'Full Inventory'!F:F,1,0),'Full Inventory'!F:F,0))),"X","_"),"_")</f>
        <v>_</v>
      </c>
      <c r="L241" t="str">
        <f t="shared" ca="1" si="14"/>
        <v>__X_</v>
      </c>
      <c r="M241" t="str">
        <f t="shared" ca="1" si="15"/>
        <v/>
      </c>
    </row>
    <row r="242" spans="1:13" x14ac:dyDescent="0.25">
      <c r="A242" s="5"/>
      <c r="B242" s="4" t="str">
        <f t="shared" si="13"/>
        <v/>
      </c>
      <c r="C242" t="str">
        <f>IF(AND(TRIM(A242)&lt;&gt;"",IFERROR(VLOOKUP(TRIM(B242),Inventory!E:E,1,0),0)=0),"X","_")</f>
        <v>_</v>
      </c>
      <c r="D242" t="str">
        <f>IF(AND(TRIM(A242)&lt;&gt;"",IFERROR(VLOOKUP(TRIM(B242),'Full Inventory'!F:F,1,0),0)=0),"X","_")</f>
        <v>_</v>
      </c>
      <c r="E242" t="str">
        <f t="shared" si="16"/>
        <v>X</v>
      </c>
      <c r="F242" t="str">
        <f ca="1">IFERROR(IF(AND(C242&amp;D242&amp;E242="___",INDIRECT("Inventory!A"&amp;MATCH(VLOOKUP(B242,Inventory!E:E,1,0),Inventory!E:E,0))&lt;&gt;INDIRECT("'Full Inventory'!B"&amp;MATCH(VLOOKUP(B242,'Full Inventory'!F:F,1,0),'Full Inventory'!F:F,0))),"X","_"),"_")</f>
        <v>_</v>
      </c>
      <c r="L242" t="str">
        <f t="shared" ca="1" si="14"/>
        <v>__X_</v>
      </c>
      <c r="M242" t="str">
        <f t="shared" ca="1" si="15"/>
        <v/>
      </c>
    </row>
    <row r="243" spans="1:13" x14ac:dyDescent="0.25">
      <c r="A243" s="5"/>
      <c r="B243" s="4" t="str">
        <f t="shared" si="13"/>
        <v/>
      </c>
      <c r="C243" t="str">
        <f>IF(AND(TRIM(A243)&lt;&gt;"",IFERROR(VLOOKUP(TRIM(B243),Inventory!E:E,1,0),0)=0),"X","_")</f>
        <v>_</v>
      </c>
      <c r="D243" t="str">
        <f>IF(AND(TRIM(A243)&lt;&gt;"",IFERROR(VLOOKUP(TRIM(B243),'Full Inventory'!F:F,1,0),0)=0),"X","_")</f>
        <v>_</v>
      </c>
      <c r="E243" t="str">
        <f t="shared" si="16"/>
        <v>X</v>
      </c>
      <c r="F243" t="str">
        <f ca="1">IFERROR(IF(AND(C243&amp;D243&amp;E243="___",INDIRECT("Inventory!A"&amp;MATCH(VLOOKUP(B243,Inventory!E:E,1,0),Inventory!E:E,0))&lt;&gt;INDIRECT("'Full Inventory'!B"&amp;MATCH(VLOOKUP(B243,'Full Inventory'!F:F,1,0),'Full Inventory'!F:F,0))),"X","_"),"_")</f>
        <v>_</v>
      </c>
      <c r="L243" t="str">
        <f t="shared" ca="1" si="14"/>
        <v>__X_</v>
      </c>
      <c r="M243" t="str">
        <f t="shared" ca="1" si="15"/>
        <v/>
      </c>
    </row>
    <row r="244" spans="1:13" x14ac:dyDescent="0.25">
      <c r="A244" s="5"/>
      <c r="B244" s="4" t="str">
        <f t="shared" si="13"/>
        <v/>
      </c>
      <c r="C244" t="str">
        <f>IF(AND(TRIM(A244)&lt;&gt;"",IFERROR(VLOOKUP(TRIM(B244),Inventory!E:E,1,0),0)=0),"X","_")</f>
        <v>_</v>
      </c>
      <c r="D244" t="str">
        <f>IF(AND(TRIM(A244)&lt;&gt;"",IFERROR(VLOOKUP(TRIM(B244),'Full Inventory'!F:F,1,0),0)=0),"X","_")</f>
        <v>_</v>
      </c>
      <c r="E244" t="str">
        <f t="shared" si="16"/>
        <v>X</v>
      </c>
      <c r="F244" t="str">
        <f ca="1">IFERROR(IF(AND(C244&amp;D244&amp;E244="___",INDIRECT("Inventory!A"&amp;MATCH(VLOOKUP(B244,Inventory!E:E,1,0),Inventory!E:E,0))&lt;&gt;INDIRECT("'Full Inventory'!B"&amp;MATCH(VLOOKUP(B244,'Full Inventory'!F:F,1,0),'Full Inventory'!F:F,0))),"X","_"),"_")</f>
        <v>_</v>
      </c>
      <c r="L244" t="str">
        <f t="shared" ca="1" si="14"/>
        <v>__X_</v>
      </c>
      <c r="M244" t="str">
        <f t="shared" ca="1" si="15"/>
        <v/>
      </c>
    </row>
    <row r="245" spans="1:13" x14ac:dyDescent="0.25">
      <c r="A245" s="5"/>
      <c r="B245" s="4" t="str">
        <f t="shared" si="13"/>
        <v/>
      </c>
      <c r="C245" t="str">
        <f>IF(AND(TRIM(A245)&lt;&gt;"",IFERROR(VLOOKUP(TRIM(B245),Inventory!E:E,1,0),0)=0),"X","_")</f>
        <v>_</v>
      </c>
      <c r="D245" t="str">
        <f>IF(AND(TRIM(A245)&lt;&gt;"",IFERROR(VLOOKUP(TRIM(B245),'Full Inventory'!F:F,1,0),0)=0),"X","_")</f>
        <v>_</v>
      </c>
      <c r="E245" t="str">
        <f t="shared" si="16"/>
        <v>X</v>
      </c>
      <c r="F245" t="str">
        <f ca="1">IFERROR(IF(AND(C245&amp;D245&amp;E245="___",INDIRECT("Inventory!A"&amp;MATCH(VLOOKUP(B245,Inventory!E:E,1,0),Inventory!E:E,0))&lt;&gt;INDIRECT("'Full Inventory'!B"&amp;MATCH(VLOOKUP(B245,'Full Inventory'!F:F,1,0),'Full Inventory'!F:F,0))),"X","_"),"_")</f>
        <v>_</v>
      </c>
      <c r="L245" t="str">
        <f t="shared" ca="1" si="14"/>
        <v>__X_</v>
      </c>
      <c r="M245" t="str">
        <f t="shared" ca="1" si="15"/>
        <v/>
      </c>
    </row>
    <row r="246" spans="1:13" x14ac:dyDescent="0.25">
      <c r="A246" s="5"/>
      <c r="B246" s="4" t="str">
        <f t="shared" si="13"/>
        <v/>
      </c>
      <c r="C246" t="str">
        <f>IF(AND(TRIM(A246)&lt;&gt;"",IFERROR(VLOOKUP(TRIM(B246),Inventory!E:E,1,0),0)=0),"X","_")</f>
        <v>_</v>
      </c>
      <c r="D246" t="str">
        <f>IF(AND(TRIM(A246)&lt;&gt;"",IFERROR(VLOOKUP(TRIM(B246),'Full Inventory'!F:F,1,0),0)=0),"X","_")</f>
        <v>_</v>
      </c>
      <c r="E246" t="str">
        <f t="shared" si="16"/>
        <v>X</v>
      </c>
      <c r="F246" t="str">
        <f ca="1">IFERROR(IF(AND(C246&amp;D246&amp;E246="___",INDIRECT("Inventory!A"&amp;MATCH(VLOOKUP(B246,Inventory!E:E,1,0),Inventory!E:E,0))&lt;&gt;INDIRECT("'Full Inventory'!B"&amp;MATCH(VLOOKUP(B246,'Full Inventory'!F:F,1,0),'Full Inventory'!F:F,0))),"X","_"),"_")</f>
        <v>_</v>
      </c>
      <c r="L246" t="str">
        <f t="shared" ca="1" si="14"/>
        <v>__X_</v>
      </c>
      <c r="M246" t="str">
        <f t="shared" ca="1" si="15"/>
        <v/>
      </c>
    </row>
    <row r="247" spans="1:13" x14ac:dyDescent="0.25">
      <c r="A247" s="5"/>
      <c r="B247" s="4" t="str">
        <f t="shared" si="13"/>
        <v/>
      </c>
      <c r="C247" t="str">
        <f>IF(AND(TRIM(A247)&lt;&gt;"",IFERROR(VLOOKUP(TRIM(B247),Inventory!E:E,1,0),0)=0),"X","_")</f>
        <v>_</v>
      </c>
      <c r="D247" t="str">
        <f>IF(AND(TRIM(A247)&lt;&gt;"",IFERROR(VLOOKUP(TRIM(B247),'Full Inventory'!F:F,1,0),0)=0),"X","_")</f>
        <v>_</v>
      </c>
      <c r="E247" t="str">
        <f t="shared" si="16"/>
        <v>X</v>
      </c>
      <c r="F247" t="str">
        <f ca="1">IFERROR(IF(AND(C247&amp;D247&amp;E247="___",INDIRECT("Inventory!A"&amp;MATCH(VLOOKUP(B247,Inventory!E:E,1,0),Inventory!E:E,0))&lt;&gt;INDIRECT("'Full Inventory'!B"&amp;MATCH(VLOOKUP(B247,'Full Inventory'!F:F,1,0),'Full Inventory'!F:F,0))),"X","_"),"_")</f>
        <v>_</v>
      </c>
      <c r="L247" t="str">
        <f t="shared" ca="1" si="14"/>
        <v>__X_</v>
      </c>
      <c r="M247" t="str">
        <f t="shared" ca="1" si="15"/>
        <v/>
      </c>
    </row>
    <row r="248" spans="1:13" x14ac:dyDescent="0.25">
      <c r="A248" s="5"/>
      <c r="B248" s="4" t="str">
        <f t="shared" si="13"/>
        <v/>
      </c>
      <c r="C248" t="str">
        <f>IF(AND(TRIM(A248)&lt;&gt;"",IFERROR(VLOOKUP(TRIM(B248),Inventory!E:E,1,0),0)=0),"X","_")</f>
        <v>_</v>
      </c>
      <c r="D248" t="str">
        <f>IF(AND(TRIM(A248)&lt;&gt;"",IFERROR(VLOOKUP(TRIM(B248),'Full Inventory'!F:F,1,0),0)=0),"X","_")</f>
        <v>_</v>
      </c>
      <c r="E248" t="str">
        <f t="shared" si="16"/>
        <v>X</v>
      </c>
      <c r="F248" t="str">
        <f ca="1">IFERROR(IF(AND(C248&amp;D248&amp;E248="___",INDIRECT("Inventory!A"&amp;MATCH(VLOOKUP(B248,Inventory!E:E,1,0),Inventory!E:E,0))&lt;&gt;INDIRECT("'Full Inventory'!B"&amp;MATCH(VLOOKUP(B248,'Full Inventory'!F:F,1,0),'Full Inventory'!F:F,0))),"X","_"),"_")</f>
        <v>_</v>
      </c>
      <c r="L248" t="str">
        <f t="shared" ca="1" si="14"/>
        <v>__X_</v>
      </c>
      <c r="M248" t="str">
        <f t="shared" ca="1" si="15"/>
        <v/>
      </c>
    </row>
    <row r="249" spans="1:13" x14ac:dyDescent="0.25">
      <c r="A249" s="5"/>
      <c r="B249" s="4" t="str">
        <f t="shared" si="13"/>
        <v/>
      </c>
      <c r="C249" t="str">
        <f>IF(AND(TRIM(A249)&lt;&gt;"",IFERROR(VLOOKUP(TRIM(B249),Inventory!E:E,1,0),0)=0),"X","_")</f>
        <v>_</v>
      </c>
      <c r="D249" t="str">
        <f>IF(AND(TRIM(A249)&lt;&gt;"",IFERROR(VLOOKUP(TRIM(B249),'Full Inventory'!F:F,1,0),0)=0),"X","_")</f>
        <v>_</v>
      </c>
      <c r="E249" t="str">
        <f t="shared" si="16"/>
        <v>X</v>
      </c>
      <c r="F249" t="str">
        <f ca="1">IFERROR(IF(AND(C249&amp;D249&amp;E249="___",INDIRECT("Inventory!A"&amp;MATCH(VLOOKUP(B249,Inventory!E:E,1,0),Inventory!E:E,0))&lt;&gt;INDIRECT("'Full Inventory'!B"&amp;MATCH(VLOOKUP(B249,'Full Inventory'!F:F,1,0),'Full Inventory'!F:F,0))),"X","_"),"_")</f>
        <v>_</v>
      </c>
      <c r="L249" t="str">
        <f t="shared" ca="1" si="14"/>
        <v>__X_</v>
      </c>
      <c r="M249" t="str">
        <f t="shared" ca="1" si="15"/>
        <v/>
      </c>
    </row>
    <row r="250" spans="1:13" x14ac:dyDescent="0.25">
      <c r="A250" s="5"/>
      <c r="B250" s="4" t="str">
        <f t="shared" si="13"/>
        <v/>
      </c>
      <c r="C250" t="str">
        <f>IF(AND(TRIM(A250)&lt;&gt;"",IFERROR(VLOOKUP(TRIM(B250),Inventory!E:E,1,0),0)=0),"X","_")</f>
        <v>_</v>
      </c>
      <c r="D250" t="str">
        <f>IF(AND(TRIM(A250)&lt;&gt;"",IFERROR(VLOOKUP(TRIM(B250),'Full Inventory'!F:F,1,0),0)=0),"X","_")</f>
        <v>_</v>
      </c>
      <c r="E250" t="str">
        <f t="shared" si="16"/>
        <v>X</v>
      </c>
      <c r="F250" t="str">
        <f ca="1">IFERROR(IF(AND(C250&amp;D250&amp;E250="___",INDIRECT("Inventory!A"&amp;MATCH(VLOOKUP(B250,Inventory!E:E,1,0),Inventory!E:E,0))&lt;&gt;INDIRECT("'Full Inventory'!B"&amp;MATCH(VLOOKUP(B250,'Full Inventory'!F:F,1,0),'Full Inventory'!F:F,0))),"X","_"),"_")</f>
        <v>_</v>
      </c>
      <c r="L250" t="str">
        <f t="shared" ca="1" si="14"/>
        <v>__X_</v>
      </c>
      <c r="M250" t="str">
        <f t="shared" ca="1" si="15"/>
        <v/>
      </c>
    </row>
    <row r="251" spans="1:13" x14ac:dyDescent="0.25">
      <c r="A251" s="5"/>
      <c r="B251" s="4" t="str">
        <f t="shared" si="13"/>
        <v/>
      </c>
      <c r="C251" t="str">
        <f>IF(AND(TRIM(A251)&lt;&gt;"",IFERROR(VLOOKUP(TRIM(B251),Inventory!E:E,1,0),0)=0),"X","_")</f>
        <v>_</v>
      </c>
      <c r="D251" t="str">
        <f>IF(AND(TRIM(A251)&lt;&gt;"",IFERROR(VLOOKUP(TRIM(B251),'Full Inventory'!F:F,1,0),0)=0),"X","_")</f>
        <v>_</v>
      </c>
      <c r="E251" t="str">
        <f t="shared" si="16"/>
        <v>X</v>
      </c>
      <c r="F251" t="str">
        <f ca="1">IFERROR(IF(AND(C251&amp;D251&amp;E251="___",INDIRECT("Inventory!A"&amp;MATCH(VLOOKUP(B251,Inventory!E:E,1,0),Inventory!E:E,0))&lt;&gt;INDIRECT("'Full Inventory'!B"&amp;MATCH(VLOOKUP(B251,'Full Inventory'!F:F,1,0),'Full Inventory'!F:F,0))),"X","_"),"_")</f>
        <v>_</v>
      </c>
      <c r="L251" t="str">
        <f t="shared" ca="1" si="14"/>
        <v>__X_</v>
      </c>
      <c r="M251" t="str">
        <f t="shared" ca="1" si="15"/>
        <v/>
      </c>
    </row>
    <row r="252" spans="1:13" x14ac:dyDescent="0.25">
      <c r="A252" s="5"/>
      <c r="B252" s="4" t="str">
        <f t="shared" si="13"/>
        <v/>
      </c>
      <c r="C252" t="str">
        <f>IF(AND(TRIM(A252)&lt;&gt;"",IFERROR(VLOOKUP(TRIM(B252),Inventory!E:E,1,0),0)=0),"X","_")</f>
        <v>_</v>
      </c>
      <c r="D252" t="str">
        <f>IF(AND(TRIM(A252)&lt;&gt;"",IFERROR(VLOOKUP(TRIM(B252),'Full Inventory'!F:F,1,0),0)=0),"X","_")</f>
        <v>_</v>
      </c>
      <c r="E252" t="str">
        <f t="shared" si="16"/>
        <v>X</v>
      </c>
      <c r="F252" t="str">
        <f ca="1">IFERROR(IF(AND(C252&amp;D252&amp;E252="___",INDIRECT("Inventory!A"&amp;MATCH(VLOOKUP(B252,Inventory!E:E,1,0),Inventory!E:E,0))&lt;&gt;INDIRECT("'Full Inventory'!B"&amp;MATCH(VLOOKUP(B252,'Full Inventory'!F:F,1,0),'Full Inventory'!F:F,0))),"X","_"),"_")</f>
        <v>_</v>
      </c>
      <c r="L252" t="str">
        <f t="shared" ca="1" si="14"/>
        <v>__X_</v>
      </c>
      <c r="M252" t="str">
        <f t="shared" ca="1" si="15"/>
        <v/>
      </c>
    </row>
    <row r="253" spans="1:13" x14ac:dyDescent="0.25">
      <c r="A253" s="5"/>
      <c r="B253" s="4" t="str">
        <f t="shared" si="13"/>
        <v/>
      </c>
      <c r="C253" t="str">
        <f>IF(AND(TRIM(A253)&lt;&gt;"",IFERROR(VLOOKUP(TRIM(B253),Inventory!E:E,1,0),0)=0),"X","_")</f>
        <v>_</v>
      </c>
      <c r="D253" t="str">
        <f>IF(AND(TRIM(A253)&lt;&gt;"",IFERROR(VLOOKUP(TRIM(B253),'Full Inventory'!F:F,1,0),0)=0),"X","_")</f>
        <v>_</v>
      </c>
      <c r="E253" t="str">
        <f t="shared" si="16"/>
        <v>X</v>
      </c>
      <c r="F253" t="str">
        <f ca="1">IFERROR(IF(AND(C253&amp;D253&amp;E253="___",INDIRECT("Inventory!A"&amp;MATCH(VLOOKUP(B253,Inventory!E:E,1,0),Inventory!E:E,0))&lt;&gt;INDIRECT("'Full Inventory'!B"&amp;MATCH(VLOOKUP(B253,'Full Inventory'!F:F,1,0),'Full Inventory'!F:F,0))),"X","_"),"_")</f>
        <v>_</v>
      </c>
      <c r="L253" t="str">
        <f t="shared" ca="1" si="14"/>
        <v>__X_</v>
      </c>
      <c r="M253" t="str">
        <f t="shared" ca="1" si="15"/>
        <v/>
      </c>
    </row>
    <row r="254" spans="1:13" x14ac:dyDescent="0.25">
      <c r="A254" s="5"/>
      <c r="B254" s="4" t="str">
        <f t="shared" si="13"/>
        <v/>
      </c>
      <c r="C254" t="str">
        <f>IF(AND(TRIM(A254)&lt;&gt;"",IFERROR(VLOOKUP(TRIM(B254),Inventory!E:E,1,0),0)=0),"X","_")</f>
        <v>_</v>
      </c>
      <c r="D254" t="str">
        <f>IF(AND(TRIM(A254)&lt;&gt;"",IFERROR(VLOOKUP(TRIM(B254),'Full Inventory'!F:F,1,0),0)=0),"X","_")</f>
        <v>_</v>
      </c>
      <c r="E254" t="str">
        <f t="shared" si="16"/>
        <v>X</v>
      </c>
      <c r="F254" t="str">
        <f ca="1">IFERROR(IF(AND(C254&amp;D254&amp;E254="___",INDIRECT("Inventory!A"&amp;MATCH(VLOOKUP(B254,Inventory!E:E,1,0),Inventory!E:E,0))&lt;&gt;INDIRECT("'Full Inventory'!B"&amp;MATCH(VLOOKUP(B254,'Full Inventory'!F:F,1,0),'Full Inventory'!F:F,0))),"X","_"),"_")</f>
        <v>_</v>
      </c>
      <c r="L254" t="str">
        <f t="shared" ca="1" si="14"/>
        <v>__X_</v>
      </c>
      <c r="M254" t="str">
        <f t="shared" ca="1" si="15"/>
        <v/>
      </c>
    </row>
    <row r="255" spans="1:13" x14ac:dyDescent="0.25">
      <c r="A255" s="5"/>
      <c r="B255" s="4" t="str">
        <f t="shared" si="13"/>
        <v/>
      </c>
      <c r="C255" t="str">
        <f>IF(AND(TRIM(A255)&lt;&gt;"",IFERROR(VLOOKUP(TRIM(B255),Inventory!E:E,1,0),0)=0),"X","_")</f>
        <v>_</v>
      </c>
      <c r="D255" t="str">
        <f>IF(AND(TRIM(A255)&lt;&gt;"",IFERROR(VLOOKUP(TRIM(B255),'Full Inventory'!F:F,1,0),0)=0),"X","_")</f>
        <v>_</v>
      </c>
      <c r="E255" t="str">
        <f t="shared" si="16"/>
        <v>X</v>
      </c>
      <c r="F255" t="str">
        <f ca="1">IFERROR(IF(AND(C255&amp;D255&amp;E255="___",INDIRECT("Inventory!A"&amp;MATCH(VLOOKUP(B255,Inventory!E:E,1,0),Inventory!E:E,0))&lt;&gt;INDIRECT("'Full Inventory'!B"&amp;MATCH(VLOOKUP(B255,'Full Inventory'!F:F,1,0),'Full Inventory'!F:F,0))),"X","_"),"_")</f>
        <v>_</v>
      </c>
      <c r="L255" t="str">
        <f t="shared" ca="1" si="14"/>
        <v>__X_</v>
      </c>
      <c r="M255" t="str">
        <f t="shared" ca="1" si="15"/>
        <v/>
      </c>
    </row>
    <row r="256" spans="1:13" x14ac:dyDescent="0.25">
      <c r="A256" s="5"/>
      <c r="B256" s="4" t="str">
        <f t="shared" si="13"/>
        <v/>
      </c>
      <c r="C256" t="str">
        <f>IF(AND(TRIM(A256)&lt;&gt;"",IFERROR(VLOOKUP(TRIM(B256),Inventory!E:E,1,0),0)=0),"X","_")</f>
        <v>_</v>
      </c>
      <c r="D256" t="str">
        <f>IF(AND(TRIM(A256)&lt;&gt;"",IFERROR(VLOOKUP(TRIM(B256),'Full Inventory'!F:F,1,0),0)=0),"X","_")</f>
        <v>_</v>
      </c>
      <c r="E256" t="str">
        <f t="shared" si="16"/>
        <v>X</v>
      </c>
      <c r="F256" t="str">
        <f ca="1">IFERROR(IF(AND(C256&amp;D256&amp;E256="___",INDIRECT("Inventory!A"&amp;MATCH(VLOOKUP(B256,Inventory!E:E,1,0),Inventory!E:E,0))&lt;&gt;INDIRECT("'Full Inventory'!B"&amp;MATCH(VLOOKUP(B256,'Full Inventory'!F:F,1,0),'Full Inventory'!F:F,0))),"X","_"),"_")</f>
        <v>_</v>
      </c>
      <c r="L256" t="str">
        <f t="shared" ca="1" si="14"/>
        <v>__X_</v>
      </c>
      <c r="M256" t="str">
        <f t="shared" ca="1" si="15"/>
        <v/>
      </c>
    </row>
    <row r="257" spans="1:13" x14ac:dyDescent="0.25">
      <c r="A257" s="5"/>
      <c r="B257" s="4" t="str">
        <f t="shared" si="13"/>
        <v/>
      </c>
      <c r="C257" t="str">
        <f>IF(AND(TRIM(A257)&lt;&gt;"",IFERROR(VLOOKUP(TRIM(B257),Inventory!E:E,1,0),0)=0),"X","_")</f>
        <v>_</v>
      </c>
      <c r="D257" t="str">
        <f>IF(AND(TRIM(A257)&lt;&gt;"",IFERROR(VLOOKUP(TRIM(B257),'Full Inventory'!F:F,1,0),0)=0),"X","_")</f>
        <v>_</v>
      </c>
      <c r="E257" t="str">
        <f t="shared" si="16"/>
        <v>X</v>
      </c>
      <c r="F257" t="str">
        <f ca="1">IFERROR(IF(AND(C257&amp;D257&amp;E257="___",INDIRECT("Inventory!A"&amp;MATCH(VLOOKUP(B257,Inventory!E:E,1,0),Inventory!E:E,0))&lt;&gt;INDIRECT("'Full Inventory'!B"&amp;MATCH(VLOOKUP(B257,'Full Inventory'!F:F,1,0),'Full Inventory'!F:F,0))),"X","_"),"_")</f>
        <v>_</v>
      </c>
      <c r="L257" t="str">
        <f t="shared" ca="1" si="14"/>
        <v>__X_</v>
      </c>
      <c r="M257" t="str">
        <f t="shared" ca="1" si="15"/>
        <v/>
      </c>
    </row>
    <row r="258" spans="1:13" x14ac:dyDescent="0.25">
      <c r="A258" s="5"/>
      <c r="B258" s="4" t="str">
        <f t="shared" si="13"/>
        <v/>
      </c>
      <c r="C258" t="str">
        <f>IF(AND(TRIM(A258)&lt;&gt;"",IFERROR(VLOOKUP(TRIM(B258),Inventory!E:E,1,0),0)=0),"X","_")</f>
        <v>_</v>
      </c>
      <c r="D258" t="str">
        <f>IF(AND(TRIM(A258)&lt;&gt;"",IFERROR(VLOOKUP(TRIM(B258),'Full Inventory'!F:F,1,0),0)=0),"X","_")</f>
        <v>_</v>
      </c>
      <c r="E258" t="str">
        <f t="shared" si="16"/>
        <v>X</v>
      </c>
      <c r="F258" t="str">
        <f ca="1">IFERROR(IF(AND(C258&amp;D258&amp;E258="___",INDIRECT("Inventory!A"&amp;MATCH(VLOOKUP(B258,Inventory!E:E,1,0),Inventory!E:E,0))&lt;&gt;INDIRECT("'Full Inventory'!B"&amp;MATCH(VLOOKUP(B258,'Full Inventory'!F:F,1,0),'Full Inventory'!F:F,0))),"X","_"),"_")</f>
        <v>_</v>
      </c>
      <c r="L258" t="str">
        <f t="shared" ca="1" si="14"/>
        <v>__X_</v>
      </c>
      <c r="M258" t="str">
        <f t="shared" ca="1" si="15"/>
        <v/>
      </c>
    </row>
    <row r="259" spans="1:13" x14ac:dyDescent="0.25">
      <c r="A259" s="5"/>
      <c r="B259" s="4" t="str">
        <f t="shared" ref="B259:B322" si="17">SUBSTITUTE(SUBSTITUTE(A259,"ö","0"),"Ö","0")</f>
        <v/>
      </c>
      <c r="C259" t="str">
        <f>IF(AND(TRIM(A259)&lt;&gt;"",IFERROR(VLOOKUP(TRIM(B259),Inventory!E:E,1,0),0)=0),"X","_")</f>
        <v>_</v>
      </c>
      <c r="D259" t="str">
        <f>IF(AND(TRIM(A259)&lt;&gt;"",IFERROR(VLOOKUP(TRIM(B259),'Full Inventory'!F:F,1,0),0)=0),"X","_")</f>
        <v>_</v>
      </c>
      <c r="E259" t="str">
        <f t="shared" si="16"/>
        <v>X</v>
      </c>
      <c r="F259" t="str">
        <f ca="1">IFERROR(IF(AND(C259&amp;D259&amp;E259="___",INDIRECT("Inventory!A"&amp;MATCH(VLOOKUP(B259,Inventory!E:E,1,0),Inventory!E:E,0))&lt;&gt;INDIRECT("'Full Inventory'!B"&amp;MATCH(VLOOKUP(B259,'Full Inventory'!F:F,1,0),'Full Inventory'!F:F,0))),"X","_"),"_")</f>
        <v>_</v>
      </c>
      <c r="L259" t="str">
        <f t="shared" ref="L259:L322" ca="1" si="18">C259&amp;D259&amp;E259&amp;F259</f>
        <v>__X_</v>
      </c>
      <c r="M259" t="str">
        <f t="shared" ref="M259:M322" ca="1" si="19">IF(L259="____","OK",IF(L259="_X__","NOT IN FULL INVENTORY",IF(L259="XX__","NOT IN FULL INVENTORY AND INVENTORY",IF(L259="X___","NOT IN INVENTORY",IF(L259="___X","DIFFERENT NAMES IN FULL INVENTORY AND INVENTORY","")))))</f>
        <v/>
      </c>
    </row>
    <row r="260" spans="1:13" x14ac:dyDescent="0.25">
      <c r="A260" s="5"/>
      <c r="B260" s="4" t="str">
        <f t="shared" si="17"/>
        <v/>
      </c>
      <c r="C260" t="str">
        <f>IF(AND(TRIM(A260)&lt;&gt;"",IFERROR(VLOOKUP(TRIM(B260),Inventory!E:E,1,0),0)=0),"X","_")</f>
        <v>_</v>
      </c>
      <c r="D260" t="str">
        <f>IF(AND(TRIM(A260)&lt;&gt;"",IFERROR(VLOOKUP(TRIM(B260),'Full Inventory'!F:F,1,0),0)=0),"X","_")</f>
        <v>_</v>
      </c>
      <c r="E260" t="str">
        <f t="shared" si="16"/>
        <v>X</v>
      </c>
      <c r="F260" t="str">
        <f ca="1">IFERROR(IF(AND(C260&amp;D260&amp;E260="___",INDIRECT("Inventory!A"&amp;MATCH(VLOOKUP(B260,Inventory!E:E,1,0),Inventory!E:E,0))&lt;&gt;INDIRECT("'Full Inventory'!B"&amp;MATCH(VLOOKUP(B260,'Full Inventory'!F:F,1,0),'Full Inventory'!F:F,0))),"X","_"),"_")</f>
        <v>_</v>
      </c>
      <c r="L260" t="str">
        <f t="shared" ca="1" si="18"/>
        <v>__X_</v>
      </c>
      <c r="M260" t="str">
        <f t="shared" ca="1" si="19"/>
        <v/>
      </c>
    </row>
    <row r="261" spans="1:13" x14ac:dyDescent="0.25">
      <c r="A261" s="5"/>
      <c r="B261" s="4" t="str">
        <f t="shared" si="17"/>
        <v/>
      </c>
      <c r="C261" t="str">
        <f>IF(AND(TRIM(A261)&lt;&gt;"",IFERROR(VLOOKUP(TRIM(B261),Inventory!E:E,1,0),0)=0),"X","_")</f>
        <v>_</v>
      </c>
      <c r="D261" t="str">
        <f>IF(AND(TRIM(A261)&lt;&gt;"",IFERROR(VLOOKUP(TRIM(B261),'Full Inventory'!F:F,1,0),0)=0),"X","_")</f>
        <v>_</v>
      </c>
      <c r="E261" t="str">
        <f t="shared" si="16"/>
        <v>X</v>
      </c>
      <c r="F261" t="str">
        <f ca="1">IFERROR(IF(AND(C261&amp;D261&amp;E261="___",INDIRECT("Inventory!A"&amp;MATCH(VLOOKUP(B261,Inventory!E:E,1,0),Inventory!E:E,0))&lt;&gt;INDIRECT("'Full Inventory'!B"&amp;MATCH(VLOOKUP(B261,'Full Inventory'!F:F,1,0),'Full Inventory'!F:F,0))),"X","_"),"_")</f>
        <v>_</v>
      </c>
      <c r="L261" t="str">
        <f t="shared" ca="1" si="18"/>
        <v>__X_</v>
      </c>
      <c r="M261" t="str">
        <f t="shared" ca="1" si="19"/>
        <v/>
      </c>
    </row>
    <row r="262" spans="1:13" x14ac:dyDescent="0.25">
      <c r="A262" s="5"/>
      <c r="B262" s="4" t="str">
        <f t="shared" si="17"/>
        <v/>
      </c>
      <c r="C262" t="str">
        <f>IF(AND(TRIM(A262)&lt;&gt;"",IFERROR(VLOOKUP(TRIM(B262),Inventory!E:E,1,0),0)=0),"X","_")</f>
        <v>_</v>
      </c>
      <c r="D262" t="str">
        <f>IF(AND(TRIM(A262)&lt;&gt;"",IFERROR(VLOOKUP(TRIM(B262),'Full Inventory'!F:F,1,0),0)=0),"X","_")</f>
        <v>_</v>
      </c>
      <c r="E262" t="str">
        <f t="shared" si="16"/>
        <v>X</v>
      </c>
      <c r="F262" t="str">
        <f ca="1">IFERROR(IF(AND(C262&amp;D262&amp;E262="___",INDIRECT("Inventory!A"&amp;MATCH(VLOOKUP(B262,Inventory!E:E,1,0),Inventory!E:E,0))&lt;&gt;INDIRECT("'Full Inventory'!B"&amp;MATCH(VLOOKUP(B262,'Full Inventory'!F:F,1,0),'Full Inventory'!F:F,0))),"X","_"),"_")</f>
        <v>_</v>
      </c>
      <c r="L262" t="str">
        <f t="shared" ca="1" si="18"/>
        <v>__X_</v>
      </c>
      <c r="M262" t="str">
        <f t="shared" ca="1" si="19"/>
        <v/>
      </c>
    </row>
    <row r="263" spans="1:13" x14ac:dyDescent="0.25">
      <c r="A263" s="5"/>
      <c r="B263" s="4" t="str">
        <f t="shared" si="17"/>
        <v/>
      </c>
      <c r="C263" t="str">
        <f>IF(AND(TRIM(A263)&lt;&gt;"",IFERROR(VLOOKUP(TRIM(B263),Inventory!E:E,1,0),0)=0),"X","_")</f>
        <v>_</v>
      </c>
      <c r="D263" t="str">
        <f>IF(AND(TRIM(A263)&lt;&gt;"",IFERROR(VLOOKUP(TRIM(B263),'Full Inventory'!F:F,1,0),0)=0),"X","_")</f>
        <v>_</v>
      </c>
      <c r="E263" t="str">
        <f t="shared" si="16"/>
        <v>X</v>
      </c>
      <c r="F263" t="str">
        <f ca="1">IFERROR(IF(AND(C263&amp;D263&amp;E263="___",INDIRECT("Inventory!A"&amp;MATCH(VLOOKUP(B263,Inventory!E:E,1,0),Inventory!E:E,0))&lt;&gt;INDIRECT("'Full Inventory'!B"&amp;MATCH(VLOOKUP(B263,'Full Inventory'!F:F,1,0),'Full Inventory'!F:F,0))),"X","_"),"_")</f>
        <v>_</v>
      </c>
      <c r="L263" t="str">
        <f t="shared" ca="1" si="18"/>
        <v>__X_</v>
      </c>
      <c r="M263" t="str">
        <f t="shared" ca="1" si="19"/>
        <v/>
      </c>
    </row>
    <row r="264" spans="1:13" x14ac:dyDescent="0.25">
      <c r="A264" s="5"/>
      <c r="B264" s="4" t="str">
        <f t="shared" si="17"/>
        <v/>
      </c>
      <c r="C264" t="str">
        <f>IF(AND(TRIM(A264)&lt;&gt;"",IFERROR(VLOOKUP(TRIM(B264),Inventory!E:E,1,0),0)=0),"X","_")</f>
        <v>_</v>
      </c>
      <c r="D264" t="str">
        <f>IF(AND(TRIM(A264)&lt;&gt;"",IFERROR(VLOOKUP(TRIM(B264),'Full Inventory'!F:F,1,0),0)=0),"X","_")</f>
        <v>_</v>
      </c>
      <c r="E264" t="str">
        <f t="shared" si="16"/>
        <v>X</v>
      </c>
      <c r="F264" t="str">
        <f ca="1">IFERROR(IF(AND(C264&amp;D264&amp;E264="___",INDIRECT("Inventory!A"&amp;MATCH(VLOOKUP(B264,Inventory!E:E,1,0),Inventory!E:E,0))&lt;&gt;INDIRECT("'Full Inventory'!B"&amp;MATCH(VLOOKUP(B264,'Full Inventory'!F:F,1,0),'Full Inventory'!F:F,0))),"X","_"),"_")</f>
        <v>_</v>
      </c>
      <c r="L264" t="str">
        <f t="shared" ca="1" si="18"/>
        <v>__X_</v>
      </c>
      <c r="M264" t="str">
        <f t="shared" ca="1" si="19"/>
        <v/>
      </c>
    </row>
    <row r="265" spans="1:13" x14ac:dyDescent="0.25">
      <c r="A265" s="5"/>
      <c r="B265" s="4" t="str">
        <f t="shared" si="17"/>
        <v/>
      </c>
      <c r="C265" t="str">
        <f>IF(AND(TRIM(A265)&lt;&gt;"",IFERROR(VLOOKUP(TRIM(B265),Inventory!E:E,1,0),0)=0),"X","_")</f>
        <v>_</v>
      </c>
      <c r="D265" t="str">
        <f>IF(AND(TRIM(A265)&lt;&gt;"",IFERROR(VLOOKUP(TRIM(B265),'Full Inventory'!F:F,1,0),0)=0),"X","_")</f>
        <v>_</v>
      </c>
      <c r="E265" t="str">
        <f t="shared" si="16"/>
        <v>X</v>
      </c>
      <c r="F265" t="str">
        <f ca="1">IFERROR(IF(AND(C265&amp;D265&amp;E265="___",INDIRECT("Inventory!A"&amp;MATCH(VLOOKUP(B265,Inventory!E:E,1,0),Inventory!E:E,0))&lt;&gt;INDIRECT("'Full Inventory'!B"&amp;MATCH(VLOOKUP(B265,'Full Inventory'!F:F,1,0),'Full Inventory'!F:F,0))),"X","_"),"_")</f>
        <v>_</v>
      </c>
      <c r="L265" t="str">
        <f t="shared" ca="1" si="18"/>
        <v>__X_</v>
      </c>
      <c r="M265" t="str">
        <f t="shared" ca="1" si="19"/>
        <v/>
      </c>
    </row>
    <row r="266" spans="1:13" x14ac:dyDescent="0.25">
      <c r="A266" s="5"/>
      <c r="B266" s="4" t="str">
        <f t="shared" si="17"/>
        <v/>
      </c>
      <c r="C266" t="str">
        <f>IF(AND(TRIM(A266)&lt;&gt;"",IFERROR(VLOOKUP(TRIM(B266),Inventory!E:E,1,0),0)=0),"X","_")</f>
        <v>_</v>
      </c>
      <c r="D266" t="str">
        <f>IF(AND(TRIM(A266)&lt;&gt;"",IFERROR(VLOOKUP(TRIM(B266),'Full Inventory'!F:F,1,0),0)=0),"X","_")</f>
        <v>_</v>
      </c>
      <c r="E266" t="str">
        <f t="shared" si="16"/>
        <v>X</v>
      </c>
      <c r="F266" t="str">
        <f ca="1">IFERROR(IF(AND(C266&amp;D266&amp;E266="___",INDIRECT("Inventory!A"&amp;MATCH(VLOOKUP(B266,Inventory!E:E,1,0),Inventory!E:E,0))&lt;&gt;INDIRECT("'Full Inventory'!B"&amp;MATCH(VLOOKUP(B266,'Full Inventory'!F:F,1,0),'Full Inventory'!F:F,0))),"X","_"),"_")</f>
        <v>_</v>
      </c>
      <c r="L266" t="str">
        <f t="shared" ca="1" si="18"/>
        <v>__X_</v>
      </c>
      <c r="M266" t="str">
        <f t="shared" ca="1" si="19"/>
        <v/>
      </c>
    </row>
    <row r="267" spans="1:13" x14ac:dyDescent="0.25">
      <c r="A267" s="5"/>
      <c r="B267" s="4" t="str">
        <f t="shared" si="17"/>
        <v/>
      </c>
      <c r="C267" t="str">
        <f>IF(AND(TRIM(A267)&lt;&gt;"",IFERROR(VLOOKUP(TRIM(B267),Inventory!E:E,1,0),0)=0),"X","_")</f>
        <v>_</v>
      </c>
      <c r="D267" t="str">
        <f>IF(AND(TRIM(A267)&lt;&gt;"",IFERROR(VLOOKUP(TRIM(B267),'Full Inventory'!F:F,1,0),0)=0),"X","_")</f>
        <v>_</v>
      </c>
      <c r="E267" t="str">
        <f t="shared" si="16"/>
        <v>X</v>
      </c>
      <c r="F267" t="str">
        <f ca="1">IFERROR(IF(AND(C267&amp;D267&amp;E267="___",INDIRECT("Inventory!A"&amp;MATCH(VLOOKUP(B267,Inventory!E:E,1,0),Inventory!E:E,0))&lt;&gt;INDIRECT("'Full Inventory'!B"&amp;MATCH(VLOOKUP(B267,'Full Inventory'!F:F,1,0),'Full Inventory'!F:F,0))),"X","_"),"_")</f>
        <v>_</v>
      </c>
      <c r="L267" t="str">
        <f t="shared" ca="1" si="18"/>
        <v>__X_</v>
      </c>
      <c r="M267" t="str">
        <f t="shared" ca="1" si="19"/>
        <v/>
      </c>
    </row>
    <row r="268" spans="1:13" x14ac:dyDescent="0.25">
      <c r="A268" s="5"/>
      <c r="B268" s="4" t="str">
        <f t="shared" si="17"/>
        <v/>
      </c>
      <c r="C268" t="str">
        <f>IF(AND(TRIM(A268)&lt;&gt;"",IFERROR(VLOOKUP(TRIM(B268),Inventory!E:E,1,0),0)=0),"X","_")</f>
        <v>_</v>
      </c>
      <c r="D268" t="str">
        <f>IF(AND(TRIM(A268)&lt;&gt;"",IFERROR(VLOOKUP(TRIM(B268),'Full Inventory'!F:F,1,0),0)=0),"X","_")</f>
        <v>_</v>
      </c>
      <c r="E268" t="str">
        <f t="shared" si="16"/>
        <v>X</v>
      </c>
      <c r="F268" t="str">
        <f ca="1">IFERROR(IF(AND(C268&amp;D268&amp;E268="___",INDIRECT("Inventory!A"&amp;MATCH(VLOOKUP(B268,Inventory!E:E,1,0),Inventory!E:E,0))&lt;&gt;INDIRECT("'Full Inventory'!B"&amp;MATCH(VLOOKUP(B268,'Full Inventory'!F:F,1,0),'Full Inventory'!F:F,0))),"X","_"),"_")</f>
        <v>_</v>
      </c>
      <c r="L268" t="str">
        <f t="shared" ca="1" si="18"/>
        <v>__X_</v>
      </c>
      <c r="M268" t="str">
        <f t="shared" ca="1" si="19"/>
        <v/>
      </c>
    </row>
    <row r="269" spans="1:13" x14ac:dyDescent="0.25">
      <c r="A269" s="5"/>
      <c r="B269" s="4" t="str">
        <f t="shared" si="17"/>
        <v/>
      </c>
      <c r="C269" t="str">
        <f>IF(AND(TRIM(A269)&lt;&gt;"",IFERROR(VLOOKUP(TRIM(B269),Inventory!E:E,1,0),0)=0),"X","_")</f>
        <v>_</v>
      </c>
      <c r="D269" t="str">
        <f>IF(AND(TRIM(A269)&lt;&gt;"",IFERROR(VLOOKUP(TRIM(B269),'Full Inventory'!F:F,1,0),0)=0),"X","_")</f>
        <v>_</v>
      </c>
      <c r="E269" t="str">
        <f t="shared" si="16"/>
        <v>X</v>
      </c>
      <c r="F269" t="str">
        <f ca="1">IFERROR(IF(AND(C269&amp;D269&amp;E269="___",INDIRECT("Inventory!A"&amp;MATCH(VLOOKUP(B269,Inventory!E:E,1,0),Inventory!E:E,0))&lt;&gt;INDIRECT("'Full Inventory'!B"&amp;MATCH(VLOOKUP(B269,'Full Inventory'!F:F,1,0),'Full Inventory'!F:F,0))),"X","_"),"_")</f>
        <v>_</v>
      </c>
      <c r="L269" t="str">
        <f t="shared" ca="1" si="18"/>
        <v>__X_</v>
      </c>
      <c r="M269" t="str">
        <f t="shared" ca="1" si="19"/>
        <v/>
      </c>
    </row>
    <row r="270" spans="1:13" x14ac:dyDescent="0.25">
      <c r="A270" s="5"/>
      <c r="B270" s="4" t="str">
        <f t="shared" si="17"/>
        <v/>
      </c>
      <c r="C270" t="str">
        <f>IF(AND(TRIM(A270)&lt;&gt;"",IFERROR(VLOOKUP(TRIM(B270),Inventory!E:E,1,0),0)=0),"X","_")</f>
        <v>_</v>
      </c>
      <c r="D270" t="str">
        <f>IF(AND(TRIM(A270)&lt;&gt;"",IFERROR(VLOOKUP(TRIM(B270),'Full Inventory'!F:F,1,0),0)=0),"X","_")</f>
        <v>_</v>
      </c>
      <c r="E270" t="str">
        <f t="shared" si="16"/>
        <v>X</v>
      </c>
      <c r="F270" t="str">
        <f ca="1">IFERROR(IF(AND(C270&amp;D270&amp;E270="___",INDIRECT("Inventory!A"&amp;MATCH(VLOOKUP(B270,Inventory!E:E,1,0),Inventory!E:E,0))&lt;&gt;INDIRECT("'Full Inventory'!B"&amp;MATCH(VLOOKUP(B270,'Full Inventory'!F:F,1,0),'Full Inventory'!F:F,0))),"X","_"),"_")</f>
        <v>_</v>
      </c>
      <c r="L270" t="str">
        <f t="shared" ca="1" si="18"/>
        <v>__X_</v>
      </c>
      <c r="M270" t="str">
        <f t="shared" ca="1" si="19"/>
        <v/>
      </c>
    </row>
    <row r="271" spans="1:13" x14ac:dyDescent="0.25">
      <c r="A271" s="5"/>
      <c r="B271" s="4" t="str">
        <f t="shared" si="17"/>
        <v/>
      </c>
      <c r="C271" t="str">
        <f>IF(AND(TRIM(A271)&lt;&gt;"",IFERROR(VLOOKUP(TRIM(B271),Inventory!E:E,1,0),0)=0),"X","_")</f>
        <v>_</v>
      </c>
      <c r="D271" t="str">
        <f>IF(AND(TRIM(A271)&lt;&gt;"",IFERROR(VLOOKUP(TRIM(B271),'Full Inventory'!F:F,1,0),0)=0),"X","_")</f>
        <v>_</v>
      </c>
      <c r="E271" t="str">
        <f t="shared" si="16"/>
        <v>X</v>
      </c>
      <c r="F271" t="str">
        <f ca="1">IFERROR(IF(AND(C271&amp;D271&amp;E271="___",INDIRECT("Inventory!A"&amp;MATCH(VLOOKUP(B271,Inventory!E:E,1,0),Inventory!E:E,0))&lt;&gt;INDIRECT("'Full Inventory'!B"&amp;MATCH(VLOOKUP(B271,'Full Inventory'!F:F,1,0),'Full Inventory'!F:F,0))),"X","_"),"_")</f>
        <v>_</v>
      </c>
      <c r="L271" t="str">
        <f t="shared" ca="1" si="18"/>
        <v>__X_</v>
      </c>
      <c r="M271" t="str">
        <f t="shared" ca="1" si="19"/>
        <v/>
      </c>
    </row>
    <row r="272" spans="1:13" x14ac:dyDescent="0.25">
      <c r="A272" s="5"/>
      <c r="B272" s="4" t="str">
        <f t="shared" si="17"/>
        <v/>
      </c>
      <c r="C272" t="str">
        <f>IF(AND(TRIM(A272)&lt;&gt;"",IFERROR(VLOOKUP(TRIM(B272),Inventory!E:E,1,0),0)=0),"X","_")</f>
        <v>_</v>
      </c>
      <c r="D272" t="str">
        <f>IF(AND(TRIM(A272)&lt;&gt;"",IFERROR(VLOOKUP(TRIM(B272),'Full Inventory'!F:F,1,0),0)=0),"X","_")</f>
        <v>_</v>
      </c>
      <c r="E272" t="str">
        <f t="shared" si="16"/>
        <v>X</v>
      </c>
      <c r="F272" t="str">
        <f ca="1">IFERROR(IF(AND(C272&amp;D272&amp;E272="___",INDIRECT("Inventory!A"&amp;MATCH(VLOOKUP(B272,Inventory!E:E,1,0),Inventory!E:E,0))&lt;&gt;INDIRECT("'Full Inventory'!B"&amp;MATCH(VLOOKUP(B272,'Full Inventory'!F:F,1,0),'Full Inventory'!F:F,0))),"X","_"),"_")</f>
        <v>_</v>
      </c>
      <c r="L272" t="str">
        <f t="shared" ca="1" si="18"/>
        <v>__X_</v>
      </c>
      <c r="M272" t="str">
        <f t="shared" ca="1" si="19"/>
        <v/>
      </c>
    </row>
    <row r="273" spans="1:13" x14ac:dyDescent="0.25">
      <c r="A273" s="5"/>
      <c r="B273" s="4" t="str">
        <f t="shared" si="17"/>
        <v/>
      </c>
      <c r="C273" t="str">
        <f>IF(AND(TRIM(A273)&lt;&gt;"",IFERROR(VLOOKUP(TRIM(B273),Inventory!E:E,1,0),0)=0),"X","_")</f>
        <v>_</v>
      </c>
      <c r="D273" t="str">
        <f>IF(AND(TRIM(A273)&lt;&gt;"",IFERROR(VLOOKUP(TRIM(B273),'Full Inventory'!F:F,1,0),0)=0),"X","_")</f>
        <v>_</v>
      </c>
      <c r="E273" t="str">
        <f t="shared" si="16"/>
        <v>X</v>
      </c>
      <c r="F273" t="str">
        <f ca="1">IFERROR(IF(AND(C273&amp;D273&amp;E273="___",INDIRECT("Inventory!A"&amp;MATCH(VLOOKUP(B273,Inventory!E:E,1,0),Inventory!E:E,0))&lt;&gt;INDIRECT("'Full Inventory'!B"&amp;MATCH(VLOOKUP(B273,'Full Inventory'!F:F,1,0),'Full Inventory'!F:F,0))),"X","_"),"_")</f>
        <v>_</v>
      </c>
      <c r="L273" t="str">
        <f t="shared" ca="1" si="18"/>
        <v>__X_</v>
      </c>
      <c r="M273" t="str">
        <f t="shared" ca="1" si="19"/>
        <v/>
      </c>
    </row>
    <row r="274" spans="1:13" x14ac:dyDescent="0.25">
      <c r="A274" s="5"/>
      <c r="B274" s="4" t="str">
        <f t="shared" si="17"/>
        <v/>
      </c>
      <c r="C274" t="str">
        <f>IF(AND(TRIM(A274)&lt;&gt;"",IFERROR(VLOOKUP(TRIM(B274),Inventory!E:E,1,0),0)=0),"X","_")</f>
        <v>_</v>
      </c>
      <c r="D274" t="str">
        <f>IF(AND(TRIM(A274)&lt;&gt;"",IFERROR(VLOOKUP(TRIM(B274),'Full Inventory'!F:F,1,0),0)=0),"X","_")</f>
        <v>_</v>
      </c>
      <c r="E274" t="str">
        <f t="shared" si="16"/>
        <v>X</v>
      </c>
      <c r="F274" t="str">
        <f ca="1">IFERROR(IF(AND(C274&amp;D274&amp;E274="___",INDIRECT("Inventory!A"&amp;MATCH(VLOOKUP(B274,Inventory!E:E,1,0),Inventory!E:E,0))&lt;&gt;INDIRECT("'Full Inventory'!B"&amp;MATCH(VLOOKUP(B274,'Full Inventory'!F:F,1,0),'Full Inventory'!F:F,0))),"X","_"),"_")</f>
        <v>_</v>
      </c>
      <c r="L274" t="str">
        <f t="shared" ca="1" si="18"/>
        <v>__X_</v>
      </c>
      <c r="M274" t="str">
        <f t="shared" ca="1" si="19"/>
        <v/>
      </c>
    </row>
    <row r="275" spans="1:13" x14ac:dyDescent="0.25">
      <c r="A275" s="5"/>
      <c r="B275" s="4" t="str">
        <f t="shared" si="17"/>
        <v/>
      </c>
      <c r="C275" t="str">
        <f>IF(AND(TRIM(A275)&lt;&gt;"",IFERROR(VLOOKUP(TRIM(B275),Inventory!E:E,1,0),0)=0),"X","_")</f>
        <v>_</v>
      </c>
      <c r="D275" t="str">
        <f>IF(AND(TRIM(A275)&lt;&gt;"",IFERROR(VLOOKUP(TRIM(B275),'Full Inventory'!F:F,1,0),0)=0),"X","_")</f>
        <v>_</v>
      </c>
      <c r="E275" t="str">
        <f t="shared" si="16"/>
        <v>X</v>
      </c>
      <c r="F275" t="str">
        <f ca="1">IFERROR(IF(AND(C275&amp;D275&amp;E275="___",INDIRECT("Inventory!A"&amp;MATCH(VLOOKUP(B275,Inventory!E:E,1,0),Inventory!E:E,0))&lt;&gt;INDIRECT("'Full Inventory'!B"&amp;MATCH(VLOOKUP(B275,'Full Inventory'!F:F,1,0),'Full Inventory'!F:F,0))),"X","_"),"_")</f>
        <v>_</v>
      </c>
      <c r="L275" t="str">
        <f t="shared" ca="1" si="18"/>
        <v>__X_</v>
      </c>
      <c r="M275" t="str">
        <f t="shared" ca="1" si="19"/>
        <v/>
      </c>
    </row>
    <row r="276" spans="1:13" x14ac:dyDescent="0.25">
      <c r="A276" s="5"/>
      <c r="B276" s="4" t="str">
        <f t="shared" si="17"/>
        <v/>
      </c>
      <c r="C276" t="str">
        <f>IF(AND(TRIM(A276)&lt;&gt;"",IFERROR(VLOOKUP(TRIM(B276),Inventory!E:E,1,0),0)=0),"X","_")</f>
        <v>_</v>
      </c>
      <c r="D276" t="str">
        <f>IF(AND(TRIM(A276)&lt;&gt;"",IFERROR(VLOOKUP(TRIM(B276),'Full Inventory'!F:F,1,0),0)=0),"X","_")</f>
        <v>_</v>
      </c>
      <c r="E276" t="str">
        <f t="shared" ref="E276:E339" si="20">IF(TRIM(A276)&lt;&gt;"","_","X")</f>
        <v>X</v>
      </c>
      <c r="F276" t="str">
        <f ca="1">IFERROR(IF(AND(C276&amp;D276&amp;E276="___",INDIRECT("Inventory!A"&amp;MATCH(VLOOKUP(B276,Inventory!E:E,1,0),Inventory!E:E,0))&lt;&gt;INDIRECT("'Full Inventory'!B"&amp;MATCH(VLOOKUP(B276,'Full Inventory'!F:F,1,0),'Full Inventory'!F:F,0))),"X","_"),"_")</f>
        <v>_</v>
      </c>
      <c r="L276" t="str">
        <f t="shared" ca="1" si="18"/>
        <v>__X_</v>
      </c>
      <c r="M276" t="str">
        <f t="shared" ca="1" si="19"/>
        <v/>
      </c>
    </row>
    <row r="277" spans="1:13" x14ac:dyDescent="0.25">
      <c r="A277" s="5"/>
      <c r="B277" s="4" t="str">
        <f t="shared" si="17"/>
        <v/>
      </c>
      <c r="C277" t="str">
        <f>IF(AND(TRIM(A277)&lt;&gt;"",IFERROR(VLOOKUP(TRIM(B277),Inventory!E:E,1,0),0)=0),"X","_")</f>
        <v>_</v>
      </c>
      <c r="D277" t="str">
        <f>IF(AND(TRIM(A277)&lt;&gt;"",IFERROR(VLOOKUP(TRIM(B277),'Full Inventory'!F:F,1,0),0)=0),"X","_")</f>
        <v>_</v>
      </c>
      <c r="E277" t="str">
        <f t="shared" si="20"/>
        <v>X</v>
      </c>
      <c r="F277" t="str">
        <f ca="1">IFERROR(IF(AND(C277&amp;D277&amp;E277="___",INDIRECT("Inventory!A"&amp;MATCH(VLOOKUP(B277,Inventory!E:E,1,0),Inventory!E:E,0))&lt;&gt;INDIRECT("'Full Inventory'!B"&amp;MATCH(VLOOKUP(B277,'Full Inventory'!F:F,1,0),'Full Inventory'!F:F,0))),"X","_"),"_")</f>
        <v>_</v>
      </c>
      <c r="L277" t="str">
        <f t="shared" ca="1" si="18"/>
        <v>__X_</v>
      </c>
      <c r="M277" t="str">
        <f t="shared" ca="1" si="19"/>
        <v/>
      </c>
    </row>
    <row r="278" spans="1:13" x14ac:dyDescent="0.25">
      <c r="A278" s="5"/>
      <c r="B278" s="4" t="str">
        <f t="shared" si="17"/>
        <v/>
      </c>
      <c r="C278" t="str">
        <f>IF(AND(TRIM(A278)&lt;&gt;"",IFERROR(VLOOKUP(TRIM(B278),Inventory!E:E,1,0),0)=0),"X","_")</f>
        <v>_</v>
      </c>
      <c r="D278" t="str">
        <f>IF(AND(TRIM(A278)&lt;&gt;"",IFERROR(VLOOKUP(TRIM(B278),'Full Inventory'!F:F,1,0),0)=0),"X","_")</f>
        <v>_</v>
      </c>
      <c r="E278" t="str">
        <f t="shared" si="20"/>
        <v>X</v>
      </c>
      <c r="F278" t="str">
        <f ca="1">IFERROR(IF(AND(C278&amp;D278&amp;E278="___",INDIRECT("Inventory!A"&amp;MATCH(VLOOKUP(B278,Inventory!E:E,1,0),Inventory!E:E,0))&lt;&gt;INDIRECT("'Full Inventory'!B"&amp;MATCH(VLOOKUP(B278,'Full Inventory'!F:F,1,0),'Full Inventory'!F:F,0))),"X","_"),"_")</f>
        <v>_</v>
      </c>
      <c r="L278" t="str">
        <f t="shared" ca="1" si="18"/>
        <v>__X_</v>
      </c>
      <c r="M278" t="str">
        <f t="shared" ca="1" si="19"/>
        <v/>
      </c>
    </row>
    <row r="279" spans="1:13" x14ac:dyDescent="0.25">
      <c r="A279" s="5"/>
      <c r="B279" s="4" t="str">
        <f t="shared" si="17"/>
        <v/>
      </c>
      <c r="C279" t="str">
        <f>IF(AND(TRIM(A279)&lt;&gt;"",IFERROR(VLOOKUP(TRIM(B279),Inventory!E:E,1,0),0)=0),"X","_")</f>
        <v>_</v>
      </c>
      <c r="D279" t="str">
        <f>IF(AND(TRIM(A279)&lt;&gt;"",IFERROR(VLOOKUP(TRIM(B279),'Full Inventory'!F:F,1,0),0)=0),"X","_")</f>
        <v>_</v>
      </c>
      <c r="E279" t="str">
        <f t="shared" si="20"/>
        <v>X</v>
      </c>
      <c r="F279" t="str">
        <f ca="1">IFERROR(IF(AND(C279&amp;D279&amp;E279="___",INDIRECT("Inventory!A"&amp;MATCH(VLOOKUP(B279,Inventory!E:E,1,0),Inventory!E:E,0))&lt;&gt;INDIRECT("'Full Inventory'!B"&amp;MATCH(VLOOKUP(B279,'Full Inventory'!F:F,1,0),'Full Inventory'!F:F,0))),"X","_"),"_")</f>
        <v>_</v>
      </c>
      <c r="L279" t="str">
        <f t="shared" ca="1" si="18"/>
        <v>__X_</v>
      </c>
      <c r="M279" t="str">
        <f t="shared" ca="1" si="19"/>
        <v/>
      </c>
    </row>
    <row r="280" spans="1:13" x14ac:dyDescent="0.25">
      <c r="A280" s="5"/>
      <c r="B280" s="4" t="str">
        <f t="shared" si="17"/>
        <v/>
      </c>
      <c r="C280" t="str">
        <f>IF(AND(TRIM(A280)&lt;&gt;"",IFERROR(VLOOKUP(TRIM(B280),Inventory!E:E,1,0),0)=0),"X","_")</f>
        <v>_</v>
      </c>
      <c r="D280" t="str">
        <f>IF(AND(TRIM(A280)&lt;&gt;"",IFERROR(VLOOKUP(TRIM(B280),'Full Inventory'!F:F,1,0),0)=0),"X","_")</f>
        <v>_</v>
      </c>
      <c r="E280" t="str">
        <f t="shared" si="20"/>
        <v>X</v>
      </c>
      <c r="F280" t="str">
        <f ca="1">IFERROR(IF(AND(C280&amp;D280&amp;E280="___",INDIRECT("Inventory!A"&amp;MATCH(VLOOKUP(B280,Inventory!E:E,1,0),Inventory!E:E,0))&lt;&gt;INDIRECT("'Full Inventory'!B"&amp;MATCH(VLOOKUP(B280,'Full Inventory'!F:F,1,0),'Full Inventory'!F:F,0))),"X","_"),"_")</f>
        <v>_</v>
      </c>
      <c r="L280" t="str">
        <f t="shared" ca="1" si="18"/>
        <v>__X_</v>
      </c>
      <c r="M280" t="str">
        <f t="shared" ca="1" si="19"/>
        <v/>
      </c>
    </row>
    <row r="281" spans="1:13" x14ac:dyDescent="0.25">
      <c r="A281" s="5"/>
      <c r="B281" s="4" t="str">
        <f t="shared" si="17"/>
        <v/>
      </c>
      <c r="C281" t="str">
        <f>IF(AND(TRIM(A281)&lt;&gt;"",IFERROR(VLOOKUP(TRIM(B281),Inventory!E:E,1,0),0)=0),"X","_")</f>
        <v>_</v>
      </c>
      <c r="D281" t="str">
        <f>IF(AND(TRIM(A281)&lt;&gt;"",IFERROR(VLOOKUP(TRIM(B281),'Full Inventory'!F:F,1,0),0)=0),"X","_")</f>
        <v>_</v>
      </c>
      <c r="E281" t="str">
        <f t="shared" si="20"/>
        <v>X</v>
      </c>
      <c r="F281" t="str">
        <f ca="1">IFERROR(IF(AND(C281&amp;D281&amp;E281="___",INDIRECT("Inventory!A"&amp;MATCH(VLOOKUP(B281,Inventory!E:E,1,0),Inventory!E:E,0))&lt;&gt;INDIRECT("'Full Inventory'!B"&amp;MATCH(VLOOKUP(B281,'Full Inventory'!F:F,1,0),'Full Inventory'!F:F,0))),"X","_"),"_")</f>
        <v>_</v>
      </c>
      <c r="L281" t="str">
        <f t="shared" ca="1" si="18"/>
        <v>__X_</v>
      </c>
      <c r="M281" t="str">
        <f t="shared" ca="1" si="19"/>
        <v/>
      </c>
    </row>
    <row r="282" spans="1:13" x14ac:dyDescent="0.25">
      <c r="A282" s="5"/>
      <c r="B282" s="4" t="str">
        <f t="shared" si="17"/>
        <v/>
      </c>
      <c r="C282" t="str">
        <f>IF(AND(TRIM(A282)&lt;&gt;"",IFERROR(VLOOKUP(TRIM(B282),Inventory!E:E,1,0),0)=0),"X","_")</f>
        <v>_</v>
      </c>
      <c r="D282" t="str">
        <f>IF(AND(TRIM(A282)&lt;&gt;"",IFERROR(VLOOKUP(TRIM(B282),'Full Inventory'!F:F,1,0),0)=0),"X","_")</f>
        <v>_</v>
      </c>
      <c r="E282" t="str">
        <f t="shared" si="20"/>
        <v>X</v>
      </c>
      <c r="F282" t="str">
        <f ca="1">IFERROR(IF(AND(C282&amp;D282&amp;E282="___",INDIRECT("Inventory!A"&amp;MATCH(VLOOKUP(B282,Inventory!E:E,1,0),Inventory!E:E,0))&lt;&gt;INDIRECT("'Full Inventory'!B"&amp;MATCH(VLOOKUP(B282,'Full Inventory'!F:F,1,0),'Full Inventory'!F:F,0))),"X","_"),"_")</f>
        <v>_</v>
      </c>
      <c r="L282" t="str">
        <f t="shared" ca="1" si="18"/>
        <v>__X_</v>
      </c>
      <c r="M282" t="str">
        <f t="shared" ca="1" si="19"/>
        <v/>
      </c>
    </row>
    <row r="283" spans="1:13" x14ac:dyDescent="0.25">
      <c r="A283" s="5"/>
      <c r="B283" s="4" t="str">
        <f t="shared" si="17"/>
        <v/>
      </c>
      <c r="C283" t="str">
        <f>IF(AND(TRIM(A283)&lt;&gt;"",IFERROR(VLOOKUP(TRIM(B283),Inventory!E:E,1,0),0)=0),"X","_")</f>
        <v>_</v>
      </c>
      <c r="D283" t="str">
        <f>IF(AND(TRIM(A283)&lt;&gt;"",IFERROR(VLOOKUP(TRIM(B283),'Full Inventory'!F:F,1,0),0)=0),"X","_")</f>
        <v>_</v>
      </c>
      <c r="E283" t="str">
        <f t="shared" si="20"/>
        <v>X</v>
      </c>
      <c r="F283" t="str">
        <f ca="1">IFERROR(IF(AND(C283&amp;D283&amp;E283="___",INDIRECT("Inventory!A"&amp;MATCH(VLOOKUP(B283,Inventory!E:E,1,0),Inventory!E:E,0))&lt;&gt;INDIRECT("'Full Inventory'!B"&amp;MATCH(VLOOKUP(B283,'Full Inventory'!F:F,1,0),'Full Inventory'!F:F,0))),"X","_"),"_")</f>
        <v>_</v>
      </c>
      <c r="L283" t="str">
        <f t="shared" ca="1" si="18"/>
        <v>__X_</v>
      </c>
      <c r="M283" t="str">
        <f t="shared" ca="1" si="19"/>
        <v/>
      </c>
    </row>
    <row r="284" spans="1:13" x14ac:dyDescent="0.25">
      <c r="A284" s="5"/>
      <c r="B284" s="4" t="str">
        <f t="shared" si="17"/>
        <v/>
      </c>
      <c r="C284" t="str">
        <f>IF(AND(TRIM(A284)&lt;&gt;"",IFERROR(VLOOKUP(TRIM(B284),Inventory!E:E,1,0),0)=0),"X","_")</f>
        <v>_</v>
      </c>
      <c r="D284" t="str">
        <f>IF(AND(TRIM(A284)&lt;&gt;"",IFERROR(VLOOKUP(TRIM(B284),'Full Inventory'!F:F,1,0),0)=0),"X","_")</f>
        <v>_</v>
      </c>
      <c r="E284" t="str">
        <f t="shared" si="20"/>
        <v>X</v>
      </c>
      <c r="F284" t="str">
        <f ca="1">IFERROR(IF(AND(C284&amp;D284&amp;E284="___",INDIRECT("Inventory!A"&amp;MATCH(VLOOKUP(B284,Inventory!E:E,1,0),Inventory!E:E,0))&lt;&gt;INDIRECT("'Full Inventory'!B"&amp;MATCH(VLOOKUP(B284,'Full Inventory'!F:F,1,0),'Full Inventory'!F:F,0))),"X","_"),"_")</f>
        <v>_</v>
      </c>
      <c r="L284" t="str">
        <f t="shared" ca="1" si="18"/>
        <v>__X_</v>
      </c>
      <c r="M284" t="str">
        <f t="shared" ca="1" si="19"/>
        <v/>
      </c>
    </row>
    <row r="285" spans="1:13" x14ac:dyDescent="0.25">
      <c r="A285" s="5"/>
      <c r="B285" s="4" t="str">
        <f t="shared" si="17"/>
        <v/>
      </c>
      <c r="C285" t="str">
        <f>IF(AND(TRIM(A285)&lt;&gt;"",IFERROR(VLOOKUP(TRIM(B285),Inventory!E:E,1,0),0)=0),"X","_")</f>
        <v>_</v>
      </c>
      <c r="D285" t="str">
        <f>IF(AND(TRIM(A285)&lt;&gt;"",IFERROR(VLOOKUP(TRIM(B285),'Full Inventory'!F:F,1,0),0)=0),"X","_")</f>
        <v>_</v>
      </c>
      <c r="E285" t="str">
        <f t="shared" si="20"/>
        <v>X</v>
      </c>
      <c r="F285" t="str">
        <f ca="1">IFERROR(IF(AND(C285&amp;D285&amp;E285="___",INDIRECT("Inventory!A"&amp;MATCH(VLOOKUP(B285,Inventory!E:E,1,0),Inventory!E:E,0))&lt;&gt;INDIRECT("'Full Inventory'!B"&amp;MATCH(VLOOKUP(B285,'Full Inventory'!F:F,1,0),'Full Inventory'!F:F,0))),"X","_"),"_")</f>
        <v>_</v>
      </c>
      <c r="L285" t="str">
        <f t="shared" ca="1" si="18"/>
        <v>__X_</v>
      </c>
      <c r="M285" t="str">
        <f t="shared" ca="1" si="19"/>
        <v/>
      </c>
    </row>
    <row r="286" spans="1:13" x14ac:dyDescent="0.25">
      <c r="A286" s="5"/>
      <c r="B286" s="4" t="str">
        <f t="shared" si="17"/>
        <v/>
      </c>
      <c r="C286" t="str">
        <f>IF(AND(TRIM(A286)&lt;&gt;"",IFERROR(VLOOKUP(TRIM(B286),Inventory!E:E,1,0),0)=0),"X","_")</f>
        <v>_</v>
      </c>
      <c r="D286" t="str">
        <f>IF(AND(TRIM(A286)&lt;&gt;"",IFERROR(VLOOKUP(TRIM(B286),'Full Inventory'!F:F,1,0),0)=0),"X","_")</f>
        <v>_</v>
      </c>
      <c r="E286" t="str">
        <f t="shared" si="20"/>
        <v>X</v>
      </c>
      <c r="F286" t="str">
        <f ca="1">IFERROR(IF(AND(C286&amp;D286&amp;E286="___",INDIRECT("Inventory!A"&amp;MATCH(VLOOKUP(B286,Inventory!E:E,1,0),Inventory!E:E,0))&lt;&gt;INDIRECT("'Full Inventory'!B"&amp;MATCH(VLOOKUP(B286,'Full Inventory'!F:F,1,0),'Full Inventory'!F:F,0))),"X","_"),"_")</f>
        <v>_</v>
      </c>
      <c r="L286" t="str">
        <f t="shared" ca="1" si="18"/>
        <v>__X_</v>
      </c>
      <c r="M286" t="str">
        <f t="shared" ca="1" si="19"/>
        <v/>
      </c>
    </row>
    <row r="287" spans="1:13" x14ac:dyDescent="0.25">
      <c r="A287" s="5"/>
      <c r="B287" s="4" t="str">
        <f t="shared" si="17"/>
        <v/>
      </c>
      <c r="C287" t="str">
        <f>IF(AND(TRIM(A287)&lt;&gt;"",IFERROR(VLOOKUP(TRIM(B287),Inventory!E:E,1,0),0)=0),"X","_")</f>
        <v>_</v>
      </c>
      <c r="D287" t="str">
        <f>IF(AND(TRIM(A287)&lt;&gt;"",IFERROR(VLOOKUP(TRIM(B287),'Full Inventory'!F:F,1,0),0)=0),"X","_")</f>
        <v>_</v>
      </c>
      <c r="E287" t="str">
        <f t="shared" si="20"/>
        <v>X</v>
      </c>
      <c r="F287" t="str">
        <f ca="1">IFERROR(IF(AND(C287&amp;D287&amp;E287="___",INDIRECT("Inventory!A"&amp;MATCH(VLOOKUP(B287,Inventory!E:E,1,0),Inventory!E:E,0))&lt;&gt;INDIRECT("'Full Inventory'!B"&amp;MATCH(VLOOKUP(B287,'Full Inventory'!F:F,1,0),'Full Inventory'!F:F,0))),"X","_"),"_")</f>
        <v>_</v>
      </c>
      <c r="L287" t="str">
        <f t="shared" ca="1" si="18"/>
        <v>__X_</v>
      </c>
      <c r="M287" t="str">
        <f t="shared" ca="1" si="19"/>
        <v/>
      </c>
    </row>
    <row r="288" spans="1:13" x14ac:dyDescent="0.25">
      <c r="A288" s="5"/>
      <c r="B288" s="4" t="str">
        <f t="shared" si="17"/>
        <v/>
      </c>
      <c r="C288" t="str">
        <f>IF(AND(TRIM(A288)&lt;&gt;"",IFERROR(VLOOKUP(TRIM(B288),Inventory!E:E,1,0),0)=0),"X","_")</f>
        <v>_</v>
      </c>
      <c r="D288" t="str">
        <f>IF(AND(TRIM(A288)&lt;&gt;"",IFERROR(VLOOKUP(TRIM(B288),'Full Inventory'!F:F,1,0),0)=0),"X","_")</f>
        <v>_</v>
      </c>
      <c r="E288" t="str">
        <f t="shared" si="20"/>
        <v>X</v>
      </c>
      <c r="F288" t="str">
        <f ca="1">IFERROR(IF(AND(C288&amp;D288&amp;E288="___",INDIRECT("Inventory!A"&amp;MATCH(VLOOKUP(B288,Inventory!E:E,1,0),Inventory!E:E,0))&lt;&gt;INDIRECT("'Full Inventory'!B"&amp;MATCH(VLOOKUP(B288,'Full Inventory'!F:F,1,0),'Full Inventory'!F:F,0))),"X","_"),"_")</f>
        <v>_</v>
      </c>
      <c r="L288" t="str">
        <f t="shared" ca="1" si="18"/>
        <v>__X_</v>
      </c>
      <c r="M288" t="str">
        <f t="shared" ca="1" si="19"/>
        <v/>
      </c>
    </row>
    <row r="289" spans="1:13" x14ac:dyDescent="0.25">
      <c r="A289" s="5"/>
      <c r="B289" s="4" t="str">
        <f t="shared" si="17"/>
        <v/>
      </c>
      <c r="C289" t="str">
        <f>IF(AND(TRIM(A289)&lt;&gt;"",IFERROR(VLOOKUP(TRIM(B289),Inventory!E:E,1,0),0)=0),"X","_")</f>
        <v>_</v>
      </c>
      <c r="D289" t="str">
        <f>IF(AND(TRIM(A289)&lt;&gt;"",IFERROR(VLOOKUP(TRIM(B289),'Full Inventory'!F:F,1,0),0)=0),"X","_")</f>
        <v>_</v>
      </c>
      <c r="E289" t="str">
        <f t="shared" si="20"/>
        <v>X</v>
      </c>
      <c r="F289" t="str">
        <f ca="1">IFERROR(IF(AND(C289&amp;D289&amp;E289="___",INDIRECT("Inventory!A"&amp;MATCH(VLOOKUP(B289,Inventory!E:E,1,0),Inventory!E:E,0))&lt;&gt;INDIRECT("'Full Inventory'!B"&amp;MATCH(VLOOKUP(B289,'Full Inventory'!F:F,1,0),'Full Inventory'!F:F,0))),"X","_"),"_")</f>
        <v>_</v>
      </c>
      <c r="L289" t="str">
        <f t="shared" ca="1" si="18"/>
        <v>__X_</v>
      </c>
      <c r="M289" t="str">
        <f t="shared" ca="1" si="19"/>
        <v/>
      </c>
    </row>
    <row r="290" spans="1:13" x14ac:dyDescent="0.25">
      <c r="A290" s="5"/>
      <c r="B290" s="4" t="str">
        <f t="shared" si="17"/>
        <v/>
      </c>
      <c r="C290" t="str">
        <f>IF(AND(TRIM(A290)&lt;&gt;"",IFERROR(VLOOKUP(TRIM(B290),Inventory!E:E,1,0),0)=0),"X","_")</f>
        <v>_</v>
      </c>
      <c r="D290" t="str">
        <f>IF(AND(TRIM(A290)&lt;&gt;"",IFERROR(VLOOKUP(TRIM(B290),'Full Inventory'!F:F,1,0),0)=0),"X","_")</f>
        <v>_</v>
      </c>
      <c r="E290" t="str">
        <f t="shared" si="20"/>
        <v>X</v>
      </c>
      <c r="F290" t="str">
        <f ca="1">IFERROR(IF(AND(C290&amp;D290&amp;E290="___",INDIRECT("Inventory!A"&amp;MATCH(VLOOKUP(B290,Inventory!E:E,1,0),Inventory!E:E,0))&lt;&gt;INDIRECT("'Full Inventory'!B"&amp;MATCH(VLOOKUP(B290,'Full Inventory'!F:F,1,0),'Full Inventory'!F:F,0))),"X","_"),"_")</f>
        <v>_</v>
      </c>
      <c r="L290" t="str">
        <f t="shared" ca="1" si="18"/>
        <v>__X_</v>
      </c>
      <c r="M290" t="str">
        <f t="shared" ca="1" si="19"/>
        <v/>
      </c>
    </row>
    <row r="291" spans="1:13" x14ac:dyDescent="0.25">
      <c r="A291" s="5"/>
      <c r="B291" s="4" t="str">
        <f t="shared" si="17"/>
        <v/>
      </c>
      <c r="C291" t="str">
        <f>IF(AND(TRIM(A291)&lt;&gt;"",IFERROR(VLOOKUP(TRIM(B291),Inventory!E:E,1,0),0)=0),"X","_")</f>
        <v>_</v>
      </c>
      <c r="D291" t="str">
        <f>IF(AND(TRIM(A291)&lt;&gt;"",IFERROR(VLOOKUP(TRIM(B291),'Full Inventory'!F:F,1,0),0)=0),"X","_")</f>
        <v>_</v>
      </c>
      <c r="E291" t="str">
        <f t="shared" si="20"/>
        <v>X</v>
      </c>
      <c r="F291" t="str">
        <f ca="1">IFERROR(IF(AND(C291&amp;D291&amp;E291="___",INDIRECT("Inventory!A"&amp;MATCH(VLOOKUP(B291,Inventory!E:E,1,0),Inventory!E:E,0))&lt;&gt;INDIRECT("'Full Inventory'!B"&amp;MATCH(VLOOKUP(B291,'Full Inventory'!F:F,1,0),'Full Inventory'!F:F,0))),"X","_"),"_")</f>
        <v>_</v>
      </c>
      <c r="L291" t="str">
        <f t="shared" ca="1" si="18"/>
        <v>__X_</v>
      </c>
      <c r="M291" t="str">
        <f t="shared" ca="1" si="19"/>
        <v/>
      </c>
    </row>
    <row r="292" spans="1:13" x14ac:dyDescent="0.25">
      <c r="A292" s="5"/>
      <c r="B292" s="4" t="str">
        <f t="shared" si="17"/>
        <v/>
      </c>
      <c r="C292" t="str">
        <f>IF(AND(TRIM(A292)&lt;&gt;"",IFERROR(VLOOKUP(TRIM(B292),Inventory!E:E,1,0),0)=0),"X","_")</f>
        <v>_</v>
      </c>
      <c r="D292" t="str">
        <f>IF(AND(TRIM(A292)&lt;&gt;"",IFERROR(VLOOKUP(TRIM(B292),'Full Inventory'!F:F,1,0),0)=0),"X","_")</f>
        <v>_</v>
      </c>
      <c r="E292" t="str">
        <f t="shared" si="20"/>
        <v>X</v>
      </c>
      <c r="F292" t="str">
        <f ca="1">IFERROR(IF(AND(C292&amp;D292&amp;E292="___",INDIRECT("Inventory!A"&amp;MATCH(VLOOKUP(B292,Inventory!E:E,1,0),Inventory!E:E,0))&lt;&gt;INDIRECT("'Full Inventory'!B"&amp;MATCH(VLOOKUP(B292,'Full Inventory'!F:F,1,0),'Full Inventory'!F:F,0))),"X","_"),"_")</f>
        <v>_</v>
      </c>
      <c r="L292" t="str">
        <f t="shared" ca="1" si="18"/>
        <v>__X_</v>
      </c>
      <c r="M292" t="str">
        <f t="shared" ca="1" si="19"/>
        <v/>
      </c>
    </row>
    <row r="293" spans="1:13" x14ac:dyDescent="0.25">
      <c r="A293" s="5"/>
      <c r="B293" s="4" t="str">
        <f t="shared" si="17"/>
        <v/>
      </c>
      <c r="C293" t="str">
        <f>IF(AND(TRIM(A293)&lt;&gt;"",IFERROR(VLOOKUP(TRIM(B293),Inventory!E:E,1,0),0)=0),"X","_")</f>
        <v>_</v>
      </c>
      <c r="D293" t="str">
        <f>IF(AND(TRIM(A293)&lt;&gt;"",IFERROR(VLOOKUP(TRIM(B293),'Full Inventory'!F:F,1,0),0)=0),"X","_")</f>
        <v>_</v>
      </c>
      <c r="E293" t="str">
        <f t="shared" si="20"/>
        <v>X</v>
      </c>
      <c r="F293" t="str">
        <f ca="1">IFERROR(IF(AND(C293&amp;D293&amp;E293="___",INDIRECT("Inventory!A"&amp;MATCH(VLOOKUP(B293,Inventory!E:E,1,0),Inventory!E:E,0))&lt;&gt;INDIRECT("'Full Inventory'!B"&amp;MATCH(VLOOKUP(B293,'Full Inventory'!F:F,1,0),'Full Inventory'!F:F,0))),"X","_"),"_")</f>
        <v>_</v>
      </c>
      <c r="L293" t="str">
        <f t="shared" ca="1" si="18"/>
        <v>__X_</v>
      </c>
      <c r="M293" t="str">
        <f t="shared" ca="1" si="19"/>
        <v/>
      </c>
    </row>
    <row r="294" spans="1:13" x14ac:dyDescent="0.25">
      <c r="A294" s="5"/>
      <c r="B294" s="4" t="str">
        <f t="shared" si="17"/>
        <v/>
      </c>
      <c r="C294" t="str">
        <f>IF(AND(TRIM(A294)&lt;&gt;"",IFERROR(VLOOKUP(TRIM(B294),Inventory!E:E,1,0),0)=0),"X","_")</f>
        <v>_</v>
      </c>
      <c r="D294" t="str">
        <f>IF(AND(TRIM(A294)&lt;&gt;"",IFERROR(VLOOKUP(TRIM(B294),'Full Inventory'!F:F,1,0),0)=0),"X","_")</f>
        <v>_</v>
      </c>
      <c r="E294" t="str">
        <f t="shared" si="20"/>
        <v>X</v>
      </c>
      <c r="F294" t="str">
        <f ca="1">IFERROR(IF(AND(C294&amp;D294&amp;E294="___",INDIRECT("Inventory!A"&amp;MATCH(VLOOKUP(B294,Inventory!E:E,1,0),Inventory!E:E,0))&lt;&gt;INDIRECT("'Full Inventory'!B"&amp;MATCH(VLOOKUP(B294,'Full Inventory'!F:F,1,0),'Full Inventory'!F:F,0))),"X","_"),"_")</f>
        <v>_</v>
      </c>
      <c r="L294" t="str">
        <f t="shared" ca="1" si="18"/>
        <v>__X_</v>
      </c>
      <c r="M294" t="str">
        <f t="shared" ca="1" si="19"/>
        <v/>
      </c>
    </row>
    <row r="295" spans="1:13" x14ac:dyDescent="0.25">
      <c r="A295" s="5"/>
      <c r="B295" s="4" t="str">
        <f t="shared" si="17"/>
        <v/>
      </c>
      <c r="C295" t="str">
        <f>IF(AND(TRIM(A295)&lt;&gt;"",IFERROR(VLOOKUP(TRIM(B295),Inventory!E:E,1,0),0)=0),"X","_")</f>
        <v>_</v>
      </c>
      <c r="D295" t="str">
        <f>IF(AND(TRIM(A295)&lt;&gt;"",IFERROR(VLOOKUP(TRIM(B295),'Full Inventory'!F:F,1,0),0)=0),"X","_")</f>
        <v>_</v>
      </c>
      <c r="E295" t="str">
        <f t="shared" si="20"/>
        <v>X</v>
      </c>
      <c r="F295" t="str">
        <f ca="1">IFERROR(IF(AND(C295&amp;D295&amp;E295="___",INDIRECT("Inventory!A"&amp;MATCH(VLOOKUP(B295,Inventory!E:E,1,0),Inventory!E:E,0))&lt;&gt;INDIRECT("'Full Inventory'!B"&amp;MATCH(VLOOKUP(B295,'Full Inventory'!F:F,1,0),'Full Inventory'!F:F,0))),"X","_"),"_")</f>
        <v>_</v>
      </c>
      <c r="L295" t="str">
        <f t="shared" ca="1" si="18"/>
        <v>__X_</v>
      </c>
      <c r="M295" t="str">
        <f t="shared" ca="1" si="19"/>
        <v/>
      </c>
    </row>
    <row r="296" spans="1:13" x14ac:dyDescent="0.25">
      <c r="A296" s="5"/>
      <c r="B296" s="4" t="str">
        <f t="shared" si="17"/>
        <v/>
      </c>
      <c r="C296" t="str">
        <f>IF(AND(TRIM(A296)&lt;&gt;"",IFERROR(VLOOKUP(TRIM(B296),Inventory!E:E,1,0),0)=0),"X","_")</f>
        <v>_</v>
      </c>
      <c r="D296" t="str">
        <f>IF(AND(TRIM(A296)&lt;&gt;"",IFERROR(VLOOKUP(TRIM(B296),'Full Inventory'!F:F,1,0),0)=0),"X","_")</f>
        <v>_</v>
      </c>
      <c r="E296" t="str">
        <f t="shared" si="20"/>
        <v>X</v>
      </c>
      <c r="F296" t="str">
        <f ca="1">IFERROR(IF(AND(C296&amp;D296&amp;E296="___",INDIRECT("Inventory!A"&amp;MATCH(VLOOKUP(B296,Inventory!E:E,1,0),Inventory!E:E,0))&lt;&gt;INDIRECT("'Full Inventory'!B"&amp;MATCH(VLOOKUP(B296,'Full Inventory'!F:F,1,0),'Full Inventory'!F:F,0))),"X","_"),"_")</f>
        <v>_</v>
      </c>
      <c r="L296" t="str">
        <f t="shared" ca="1" si="18"/>
        <v>__X_</v>
      </c>
      <c r="M296" t="str">
        <f t="shared" ca="1" si="19"/>
        <v/>
      </c>
    </row>
    <row r="297" spans="1:13" x14ac:dyDescent="0.25">
      <c r="A297" s="5"/>
      <c r="B297" s="4" t="str">
        <f t="shared" si="17"/>
        <v/>
      </c>
      <c r="C297" t="str">
        <f>IF(AND(TRIM(A297)&lt;&gt;"",IFERROR(VLOOKUP(TRIM(B297),Inventory!E:E,1,0),0)=0),"X","_")</f>
        <v>_</v>
      </c>
      <c r="D297" t="str">
        <f>IF(AND(TRIM(A297)&lt;&gt;"",IFERROR(VLOOKUP(TRIM(B297),'Full Inventory'!F:F,1,0),0)=0),"X","_")</f>
        <v>_</v>
      </c>
      <c r="E297" t="str">
        <f t="shared" si="20"/>
        <v>X</v>
      </c>
      <c r="F297" t="str">
        <f ca="1">IFERROR(IF(AND(C297&amp;D297&amp;E297="___",INDIRECT("Inventory!A"&amp;MATCH(VLOOKUP(B297,Inventory!E:E,1,0),Inventory!E:E,0))&lt;&gt;INDIRECT("'Full Inventory'!B"&amp;MATCH(VLOOKUP(B297,'Full Inventory'!F:F,1,0),'Full Inventory'!F:F,0))),"X","_"),"_")</f>
        <v>_</v>
      </c>
      <c r="L297" t="str">
        <f t="shared" ca="1" si="18"/>
        <v>__X_</v>
      </c>
      <c r="M297" t="str">
        <f t="shared" ca="1" si="19"/>
        <v/>
      </c>
    </row>
    <row r="298" spans="1:13" x14ac:dyDescent="0.25">
      <c r="A298" s="5"/>
      <c r="B298" s="4" t="str">
        <f t="shared" si="17"/>
        <v/>
      </c>
      <c r="C298" t="str">
        <f>IF(AND(TRIM(A298)&lt;&gt;"",IFERROR(VLOOKUP(TRIM(B298),Inventory!E:E,1,0),0)=0),"X","_")</f>
        <v>_</v>
      </c>
      <c r="D298" t="str">
        <f>IF(AND(TRIM(A298)&lt;&gt;"",IFERROR(VLOOKUP(TRIM(B298),'Full Inventory'!F:F,1,0),0)=0),"X","_")</f>
        <v>_</v>
      </c>
      <c r="E298" t="str">
        <f t="shared" si="20"/>
        <v>X</v>
      </c>
      <c r="F298" t="str">
        <f ca="1">IFERROR(IF(AND(C298&amp;D298&amp;E298="___",INDIRECT("Inventory!A"&amp;MATCH(VLOOKUP(B298,Inventory!E:E,1,0),Inventory!E:E,0))&lt;&gt;INDIRECT("'Full Inventory'!B"&amp;MATCH(VLOOKUP(B298,'Full Inventory'!F:F,1,0),'Full Inventory'!F:F,0))),"X","_"),"_")</f>
        <v>_</v>
      </c>
      <c r="L298" t="str">
        <f t="shared" ca="1" si="18"/>
        <v>__X_</v>
      </c>
      <c r="M298" t="str">
        <f t="shared" ca="1" si="19"/>
        <v/>
      </c>
    </row>
    <row r="299" spans="1:13" x14ac:dyDescent="0.25">
      <c r="A299" s="5"/>
      <c r="B299" s="4" t="str">
        <f t="shared" si="17"/>
        <v/>
      </c>
      <c r="C299" t="str">
        <f>IF(AND(TRIM(A299)&lt;&gt;"",IFERROR(VLOOKUP(TRIM(B299),Inventory!E:E,1,0),0)=0),"X","_")</f>
        <v>_</v>
      </c>
      <c r="D299" t="str">
        <f>IF(AND(TRIM(A299)&lt;&gt;"",IFERROR(VLOOKUP(TRIM(B299),'Full Inventory'!F:F,1,0),0)=0),"X","_")</f>
        <v>_</v>
      </c>
      <c r="E299" t="str">
        <f t="shared" si="20"/>
        <v>X</v>
      </c>
      <c r="F299" t="str">
        <f ca="1">IFERROR(IF(AND(C299&amp;D299&amp;E299="___",INDIRECT("Inventory!A"&amp;MATCH(VLOOKUP(B299,Inventory!E:E,1,0),Inventory!E:E,0))&lt;&gt;INDIRECT("'Full Inventory'!B"&amp;MATCH(VLOOKUP(B299,'Full Inventory'!F:F,1,0),'Full Inventory'!F:F,0))),"X","_"),"_")</f>
        <v>_</v>
      </c>
      <c r="L299" t="str">
        <f t="shared" ca="1" si="18"/>
        <v>__X_</v>
      </c>
      <c r="M299" t="str">
        <f t="shared" ca="1" si="19"/>
        <v/>
      </c>
    </row>
    <row r="300" spans="1:13" x14ac:dyDescent="0.25">
      <c r="A300" s="5"/>
      <c r="B300" s="4" t="str">
        <f t="shared" si="17"/>
        <v/>
      </c>
      <c r="C300" t="str">
        <f>IF(AND(TRIM(A300)&lt;&gt;"",IFERROR(VLOOKUP(TRIM(B300),Inventory!E:E,1,0),0)=0),"X","_")</f>
        <v>_</v>
      </c>
      <c r="D300" t="str">
        <f>IF(AND(TRIM(A300)&lt;&gt;"",IFERROR(VLOOKUP(TRIM(B300),'Full Inventory'!F:F,1,0),0)=0),"X","_")</f>
        <v>_</v>
      </c>
      <c r="E300" t="str">
        <f t="shared" si="20"/>
        <v>X</v>
      </c>
      <c r="F300" t="str">
        <f ca="1">IFERROR(IF(AND(C300&amp;D300&amp;E300="___",INDIRECT("Inventory!A"&amp;MATCH(VLOOKUP(B300,Inventory!E:E,1,0),Inventory!E:E,0))&lt;&gt;INDIRECT("'Full Inventory'!B"&amp;MATCH(VLOOKUP(B300,'Full Inventory'!F:F,1,0),'Full Inventory'!F:F,0))),"X","_"),"_")</f>
        <v>_</v>
      </c>
      <c r="L300" t="str">
        <f t="shared" ca="1" si="18"/>
        <v>__X_</v>
      </c>
      <c r="M300" t="str">
        <f t="shared" ca="1" si="19"/>
        <v/>
      </c>
    </row>
    <row r="301" spans="1:13" x14ac:dyDescent="0.25">
      <c r="A301" s="5"/>
      <c r="B301" s="4" t="str">
        <f t="shared" si="17"/>
        <v/>
      </c>
      <c r="C301" t="str">
        <f>IF(AND(TRIM(A301)&lt;&gt;"",IFERROR(VLOOKUP(TRIM(B301),Inventory!E:E,1,0),0)=0),"X","_")</f>
        <v>_</v>
      </c>
      <c r="D301" t="str">
        <f>IF(AND(TRIM(A301)&lt;&gt;"",IFERROR(VLOOKUP(TRIM(B301),'Full Inventory'!F:F,1,0),0)=0),"X","_")</f>
        <v>_</v>
      </c>
      <c r="E301" t="str">
        <f t="shared" si="20"/>
        <v>X</v>
      </c>
      <c r="F301" t="str">
        <f ca="1">IFERROR(IF(AND(C301&amp;D301&amp;E301="___",INDIRECT("Inventory!A"&amp;MATCH(VLOOKUP(B301,Inventory!E:E,1,0),Inventory!E:E,0))&lt;&gt;INDIRECT("'Full Inventory'!B"&amp;MATCH(VLOOKUP(B301,'Full Inventory'!F:F,1,0),'Full Inventory'!F:F,0))),"X","_"),"_")</f>
        <v>_</v>
      </c>
      <c r="L301" t="str">
        <f t="shared" ca="1" si="18"/>
        <v>__X_</v>
      </c>
      <c r="M301" t="str">
        <f t="shared" ca="1" si="19"/>
        <v/>
      </c>
    </row>
    <row r="302" spans="1:13" x14ac:dyDescent="0.25">
      <c r="A302" s="5"/>
      <c r="B302" s="4" t="str">
        <f t="shared" si="17"/>
        <v/>
      </c>
      <c r="C302" t="str">
        <f>IF(AND(TRIM(A302)&lt;&gt;"",IFERROR(VLOOKUP(TRIM(B302),Inventory!E:E,1,0),0)=0),"X","_")</f>
        <v>_</v>
      </c>
      <c r="D302" t="str">
        <f>IF(AND(TRIM(A302)&lt;&gt;"",IFERROR(VLOOKUP(TRIM(B302),'Full Inventory'!F:F,1,0),0)=0),"X","_")</f>
        <v>_</v>
      </c>
      <c r="E302" t="str">
        <f t="shared" si="20"/>
        <v>X</v>
      </c>
      <c r="F302" t="str">
        <f ca="1">IFERROR(IF(AND(C302&amp;D302&amp;E302="___",INDIRECT("Inventory!A"&amp;MATCH(VLOOKUP(B302,Inventory!E:E,1,0),Inventory!E:E,0))&lt;&gt;INDIRECT("'Full Inventory'!B"&amp;MATCH(VLOOKUP(B302,'Full Inventory'!F:F,1,0),'Full Inventory'!F:F,0))),"X","_"),"_")</f>
        <v>_</v>
      </c>
      <c r="L302" t="str">
        <f t="shared" ca="1" si="18"/>
        <v>__X_</v>
      </c>
      <c r="M302" t="str">
        <f t="shared" ca="1" si="19"/>
        <v/>
      </c>
    </row>
    <row r="303" spans="1:13" x14ac:dyDescent="0.25">
      <c r="A303" s="5"/>
      <c r="B303" s="4" t="str">
        <f t="shared" si="17"/>
        <v/>
      </c>
      <c r="C303" t="str">
        <f>IF(AND(TRIM(A303)&lt;&gt;"",IFERROR(VLOOKUP(TRIM(B303),Inventory!E:E,1,0),0)=0),"X","_")</f>
        <v>_</v>
      </c>
      <c r="D303" t="str">
        <f>IF(AND(TRIM(A303)&lt;&gt;"",IFERROR(VLOOKUP(TRIM(B303),'Full Inventory'!F:F,1,0),0)=0),"X","_")</f>
        <v>_</v>
      </c>
      <c r="E303" t="str">
        <f t="shared" si="20"/>
        <v>X</v>
      </c>
      <c r="F303" t="str">
        <f ca="1">IFERROR(IF(AND(C303&amp;D303&amp;E303="___",INDIRECT("Inventory!A"&amp;MATCH(VLOOKUP(B303,Inventory!E:E,1,0),Inventory!E:E,0))&lt;&gt;INDIRECT("'Full Inventory'!B"&amp;MATCH(VLOOKUP(B303,'Full Inventory'!F:F,1,0),'Full Inventory'!F:F,0))),"X","_"),"_")</f>
        <v>_</v>
      </c>
      <c r="L303" t="str">
        <f t="shared" ca="1" si="18"/>
        <v>__X_</v>
      </c>
      <c r="M303" t="str">
        <f t="shared" ca="1" si="19"/>
        <v/>
      </c>
    </row>
    <row r="304" spans="1:13" x14ac:dyDescent="0.25">
      <c r="A304" s="5"/>
      <c r="B304" s="4" t="str">
        <f t="shared" si="17"/>
        <v/>
      </c>
      <c r="C304" t="str">
        <f>IF(AND(TRIM(A304)&lt;&gt;"",IFERROR(VLOOKUP(TRIM(B304),Inventory!E:E,1,0),0)=0),"X","_")</f>
        <v>_</v>
      </c>
      <c r="D304" t="str">
        <f>IF(AND(TRIM(A304)&lt;&gt;"",IFERROR(VLOOKUP(TRIM(B304),'Full Inventory'!F:F,1,0),0)=0),"X","_")</f>
        <v>_</v>
      </c>
      <c r="E304" t="str">
        <f t="shared" si="20"/>
        <v>X</v>
      </c>
      <c r="F304" t="str">
        <f ca="1">IFERROR(IF(AND(C304&amp;D304&amp;E304="___",INDIRECT("Inventory!A"&amp;MATCH(VLOOKUP(B304,Inventory!E:E,1,0),Inventory!E:E,0))&lt;&gt;INDIRECT("'Full Inventory'!B"&amp;MATCH(VLOOKUP(B304,'Full Inventory'!F:F,1,0),'Full Inventory'!F:F,0))),"X","_"),"_")</f>
        <v>_</v>
      </c>
      <c r="L304" t="str">
        <f t="shared" ca="1" si="18"/>
        <v>__X_</v>
      </c>
      <c r="M304" t="str">
        <f t="shared" ca="1" si="19"/>
        <v/>
      </c>
    </row>
    <row r="305" spans="1:13" x14ac:dyDescent="0.25">
      <c r="A305" s="5"/>
      <c r="B305" s="4" t="str">
        <f t="shared" si="17"/>
        <v/>
      </c>
      <c r="C305" t="str">
        <f>IF(AND(TRIM(A305)&lt;&gt;"",IFERROR(VLOOKUP(TRIM(B305),Inventory!E:E,1,0),0)=0),"X","_")</f>
        <v>_</v>
      </c>
      <c r="D305" t="str">
        <f>IF(AND(TRIM(A305)&lt;&gt;"",IFERROR(VLOOKUP(TRIM(B305),'Full Inventory'!F:F,1,0),0)=0),"X","_")</f>
        <v>_</v>
      </c>
      <c r="E305" t="str">
        <f t="shared" si="20"/>
        <v>X</v>
      </c>
      <c r="F305" t="str">
        <f ca="1">IFERROR(IF(AND(C305&amp;D305&amp;E305="___",INDIRECT("Inventory!A"&amp;MATCH(VLOOKUP(B305,Inventory!E:E,1,0),Inventory!E:E,0))&lt;&gt;INDIRECT("'Full Inventory'!B"&amp;MATCH(VLOOKUP(B305,'Full Inventory'!F:F,1,0),'Full Inventory'!F:F,0))),"X","_"),"_")</f>
        <v>_</v>
      </c>
      <c r="L305" t="str">
        <f t="shared" ca="1" si="18"/>
        <v>__X_</v>
      </c>
      <c r="M305" t="str">
        <f t="shared" ca="1" si="19"/>
        <v/>
      </c>
    </row>
    <row r="306" spans="1:13" x14ac:dyDescent="0.25">
      <c r="A306" s="5"/>
      <c r="B306" s="4" t="str">
        <f t="shared" si="17"/>
        <v/>
      </c>
      <c r="C306" t="str">
        <f>IF(AND(TRIM(A306)&lt;&gt;"",IFERROR(VLOOKUP(TRIM(B306),Inventory!E:E,1,0),0)=0),"X","_")</f>
        <v>_</v>
      </c>
      <c r="D306" t="str">
        <f>IF(AND(TRIM(A306)&lt;&gt;"",IFERROR(VLOOKUP(TRIM(B306),'Full Inventory'!F:F,1,0),0)=0),"X","_")</f>
        <v>_</v>
      </c>
      <c r="E306" t="str">
        <f t="shared" si="20"/>
        <v>X</v>
      </c>
      <c r="F306" t="str">
        <f ca="1">IFERROR(IF(AND(C306&amp;D306&amp;E306="___",INDIRECT("Inventory!A"&amp;MATCH(VLOOKUP(B306,Inventory!E:E,1,0),Inventory!E:E,0))&lt;&gt;INDIRECT("'Full Inventory'!B"&amp;MATCH(VLOOKUP(B306,'Full Inventory'!F:F,1,0),'Full Inventory'!F:F,0))),"X","_"),"_")</f>
        <v>_</v>
      </c>
      <c r="L306" t="str">
        <f t="shared" ca="1" si="18"/>
        <v>__X_</v>
      </c>
      <c r="M306" t="str">
        <f t="shared" ca="1" si="19"/>
        <v/>
      </c>
    </row>
    <row r="307" spans="1:13" x14ac:dyDescent="0.25">
      <c r="A307" s="5"/>
      <c r="B307" s="4" t="str">
        <f t="shared" si="17"/>
        <v/>
      </c>
      <c r="C307" t="str">
        <f>IF(AND(TRIM(A307)&lt;&gt;"",IFERROR(VLOOKUP(TRIM(B307),Inventory!E:E,1,0),0)=0),"X","_")</f>
        <v>_</v>
      </c>
      <c r="D307" t="str">
        <f>IF(AND(TRIM(A307)&lt;&gt;"",IFERROR(VLOOKUP(TRIM(B307),'Full Inventory'!F:F,1,0),0)=0),"X","_")</f>
        <v>_</v>
      </c>
      <c r="E307" t="str">
        <f t="shared" si="20"/>
        <v>X</v>
      </c>
      <c r="F307" t="str">
        <f ca="1">IFERROR(IF(AND(C307&amp;D307&amp;E307="___",INDIRECT("Inventory!A"&amp;MATCH(VLOOKUP(B307,Inventory!E:E,1,0),Inventory!E:E,0))&lt;&gt;INDIRECT("'Full Inventory'!B"&amp;MATCH(VLOOKUP(B307,'Full Inventory'!F:F,1,0),'Full Inventory'!F:F,0))),"X","_"),"_")</f>
        <v>_</v>
      </c>
      <c r="L307" t="str">
        <f t="shared" ca="1" si="18"/>
        <v>__X_</v>
      </c>
      <c r="M307" t="str">
        <f t="shared" ca="1" si="19"/>
        <v/>
      </c>
    </row>
    <row r="308" spans="1:13" x14ac:dyDescent="0.25">
      <c r="A308" s="5"/>
      <c r="B308" s="4" t="str">
        <f t="shared" si="17"/>
        <v/>
      </c>
      <c r="C308" t="str">
        <f>IF(AND(TRIM(A308)&lt;&gt;"",IFERROR(VLOOKUP(TRIM(B308),Inventory!E:E,1,0),0)=0),"X","_")</f>
        <v>_</v>
      </c>
      <c r="D308" t="str">
        <f>IF(AND(TRIM(A308)&lt;&gt;"",IFERROR(VLOOKUP(TRIM(B308),'Full Inventory'!F:F,1,0),0)=0),"X","_")</f>
        <v>_</v>
      </c>
      <c r="E308" t="str">
        <f t="shared" si="20"/>
        <v>X</v>
      </c>
      <c r="F308" t="str">
        <f ca="1">IFERROR(IF(AND(C308&amp;D308&amp;E308="___",INDIRECT("Inventory!A"&amp;MATCH(VLOOKUP(B308,Inventory!E:E,1,0),Inventory!E:E,0))&lt;&gt;INDIRECT("'Full Inventory'!B"&amp;MATCH(VLOOKUP(B308,'Full Inventory'!F:F,1,0),'Full Inventory'!F:F,0))),"X","_"),"_")</f>
        <v>_</v>
      </c>
      <c r="L308" t="str">
        <f t="shared" ca="1" si="18"/>
        <v>__X_</v>
      </c>
      <c r="M308" t="str">
        <f t="shared" ca="1" si="19"/>
        <v/>
      </c>
    </row>
    <row r="309" spans="1:13" x14ac:dyDescent="0.25">
      <c r="A309" s="5"/>
      <c r="B309" s="4" t="str">
        <f t="shared" si="17"/>
        <v/>
      </c>
      <c r="C309" t="str">
        <f>IF(AND(TRIM(A309)&lt;&gt;"",IFERROR(VLOOKUP(TRIM(B309),Inventory!E:E,1,0),0)=0),"X","_")</f>
        <v>_</v>
      </c>
      <c r="D309" t="str">
        <f>IF(AND(TRIM(A309)&lt;&gt;"",IFERROR(VLOOKUP(TRIM(B309),'Full Inventory'!F:F,1,0),0)=0),"X","_")</f>
        <v>_</v>
      </c>
      <c r="E309" t="str">
        <f t="shared" si="20"/>
        <v>X</v>
      </c>
      <c r="F309" t="str">
        <f ca="1">IFERROR(IF(AND(C309&amp;D309&amp;E309="___",INDIRECT("Inventory!A"&amp;MATCH(VLOOKUP(B309,Inventory!E:E,1,0),Inventory!E:E,0))&lt;&gt;INDIRECT("'Full Inventory'!B"&amp;MATCH(VLOOKUP(B309,'Full Inventory'!F:F,1,0),'Full Inventory'!F:F,0))),"X","_"),"_")</f>
        <v>_</v>
      </c>
      <c r="L309" t="str">
        <f t="shared" ca="1" si="18"/>
        <v>__X_</v>
      </c>
      <c r="M309" t="str">
        <f t="shared" ca="1" si="19"/>
        <v/>
      </c>
    </row>
    <row r="310" spans="1:13" x14ac:dyDescent="0.25">
      <c r="A310" s="5"/>
      <c r="B310" s="4" t="str">
        <f t="shared" si="17"/>
        <v/>
      </c>
      <c r="C310" t="str">
        <f>IF(AND(TRIM(A310)&lt;&gt;"",IFERROR(VLOOKUP(TRIM(B310),Inventory!E:E,1,0),0)=0),"X","_")</f>
        <v>_</v>
      </c>
      <c r="D310" t="str">
        <f>IF(AND(TRIM(A310)&lt;&gt;"",IFERROR(VLOOKUP(TRIM(B310),'Full Inventory'!F:F,1,0),0)=0),"X","_")</f>
        <v>_</v>
      </c>
      <c r="E310" t="str">
        <f t="shared" si="20"/>
        <v>X</v>
      </c>
      <c r="F310" t="str">
        <f ca="1">IFERROR(IF(AND(C310&amp;D310&amp;E310="___",INDIRECT("Inventory!A"&amp;MATCH(VLOOKUP(B310,Inventory!E:E,1,0),Inventory!E:E,0))&lt;&gt;INDIRECT("'Full Inventory'!B"&amp;MATCH(VLOOKUP(B310,'Full Inventory'!F:F,1,0),'Full Inventory'!F:F,0))),"X","_"),"_")</f>
        <v>_</v>
      </c>
      <c r="L310" t="str">
        <f t="shared" ca="1" si="18"/>
        <v>__X_</v>
      </c>
      <c r="M310" t="str">
        <f t="shared" ca="1" si="19"/>
        <v/>
      </c>
    </row>
    <row r="311" spans="1:13" x14ac:dyDescent="0.25">
      <c r="A311" s="5"/>
      <c r="B311" s="4" t="str">
        <f t="shared" si="17"/>
        <v/>
      </c>
      <c r="C311" t="str">
        <f>IF(AND(TRIM(A311)&lt;&gt;"",IFERROR(VLOOKUP(TRIM(B311),Inventory!E:E,1,0),0)=0),"X","_")</f>
        <v>_</v>
      </c>
      <c r="D311" t="str">
        <f>IF(AND(TRIM(A311)&lt;&gt;"",IFERROR(VLOOKUP(TRIM(B311),'Full Inventory'!F:F,1,0),0)=0),"X","_")</f>
        <v>_</v>
      </c>
      <c r="E311" t="str">
        <f t="shared" si="20"/>
        <v>X</v>
      </c>
      <c r="F311" t="str">
        <f ca="1">IFERROR(IF(AND(C311&amp;D311&amp;E311="___",INDIRECT("Inventory!A"&amp;MATCH(VLOOKUP(B311,Inventory!E:E,1,0),Inventory!E:E,0))&lt;&gt;INDIRECT("'Full Inventory'!B"&amp;MATCH(VLOOKUP(B311,'Full Inventory'!F:F,1,0),'Full Inventory'!F:F,0))),"X","_"),"_")</f>
        <v>_</v>
      </c>
      <c r="L311" t="str">
        <f t="shared" ca="1" si="18"/>
        <v>__X_</v>
      </c>
      <c r="M311" t="str">
        <f t="shared" ca="1" si="19"/>
        <v/>
      </c>
    </row>
    <row r="312" spans="1:13" x14ac:dyDescent="0.25">
      <c r="A312" s="5"/>
      <c r="B312" s="4" t="str">
        <f t="shared" si="17"/>
        <v/>
      </c>
      <c r="C312" t="str">
        <f>IF(AND(TRIM(A312)&lt;&gt;"",IFERROR(VLOOKUP(TRIM(B312),Inventory!E:E,1,0),0)=0),"X","_")</f>
        <v>_</v>
      </c>
      <c r="D312" t="str">
        <f>IF(AND(TRIM(A312)&lt;&gt;"",IFERROR(VLOOKUP(TRIM(B312),'Full Inventory'!F:F,1,0),0)=0),"X","_")</f>
        <v>_</v>
      </c>
      <c r="E312" t="str">
        <f t="shared" si="20"/>
        <v>X</v>
      </c>
      <c r="F312" t="str">
        <f ca="1">IFERROR(IF(AND(C312&amp;D312&amp;E312="___",INDIRECT("Inventory!A"&amp;MATCH(VLOOKUP(B312,Inventory!E:E,1,0),Inventory!E:E,0))&lt;&gt;INDIRECT("'Full Inventory'!B"&amp;MATCH(VLOOKUP(B312,'Full Inventory'!F:F,1,0),'Full Inventory'!F:F,0))),"X","_"),"_")</f>
        <v>_</v>
      </c>
      <c r="L312" t="str">
        <f t="shared" ca="1" si="18"/>
        <v>__X_</v>
      </c>
      <c r="M312" t="str">
        <f t="shared" ca="1" si="19"/>
        <v/>
      </c>
    </row>
    <row r="313" spans="1:13" x14ac:dyDescent="0.25">
      <c r="A313" s="5"/>
      <c r="B313" s="4" t="str">
        <f t="shared" si="17"/>
        <v/>
      </c>
      <c r="C313" t="str">
        <f>IF(AND(TRIM(A313)&lt;&gt;"",IFERROR(VLOOKUP(TRIM(B313),Inventory!E:E,1,0),0)=0),"X","_")</f>
        <v>_</v>
      </c>
      <c r="D313" t="str">
        <f>IF(AND(TRIM(A313)&lt;&gt;"",IFERROR(VLOOKUP(TRIM(B313),'Full Inventory'!F:F,1,0),0)=0),"X","_")</f>
        <v>_</v>
      </c>
      <c r="E313" t="str">
        <f t="shared" si="20"/>
        <v>X</v>
      </c>
      <c r="F313" t="str">
        <f ca="1">IFERROR(IF(AND(C313&amp;D313&amp;E313="___",INDIRECT("Inventory!A"&amp;MATCH(VLOOKUP(B313,Inventory!E:E,1,0),Inventory!E:E,0))&lt;&gt;INDIRECT("'Full Inventory'!B"&amp;MATCH(VLOOKUP(B313,'Full Inventory'!F:F,1,0),'Full Inventory'!F:F,0))),"X","_"),"_")</f>
        <v>_</v>
      </c>
      <c r="L313" t="str">
        <f t="shared" ca="1" si="18"/>
        <v>__X_</v>
      </c>
      <c r="M313" t="str">
        <f t="shared" ca="1" si="19"/>
        <v/>
      </c>
    </row>
    <row r="314" spans="1:13" x14ac:dyDescent="0.25">
      <c r="A314" s="5"/>
      <c r="B314" s="4" t="str">
        <f t="shared" si="17"/>
        <v/>
      </c>
      <c r="C314" t="str">
        <f>IF(AND(TRIM(A314)&lt;&gt;"",IFERROR(VLOOKUP(TRIM(B314),Inventory!E:E,1,0),0)=0),"X","_")</f>
        <v>_</v>
      </c>
      <c r="D314" t="str">
        <f>IF(AND(TRIM(A314)&lt;&gt;"",IFERROR(VLOOKUP(TRIM(B314),'Full Inventory'!F:F,1,0),0)=0),"X","_")</f>
        <v>_</v>
      </c>
      <c r="E314" t="str">
        <f t="shared" si="20"/>
        <v>X</v>
      </c>
      <c r="F314" t="str">
        <f ca="1">IFERROR(IF(AND(C314&amp;D314&amp;E314="___",INDIRECT("Inventory!A"&amp;MATCH(VLOOKUP(B314,Inventory!E:E,1,0),Inventory!E:E,0))&lt;&gt;INDIRECT("'Full Inventory'!B"&amp;MATCH(VLOOKUP(B314,'Full Inventory'!F:F,1,0),'Full Inventory'!F:F,0))),"X","_"),"_")</f>
        <v>_</v>
      </c>
      <c r="L314" t="str">
        <f t="shared" ca="1" si="18"/>
        <v>__X_</v>
      </c>
      <c r="M314" t="str">
        <f t="shared" ca="1" si="19"/>
        <v/>
      </c>
    </row>
    <row r="315" spans="1:13" x14ac:dyDescent="0.25">
      <c r="A315" s="5"/>
      <c r="B315" s="4" t="str">
        <f t="shared" si="17"/>
        <v/>
      </c>
      <c r="C315" t="str">
        <f>IF(AND(TRIM(A315)&lt;&gt;"",IFERROR(VLOOKUP(TRIM(B315),Inventory!E:E,1,0),0)=0),"X","_")</f>
        <v>_</v>
      </c>
      <c r="D315" t="str">
        <f>IF(AND(TRIM(A315)&lt;&gt;"",IFERROR(VLOOKUP(TRIM(B315),'Full Inventory'!F:F,1,0),0)=0),"X","_")</f>
        <v>_</v>
      </c>
      <c r="E315" t="str">
        <f t="shared" si="20"/>
        <v>X</v>
      </c>
      <c r="F315" t="str">
        <f ca="1">IFERROR(IF(AND(C315&amp;D315&amp;E315="___",INDIRECT("Inventory!A"&amp;MATCH(VLOOKUP(B315,Inventory!E:E,1,0),Inventory!E:E,0))&lt;&gt;INDIRECT("'Full Inventory'!B"&amp;MATCH(VLOOKUP(B315,'Full Inventory'!F:F,1,0),'Full Inventory'!F:F,0))),"X","_"),"_")</f>
        <v>_</v>
      </c>
      <c r="L315" t="str">
        <f t="shared" ca="1" si="18"/>
        <v>__X_</v>
      </c>
      <c r="M315" t="str">
        <f t="shared" ca="1" si="19"/>
        <v/>
      </c>
    </row>
    <row r="316" spans="1:13" x14ac:dyDescent="0.25">
      <c r="A316" s="5"/>
      <c r="B316" s="4" t="str">
        <f t="shared" si="17"/>
        <v/>
      </c>
      <c r="C316" t="str">
        <f>IF(AND(TRIM(A316)&lt;&gt;"",IFERROR(VLOOKUP(TRIM(B316),Inventory!E:E,1,0),0)=0),"X","_")</f>
        <v>_</v>
      </c>
      <c r="D316" t="str">
        <f>IF(AND(TRIM(A316)&lt;&gt;"",IFERROR(VLOOKUP(TRIM(B316),'Full Inventory'!F:F,1,0),0)=0),"X","_")</f>
        <v>_</v>
      </c>
      <c r="E316" t="str">
        <f t="shared" si="20"/>
        <v>X</v>
      </c>
      <c r="F316" t="str">
        <f ca="1">IFERROR(IF(AND(C316&amp;D316&amp;E316="___",INDIRECT("Inventory!A"&amp;MATCH(VLOOKUP(B316,Inventory!E:E,1,0),Inventory!E:E,0))&lt;&gt;INDIRECT("'Full Inventory'!B"&amp;MATCH(VLOOKUP(B316,'Full Inventory'!F:F,1,0),'Full Inventory'!F:F,0))),"X","_"),"_")</f>
        <v>_</v>
      </c>
      <c r="L316" t="str">
        <f t="shared" ca="1" si="18"/>
        <v>__X_</v>
      </c>
      <c r="M316" t="str">
        <f t="shared" ca="1" si="19"/>
        <v/>
      </c>
    </row>
    <row r="317" spans="1:13" x14ac:dyDescent="0.25">
      <c r="A317" s="5"/>
      <c r="B317" s="4" t="str">
        <f t="shared" si="17"/>
        <v/>
      </c>
      <c r="C317" t="str">
        <f>IF(AND(TRIM(A317)&lt;&gt;"",IFERROR(VLOOKUP(TRIM(B317),Inventory!E:E,1,0),0)=0),"X","_")</f>
        <v>_</v>
      </c>
      <c r="D317" t="str">
        <f>IF(AND(TRIM(A317)&lt;&gt;"",IFERROR(VLOOKUP(TRIM(B317),'Full Inventory'!F:F,1,0),0)=0),"X","_")</f>
        <v>_</v>
      </c>
      <c r="E317" t="str">
        <f t="shared" si="20"/>
        <v>X</v>
      </c>
      <c r="F317" t="str">
        <f ca="1">IFERROR(IF(AND(C317&amp;D317&amp;E317="___",INDIRECT("Inventory!A"&amp;MATCH(VLOOKUP(B317,Inventory!E:E,1,0),Inventory!E:E,0))&lt;&gt;INDIRECT("'Full Inventory'!B"&amp;MATCH(VLOOKUP(B317,'Full Inventory'!F:F,1,0),'Full Inventory'!F:F,0))),"X","_"),"_")</f>
        <v>_</v>
      </c>
      <c r="L317" t="str">
        <f t="shared" ca="1" si="18"/>
        <v>__X_</v>
      </c>
      <c r="M317" t="str">
        <f t="shared" ca="1" si="19"/>
        <v/>
      </c>
    </row>
    <row r="318" spans="1:13" x14ac:dyDescent="0.25">
      <c r="A318" s="5"/>
      <c r="B318" s="4" t="str">
        <f t="shared" si="17"/>
        <v/>
      </c>
      <c r="C318" t="str">
        <f>IF(AND(TRIM(A318)&lt;&gt;"",IFERROR(VLOOKUP(TRIM(B318),Inventory!E:E,1,0),0)=0),"X","_")</f>
        <v>_</v>
      </c>
      <c r="D318" t="str">
        <f>IF(AND(TRIM(A318)&lt;&gt;"",IFERROR(VLOOKUP(TRIM(B318),'Full Inventory'!F:F,1,0),0)=0),"X","_")</f>
        <v>_</v>
      </c>
      <c r="E318" t="str">
        <f t="shared" si="20"/>
        <v>X</v>
      </c>
      <c r="F318" t="str">
        <f ca="1">IFERROR(IF(AND(C318&amp;D318&amp;E318="___",INDIRECT("Inventory!A"&amp;MATCH(VLOOKUP(B318,Inventory!E:E,1,0),Inventory!E:E,0))&lt;&gt;INDIRECT("'Full Inventory'!B"&amp;MATCH(VLOOKUP(B318,'Full Inventory'!F:F,1,0),'Full Inventory'!F:F,0))),"X","_"),"_")</f>
        <v>_</v>
      </c>
      <c r="L318" t="str">
        <f t="shared" ca="1" si="18"/>
        <v>__X_</v>
      </c>
      <c r="M318" t="str">
        <f t="shared" ca="1" si="19"/>
        <v/>
      </c>
    </row>
    <row r="319" spans="1:13" x14ac:dyDescent="0.25">
      <c r="A319" s="5"/>
      <c r="B319" s="4" t="str">
        <f t="shared" si="17"/>
        <v/>
      </c>
      <c r="C319" t="str">
        <f>IF(AND(TRIM(A319)&lt;&gt;"",IFERROR(VLOOKUP(TRIM(B319),Inventory!E:E,1,0),0)=0),"X","_")</f>
        <v>_</v>
      </c>
      <c r="D319" t="str">
        <f>IF(AND(TRIM(A319)&lt;&gt;"",IFERROR(VLOOKUP(TRIM(B319),'Full Inventory'!F:F,1,0),0)=0),"X","_")</f>
        <v>_</v>
      </c>
      <c r="E319" t="str">
        <f t="shared" si="20"/>
        <v>X</v>
      </c>
      <c r="F319" t="str">
        <f ca="1">IFERROR(IF(AND(C319&amp;D319&amp;E319="___",INDIRECT("Inventory!A"&amp;MATCH(VLOOKUP(B319,Inventory!E:E,1,0),Inventory!E:E,0))&lt;&gt;INDIRECT("'Full Inventory'!B"&amp;MATCH(VLOOKUP(B319,'Full Inventory'!F:F,1,0),'Full Inventory'!F:F,0))),"X","_"),"_")</f>
        <v>_</v>
      </c>
      <c r="L319" t="str">
        <f t="shared" ca="1" si="18"/>
        <v>__X_</v>
      </c>
      <c r="M319" t="str">
        <f t="shared" ca="1" si="19"/>
        <v/>
      </c>
    </row>
    <row r="320" spans="1:13" x14ac:dyDescent="0.25">
      <c r="A320" s="5"/>
      <c r="B320" s="4" t="str">
        <f t="shared" si="17"/>
        <v/>
      </c>
      <c r="C320" t="str">
        <f>IF(AND(TRIM(A320)&lt;&gt;"",IFERROR(VLOOKUP(TRIM(B320),Inventory!E:E,1,0),0)=0),"X","_")</f>
        <v>_</v>
      </c>
      <c r="D320" t="str">
        <f>IF(AND(TRIM(A320)&lt;&gt;"",IFERROR(VLOOKUP(TRIM(B320),'Full Inventory'!F:F,1,0),0)=0),"X","_")</f>
        <v>_</v>
      </c>
      <c r="E320" t="str">
        <f t="shared" si="20"/>
        <v>X</v>
      </c>
      <c r="F320" t="str">
        <f ca="1">IFERROR(IF(AND(C320&amp;D320&amp;E320="___",INDIRECT("Inventory!A"&amp;MATCH(VLOOKUP(B320,Inventory!E:E,1,0),Inventory!E:E,0))&lt;&gt;INDIRECT("'Full Inventory'!B"&amp;MATCH(VLOOKUP(B320,'Full Inventory'!F:F,1,0),'Full Inventory'!F:F,0))),"X","_"),"_")</f>
        <v>_</v>
      </c>
      <c r="L320" t="str">
        <f t="shared" ca="1" si="18"/>
        <v>__X_</v>
      </c>
      <c r="M320" t="str">
        <f t="shared" ca="1" si="19"/>
        <v/>
      </c>
    </row>
    <row r="321" spans="1:13" x14ac:dyDescent="0.25">
      <c r="A321" s="5"/>
      <c r="B321" s="4" t="str">
        <f t="shared" si="17"/>
        <v/>
      </c>
      <c r="C321" t="str">
        <f>IF(AND(TRIM(A321)&lt;&gt;"",IFERROR(VLOOKUP(TRIM(B321),Inventory!E:E,1,0),0)=0),"X","_")</f>
        <v>_</v>
      </c>
      <c r="D321" t="str">
        <f>IF(AND(TRIM(A321)&lt;&gt;"",IFERROR(VLOOKUP(TRIM(B321),'Full Inventory'!F:F,1,0),0)=0),"X","_")</f>
        <v>_</v>
      </c>
      <c r="E321" t="str">
        <f t="shared" si="20"/>
        <v>X</v>
      </c>
      <c r="F321" t="str">
        <f ca="1">IFERROR(IF(AND(C321&amp;D321&amp;E321="___",INDIRECT("Inventory!A"&amp;MATCH(VLOOKUP(B321,Inventory!E:E,1,0),Inventory!E:E,0))&lt;&gt;INDIRECT("'Full Inventory'!B"&amp;MATCH(VLOOKUP(B321,'Full Inventory'!F:F,1,0),'Full Inventory'!F:F,0))),"X","_"),"_")</f>
        <v>_</v>
      </c>
      <c r="L321" t="str">
        <f t="shared" ca="1" si="18"/>
        <v>__X_</v>
      </c>
      <c r="M321" t="str">
        <f t="shared" ca="1" si="19"/>
        <v/>
      </c>
    </row>
    <row r="322" spans="1:13" x14ac:dyDescent="0.25">
      <c r="A322" s="5"/>
      <c r="B322" s="4" t="str">
        <f t="shared" si="17"/>
        <v/>
      </c>
      <c r="C322" t="str">
        <f>IF(AND(TRIM(A322)&lt;&gt;"",IFERROR(VLOOKUP(TRIM(B322),Inventory!E:E,1,0),0)=0),"X","_")</f>
        <v>_</v>
      </c>
      <c r="D322" t="str">
        <f>IF(AND(TRIM(A322)&lt;&gt;"",IFERROR(VLOOKUP(TRIM(B322),'Full Inventory'!F:F,1,0),0)=0),"X","_")</f>
        <v>_</v>
      </c>
      <c r="E322" t="str">
        <f t="shared" si="20"/>
        <v>X</v>
      </c>
      <c r="F322" t="str">
        <f ca="1">IFERROR(IF(AND(C322&amp;D322&amp;E322="___",INDIRECT("Inventory!A"&amp;MATCH(VLOOKUP(B322,Inventory!E:E,1,0),Inventory!E:E,0))&lt;&gt;INDIRECT("'Full Inventory'!B"&amp;MATCH(VLOOKUP(B322,'Full Inventory'!F:F,1,0),'Full Inventory'!F:F,0))),"X","_"),"_")</f>
        <v>_</v>
      </c>
      <c r="L322" t="str">
        <f t="shared" ca="1" si="18"/>
        <v>__X_</v>
      </c>
      <c r="M322" t="str">
        <f t="shared" ca="1" si="19"/>
        <v/>
      </c>
    </row>
    <row r="323" spans="1:13" x14ac:dyDescent="0.25">
      <c r="A323" s="5"/>
      <c r="B323" s="4" t="str">
        <f t="shared" ref="B323:B386" si="21">SUBSTITUTE(SUBSTITUTE(A323,"ö","0"),"Ö","0")</f>
        <v/>
      </c>
      <c r="C323" t="str">
        <f>IF(AND(TRIM(A323)&lt;&gt;"",IFERROR(VLOOKUP(TRIM(B323),Inventory!E:E,1,0),0)=0),"X","_")</f>
        <v>_</v>
      </c>
      <c r="D323" t="str">
        <f>IF(AND(TRIM(A323)&lt;&gt;"",IFERROR(VLOOKUP(TRIM(B323),'Full Inventory'!F:F,1,0),0)=0),"X","_")</f>
        <v>_</v>
      </c>
      <c r="E323" t="str">
        <f t="shared" si="20"/>
        <v>X</v>
      </c>
      <c r="F323" t="str">
        <f ca="1">IFERROR(IF(AND(C323&amp;D323&amp;E323="___",INDIRECT("Inventory!A"&amp;MATCH(VLOOKUP(B323,Inventory!E:E,1,0),Inventory!E:E,0))&lt;&gt;INDIRECT("'Full Inventory'!B"&amp;MATCH(VLOOKUP(B323,'Full Inventory'!F:F,1,0),'Full Inventory'!F:F,0))),"X","_"),"_")</f>
        <v>_</v>
      </c>
      <c r="L323" t="str">
        <f t="shared" ref="L323:L386" ca="1" si="22">C323&amp;D323&amp;E323&amp;F323</f>
        <v>__X_</v>
      </c>
      <c r="M323" t="str">
        <f t="shared" ref="M323:M386" ca="1" si="23">IF(L323="____","OK",IF(L323="_X__","NOT IN FULL INVENTORY",IF(L323="XX__","NOT IN FULL INVENTORY AND INVENTORY",IF(L323="X___","NOT IN INVENTORY",IF(L323="___X","DIFFERENT NAMES IN FULL INVENTORY AND INVENTORY","")))))</f>
        <v/>
      </c>
    </row>
    <row r="324" spans="1:13" x14ac:dyDescent="0.25">
      <c r="A324" s="5"/>
      <c r="B324" s="4" t="str">
        <f t="shared" si="21"/>
        <v/>
      </c>
      <c r="C324" t="str">
        <f>IF(AND(TRIM(A324)&lt;&gt;"",IFERROR(VLOOKUP(TRIM(B324),Inventory!E:E,1,0),0)=0),"X","_")</f>
        <v>_</v>
      </c>
      <c r="D324" t="str">
        <f>IF(AND(TRIM(A324)&lt;&gt;"",IFERROR(VLOOKUP(TRIM(B324),'Full Inventory'!F:F,1,0),0)=0),"X","_")</f>
        <v>_</v>
      </c>
      <c r="E324" t="str">
        <f t="shared" si="20"/>
        <v>X</v>
      </c>
      <c r="F324" t="str">
        <f ca="1">IFERROR(IF(AND(C324&amp;D324&amp;E324="___",INDIRECT("Inventory!A"&amp;MATCH(VLOOKUP(B324,Inventory!E:E,1,0),Inventory!E:E,0))&lt;&gt;INDIRECT("'Full Inventory'!B"&amp;MATCH(VLOOKUP(B324,'Full Inventory'!F:F,1,0),'Full Inventory'!F:F,0))),"X","_"),"_")</f>
        <v>_</v>
      </c>
      <c r="L324" t="str">
        <f t="shared" ca="1" si="22"/>
        <v>__X_</v>
      </c>
      <c r="M324" t="str">
        <f t="shared" ca="1" si="23"/>
        <v/>
      </c>
    </row>
    <row r="325" spans="1:13" x14ac:dyDescent="0.25">
      <c r="A325" s="5"/>
      <c r="B325" s="4" t="str">
        <f t="shared" si="21"/>
        <v/>
      </c>
      <c r="C325" t="str">
        <f>IF(AND(TRIM(A325)&lt;&gt;"",IFERROR(VLOOKUP(TRIM(B325),Inventory!E:E,1,0),0)=0),"X","_")</f>
        <v>_</v>
      </c>
      <c r="D325" t="str">
        <f>IF(AND(TRIM(A325)&lt;&gt;"",IFERROR(VLOOKUP(TRIM(B325),'Full Inventory'!F:F,1,0),0)=0),"X","_")</f>
        <v>_</v>
      </c>
      <c r="E325" t="str">
        <f t="shared" si="20"/>
        <v>X</v>
      </c>
      <c r="F325" t="str">
        <f ca="1">IFERROR(IF(AND(C325&amp;D325&amp;E325="___",INDIRECT("Inventory!A"&amp;MATCH(VLOOKUP(B325,Inventory!E:E,1,0),Inventory!E:E,0))&lt;&gt;INDIRECT("'Full Inventory'!B"&amp;MATCH(VLOOKUP(B325,'Full Inventory'!F:F,1,0),'Full Inventory'!F:F,0))),"X","_"),"_")</f>
        <v>_</v>
      </c>
      <c r="L325" t="str">
        <f t="shared" ca="1" si="22"/>
        <v>__X_</v>
      </c>
      <c r="M325" t="str">
        <f t="shared" ca="1" si="23"/>
        <v/>
      </c>
    </row>
    <row r="326" spans="1:13" x14ac:dyDescent="0.25">
      <c r="A326" s="5"/>
      <c r="B326" s="4" t="str">
        <f t="shared" si="21"/>
        <v/>
      </c>
      <c r="C326" t="str">
        <f>IF(AND(TRIM(A326)&lt;&gt;"",IFERROR(VLOOKUP(TRIM(B326),Inventory!E:E,1,0),0)=0),"X","_")</f>
        <v>_</v>
      </c>
      <c r="D326" t="str">
        <f>IF(AND(TRIM(A326)&lt;&gt;"",IFERROR(VLOOKUP(TRIM(B326),'Full Inventory'!F:F,1,0),0)=0),"X","_")</f>
        <v>_</v>
      </c>
      <c r="E326" t="str">
        <f t="shared" si="20"/>
        <v>X</v>
      </c>
      <c r="F326" t="str">
        <f ca="1">IFERROR(IF(AND(C326&amp;D326&amp;E326="___",INDIRECT("Inventory!A"&amp;MATCH(VLOOKUP(B326,Inventory!E:E,1,0),Inventory!E:E,0))&lt;&gt;INDIRECT("'Full Inventory'!B"&amp;MATCH(VLOOKUP(B326,'Full Inventory'!F:F,1,0),'Full Inventory'!F:F,0))),"X","_"),"_")</f>
        <v>_</v>
      </c>
      <c r="L326" t="str">
        <f t="shared" ca="1" si="22"/>
        <v>__X_</v>
      </c>
      <c r="M326" t="str">
        <f t="shared" ca="1" si="23"/>
        <v/>
      </c>
    </row>
    <row r="327" spans="1:13" x14ac:dyDescent="0.25">
      <c r="A327" s="5"/>
      <c r="B327" s="4" t="str">
        <f t="shared" si="21"/>
        <v/>
      </c>
      <c r="C327" t="str">
        <f>IF(AND(TRIM(A327)&lt;&gt;"",IFERROR(VLOOKUP(TRIM(B327),Inventory!E:E,1,0),0)=0),"X","_")</f>
        <v>_</v>
      </c>
      <c r="D327" t="str">
        <f>IF(AND(TRIM(A327)&lt;&gt;"",IFERROR(VLOOKUP(TRIM(B327),'Full Inventory'!F:F,1,0),0)=0),"X","_")</f>
        <v>_</v>
      </c>
      <c r="E327" t="str">
        <f t="shared" si="20"/>
        <v>X</v>
      </c>
      <c r="F327" t="str">
        <f ca="1">IFERROR(IF(AND(C327&amp;D327&amp;E327="___",INDIRECT("Inventory!A"&amp;MATCH(VLOOKUP(B327,Inventory!E:E,1,0),Inventory!E:E,0))&lt;&gt;INDIRECT("'Full Inventory'!B"&amp;MATCH(VLOOKUP(B327,'Full Inventory'!F:F,1,0),'Full Inventory'!F:F,0))),"X","_"),"_")</f>
        <v>_</v>
      </c>
      <c r="L327" t="str">
        <f t="shared" ca="1" si="22"/>
        <v>__X_</v>
      </c>
      <c r="M327" t="str">
        <f t="shared" ca="1" si="23"/>
        <v/>
      </c>
    </row>
    <row r="328" spans="1:13" x14ac:dyDescent="0.25">
      <c r="A328" s="5"/>
      <c r="B328" s="4" t="str">
        <f t="shared" si="21"/>
        <v/>
      </c>
      <c r="C328" t="str">
        <f>IF(AND(TRIM(A328)&lt;&gt;"",IFERROR(VLOOKUP(TRIM(B328),Inventory!E:E,1,0),0)=0),"X","_")</f>
        <v>_</v>
      </c>
      <c r="D328" t="str">
        <f>IF(AND(TRIM(A328)&lt;&gt;"",IFERROR(VLOOKUP(TRIM(B328),'Full Inventory'!F:F,1,0),0)=0),"X","_")</f>
        <v>_</v>
      </c>
      <c r="E328" t="str">
        <f t="shared" si="20"/>
        <v>X</v>
      </c>
      <c r="F328" t="str">
        <f ca="1">IFERROR(IF(AND(C328&amp;D328&amp;E328="___",INDIRECT("Inventory!A"&amp;MATCH(VLOOKUP(B328,Inventory!E:E,1,0),Inventory!E:E,0))&lt;&gt;INDIRECT("'Full Inventory'!B"&amp;MATCH(VLOOKUP(B328,'Full Inventory'!F:F,1,0),'Full Inventory'!F:F,0))),"X","_"),"_")</f>
        <v>_</v>
      </c>
      <c r="L328" t="str">
        <f t="shared" ca="1" si="22"/>
        <v>__X_</v>
      </c>
      <c r="M328" t="str">
        <f t="shared" ca="1" si="23"/>
        <v/>
      </c>
    </row>
    <row r="329" spans="1:13" x14ac:dyDescent="0.25">
      <c r="A329" s="5"/>
      <c r="B329" s="4" t="str">
        <f t="shared" si="21"/>
        <v/>
      </c>
      <c r="C329" t="str">
        <f>IF(AND(TRIM(A329)&lt;&gt;"",IFERROR(VLOOKUP(TRIM(B329),Inventory!E:E,1,0),0)=0),"X","_")</f>
        <v>_</v>
      </c>
      <c r="D329" t="str">
        <f>IF(AND(TRIM(A329)&lt;&gt;"",IFERROR(VLOOKUP(TRIM(B329),'Full Inventory'!F:F,1,0),0)=0),"X","_")</f>
        <v>_</v>
      </c>
      <c r="E329" t="str">
        <f t="shared" si="20"/>
        <v>X</v>
      </c>
      <c r="F329" t="str">
        <f ca="1">IFERROR(IF(AND(C329&amp;D329&amp;E329="___",INDIRECT("Inventory!A"&amp;MATCH(VLOOKUP(B329,Inventory!E:E,1,0),Inventory!E:E,0))&lt;&gt;INDIRECT("'Full Inventory'!B"&amp;MATCH(VLOOKUP(B329,'Full Inventory'!F:F,1,0),'Full Inventory'!F:F,0))),"X","_"),"_")</f>
        <v>_</v>
      </c>
      <c r="L329" t="str">
        <f t="shared" ca="1" si="22"/>
        <v>__X_</v>
      </c>
      <c r="M329" t="str">
        <f t="shared" ca="1" si="23"/>
        <v/>
      </c>
    </row>
    <row r="330" spans="1:13" x14ac:dyDescent="0.25">
      <c r="A330" s="5"/>
      <c r="B330" s="4" t="str">
        <f t="shared" si="21"/>
        <v/>
      </c>
      <c r="C330" t="str">
        <f>IF(AND(TRIM(A330)&lt;&gt;"",IFERROR(VLOOKUP(TRIM(B330),Inventory!E:E,1,0),0)=0),"X","_")</f>
        <v>_</v>
      </c>
      <c r="D330" t="str">
        <f>IF(AND(TRIM(A330)&lt;&gt;"",IFERROR(VLOOKUP(TRIM(B330),'Full Inventory'!F:F,1,0),0)=0),"X","_")</f>
        <v>_</v>
      </c>
      <c r="E330" t="str">
        <f t="shared" si="20"/>
        <v>X</v>
      </c>
      <c r="F330" t="str">
        <f ca="1">IFERROR(IF(AND(C330&amp;D330&amp;E330="___",INDIRECT("Inventory!A"&amp;MATCH(VLOOKUP(B330,Inventory!E:E,1,0),Inventory!E:E,0))&lt;&gt;INDIRECT("'Full Inventory'!B"&amp;MATCH(VLOOKUP(B330,'Full Inventory'!F:F,1,0),'Full Inventory'!F:F,0))),"X","_"),"_")</f>
        <v>_</v>
      </c>
      <c r="L330" t="str">
        <f t="shared" ca="1" si="22"/>
        <v>__X_</v>
      </c>
      <c r="M330" t="str">
        <f t="shared" ca="1" si="23"/>
        <v/>
      </c>
    </row>
    <row r="331" spans="1:13" x14ac:dyDescent="0.25">
      <c r="A331" s="5"/>
      <c r="B331" s="4" t="str">
        <f t="shared" si="21"/>
        <v/>
      </c>
      <c r="C331" t="str">
        <f>IF(AND(TRIM(A331)&lt;&gt;"",IFERROR(VLOOKUP(TRIM(B331),Inventory!E:E,1,0),0)=0),"X","_")</f>
        <v>_</v>
      </c>
      <c r="D331" t="str">
        <f>IF(AND(TRIM(A331)&lt;&gt;"",IFERROR(VLOOKUP(TRIM(B331),'Full Inventory'!F:F,1,0),0)=0),"X","_")</f>
        <v>_</v>
      </c>
      <c r="E331" t="str">
        <f t="shared" si="20"/>
        <v>X</v>
      </c>
      <c r="F331" t="str">
        <f ca="1">IFERROR(IF(AND(C331&amp;D331&amp;E331="___",INDIRECT("Inventory!A"&amp;MATCH(VLOOKUP(B331,Inventory!E:E,1,0),Inventory!E:E,0))&lt;&gt;INDIRECT("'Full Inventory'!B"&amp;MATCH(VLOOKUP(B331,'Full Inventory'!F:F,1,0),'Full Inventory'!F:F,0))),"X","_"),"_")</f>
        <v>_</v>
      </c>
      <c r="L331" t="str">
        <f t="shared" ca="1" si="22"/>
        <v>__X_</v>
      </c>
      <c r="M331" t="str">
        <f t="shared" ca="1" si="23"/>
        <v/>
      </c>
    </row>
    <row r="332" spans="1:13" x14ac:dyDescent="0.25">
      <c r="A332" s="5"/>
      <c r="B332" s="4" t="str">
        <f t="shared" si="21"/>
        <v/>
      </c>
      <c r="C332" t="str">
        <f>IF(AND(TRIM(A332)&lt;&gt;"",IFERROR(VLOOKUP(TRIM(B332),Inventory!E:E,1,0),0)=0),"X","_")</f>
        <v>_</v>
      </c>
      <c r="D332" t="str">
        <f>IF(AND(TRIM(A332)&lt;&gt;"",IFERROR(VLOOKUP(TRIM(B332),'Full Inventory'!F:F,1,0),0)=0),"X","_")</f>
        <v>_</v>
      </c>
      <c r="E332" t="str">
        <f t="shared" si="20"/>
        <v>X</v>
      </c>
      <c r="F332" t="str">
        <f ca="1">IFERROR(IF(AND(C332&amp;D332&amp;E332="___",INDIRECT("Inventory!A"&amp;MATCH(VLOOKUP(B332,Inventory!E:E,1,0),Inventory!E:E,0))&lt;&gt;INDIRECT("'Full Inventory'!B"&amp;MATCH(VLOOKUP(B332,'Full Inventory'!F:F,1,0),'Full Inventory'!F:F,0))),"X","_"),"_")</f>
        <v>_</v>
      </c>
      <c r="L332" t="str">
        <f t="shared" ca="1" si="22"/>
        <v>__X_</v>
      </c>
      <c r="M332" t="str">
        <f t="shared" ca="1" si="23"/>
        <v/>
      </c>
    </row>
    <row r="333" spans="1:13" x14ac:dyDescent="0.25">
      <c r="A333" s="5"/>
      <c r="B333" s="4" t="str">
        <f t="shared" si="21"/>
        <v/>
      </c>
      <c r="C333" t="str">
        <f>IF(AND(TRIM(A333)&lt;&gt;"",IFERROR(VLOOKUP(TRIM(B333),Inventory!E:E,1,0),0)=0),"X","_")</f>
        <v>_</v>
      </c>
      <c r="D333" t="str">
        <f>IF(AND(TRIM(A333)&lt;&gt;"",IFERROR(VLOOKUP(TRIM(B333),'Full Inventory'!F:F,1,0),0)=0),"X","_")</f>
        <v>_</v>
      </c>
      <c r="E333" t="str">
        <f t="shared" si="20"/>
        <v>X</v>
      </c>
      <c r="F333" t="str">
        <f ca="1">IFERROR(IF(AND(C333&amp;D333&amp;E333="___",INDIRECT("Inventory!A"&amp;MATCH(VLOOKUP(B333,Inventory!E:E,1,0),Inventory!E:E,0))&lt;&gt;INDIRECT("'Full Inventory'!B"&amp;MATCH(VLOOKUP(B333,'Full Inventory'!F:F,1,0),'Full Inventory'!F:F,0))),"X","_"),"_")</f>
        <v>_</v>
      </c>
      <c r="L333" t="str">
        <f t="shared" ca="1" si="22"/>
        <v>__X_</v>
      </c>
      <c r="M333" t="str">
        <f t="shared" ca="1" si="23"/>
        <v/>
      </c>
    </row>
    <row r="334" spans="1:13" x14ac:dyDescent="0.25">
      <c r="A334" s="5"/>
      <c r="B334" s="4" t="str">
        <f t="shared" si="21"/>
        <v/>
      </c>
      <c r="C334" t="str">
        <f>IF(AND(TRIM(A334)&lt;&gt;"",IFERROR(VLOOKUP(TRIM(B334),Inventory!E:E,1,0),0)=0),"X","_")</f>
        <v>_</v>
      </c>
      <c r="D334" t="str">
        <f>IF(AND(TRIM(A334)&lt;&gt;"",IFERROR(VLOOKUP(TRIM(B334),'Full Inventory'!F:F,1,0),0)=0),"X","_")</f>
        <v>_</v>
      </c>
      <c r="E334" t="str">
        <f t="shared" si="20"/>
        <v>X</v>
      </c>
      <c r="F334" t="str">
        <f ca="1">IFERROR(IF(AND(C334&amp;D334&amp;E334="___",INDIRECT("Inventory!A"&amp;MATCH(VLOOKUP(B334,Inventory!E:E,1,0),Inventory!E:E,0))&lt;&gt;INDIRECT("'Full Inventory'!B"&amp;MATCH(VLOOKUP(B334,'Full Inventory'!F:F,1,0),'Full Inventory'!F:F,0))),"X","_"),"_")</f>
        <v>_</v>
      </c>
      <c r="L334" t="str">
        <f t="shared" ca="1" si="22"/>
        <v>__X_</v>
      </c>
      <c r="M334" t="str">
        <f t="shared" ca="1" si="23"/>
        <v/>
      </c>
    </row>
    <row r="335" spans="1:13" x14ac:dyDescent="0.25">
      <c r="A335" s="5"/>
      <c r="B335" s="4" t="str">
        <f t="shared" si="21"/>
        <v/>
      </c>
      <c r="C335" t="str">
        <f>IF(AND(TRIM(A335)&lt;&gt;"",IFERROR(VLOOKUP(TRIM(B335),Inventory!E:E,1,0),0)=0),"X","_")</f>
        <v>_</v>
      </c>
      <c r="D335" t="str">
        <f>IF(AND(TRIM(A335)&lt;&gt;"",IFERROR(VLOOKUP(TRIM(B335),'Full Inventory'!F:F,1,0),0)=0),"X","_")</f>
        <v>_</v>
      </c>
      <c r="E335" t="str">
        <f t="shared" si="20"/>
        <v>X</v>
      </c>
      <c r="F335" t="str">
        <f ca="1">IFERROR(IF(AND(C335&amp;D335&amp;E335="___",INDIRECT("Inventory!A"&amp;MATCH(VLOOKUP(B335,Inventory!E:E,1,0),Inventory!E:E,0))&lt;&gt;INDIRECT("'Full Inventory'!B"&amp;MATCH(VLOOKUP(B335,'Full Inventory'!F:F,1,0),'Full Inventory'!F:F,0))),"X","_"),"_")</f>
        <v>_</v>
      </c>
      <c r="L335" t="str">
        <f t="shared" ca="1" si="22"/>
        <v>__X_</v>
      </c>
      <c r="M335" t="str">
        <f t="shared" ca="1" si="23"/>
        <v/>
      </c>
    </row>
    <row r="336" spans="1:13" x14ac:dyDescent="0.25">
      <c r="A336" s="5"/>
      <c r="B336" s="4" t="str">
        <f t="shared" si="21"/>
        <v/>
      </c>
      <c r="C336" t="str">
        <f>IF(AND(TRIM(A336)&lt;&gt;"",IFERROR(VLOOKUP(TRIM(B336),Inventory!E:E,1,0),0)=0),"X","_")</f>
        <v>_</v>
      </c>
      <c r="D336" t="str">
        <f>IF(AND(TRIM(A336)&lt;&gt;"",IFERROR(VLOOKUP(TRIM(B336),'Full Inventory'!F:F,1,0),0)=0),"X","_")</f>
        <v>_</v>
      </c>
      <c r="E336" t="str">
        <f t="shared" si="20"/>
        <v>X</v>
      </c>
      <c r="F336" t="str">
        <f ca="1">IFERROR(IF(AND(C336&amp;D336&amp;E336="___",INDIRECT("Inventory!A"&amp;MATCH(VLOOKUP(B336,Inventory!E:E,1,0),Inventory!E:E,0))&lt;&gt;INDIRECT("'Full Inventory'!B"&amp;MATCH(VLOOKUP(B336,'Full Inventory'!F:F,1,0),'Full Inventory'!F:F,0))),"X","_"),"_")</f>
        <v>_</v>
      </c>
      <c r="L336" t="str">
        <f t="shared" ca="1" si="22"/>
        <v>__X_</v>
      </c>
      <c r="M336" t="str">
        <f t="shared" ca="1" si="23"/>
        <v/>
      </c>
    </row>
    <row r="337" spans="1:13" x14ac:dyDescent="0.25">
      <c r="A337" s="5"/>
      <c r="B337" s="4" t="str">
        <f t="shared" si="21"/>
        <v/>
      </c>
      <c r="C337" t="str">
        <f>IF(AND(TRIM(A337)&lt;&gt;"",IFERROR(VLOOKUP(TRIM(B337),Inventory!E:E,1,0),0)=0),"X","_")</f>
        <v>_</v>
      </c>
      <c r="D337" t="str">
        <f>IF(AND(TRIM(A337)&lt;&gt;"",IFERROR(VLOOKUP(TRIM(B337),'Full Inventory'!F:F,1,0),0)=0),"X","_")</f>
        <v>_</v>
      </c>
      <c r="E337" t="str">
        <f t="shared" si="20"/>
        <v>X</v>
      </c>
      <c r="F337" t="str">
        <f ca="1">IFERROR(IF(AND(C337&amp;D337&amp;E337="___",INDIRECT("Inventory!A"&amp;MATCH(VLOOKUP(B337,Inventory!E:E,1,0),Inventory!E:E,0))&lt;&gt;INDIRECT("'Full Inventory'!B"&amp;MATCH(VLOOKUP(B337,'Full Inventory'!F:F,1,0),'Full Inventory'!F:F,0))),"X","_"),"_")</f>
        <v>_</v>
      </c>
      <c r="L337" t="str">
        <f t="shared" ca="1" si="22"/>
        <v>__X_</v>
      </c>
      <c r="M337" t="str">
        <f t="shared" ca="1" si="23"/>
        <v/>
      </c>
    </row>
    <row r="338" spans="1:13" x14ac:dyDescent="0.25">
      <c r="A338" s="5"/>
      <c r="B338" s="4" t="str">
        <f t="shared" si="21"/>
        <v/>
      </c>
      <c r="C338" t="str">
        <f>IF(AND(TRIM(A338)&lt;&gt;"",IFERROR(VLOOKUP(TRIM(B338),Inventory!E:E,1,0),0)=0),"X","_")</f>
        <v>_</v>
      </c>
      <c r="D338" t="str">
        <f>IF(AND(TRIM(A338)&lt;&gt;"",IFERROR(VLOOKUP(TRIM(B338),'Full Inventory'!F:F,1,0),0)=0),"X","_")</f>
        <v>_</v>
      </c>
      <c r="E338" t="str">
        <f t="shared" si="20"/>
        <v>X</v>
      </c>
      <c r="F338" t="str">
        <f ca="1">IFERROR(IF(AND(C338&amp;D338&amp;E338="___",INDIRECT("Inventory!A"&amp;MATCH(VLOOKUP(B338,Inventory!E:E,1,0),Inventory!E:E,0))&lt;&gt;INDIRECT("'Full Inventory'!B"&amp;MATCH(VLOOKUP(B338,'Full Inventory'!F:F,1,0),'Full Inventory'!F:F,0))),"X","_"),"_")</f>
        <v>_</v>
      </c>
      <c r="L338" t="str">
        <f t="shared" ca="1" si="22"/>
        <v>__X_</v>
      </c>
      <c r="M338" t="str">
        <f t="shared" ca="1" si="23"/>
        <v/>
      </c>
    </row>
    <row r="339" spans="1:13" x14ac:dyDescent="0.25">
      <c r="A339" s="5"/>
      <c r="B339" s="4" t="str">
        <f t="shared" si="21"/>
        <v/>
      </c>
      <c r="C339" t="str">
        <f>IF(AND(TRIM(A339)&lt;&gt;"",IFERROR(VLOOKUP(TRIM(B339),Inventory!E:E,1,0),0)=0),"X","_")</f>
        <v>_</v>
      </c>
      <c r="D339" t="str">
        <f>IF(AND(TRIM(A339)&lt;&gt;"",IFERROR(VLOOKUP(TRIM(B339),'Full Inventory'!F:F,1,0),0)=0),"X","_")</f>
        <v>_</v>
      </c>
      <c r="E339" t="str">
        <f t="shared" si="20"/>
        <v>X</v>
      </c>
      <c r="F339" t="str">
        <f ca="1">IFERROR(IF(AND(C339&amp;D339&amp;E339="___",INDIRECT("Inventory!A"&amp;MATCH(VLOOKUP(B339,Inventory!E:E,1,0),Inventory!E:E,0))&lt;&gt;INDIRECT("'Full Inventory'!B"&amp;MATCH(VLOOKUP(B339,'Full Inventory'!F:F,1,0),'Full Inventory'!F:F,0))),"X","_"),"_")</f>
        <v>_</v>
      </c>
      <c r="L339" t="str">
        <f t="shared" ca="1" si="22"/>
        <v>__X_</v>
      </c>
      <c r="M339" t="str">
        <f t="shared" ca="1" si="23"/>
        <v/>
      </c>
    </row>
    <row r="340" spans="1:13" x14ac:dyDescent="0.25">
      <c r="A340" s="5"/>
      <c r="B340" s="4" t="str">
        <f t="shared" si="21"/>
        <v/>
      </c>
      <c r="C340" t="str">
        <f>IF(AND(TRIM(A340)&lt;&gt;"",IFERROR(VLOOKUP(TRIM(B340),Inventory!E:E,1,0),0)=0),"X","_")</f>
        <v>_</v>
      </c>
      <c r="D340" t="str">
        <f>IF(AND(TRIM(A340)&lt;&gt;"",IFERROR(VLOOKUP(TRIM(B340),'Full Inventory'!F:F,1,0),0)=0),"X","_")</f>
        <v>_</v>
      </c>
      <c r="E340" t="str">
        <f t="shared" ref="E340:E403" si="24">IF(TRIM(A340)&lt;&gt;"","_","X")</f>
        <v>X</v>
      </c>
      <c r="F340" t="str">
        <f ca="1">IFERROR(IF(AND(C340&amp;D340&amp;E340="___",INDIRECT("Inventory!A"&amp;MATCH(VLOOKUP(B340,Inventory!E:E,1,0),Inventory!E:E,0))&lt;&gt;INDIRECT("'Full Inventory'!B"&amp;MATCH(VLOOKUP(B340,'Full Inventory'!F:F,1,0),'Full Inventory'!F:F,0))),"X","_"),"_")</f>
        <v>_</v>
      </c>
      <c r="L340" t="str">
        <f t="shared" ca="1" si="22"/>
        <v>__X_</v>
      </c>
      <c r="M340" t="str">
        <f t="shared" ca="1" si="23"/>
        <v/>
      </c>
    </row>
    <row r="341" spans="1:13" x14ac:dyDescent="0.25">
      <c r="A341" s="5"/>
      <c r="B341" s="4" t="str">
        <f t="shared" si="21"/>
        <v/>
      </c>
      <c r="C341" t="str">
        <f>IF(AND(TRIM(A341)&lt;&gt;"",IFERROR(VLOOKUP(TRIM(B341),Inventory!E:E,1,0),0)=0),"X","_")</f>
        <v>_</v>
      </c>
      <c r="D341" t="str">
        <f>IF(AND(TRIM(A341)&lt;&gt;"",IFERROR(VLOOKUP(TRIM(B341),'Full Inventory'!F:F,1,0),0)=0),"X","_")</f>
        <v>_</v>
      </c>
      <c r="E341" t="str">
        <f t="shared" si="24"/>
        <v>X</v>
      </c>
      <c r="F341" t="str">
        <f ca="1">IFERROR(IF(AND(C341&amp;D341&amp;E341="___",INDIRECT("Inventory!A"&amp;MATCH(VLOOKUP(B341,Inventory!E:E,1,0),Inventory!E:E,0))&lt;&gt;INDIRECT("'Full Inventory'!B"&amp;MATCH(VLOOKUP(B341,'Full Inventory'!F:F,1,0),'Full Inventory'!F:F,0))),"X","_"),"_")</f>
        <v>_</v>
      </c>
      <c r="L341" t="str">
        <f t="shared" ca="1" si="22"/>
        <v>__X_</v>
      </c>
      <c r="M341" t="str">
        <f t="shared" ca="1" si="23"/>
        <v/>
      </c>
    </row>
    <row r="342" spans="1:13" x14ac:dyDescent="0.25">
      <c r="A342" s="5"/>
      <c r="B342" s="4" t="str">
        <f t="shared" si="21"/>
        <v/>
      </c>
      <c r="C342" t="str">
        <f>IF(AND(TRIM(A342)&lt;&gt;"",IFERROR(VLOOKUP(TRIM(B342),Inventory!E:E,1,0),0)=0),"X","_")</f>
        <v>_</v>
      </c>
      <c r="D342" t="str">
        <f>IF(AND(TRIM(A342)&lt;&gt;"",IFERROR(VLOOKUP(TRIM(B342),'Full Inventory'!F:F,1,0),0)=0),"X","_")</f>
        <v>_</v>
      </c>
      <c r="E342" t="str">
        <f t="shared" si="24"/>
        <v>X</v>
      </c>
      <c r="F342" t="str">
        <f ca="1">IFERROR(IF(AND(C342&amp;D342&amp;E342="___",INDIRECT("Inventory!A"&amp;MATCH(VLOOKUP(B342,Inventory!E:E,1,0),Inventory!E:E,0))&lt;&gt;INDIRECT("'Full Inventory'!B"&amp;MATCH(VLOOKUP(B342,'Full Inventory'!F:F,1,0),'Full Inventory'!F:F,0))),"X","_"),"_")</f>
        <v>_</v>
      </c>
      <c r="L342" t="str">
        <f t="shared" ca="1" si="22"/>
        <v>__X_</v>
      </c>
      <c r="M342" t="str">
        <f t="shared" ca="1" si="23"/>
        <v/>
      </c>
    </row>
    <row r="343" spans="1:13" x14ac:dyDescent="0.25">
      <c r="A343" s="5"/>
      <c r="B343" s="4" t="str">
        <f t="shared" si="21"/>
        <v/>
      </c>
      <c r="C343" t="str">
        <f>IF(AND(TRIM(A343)&lt;&gt;"",IFERROR(VLOOKUP(TRIM(B343),Inventory!E:E,1,0),0)=0),"X","_")</f>
        <v>_</v>
      </c>
      <c r="D343" t="str">
        <f>IF(AND(TRIM(A343)&lt;&gt;"",IFERROR(VLOOKUP(TRIM(B343),'Full Inventory'!F:F,1,0),0)=0),"X","_")</f>
        <v>_</v>
      </c>
      <c r="E343" t="str">
        <f t="shared" si="24"/>
        <v>X</v>
      </c>
      <c r="F343" t="str">
        <f ca="1">IFERROR(IF(AND(C343&amp;D343&amp;E343="___",INDIRECT("Inventory!A"&amp;MATCH(VLOOKUP(B343,Inventory!E:E,1,0),Inventory!E:E,0))&lt;&gt;INDIRECT("'Full Inventory'!B"&amp;MATCH(VLOOKUP(B343,'Full Inventory'!F:F,1,0),'Full Inventory'!F:F,0))),"X","_"),"_")</f>
        <v>_</v>
      </c>
      <c r="L343" t="str">
        <f t="shared" ca="1" si="22"/>
        <v>__X_</v>
      </c>
      <c r="M343" t="str">
        <f t="shared" ca="1" si="23"/>
        <v/>
      </c>
    </row>
    <row r="344" spans="1:13" x14ac:dyDescent="0.25">
      <c r="A344" s="5"/>
      <c r="B344" s="4" t="str">
        <f t="shared" si="21"/>
        <v/>
      </c>
      <c r="C344" t="str">
        <f>IF(AND(TRIM(A344)&lt;&gt;"",IFERROR(VLOOKUP(TRIM(B344),Inventory!E:E,1,0),0)=0),"X","_")</f>
        <v>_</v>
      </c>
      <c r="D344" t="str">
        <f>IF(AND(TRIM(A344)&lt;&gt;"",IFERROR(VLOOKUP(TRIM(B344),'Full Inventory'!F:F,1,0),0)=0),"X","_")</f>
        <v>_</v>
      </c>
      <c r="E344" t="str">
        <f t="shared" si="24"/>
        <v>X</v>
      </c>
      <c r="F344" t="str">
        <f ca="1">IFERROR(IF(AND(C344&amp;D344&amp;E344="___",INDIRECT("Inventory!A"&amp;MATCH(VLOOKUP(B344,Inventory!E:E,1,0),Inventory!E:E,0))&lt;&gt;INDIRECT("'Full Inventory'!B"&amp;MATCH(VLOOKUP(B344,'Full Inventory'!F:F,1,0),'Full Inventory'!F:F,0))),"X","_"),"_")</f>
        <v>_</v>
      </c>
      <c r="L344" t="str">
        <f t="shared" ca="1" si="22"/>
        <v>__X_</v>
      </c>
      <c r="M344" t="str">
        <f t="shared" ca="1" si="23"/>
        <v/>
      </c>
    </row>
    <row r="345" spans="1:13" x14ac:dyDescent="0.25">
      <c r="A345" s="5"/>
      <c r="B345" s="4" t="str">
        <f t="shared" si="21"/>
        <v/>
      </c>
      <c r="C345" t="str">
        <f>IF(AND(TRIM(A345)&lt;&gt;"",IFERROR(VLOOKUP(TRIM(B345),Inventory!E:E,1,0),0)=0),"X","_")</f>
        <v>_</v>
      </c>
      <c r="D345" t="str">
        <f>IF(AND(TRIM(A345)&lt;&gt;"",IFERROR(VLOOKUP(TRIM(B345),'Full Inventory'!F:F,1,0),0)=0),"X","_")</f>
        <v>_</v>
      </c>
      <c r="E345" t="str">
        <f t="shared" si="24"/>
        <v>X</v>
      </c>
      <c r="F345" t="str">
        <f ca="1">IFERROR(IF(AND(C345&amp;D345&amp;E345="___",INDIRECT("Inventory!A"&amp;MATCH(VLOOKUP(B345,Inventory!E:E,1,0),Inventory!E:E,0))&lt;&gt;INDIRECT("'Full Inventory'!B"&amp;MATCH(VLOOKUP(B345,'Full Inventory'!F:F,1,0),'Full Inventory'!F:F,0))),"X","_"),"_")</f>
        <v>_</v>
      </c>
      <c r="L345" t="str">
        <f t="shared" ca="1" si="22"/>
        <v>__X_</v>
      </c>
      <c r="M345" t="str">
        <f t="shared" ca="1" si="23"/>
        <v/>
      </c>
    </row>
    <row r="346" spans="1:13" x14ac:dyDescent="0.25">
      <c r="A346" s="5"/>
      <c r="B346" s="4" t="str">
        <f t="shared" si="21"/>
        <v/>
      </c>
      <c r="C346" t="str">
        <f>IF(AND(TRIM(A346)&lt;&gt;"",IFERROR(VLOOKUP(TRIM(B346),Inventory!E:E,1,0),0)=0),"X","_")</f>
        <v>_</v>
      </c>
      <c r="D346" t="str">
        <f>IF(AND(TRIM(A346)&lt;&gt;"",IFERROR(VLOOKUP(TRIM(B346),'Full Inventory'!F:F,1,0),0)=0),"X","_")</f>
        <v>_</v>
      </c>
      <c r="E346" t="str">
        <f t="shared" si="24"/>
        <v>X</v>
      </c>
      <c r="F346" t="str">
        <f ca="1">IFERROR(IF(AND(C346&amp;D346&amp;E346="___",INDIRECT("Inventory!A"&amp;MATCH(VLOOKUP(B346,Inventory!E:E,1,0),Inventory!E:E,0))&lt;&gt;INDIRECT("'Full Inventory'!B"&amp;MATCH(VLOOKUP(B346,'Full Inventory'!F:F,1,0),'Full Inventory'!F:F,0))),"X","_"),"_")</f>
        <v>_</v>
      </c>
      <c r="L346" t="str">
        <f t="shared" ca="1" si="22"/>
        <v>__X_</v>
      </c>
      <c r="M346" t="str">
        <f t="shared" ca="1" si="23"/>
        <v/>
      </c>
    </row>
    <row r="347" spans="1:13" x14ac:dyDescent="0.25">
      <c r="A347" s="5"/>
      <c r="B347" s="4" t="str">
        <f t="shared" si="21"/>
        <v/>
      </c>
      <c r="C347" t="str">
        <f>IF(AND(TRIM(A347)&lt;&gt;"",IFERROR(VLOOKUP(TRIM(B347),Inventory!E:E,1,0),0)=0),"X","_")</f>
        <v>_</v>
      </c>
      <c r="D347" t="str">
        <f>IF(AND(TRIM(A347)&lt;&gt;"",IFERROR(VLOOKUP(TRIM(B347),'Full Inventory'!F:F,1,0),0)=0),"X","_")</f>
        <v>_</v>
      </c>
      <c r="E347" t="str">
        <f t="shared" si="24"/>
        <v>X</v>
      </c>
      <c r="F347" t="str">
        <f ca="1">IFERROR(IF(AND(C347&amp;D347&amp;E347="___",INDIRECT("Inventory!A"&amp;MATCH(VLOOKUP(B347,Inventory!E:E,1,0),Inventory!E:E,0))&lt;&gt;INDIRECT("'Full Inventory'!B"&amp;MATCH(VLOOKUP(B347,'Full Inventory'!F:F,1,0),'Full Inventory'!F:F,0))),"X","_"),"_")</f>
        <v>_</v>
      </c>
      <c r="L347" t="str">
        <f t="shared" ca="1" si="22"/>
        <v>__X_</v>
      </c>
      <c r="M347" t="str">
        <f t="shared" ca="1" si="23"/>
        <v/>
      </c>
    </row>
    <row r="348" spans="1:13" x14ac:dyDescent="0.25">
      <c r="A348" s="5"/>
      <c r="B348" s="4" t="str">
        <f t="shared" si="21"/>
        <v/>
      </c>
      <c r="C348" t="str">
        <f>IF(AND(TRIM(A348)&lt;&gt;"",IFERROR(VLOOKUP(TRIM(B348),Inventory!E:E,1,0),0)=0),"X","_")</f>
        <v>_</v>
      </c>
      <c r="D348" t="str">
        <f>IF(AND(TRIM(A348)&lt;&gt;"",IFERROR(VLOOKUP(TRIM(B348),'Full Inventory'!F:F,1,0),0)=0),"X","_")</f>
        <v>_</v>
      </c>
      <c r="E348" t="str">
        <f t="shared" si="24"/>
        <v>X</v>
      </c>
      <c r="F348" t="str">
        <f ca="1">IFERROR(IF(AND(C348&amp;D348&amp;E348="___",INDIRECT("Inventory!A"&amp;MATCH(VLOOKUP(B348,Inventory!E:E,1,0),Inventory!E:E,0))&lt;&gt;INDIRECT("'Full Inventory'!B"&amp;MATCH(VLOOKUP(B348,'Full Inventory'!F:F,1,0),'Full Inventory'!F:F,0))),"X","_"),"_")</f>
        <v>_</v>
      </c>
      <c r="L348" t="str">
        <f t="shared" ca="1" si="22"/>
        <v>__X_</v>
      </c>
      <c r="M348" t="str">
        <f t="shared" ca="1" si="23"/>
        <v/>
      </c>
    </row>
    <row r="349" spans="1:13" x14ac:dyDescent="0.25">
      <c r="A349" s="5"/>
      <c r="B349" s="4" t="str">
        <f t="shared" si="21"/>
        <v/>
      </c>
      <c r="C349" t="str">
        <f>IF(AND(TRIM(A349)&lt;&gt;"",IFERROR(VLOOKUP(TRIM(B349),Inventory!E:E,1,0),0)=0),"X","_")</f>
        <v>_</v>
      </c>
      <c r="D349" t="str">
        <f>IF(AND(TRIM(A349)&lt;&gt;"",IFERROR(VLOOKUP(TRIM(B349),'Full Inventory'!F:F,1,0),0)=0),"X","_")</f>
        <v>_</v>
      </c>
      <c r="E349" t="str">
        <f t="shared" si="24"/>
        <v>X</v>
      </c>
      <c r="F349" t="str">
        <f ca="1">IFERROR(IF(AND(C349&amp;D349&amp;E349="___",INDIRECT("Inventory!A"&amp;MATCH(VLOOKUP(B349,Inventory!E:E,1,0),Inventory!E:E,0))&lt;&gt;INDIRECT("'Full Inventory'!B"&amp;MATCH(VLOOKUP(B349,'Full Inventory'!F:F,1,0),'Full Inventory'!F:F,0))),"X","_"),"_")</f>
        <v>_</v>
      </c>
      <c r="L349" t="str">
        <f t="shared" ca="1" si="22"/>
        <v>__X_</v>
      </c>
      <c r="M349" t="str">
        <f t="shared" ca="1" si="23"/>
        <v/>
      </c>
    </row>
    <row r="350" spans="1:13" x14ac:dyDescent="0.25">
      <c r="A350" s="5"/>
      <c r="B350" s="4" t="str">
        <f t="shared" si="21"/>
        <v/>
      </c>
      <c r="C350" t="str">
        <f>IF(AND(TRIM(A350)&lt;&gt;"",IFERROR(VLOOKUP(TRIM(B350),Inventory!E:E,1,0),0)=0),"X","_")</f>
        <v>_</v>
      </c>
      <c r="D350" t="str">
        <f>IF(AND(TRIM(A350)&lt;&gt;"",IFERROR(VLOOKUP(TRIM(B350),'Full Inventory'!F:F,1,0),0)=0),"X","_")</f>
        <v>_</v>
      </c>
      <c r="E350" t="str">
        <f t="shared" si="24"/>
        <v>X</v>
      </c>
      <c r="F350" t="str">
        <f ca="1">IFERROR(IF(AND(C350&amp;D350&amp;E350="___",INDIRECT("Inventory!A"&amp;MATCH(VLOOKUP(B350,Inventory!E:E,1,0),Inventory!E:E,0))&lt;&gt;INDIRECT("'Full Inventory'!B"&amp;MATCH(VLOOKUP(B350,'Full Inventory'!F:F,1,0),'Full Inventory'!F:F,0))),"X","_"),"_")</f>
        <v>_</v>
      </c>
      <c r="L350" t="str">
        <f t="shared" ca="1" si="22"/>
        <v>__X_</v>
      </c>
      <c r="M350" t="str">
        <f t="shared" ca="1" si="23"/>
        <v/>
      </c>
    </row>
    <row r="351" spans="1:13" x14ac:dyDescent="0.25">
      <c r="A351" s="5"/>
      <c r="B351" s="4" t="str">
        <f t="shared" si="21"/>
        <v/>
      </c>
      <c r="C351" t="str">
        <f>IF(AND(TRIM(A351)&lt;&gt;"",IFERROR(VLOOKUP(TRIM(B351),Inventory!E:E,1,0),0)=0),"X","_")</f>
        <v>_</v>
      </c>
      <c r="D351" t="str">
        <f>IF(AND(TRIM(A351)&lt;&gt;"",IFERROR(VLOOKUP(TRIM(B351),'Full Inventory'!F:F,1,0),0)=0),"X","_")</f>
        <v>_</v>
      </c>
      <c r="E351" t="str">
        <f t="shared" si="24"/>
        <v>X</v>
      </c>
      <c r="F351" t="str">
        <f ca="1">IFERROR(IF(AND(C351&amp;D351&amp;E351="___",INDIRECT("Inventory!A"&amp;MATCH(VLOOKUP(B351,Inventory!E:E,1,0),Inventory!E:E,0))&lt;&gt;INDIRECT("'Full Inventory'!B"&amp;MATCH(VLOOKUP(B351,'Full Inventory'!F:F,1,0),'Full Inventory'!F:F,0))),"X","_"),"_")</f>
        <v>_</v>
      </c>
      <c r="L351" t="str">
        <f t="shared" ca="1" si="22"/>
        <v>__X_</v>
      </c>
      <c r="M351" t="str">
        <f t="shared" ca="1" si="23"/>
        <v/>
      </c>
    </row>
    <row r="352" spans="1:13" x14ac:dyDescent="0.25">
      <c r="A352" s="5"/>
      <c r="B352" s="4" t="str">
        <f t="shared" si="21"/>
        <v/>
      </c>
      <c r="C352" t="str">
        <f>IF(AND(TRIM(A352)&lt;&gt;"",IFERROR(VLOOKUP(TRIM(B352),Inventory!E:E,1,0),0)=0),"X","_")</f>
        <v>_</v>
      </c>
      <c r="D352" t="str">
        <f>IF(AND(TRIM(A352)&lt;&gt;"",IFERROR(VLOOKUP(TRIM(B352),'Full Inventory'!F:F,1,0),0)=0),"X","_")</f>
        <v>_</v>
      </c>
      <c r="E352" t="str">
        <f t="shared" si="24"/>
        <v>X</v>
      </c>
      <c r="F352" t="str">
        <f ca="1">IFERROR(IF(AND(C352&amp;D352&amp;E352="___",INDIRECT("Inventory!A"&amp;MATCH(VLOOKUP(B352,Inventory!E:E,1,0),Inventory!E:E,0))&lt;&gt;INDIRECT("'Full Inventory'!B"&amp;MATCH(VLOOKUP(B352,'Full Inventory'!F:F,1,0),'Full Inventory'!F:F,0))),"X","_"),"_")</f>
        <v>_</v>
      </c>
      <c r="L352" t="str">
        <f t="shared" ca="1" si="22"/>
        <v>__X_</v>
      </c>
      <c r="M352" t="str">
        <f t="shared" ca="1" si="23"/>
        <v/>
      </c>
    </row>
    <row r="353" spans="1:13" x14ac:dyDescent="0.25">
      <c r="A353" s="5"/>
      <c r="B353" s="4" t="str">
        <f t="shared" si="21"/>
        <v/>
      </c>
      <c r="C353" t="str">
        <f>IF(AND(TRIM(A353)&lt;&gt;"",IFERROR(VLOOKUP(TRIM(B353),Inventory!E:E,1,0),0)=0),"X","_")</f>
        <v>_</v>
      </c>
      <c r="D353" t="str">
        <f>IF(AND(TRIM(A353)&lt;&gt;"",IFERROR(VLOOKUP(TRIM(B353),'Full Inventory'!F:F,1,0),0)=0),"X","_")</f>
        <v>_</v>
      </c>
      <c r="E353" t="str">
        <f t="shared" si="24"/>
        <v>X</v>
      </c>
      <c r="F353" t="str">
        <f ca="1">IFERROR(IF(AND(C353&amp;D353&amp;E353="___",INDIRECT("Inventory!A"&amp;MATCH(VLOOKUP(B353,Inventory!E:E,1,0),Inventory!E:E,0))&lt;&gt;INDIRECT("'Full Inventory'!B"&amp;MATCH(VLOOKUP(B353,'Full Inventory'!F:F,1,0),'Full Inventory'!F:F,0))),"X","_"),"_")</f>
        <v>_</v>
      </c>
      <c r="L353" t="str">
        <f t="shared" ca="1" si="22"/>
        <v>__X_</v>
      </c>
      <c r="M353" t="str">
        <f t="shared" ca="1" si="23"/>
        <v/>
      </c>
    </row>
    <row r="354" spans="1:13" x14ac:dyDescent="0.25">
      <c r="A354" s="5"/>
      <c r="B354" s="4" t="str">
        <f t="shared" si="21"/>
        <v/>
      </c>
      <c r="C354" t="str">
        <f>IF(AND(TRIM(A354)&lt;&gt;"",IFERROR(VLOOKUP(TRIM(B354),Inventory!E:E,1,0),0)=0),"X","_")</f>
        <v>_</v>
      </c>
      <c r="D354" t="str">
        <f>IF(AND(TRIM(A354)&lt;&gt;"",IFERROR(VLOOKUP(TRIM(B354),'Full Inventory'!F:F,1,0),0)=0),"X","_")</f>
        <v>_</v>
      </c>
      <c r="E354" t="str">
        <f t="shared" si="24"/>
        <v>X</v>
      </c>
      <c r="F354" t="str">
        <f ca="1">IFERROR(IF(AND(C354&amp;D354&amp;E354="___",INDIRECT("Inventory!A"&amp;MATCH(VLOOKUP(B354,Inventory!E:E,1,0),Inventory!E:E,0))&lt;&gt;INDIRECT("'Full Inventory'!B"&amp;MATCH(VLOOKUP(B354,'Full Inventory'!F:F,1,0),'Full Inventory'!F:F,0))),"X","_"),"_")</f>
        <v>_</v>
      </c>
      <c r="L354" t="str">
        <f t="shared" ca="1" si="22"/>
        <v>__X_</v>
      </c>
      <c r="M354" t="str">
        <f t="shared" ca="1" si="23"/>
        <v/>
      </c>
    </row>
    <row r="355" spans="1:13" x14ac:dyDescent="0.25">
      <c r="A355" s="5"/>
      <c r="B355" s="4" t="str">
        <f t="shared" si="21"/>
        <v/>
      </c>
      <c r="C355" t="str">
        <f>IF(AND(TRIM(A355)&lt;&gt;"",IFERROR(VLOOKUP(TRIM(B355),Inventory!E:E,1,0),0)=0),"X","_")</f>
        <v>_</v>
      </c>
      <c r="D355" t="str">
        <f>IF(AND(TRIM(A355)&lt;&gt;"",IFERROR(VLOOKUP(TRIM(B355),'Full Inventory'!F:F,1,0),0)=0),"X","_")</f>
        <v>_</v>
      </c>
      <c r="E355" t="str">
        <f t="shared" si="24"/>
        <v>X</v>
      </c>
      <c r="F355" t="str">
        <f ca="1">IFERROR(IF(AND(C355&amp;D355&amp;E355="___",INDIRECT("Inventory!A"&amp;MATCH(VLOOKUP(B355,Inventory!E:E,1,0),Inventory!E:E,0))&lt;&gt;INDIRECT("'Full Inventory'!B"&amp;MATCH(VLOOKUP(B355,'Full Inventory'!F:F,1,0),'Full Inventory'!F:F,0))),"X","_"),"_")</f>
        <v>_</v>
      </c>
      <c r="L355" t="str">
        <f t="shared" ca="1" si="22"/>
        <v>__X_</v>
      </c>
      <c r="M355" t="str">
        <f t="shared" ca="1" si="23"/>
        <v/>
      </c>
    </row>
    <row r="356" spans="1:13" x14ac:dyDescent="0.25">
      <c r="A356" s="5"/>
      <c r="B356" s="4" t="str">
        <f t="shared" si="21"/>
        <v/>
      </c>
      <c r="C356" t="str">
        <f>IF(AND(TRIM(A356)&lt;&gt;"",IFERROR(VLOOKUP(TRIM(B356),Inventory!E:E,1,0),0)=0),"X","_")</f>
        <v>_</v>
      </c>
      <c r="D356" t="str">
        <f>IF(AND(TRIM(A356)&lt;&gt;"",IFERROR(VLOOKUP(TRIM(B356),'Full Inventory'!F:F,1,0),0)=0),"X","_")</f>
        <v>_</v>
      </c>
      <c r="E356" t="str">
        <f t="shared" si="24"/>
        <v>X</v>
      </c>
      <c r="F356" t="str">
        <f ca="1">IFERROR(IF(AND(C356&amp;D356&amp;E356="___",INDIRECT("Inventory!A"&amp;MATCH(VLOOKUP(B356,Inventory!E:E,1,0),Inventory!E:E,0))&lt;&gt;INDIRECT("'Full Inventory'!B"&amp;MATCH(VLOOKUP(B356,'Full Inventory'!F:F,1,0),'Full Inventory'!F:F,0))),"X","_"),"_")</f>
        <v>_</v>
      </c>
      <c r="L356" t="str">
        <f t="shared" ca="1" si="22"/>
        <v>__X_</v>
      </c>
      <c r="M356" t="str">
        <f t="shared" ca="1" si="23"/>
        <v/>
      </c>
    </row>
    <row r="357" spans="1:13" x14ac:dyDescent="0.25">
      <c r="A357" s="5"/>
      <c r="B357" s="4" t="str">
        <f t="shared" si="21"/>
        <v/>
      </c>
      <c r="C357" t="str">
        <f>IF(AND(TRIM(A357)&lt;&gt;"",IFERROR(VLOOKUP(TRIM(B357),Inventory!E:E,1,0),0)=0),"X","_")</f>
        <v>_</v>
      </c>
      <c r="D357" t="str">
        <f>IF(AND(TRIM(A357)&lt;&gt;"",IFERROR(VLOOKUP(TRIM(B357),'Full Inventory'!F:F,1,0),0)=0),"X","_")</f>
        <v>_</v>
      </c>
      <c r="E357" t="str">
        <f t="shared" si="24"/>
        <v>X</v>
      </c>
      <c r="F357" t="str">
        <f ca="1">IFERROR(IF(AND(C357&amp;D357&amp;E357="___",INDIRECT("Inventory!A"&amp;MATCH(VLOOKUP(B357,Inventory!E:E,1,0),Inventory!E:E,0))&lt;&gt;INDIRECT("'Full Inventory'!B"&amp;MATCH(VLOOKUP(B357,'Full Inventory'!F:F,1,0),'Full Inventory'!F:F,0))),"X","_"),"_")</f>
        <v>_</v>
      </c>
      <c r="L357" t="str">
        <f t="shared" ca="1" si="22"/>
        <v>__X_</v>
      </c>
      <c r="M357" t="str">
        <f t="shared" ca="1" si="23"/>
        <v/>
      </c>
    </row>
    <row r="358" spans="1:13" x14ac:dyDescent="0.25">
      <c r="A358" s="5"/>
      <c r="B358" s="4" t="str">
        <f t="shared" si="21"/>
        <v/>
      </c>
      <c r="C358" t="str">
        <f>IF(AND(TRIM(A358)&lt;&gt;"",IFERROR(VLOOKUP(TRIM(B358),Inventory!E:E,1,0),0)=0),"X","_")</f>
        <v>_</v>
      </c>
      <c r="D358" t="str">
        <f>IF(AND(TRIM(A358)&lt;&gt;"",IFERROR(VLOOKUP(TRIM(B358),'Full Inventory'!F:F,1,0),0)=0),"X","_")</f>
        <v>_</v>
      </c>
      <c r="E358" t="str">
        <f t="shared" si="24"/>
        <v>X</v>
      </c>
      <c r="F358" t="str">
        <f ca="1">IFERROR(IF(AND(C358&amp;D358&amp;E358="___",INDIRECT("Inventory!A"&amp;MATCH(VLOOKUP(B358,Inventory!E:E,1,0),Inventory!E:E,0))&lt;&gt;INDIRECT("'Full Inventory'!B"&amp;MATCH(VLOOKUP(B358,'Full Inventory'!F:F,1,0),'Full Inventory'!F:F,0))),"X","_"),"_")</f>
        <v>_</v>
      </c>
      <c r="L358" t="str">
        <f t="shared" ca="1" si="22"/>
        <v>__X_</v>
      </c>
      <c r="M358" t="str">
        <f t="shared" ca="1" si="23"/>
        <v/>
      </c>
    </row>
    <row r="359" spans="1:13" x14ac:dyDescent="0.25">
      <c r="A359" s="5"/>
      <c r="B359" s="4" t="str">
        <f t="shared" si="21"/>
        <v/>
      </c>
      <c r="C359" t="str">
        <f>IF(AND(TRIM(A359)&lt;&gt;"",IFERROR(VLOOKUP(TRIM(B359),Inventory!E:E,1,0),0)=0),"X","_")</f>
        <v>_</v>
      </c>
      <c r="D359" t="str">
        <f>IF(AND(TRIM(A359)&lt;&gt;"",IFERROR(VLOOKUP(TRIM(B359),'Full Inventory'!F:F,1,0),0)=0),"X","_")</f>
        <v>_</v>
      </c>
      <c r="E359" t="str">
        <f t="shared" si="24"/>
        <v>X</v>
      </c>
      <c r="F359" t="str">
        <f ca="1">IFERROR(IF(AND(C359&amp;D359&amp;E359="___",INDIRECT("Inventory!A"&amp;MATCH(VLOOKUP(B359,Inventory!E:E,1,0),Inventory!E:E,0))&lt;&gt;INDIRECT("'Full Inventory'!B"&amp;MATCH(VLOOKUP(B359,'Full Inventory'!F:F,1,0),'Full Inventory'!F:F,0))),"X","_"),"_")</f>
        <v>_</v>
      </c>
      <c r="L359" t="str">
        <f t="shared" ca="1" si="22"/>
        <v>__X_</v>
      </c>
      <c r="M359" t="str">
        <f t="shared" ca="1" si="23"/>
        <v/>
      </c>
    </row>
    <row r="360" spans="1:13" x14ac:dyDescent="0.25">
      <c r="A360" s="5"/>
      <c r="B360" s="4" t="str">
        <f t="shared" si="21"/>
        <v/>
      </c>
      <c r="C360" t="str">
        <f>IF(AND(TRIM(A360)&lt;&gt;"",IFERROR(VLOOKUP(TRIM(B360),Inventory!E:E,1,0),0)=0),"X","_")</f>
        <v>_</v>
      </c>
      <c r="D360" t="str">
        <f>IF(AND(TRIM(A360)&lt;&gt;"",IFERROR(VLOOKUP(TRIM(B360),'Full Inventory'!F:F,1,0),0)=0),"X","_")</f>
        <v>_</v>
      </c>
      <c r="E360" t="str">
        <f t="shared" si="24"/>
        <v>X</v>
      </c>
      <c r="F360" t="str">
        <f ca="1">IFERROR(IF(AND(C360&amp;D360&amp;E360="___",INDIRECT("Inventory!A"&amp;MATCH(VLOOKUP(B360,Inventory!E:E,1,0),Inventory!E:E,0))&lt;&gt;INDIRECT("'Full Inventory'!B"&amp;MATCH(VLOOKUP(B360,'Full Inventory'!F:F,1,0),'Full Inventory'!F:F,0))),"X","_"),"_")</f>
        <v>_</v>
      </c>
      <c r="L360" t="str">
        <f t="shared" ca="1" si="22"/>
        <v>__X_</v>
      </c>
      <c r="M360" t="str">
        <f t="shared" ca="1" si="23"/>
        <v/>
      </c>
    </row>
    <row r="361" spans="1:13" x14ac:dyDescent="0.25">
      <c r="A361" s="5"/>
      <c r="B361" s="4" t="str">
        <f t="shared" si="21"/>
        <v/>
      </c>
      <c r="C361" t="str">
        <f>IF(AND(TRIM(A361)&lt;&gt;"",IFERROR(VLOOKUP(TRIM(B361),Inventory!E:E,1,0),0)=0),"X","_")</f>
        <v>_</v>
      </c>
      <c r="D361" t="str">
        <f>IF(AND(TRIM(A361)&lt;&gt;"",IFERROR(VLOOKUP(TRIM(B361),'Full Inventory'!F:F,1,0),0)=0),"X","_")</f>
        <v>_</v>
      </c>
      <c r="E361" t="str">
        <f t="shared" si="24"/>
        <v>X</v>
      </c>
      <c r="F361" t="str">
        <f ca="1">IFERROR(IF(AND(C361&amp;D361&amp;E361="___",INDIRECT("Inventory!A"&amp;MATCH(VLOOKUP(B361,Inventory!E:E,1,0),Inventory!E:E,0))&lt;&gt;INDIRECT("'Full Inventory'!B"&amp;MATCH(VLOOKUP(B361,'Full Inventory'!F:F,1,0),'Full Inventory'!F:F,0))),"X","_"),"_")</f>
        <v>_</v>
      </c>
      <c r="L361" t="str">
        <f t="shared" ca="1" si="22"/>
        <v>__X_</v>
      </c>
      <c r="M361" t="str">
        <f t="shared" ca="1" si="23"/>
        <v/>
      </c>
    </row>
    <row r="362" spans="1:13" x14ac:dyDescent="0.25">
      <c r="A362" s="5"/>
      <c r="B362" s="4" t="str">
        <f t="shared" si="21"/>
        <v/>
      </c>
      <c r="C362" t="str">
        <f>IF(AND(TRIM(A362)&lt;&gt;"",IFERROR(VLOOKUP(TRIM(B362),Inventory!E:E,1,0),0)=0),"X","_")</f>
        <v>_</v>
      </c>
      <c r="D362" t="str">
        <f>IF(AND(TRIM(A362)&lt;&gt;"",IFERROR(VLOOKUP(TRIM(B362),'Full Inventory'!F:F,1,0),0)=0),"X","_")</f>
        <v>_</v>
      </c>
      <c r="E362" t="str">
        <f t="shared" si="24"/>
        <v>X</v>
      </c>
      <c r="F362" t="str">
        <f ca="1">IFERROR(IF(AND(C362&amp;D362&amp;E362="___",INDIRECT("Inventory!A"&amp;MATCH(VLOOKUP(B362,Inventory!E:E,1,0),Inventory!E:E,0))&lt;&gt;INDIRECT("'Full Inventory'!B"&amp;MATCH(VLOOKUP(B362,'Full Inventory'!F:F,1,0),'Full Inventory'!F:F,0))),"X","_"),"_")</f>
        <v>_</v>
      </c>
      <c r="L362" t="str">
        <f t="shared" ca="1" si="22"/>
        <v>__X_</v>
      </c>
      <c r="M362" t="str">
        <f t="shared" ca="1" si="23"/>
        <v/>
      </c>
    </row>
    <row r="363" spans="1:13" x14ac:dyDescent="0.25">
      <c r="A363" s="5"/>
      <c r="B363" s="4" t="str">
        <f t="shared" si="21"/>
        <v/>
      </c>
      <c r="C363" t="str">
        <f>IF(AND(TRIM(A363)&lt;&gt;"",IFERROR(VLOOKUP(TRIM(B363),Inventory!E:E,1,0),0)=0),"X","_")</f>
        <v>_</v>
      </c>
      <c r="D363" t="str">
        <f>IF(AND(TRIM(A363)&lt;&gt;"",IFERROR(VLOOKUP(TRIM(B363),'Full Inventory'!F:F,1,0),0)=0),"X","_")</f>
        <v>_</v>
      </c>
      <c r="E363" t="str">
        <f t="shared" si="24"/>
        <v>X</v>
      </c>
      <c r="F363" t="str">
        <f ca="1">IFERROR(IF(AND(C363&amp;D363&amp;E363="___",INDIRECT("Inventory!A"&amp;MATCH(VLOOKUP(B363,Inventory!E:E,1,0),Inventory!E:E,0))&lt;&gt;INDIRECT("'Full Inventory'!B"&amp;MATCH(VLOOKUP(B363,'Full Inventory'!F:F,1,0),'Full Inventory'!F:F,0))),"X","_"),"_")</f>
        <v>_</v>
      </c>
      <c r="L363" t="str">
        <f t="shared" ca="1" si="22"/>
        <v>__X_</v>
      </c>
      <c r="M363" t="str">
        <f t="shared" ca="1" si="23"/>
        <v/>
      </c>
    </row>
    <row r="364" spans="1:13" x14ac:dyDescent="0.25">
      <c r="A364" s="5"/>
      <c r="B364" s="4" t="str">
        <f t="shared" si="21"/>
        <v/>
      </c>
      <c r="C364" t="str">
        <f>IF(AND(TRIM(A364)&lt;&gt;"",IFERROR(VLOOKUP(TRIM(B364),Inventory!E:E,1,0),0)=0),"X","_")</f>
        <v>_</v>
      </c>
      <c r="D364" t="str">
        <f>IF(AND(TRIM(A364)&lt;&gt;"",IFERROR(VLOOKUP(TRIM(B364),'Full Inventory'!F:F,1,0),0)=0),"X","_")</f>
        <v>_</v>
      </c>
      <c r="E364" t="str">
        <f t="shared" si="24"/>
        <v>X</v>
      </c>
      <c r="F364" t="str">
        <f ca="1">IFERROR(IF(AND(C364&amp;D364&amp;E364="___",INDIRECT("Inventory!A"&amp;MATCH(VLOOKUP(B364,Inventory!E:E,1,0),Inventory!E:E,0))&lt;&gt;INDIRECT("'Full Inventory'!B"&amp;MATCH(VLOOKUP(B364,'Full Inventory'!F:F,1,0),'Full Inventory'!F:F,0))),"X","_"),"_")</f>
        <v>_</v>
      </c>
      <c r="L364" t="str">
        <f t="shared" ca="1" si="22"/>
        <v>__X_</v>
      </c>
      <c r="M364" t="str">
        <f t="shared" ca="1" si="23"/>
        <v/>
      </c>
    </row>
    <row r="365" spans="1:13" x14ac:dyDescent="0.25">
      <c r="A365" s="5"/>
      <c r="B365" s="4" t="str">
        <f t="shared" si="21"/>
        <v/>
      </c>
      <c r="C365" t="str">
        <f>IF(AND(TRIM(A365)&lt;&gt;"",IFERROR(VLOOKUP(TRIM(B365),Inventory!E:E,1,0),0)=0),"X","_")</f>
        <v>_</v>
      </c>
      <c r="D365" t="str">
        <f>IF(AND(TRIM(A365)&lt;&gt;"",IFERROR(VLOOKUP(TRIM(B365),'Full Inventory'!F:F,1,0),0)=0),"X","_")</f>
        <v>_</v>
      </c>
      <c r="E365" t="str">
        <f t="shared" si="24"/>
        <v>X</v>
      </c>
      <c r="F365" t="str">
        <f ca="1">IFERROR(IF(AND(C365&amp;D365&amp;E365="___",INDIRECT("Inventory!A"&amp;MATCH(VLOOKUP(B365,Inventory!E:E,1,0),Inventory!E:E,0))&lt;&gt;INDIRECT("'Full Inventory'!B"&amp;MATCH(VLOOKUP(B365,'Full Inventory'!F:F,1,0),'Full Inventory'!F:F,0))),"X","_"),"_")</f>
        <v>_</v>
      </c>
      <c r="L365" t="str">
        <f t="shared" ca="1" si="22"/>
        <v>__X_</v>
      </c>
      <c r="M365" t="str">
        <f t="shared" ca="1" si="23"/>
        <v/>
      </c>
    </row>
    <row r="366" spans="1:13" x14ac:dyDescent="0.25">
      <c r="A366" s="5"/>
      <c r="B366" s="4" t="str">
        <f t="shared" si="21"/>
        <v/>
      </c>
      <c r="C366" t="str">
        <f>IF(AND(TRIM(A366)&lt;&gt;"",IFERROR(VLOOKUP(TRIM(B366),Inventory!E:E,1,0),0)=0),"X","_")</f>
        <v>_</v>
      </c>
      <c r="D366" t="str">
        <f>IF(AND(TRIM(A366)&lt;&gt;"",IFERROR(VLOOKUP(TRIM(B366),'Full Inventory'!F:F,1,0),0)=0),"X","_")</f>
        <v>_</v>
      </c>
      <c r="E366" t="str">
        <f t="shared" si="24"/>
        <v>X</v>
      </c>
      <c r="F366" t="str">
        <f ca="1">IFERROR(IF(AND(C366&amp;D366&amp;E366="___",INDIRECT("Inventory!A"&amp;MATCH(VLOOKUP(B366,Inventory!E:E,1,0),Inventory!E:E,0))&lt;&gt;INDIRECT("'Full Inventory'!B"&amp;MATCH(VLOOKUP(B366,'Full Inventory'!F:F,1,0),'Full Inventory'!F:F,0))),"X","_"),"_")</f>
        <v>_</v>
      </c>
      <c r="L366" t="str">
        <f t="shared" ca="1" si="22"/>
        <v>__X_</v>
      </c>
      <c r="M366" t="str">
        <f t="shared" ca="1" si="23"/>
        <v/>
      </c>
    </row>
    <row r="367" spans="1:13" x14ac:dyDescent="0.25">
      <c r="A367" s="5"/>
      <c r="B367" s="4" t="str">
        <f t="shared" si="21"/>
        <v/>
      </c>
      <c r="C367" t="str">
        <f>IF(AND(TRIM(A367)&lt;&gt;"",IFERROR(VLOOKUP(TRIM(B367),Inventory!E:E,1,0),0)=0),"X","_")</f>
        <v>_</v>
      </c>
      <c r="D367" t="str">
        <f>IF(AND(TRIM(A367)&lt;&gt;"",IFERROR(VLOOKUP(TRIM(B367),'Full Inventory'!F:F,1,0),0)=0),"X","_")</f>
        <v>_</v>
      </c>
      <c r="E367" t="str">
        <f t="shared" si="24"/>
        <v>X</v>
      </c>
      <c r="F367" t="str">
        <f ca="1">IFERROR(IF(AND(C367&amp;D367&amp;E367="___",INDIRECT("Inventory!A"&amp;MATCH(VLOOKUP(B367,Inventory!E:E,1,0),Inventory!E:E,0))&lt;&gt;INDIRECT("'Full Inventory'!B"&amp;MATCH(VLOOKUP(B367,'Full Inventory'!F:F,1,0),'Full Inventory'!F:F,0))),"X","_"),"_")</f>
        <v>_</v>
      </c>
      <c r="L367" t="str">
        <f t="shared" ca="1" si="22"/>
        <v>__X_</v>
      </c>
      <c r="M367" t="str">
        <f t="shared" ca="1" si="23"/>
        <v/>
      </c>
    </row>
    <row r="368" spans="1:13" x14ac:dyDescent="0.25">
      <c r="A368" s="5"/>
      <c r="B368" s="4" t="str">
        <f t="shared" si="21"/>
        <v/>
      </c>
      <c r="C368" t="str">
        <f>IF(AND(TRIM(A368)&lt;&gt;"",IFERROR(VLOOKUP(TRIM(B368),Inventory!E:E,1,0),0)=0),"X","_")</f>
        <v>_</v>
      </c>
      <c r="D368" t="str">
        <f>IF(AND(TRIM(A368)&lt;&gt;"",IFERROR(VLOOKUP(TRIM(B368),'Full Inventory'!F:F,1,0),0)=0),"X","_")</f>
        <v>_</v>
      </c>
      <c r="E368" t="str">
        <f t="shared" si="24"/>
        <v>X</v>
      </c>
      <c r="F368" t="str">
        <f ca="1">IFERROR(IF(AND(C368&amp;D368&amp;E368="___",INDIRECT("Inventory!A"&amp;MATCH(VLOOKUP(B368,Inventory!E:E,1,0),Inventory!E:E,0))&lt;&gt;INDIRECT("'Full Inventory'!B"&amp;MATCH(VLOOKUP(B368,'Full Inventory'!F:F,1,0),'Full Inventory'!F:F,0))),"X","_"),"_")</f>
        <v>_</v>
      </c>
      <c r="L368" t="str">
        <f t="shared" ca="1" si="22"/>
        <v>__X_</v>
      </c>
      <c r="M368" t="str">
        <f t="shared" ca="1" si="23"/>
        <v/>
      </c>
    </row>
    <row r="369" spans="1:13" x14ac:dyDescent="0.25">
      <c r="A369" s="5"/>
      <c r="B369" s="4" t="str">
        <f t="shared" si="21"/>
        <v/>
      </c>
      <c r="C369" t="str">
        <f>IF(AND(TRIM(A369)&lt;&gt;"",IFERROR(VLOOKUP(TRIM(B369),Inventory!E:E,1,0),0)=0),"X","_")</f>
        <v>_</v>
      </c>
      <c r="D369" t="str">
        <f>IF(AND(TRIM(A369)&lt;&gt;"",IFERROR(VLOOKUP(TRIM(B369),'Full Inventory'!F:F,1,0),0)=0),"X","_")</f>
        <v>_</v>
      </c>
      <c r="E369" t="str">
        <f t="shared" si="24"/>
        <v>X</v>
      </c>
      <c r="F369" t="str">
        <f ca="1">IFERROR(IF(AND(C369&amp;D369&amp;E369="___",INDIRECT("Inventory!A"&amp;MATCH(VLOOKUP(B369,Inventory!E:E,1,0),Inventory!E:E,0))&lt;&gt;INDIRECT("'Full Inventory'!B"&amp;MATCH(VLOOKUP(B369,'Full Inventory'!F:F,1,0),'Full Inventory'!F:F,0))),"X","_"),"_")</f>
        <v>_</v>
      </c>
      <c r="L369" t="str">
        <f t="shared" ca="1" si="22"/>
        <v>__X_</v>
      </c>
      <c r="M369" t="str">
        <f t="shared" ca="1" si="23"/>
        <v/>
      </c>
    </row>
    <row r="370" spans="1:13" x14ac:dyDescent="0.25">
      <c r="A370" s="5"/>
      <c r="B370" s="4" t="str">
        <f t="shared" si="21"/>
        <v/>
      </c>
      <c r="C370" t="str">
        <f>IF(AND(TRIM(A370)&lt;&gt;"",IFERROR(VLOOKUP(TRIM(B370),Inventory!E:E,1,0),0)=0),"X","_")</f>
        <v>_</v>
      </c>
      <c r="D370" t="str">
        <f>IF(AND(TRIM(A370)&lt;&gt;"",IFERROR(VLOOKUP(TRIM(B370),'Full Inventory'!F:F,1,0),0)=0),"X","_")</f>
        <v>_</v>
      </c>
      <c r="E370" t="str">
        <f t="shared" si="24"/>
        <v>X</v>
      </c>
      <c r="F370" t="str">
        <f ca="1">IFERROR(IF(AND(C370&amp;D370&amp;E370="___",INDIRECT("Inventory!A"&amp;MATCH(VLOOKUP(B370,Inventory!E:E,1,0),Inventory!E:E,0))&lt;&gt;INDIRECT("'Full Inventory'!B"&amp;MATCH(VLOOKUP(B370,'Full Inventory'!F:F,1,0),'Full Inventory'!F:F,0))),"X","_"),"_")</f>
        <v>_</v>
      </c>
      <c r="L370" t="str">
        <f t="shared" ca="1" si="22"/>
        <v>__X_</v>
      </c>
      <c r="M370" t="str">
        <f t="shared" ca="1" si="23"/>
        <v/>
      </c>
    </row>
    <row r="371" spans="1:13" x14ac:dyDescent="0.25">
      <c r="A371" s="5"/>
      <c r="B371" s="4" t="str">
        <f t="shared" si="21"/>
        <v/>
      </c>
      <c r="C371" t="str">
        <f>IF(AND(TRIM(A371)&lt;&gt;"",IFERROR(VLOOKUP(TRIM(B371),Inventory!E:E,1,0),0)=0),"X","_")</f>
        <v>_</v>
      </c>
      <c r="D371" t="str">
        <f>IF(AND(TRIM(A371)&lt;&gt;"",IFERROR(VLOOKUP(TRIM(B371),'Full Inventory'!F:F,1,0),0)=0),"X","_")</f>
        <v>_</v>
      </c>
      <c r="E371" t="str">
        <f t="shared" si="24"/>
        <v>X</v>
      </c>
      <c r="F371" t="str">
        <f ca="1">IFERROR(IF(AND(C371&amp;D371&amp;E371="___",INDIRECT("Inventory!A"&amp;MATCH(VLOOKUP(B371,Inventory!E:E,1,0),Inventory!E:E,0))&lt;&gt;INDIRECT("'Full Inventory'!B"&amp;MATCH(VLOOKUP(B371,'Full Inventory'!F:F,1,0),'Full Inventory'!F:F,0))),"X","_"),"_")</f>
        <v>_</v>
      </c>
      <c r="L371" t="str">
        <f t="shared" ca="1" si="22"/>
        <v>__X_</v>
      </c>
      <c r="M371" t="str">
        <f t="shared" ca="1" si="23"/>
        <v/>
      </c>
    </row>
    <row r="372" spans="1:13" x14ac:dyDescent="0.25">
      <c r="A372" s="5"/>
      <c r="B372" s="4" t="str">
        <f t="shared" si="21"/>
        <v/>
      </c>
      <c r="C372" t="str">
        <f>IF(AND(TRIM(A372)&lt;&gt;"",IFERROR(VLOOKUP(TRIM(B372),Inventory!E:E,1,0),0)=0),"X","_")</f>
        <v>_</v>
      </c>
      <c r="D372" t="str">
        <f>IF(AND(TRIM(A372)&lt;&gt;"",IFERROR(VLOOKUP(TRIM(B372),'Full Inventory'!F:F,1,0),0)=0),"X","_")</f>
        <v>_</v>
      </c>
      <c r="E372" t="str">
        <f t="shared" si="24"/>
        <v>X</v>
      </c>
      <c r="F372" t="str">
        <f ca="1">IFERROR(IF(AND(C372&amp;D372&amp;E372="___",INDIRECT("Inventory!A"&amp;MATCH(VLOOKUP(B372,Inventory!E:E,1,0),Inventory!E:E,0))&lt;&gt;INDIRECT("'Full Inventory'!B"&amp;MATCH(VLOOKUP(B372,'Full Inventory'!F:F,1,0),'Full Inventory'!F:F,0))),"X","_"),"_")</f>
        <v>_</v>
      </c>
      <c r="L372" t="str">
        <f t="shared" ca="1" si="22"/>
        <v>__X_</v>
      </c>
      <c r="M372" t="str">
        <f t="shared" ca="1" si="23"/>
        <v/>
      </c>
    </row>
    <row r="373" spans="1:13" x14ac:dyDescent="0.25">
      <c r="A373" s="5"/>
      <c r="B373" s="4" t="str">
        <f t="shared" si="21"/>
        <v/>
      </c>
      <c r="C373" t="str">
        <f>IF(AND(TRIM(A373)&lt;&gt;"",IFERROR(VLOOKUP(TRIM(B373),Inventory!E:E,1,0),0)=0),"X","_")</f>
        <v>_</v>
      </c>
      <c r="D373" t="str">
        <f>IF(AND(TRIM(A373)&lt;&gt;"",IFERROR(VLOOKUP(TRIM(B373),'Full Inventory'!F:F,1,0),0)=0),"X","_")</f>
        <v>_</v>
      </c>
      <c r="E373" t="str">
        <f t="shared" si="24"/>
        <v>X</v>
      </c>
      <c r="F373" t="str">
        <f ca="1">IFERROR(IF(AND(C373&amp;D373&amp;E373="___",INDIRECT("Inventory!A"&amp;MATCH(VLOOKUP(B373,Inventory!E:E,1,0),Inventory!E:E,0))&lt;&gt;INDIRECT("'Full Inventory'!B"&amp;MATCH(VLOOKUP(B373,'Full Inventory'!F:F,1,0),'Full Inventory'!F:F,0))),"X","_"),"_")</f>
        <v>_</v>
      </c>
      <c r="L373" t="str">
        <f t="shared" ca="1" si="22"/>
        <v>__X_</v>
      </c>
      <c r="M373" t="str">
        <f t="shared" ca="1" si="23"/>
        <v/>
      </c>
    </row>
    <row r="374" spans="1:13" x14ac:dyDescent="0.25">
      <c r="A374" s="5"/>
      <c r="B374" s="4" t="str">
        <f t="shared" si="21"/>
        <v/>
      </c>
      <c r="C374" t="str">
        <f>IF(AND(TRIM(A374)&lt;&gt;"",IFERROR(VLOOKUP(TRIM(B374),Inventory!E:E,1,0),0)=0),"X","_")</f>
        <v>_</v>
      </c>
      <c r="D374" t="str">
        <f>IF(AND(TRIM(A374)&lt;&gt;"",IFERROR(VLOOKUP(TRIM(B374),'Full Inventory'!F:F,1,0),0)=0),"X","_")</f>
        <v>_</v>
      </c>
      <c r="E374" t="str">
        <f t="shared" si="24"/>
        <v>X</v>
      </c>
      <c r="F374" t="str">
        <f ca="1">IFERROR(IF(AND(C374&amp;D374&amp;E374="___",INDIRECT("Inventory!A"&amp;MATCH(VLOOKUP(B374,Inventory!E:E,1,0),Inventory!E:E,0))&lt;&gt;INDIRECT("'Full Inventory'!B"&amp;MATCH(VLOOKUP(B374,'Full Inventory'!F:F,1,0),'Full Inventory'!F:F,0))),"X","_"),"_")</f>
        <v>_</v>
      </c>
      <c r="L374" t="str">
        <f t="shared" ca="1" si="22"/>
        <v>__X_</v>
      </c>
      <c r="M374" t="str">
        <f t="shared" ca="1" si="23"/>
        <v/>
      </c>
    </row>
    <row r="375" spans="1:13" x14ac:dyDescent="0.25">
      <c r="A375" s="5"/>
      <c r="B375" s="4" t="str">
        <f t="shared" si="21"/>
        <v/>
      </c>
      <c r="C375" t="str">
        <f>IF(AND(TRIM(A375)&lt;&gt;"",IFERROR(VLOOKUP(TRIM(B375),Inventory!E:E,1,0),0)=0),"X","_")</f>
        <v>_</v>
      </c>
      <c r="D375" t="str">
        <f>IF(AND(TRIM(A375)&lt;&gt;"",IFERROR(VLOOKUP(TRIM(B375),'Full Inventory'!F:F,1,0),0)=0),"X","_")</f>
        <v>_</v>
      </c>
      <c r="E375" t="str">
        <f t="shared" si="24"/>
        <v>X</v>
      </c>
      <c r="F375" t="str">
        <f ca="1">IFERROR(IF(AND(C375&amp;D375&amp;E375="___",INDIRECT("Inventory!A"&amp;MATCH(VLOOKUP(B375,Inventory!E:E,1,0),Inventory!E:E,0))&lt;&gt;INDIRECT("'Full Inventory'!B"&amp;MATCH(VLOOKUP(B375,'Full Inventory'!F:F,1,0),'Full Inventory'!F:F,0))),"X","_"),"_")</f>
        <v>_</v>
      </c>
      <c r="L375" t="str">
        <f t="shared" ca="1" si="22"/>
        <v>__X_</v>
      </c>
      <c r="M375" t="str">
        <f t="shared" ca="1" si="23"/>
        <v/>
      </c>
    </row>
    <row r="376" spans="1:13" x14ac:dyDescent="0.25">
      <c r="A376" s="5"/>
      <c r="B376" s="4" t="str">
        <f t="shared" si="21"/>
        <v/>
      </c>
      <c r="C376" t="str">
        <f>IF(AND(TRIM(A376)&lt;&gt;"",IFERROR(VLOOKUP(TRIM(B376),Inventory!E:E,1,0),0)=0),"X","_")</f>
        <v>_</v>
      </c>
      <c r="D376" t="str">
        <f>IF(AND(TRIM(A376)&lt;&gt;"",IFERROR(VLOOKUP(TRIM(B376),'Full Inventory'!F:F,1,0),0)=0),"X","_")</f>
        <v>_</v>
      </c>
      <c r="E376" t="str">
        <f t="shared" si="24"/>
        <v>X</v>
      </c>
      <c r="F376" t="str">
        <f ca="1">IFERROR(IF(AND(C376&amp;D376&amp;E376="___",INDIRECT("Inventory!A"&amp;MATCH(VLOOKUP(B376,Inventory!E:E,1,0),Inventory!E:E,0))&lt;&gt;INDIRECT("'Full Inventory'!B"&amp;MATCH(VLOOKUP(B376,'Full Inventory'!F:F,1,0),'Full Inventory'!F:F,0))),"X","_"),"_")</f>
        <v>_</v>
      </c>
      <c r="L376" t="str">
        <f t="shared" ca="1" si="22"/>
        <v>__X_</v>
      </c>
      <c r="M376" t="str">
        <f t="shared" ca="1" si="23"/>
        <v/>
      </c>
    </row>
    <row r="377" spans="1:13" x14ac:dyDescent="0.25">
      <c r="A377" s="5"/>
      <c r="B377" s="4" t="str">
        <f t="shared" si="21"/>
        <v/>
      </c>
      <c r="C377" t="str">
        <f>IF(AND(TRIM(A377)&lt;&gt;"",IFERROR(VLOOKUP(TRIM(B377),Inventory!E:E,1,0),0)=0),"X","_")</f>
        <v>_</v>
      </c>
      <c r="D377" t="str">
        <f>IF(AND(TRIM(A377)&lt;&gt;"",IFERROR(VLOOKUP(TRIM(B377),'Full Inventory'!F:F,1,0),0)=0),"X","_")</f>
        <v>_</v>
      </c>
      <c r="E377" t="str">
        <f t="shared" si="24"/>
        <v>X</v>
      </c>
      <c r="F377" t="str">
        <f ca="1">IFERROR(IF(AND(C377&amp;D377&amp;E377="___",INDIRECT("Inventory!A"&amp;MATCH(VLOOKUP(B377,Inventory!E:E,1,0),Inventory!E:E,0))&lt;&gt;INDIRECT("'Full Inventory'!B"&amp;MATCH(VLOOKUP(B377,'Full Inventory'!F:F,1,0),'Full Inventory'!F:F,0))),"X","_"),"_")</f>
        <v>_</v>
      </c>
      <c r="L377" t="str">
        <f t="shared" ca="1" si="22"/>
        <v>__X_</v>
      </c>
      <c r="M377" t="str">
        <f t="shared" ca="1" si="23"/>
        <v/>
      </c>
    </row>
    <row r="378" spans="1:13" x14ac:dyDescent="0.25">
      <c r="A378" s="5"/>
      <c r="B378" s="4" t="str">
        <f t="shared" si="21"/>
        <v/>
      </c>
      <c r="C378" t="str">
        <f>IF(AND(TRIM(A378)&lt;&gt;"",IFERROR(VLOOKUP(TRIM(B378),Inventory!E:E,1,0),0)=0),"X","_")</f>
        <v>_</v>
      </c>
      <c r="D378" t="str">
        <f>IF(AND(TRIM(A378)&lt;&gt;"",IFERROR(VLOOKUP(TRIM(B378),'Full Inventory'!F:F,1,0),0)=0),"X","_")</f>
        <v>_</v>
      </c>
      <c r="E378" t="str">
        <f t="shared" si="24"/>
        <v>X</v>
      </c>
      <c r="F378" t="str">
        <f ca="1">IFERROR(IF(AND(C378&amp;D378&amp;E378="___",INDIRECT("Inventory!A"&amp;MATCH(VLOOKUP(B378,Inventory!E:E,1,0),Inventory!E:E,0))&lt;&gt;INDIRECT("'Full Inventory'!B"&amp;MATCH(VLOOKUP(B378,'Full Inventory'!F:F,1,0),'Full Inventory'!F:F,0))),"X","_"),"_")</f>
        <v>_</v>
      </c>
      <c r="L378" t="str">
        <f t="shared" ca="1" si="22"/>
        <v>__X_</v>
      </c>
      <c r="M378" t="str">
        <f t="shared" ca="1" si="23"/>
        <v/>
      </c>
    </row>
    <row r="379" spans="1:13" x14ac:dyDescent="0.25">
      <c r="A379" s="5"/>
      <c r="B379" s="4" t="str">
        <f t="shared" si="21"/>
        <v/>
      </c>
      <c r="C379" t="str">
        <f>IF(AND(TRIM(A379)&lt;&gt;"",IFERROR(VLOOKUP(TRIM(B379),Inventory!E:E,1,0),0)=0),"X","_")</f>
        <v>_</v>
      </c>
      <c r="D379" t="str">
        <f>IF(AND(TRIM(A379)&lt;&gt;"",IFERROR(VLOOKUP(TRIM(B379),'Full Inventory'!F:F,1,0),0)=0),"X","_")</f>
        <v>_</v>
      </c>
      <c r="E379" t="str">
        <f t="shared" si="24"/>
        <v>X</v>
      </c>
      <c r="F379" t="str">
        <f ca="1">IFERROR(IF(AND(C379&amp;D379&amp;E379="___",INDIRECT("Inventory!A"&amp;MATCH(VLOOKUP(B379,Inventory!E:E,1,0),Inventory!E:E,0))&lt;&gt;INDIRECT("'Full Inventory'!B"&amp;MATCH(VLOOKUP(B379,'Full Inventory'!F:F,1,0),'Full Inventory'!F:F,0))),"X","_"),"_")</f>
        <v>_</v>
      </c>
      <c r="L379" t="str">
        <f t="shared" ca="1" si="22"/>
        <v>__X_</v>
      </c>
      <c r="M379" t="str">
        <f t="shared" ca="1" si="23"/>
        <v/>
      </c>
    </row>
    <row r="380" spans="1:13" x14ac:dyDescent="0.25">
      <c r="A380" s="5"/>
      <c r="B380" s="4" t="str">
        <f t="shared" si="21"/>
        <v/>
      </c>
      <c r="C380" t="str">
        <f>IF(AND(TRIM(A380)&lt;&gt;"",IFERROR(VLOOKUP(TRIM(B380),Inventory!E:E,1,0),0)=0),"X","_")</f>
        <v>_</v>
      </c>
      <c r="D380" t="str">
        <f>IF(AND(TRIM(A380)&lt;&gt;"",IFERROR(VLOOKUP(TRIM(B380),'Full Inventory'!F:F,1,0),0)=0),"X","_")</f>
        <v>_</v>
      </c>
      <c r="E380" t="str">
        <f t="shared" si="24"/>
        <v>X</v>
      </c>
      <c r="F380" t="str">
        <f ca="1">IFERROR(IF(AND(C380&amp;D380&amp;E380="___",INDIRECT("Inventory!A"&amp;MATCH(VLOOKUP(B380,Inventory!E:E,1,0),Inventory!E:E,0))&lt;&gt;INDIRECT("'Full Inventory'!B"&amp;MATCH(VLOOKUP(B380,'Full Inventory'!F:F,1,0),'Full Inventory'!F:F,0))),"X","_"),"_")</f>
        <v>_</v>
      </c>
      <c r="L380" t="str">
        <f t="shared" ca="1" si="22"/>
        <v>__X_</v>
      </c>
      <c r="M380" t="str">
        <f t="shared" ca="1" si="23"/>
        <v/>
      </c>
    </row>
    <row r="381" spans="1:13" x14ac:dyDescent="0.25">
      <c r="A381" s="5"/>
      <c r="B381" s="4" t="str">
        <f t="shared" si="21"/>
        <v/>
      </c>
      <c r="C381" t="str">
        <f>IF(AND(TRIM(A381)&lt;&gt;"",IFERROR(VLOOKUP(TRIM(B381),Inventory!E:E,1,0),0)=0),"X","_")</f>
        <v>_</v>
      </c>
      <c r="D381" t="str">
        <f>IF(AND(TRIM(A381)&lt;&gt;"",IFERROR(VLOOKUP(TRIM(B381),'Full Inventory'!F:F,1,0),0)=0),"X","_")</f>
        <v>_</v>
      </c>
      <c r="E381" t="str">
        <f t="shared" si="24"/>
        <v>X</v>
      </c>
      <c r="F381" t="str">
        <f ca="1">IFERROR(IF(AND(C381&amp;D381&amp;E381="___",INDIRECT("Inventory!A"&amp;MATCH(VLOOKUP(B381,Inventory!E:E,1,0),Inventory!E:E,0))&lt;&gt;INDIRECT("'Full Inventory'!B"&amp;MATCH(VLOOKUP(B381,'Full Inventory'!F:F,1,0),'Full Inventory'!F:F,0))),"X","_"),"_")</f>
        <v>_</v>
      </c>
      <c r="L381" t="str">
        <f t="shared" ca="1" si="22"/>
        <v>__X_</v>
      </c>
      <c r="M381" t="str">
        <f t="shared" ca="1" si="23"/>
        <v/>
      </c>
    </row>
    <row r="382" spans="1:13" x14ac:dyDescent="0.25">
      <c r="A382" s="5"/>
      <c r="B382" s="4" t="str">
        <f t="shared" si="21"/>
        <v/>
      </c>
      <c r="C382" t="str">
        <f>IF(AND(TRIM(A382)&lt;&gt;"",IFERROR(VLOOKUP(TRIM(B382),Inventory!E:E,1,0),0)=0),"X","_")</f>
        <v>_</v>
      </c>
      <c r="D382" t="str">
        <f>IF(AND(TRIM(A382)&lt;&gt;"",IFERROR(VLOOKUP(TRIM(B382),'Full Inventory'!F:F,1,0),0)=0),"X","_")</f>
        <v>_</v>
      </c>
      <c r="E382" t="str">
        <f t="shared" si="24"/>
        <v>X</v>
      </c>
      <c r="F382" t="str">
        <f ca="1">IFERROR(IF(AND(C382&amp;D382&amp;E382="___",INDIRECT("Inventory!A"&amp;MATCH(VLOOKUP(B382,Inventory!E:E,1,0),Inventory!E:E,0))&lt;&gt;INDIRECT("'Full Inventory'!B"&amp;MATCH(VLOOKUP(B382,'Full Inventory'!F:F,1,0),'Full Inventory'!F:F,0))),"X","_"),"_")</f>
        <v>_</v>
      </c>
      <c r="L382" t="str">
        <f t="shared" ca="1" si="22"/>
        <v>__X_</v>
      </c>
      <c r="M382" t="str">
        <f t="shared" ca="1" si="23"/>
        <v/>
      </c>
    </row>
    <row r="383" spans="1:13" x14ac:dyDescent="0.25">
      <c r="A383" s="5"/>
      <c r="B383" s="4" t="str">
        <f t="shared" si="21"/>
        <v/>
      </c>
      <c r="C383" t="str">
        <f>IF(AND(TRIM(A383)&lt;&gt;"",IFERROR(VLOOKUP(TRIM(B383),Inventory!E:E,1,0),0)=0),"X","_")</f>
        <v>_</v>
      </c>
      <c r="D383" t="str">
        <f>IF(AND(TRIM(A383)&lt;&gt;"",IFERROR(VLOOKUP(TRIM(B383),'Full Inventory'!F:F,1,0),0)=0),"X","_")</f>
        <v>_</v>
      </c>
      <c r="E383" t="str">
        <f t="shared" si="24"/>
        <v>X</v>
      </c>
      <c r="F383" t="str">
        <f ca="1">IFERROR(IF(AND(C383&amp;D383&amp;E383="___",INDIRECT("Inventory!A"&amp;MATCH(VLOOKUP(B383,Inventory!E:E,1,0),Inventory!E:E,0))&lt;&gt;INDIRECT("'Full Inventory'!B"&amp;MATCH(VLOOKUP(B383,'Full Inventory'!F:F,1,0),'Full Inventory'!F:F,0))),"X","_"),"_")</f>
        <v>_</v>
      </c>
      <c r="L383" t="str">
        <f t="shared" ca="1" si="22"/>
        <v>__X_</v>
      </c>
      <c r="M383" t="str">
        <f t="shared" ca="1" si="23"/>
        <v/>
      </c>
    </row>
    <row r="384" spans="1:13" x14ac:dyDescent="0.25">
      <c r="A384" s="5"/>
      <c r="B384" s="4" t="str">
        <f t="shared" si="21"/>
        <v/>
      </c>
      <c r="C384" t="str">
        <f>IF(AND(TRIM(A384)&lt;&gt;"",IFERROR(VLOOKUP(TRIM(B384),Inventory!E:E,1,0),0)=0),"X","_")</f>
        <v>_</v>
      </c>
      <c r="D384" t="str">
        <f>IF(AND(TRIM(A384)&lt;&gt;"",IFERROR(VLOOKUP(TRIM(B384),'Full Inventory'!F:F,1,0),0)=0),"X","_")</f>
        <v>_</v>
      </c>
      <c r="E384" t="str">
        <f t="shared" si="24"/>
        <v>X</v>
      </c>
      <c r="F384" t="str">
        <f ca="1">IFERROR(IF(AND(C384&amp;D384&amp;E384="___",INDIRECT("Inventory!A"&amp;MATCH(VLOOKUP(B384,Inventory!E:E,1,0),Inventory!E:E,0))&lt;&gt;INDIRECT("'Full Inventory'!B"&amp;MATCH(VLOOKUP(B384,'Full Inventory'!F:F,1,0),'Full Inventory'!F:F,0))),"X","_"),"_")</f>
        <v>_</v>
      </c>
      <c r="L384" t="str">
        <f t="shared" ca="1" si="22"/>
        <v>__X_</v>
      </c>
      <c r="M384" t="str">
        <f t="shared" ca="1" si="23"/>
        <v/>
      </c>
    </row>
    <row r="385" spans="1:13" x14ac:dyDescent="0.25">
      <c r="A385" s="5"/>
      <c r="B385" s="4" t="str">
        <f t="shared" si="21"/>
        <v/>
      </c>
      <c r="C385" t="str">
        <f>IF(AND(TRIM(A385)&lt;&gt;"",IFERROR(VLOOKUP(TRIM(B385),Inventory!E:E,1,0),0)=0),"X","_")</f>
        <v>_</v>
      </c>
      <c r="D385" t="str">
        <f>IF(AND(TRIM(A385)&lt;&gt;"",IFERROR(VLOOKUP(TRIM(B385),'Full Inventory'!F:F,1,0),0)=0),"X","_")</f>
        <v>_</v>
      </c>
      <c r="E385" t="str">
        <f t="shared" si="24"/>
        <v>X</v>
      </c>
      <c r="F385" t="str">
        <f ca="1">IFERROR(IF(AND(C385&amp;D385&amp;E385="___",INDIRECT("Inventory!A"&amp;MATCH(VLOOKUP(B385,Inventory!E:E,1,0),Inventory!E:E,0))&lt;&gt;INDIRECT("'Full Inventory'!B"&amp;MATCH(VLOOKUP(B385,'Full Inventory'!F:F,1,0),'Full Inventory'!F:F,0))),"X","_"),"_")</f>
        <v>_</v>
      </c>
      <c r="L385" t="str">
        <f t="shared" ca="1" si="22"/>
        <v>__X_</v>
      </c>
      <c r="M385" t="str">
        <f t="shared" ca="1" si="23"/>
        <v/>
      </c>
    </row>
    <row r="386" spans="1:13" x14ac:dyDescent="0.25">
      <c r="A386" s="5"/>
      <c r="B386" s="4" t="str">
        <f t="shared" si="21"/>
        <v/>
      </c>
      <c r="C386" t="str">
        <f>IF(AND(TRIM(A386)&lt;&gt;"",IFERROR(VLOOKUP(TRIM(B386),Inventory!E:E,1,0),0)=0),"X","_")</f>
        <v>_</v>
      </c>
      <c r="D386" t="str">
        <f>IF(AND(TRIM(A386)&lt;&gt;"",IFERROR(VLOOKUP(TRIM(B386),'Full Inventory'!F:F,1,0),0)=0),"X","_")</f>
        <v>_</v>
      </c>
      <c r="E386" t="str">
        <f t="shared" si="24"/>
        <v>X</v>
      </c>
      <c r="F386" t="str">
        <f ca="1">IFERROR(IF(AND(C386&amp;D386&amp;E386="___",INDIRECT("Inventory!A"&amp;MATCH(VLOOKUP(B386,Inventory!E:E,1,0),Inventory!E:E,0))&lt;&gt;INDIRECT("'Full Inventory'!B"&amp;MATCH(VLOOKUP(B386,'Full Inventory'!F:F,1,0),'Full Inventory'!F:F,0))),"X","_"),"_")</f>
        <v>_</v>
      </c>
      <c r="L386" t="str">
        <f t="shared" ca="1" si="22"/>
        <v>__X_</v>
      </c>
      <c r="M386" t="str">
        <f t="shared" ca="1" si="23"/>
        <v/>
      </c>
    </row>
    <row r="387" spans="1:13" x14ac:dyDescent="0.25">
      <c r="A387" s="5"/>
      <c r="B387" s="4" t="str">
        <f t="shared" ref="B387:B450" si="25">SUBSTITUTE(SUBSTITUTE(A387,"ö","0"),"Ö","0")</f>
        <v/>
      </c>
      <c r="C387" t="str">
        <f>IF(AND(TRIM(A387)&lt;&gt;"",IFERROR(VLOOKUP(TRIM(B387),Inventory!E:E,1,0),0)=0),"X","_")</f>
        <v>_</v>
      </c>
      <c r="D387" t="str">
        <f>IF(AND(TRIM(A387)&lt;&gt;"",IFERROR(VLOOKUP(TRIM(B387),'Full Inventory'!F:F,1,0),0)=0),"X","_")</f>
        <v>_</v>
      </c>
      <c r="E387" t="str">
        <f t="shared" si="24"/>
        <v>X</v>
      </c>
      <c r="F387" t="str">
        <f ca="1">IFERROR(IF(AND(C387&amp;D387&amp;E387="___",INDIRECT("Inventory!A"&amp;MATCH(VLOOKUP(B387,Inventory!E:E,1,0),Inventory!E:E,0))&lt;&gt;INDIRECT("'Full Inventory'!B"&amp;MATCH(VLOOKUP(B387,'Full Inventory'!F:F,1,0),'Full Inventory'!F:F,0))),"X","_"),"_")</f>
        <v>_</v>
      </c>
      <c r="L387" t="str">
        <f t="shared" ref="L387:L450" ca="1" si="26">C387&amp;D387&amp;E387&amp;F387</f>
        <v>__X_</v>
      </c>
      <c r="M387" t="str">
        <f t="shared" ref="M387:M450" ca="1" si="27">IF(L387="____","OK",IF(L387="_X__","NOT IN FULL INVENTORY",IF(L387="XX__","NOT IN FULL INVENTORY AND INVENTORY",IF(L387="X___","NOT IN INVENTORY",IF(L387="___X","DIFFERENT NAMES IN FULL INVENTORY AND INVENTORY","")))))</f>
        <v/>
      </c>
    </row>
    <row r="388" spans="1:13" x14ac:dyDescent="0.25">
      <c r="A388" s="5"/>
      <c r="B388" s="4" t="str">
        <f t="shared" si="25"/>
        <v/>
      </c>
      <c r="C388" t="str">
        <f>IF(AND(TRIM(A388)&lt;&gt;"",IFERROR(VLOOKUP(TRIM(B388),Inventory!E:E,1,0),0)=0),"X","_")</f>
        <v>_</v>
      </c>
      <c r="D388" t="str">
        <f>IF(AND(TRIM(A388)&lt;&gt;"",IFERROR(VLOOKUP(TRIM(B388),'Full Inventory'!F:F,1,0),0)=0),"X","_")</f>
        <v>_</v>
      </c>
      <c r="E388" t="str">
        <f t="shared" si="24"/>
        <v>X</v>
      </c>
      <c r="F388" t="str">
        <f ca="1">IFERROR(IF(AND(C388&amp;D388&amp;E388="___",INDIRECT("Inventory!A"&amp;MATCH(VLOOKUP(B388,Inventory!E:E,1,0),Inventory!E:E,0))&lt;&gt;INDIRECT("'Full Inventory'!B"&amp;MATCH(VLOOKUP(B388,'Full Inventory'!F:F,1,0),'Full Inventory'!F:F,0))),"X","_"),"_")</f>
        <v>_</v>
      </c>
      <c r="L388" t="str">
        <f t="shared" ca="1" si="26"/>
        <v>__X_</v>
      </c>
      <c r="M388" t="str">
        <f t="shared" ca="1" si="27"/>
        <v/>
      </c>
    </row>
    <row r="389" spans="1:13" x14ac:dyDescent="0.25">
      <c r="A389" s="5"/>
      <c r="B389" s="4" t="str">
        <f t="shared" si="25"/>
        <v/>
      </c>
      <c r="C389" t="str">
        <f>IF(AND(TRIM(A389)&lt;&gt;"",IFERROR(VLOOKUP(TRIM(B389),Inventory!E:E,1,0),0)=0),"X","_")</f>
        <v>_</v>
      </c>
      <c r="D389" t="str">
        <f>IF(AND(TRIM(A389)&lt;&gt;"",IFERROR(VLOOKUP(TRIM(B389),'Full Inventory'!F:F,1,0),0)=0),"X","_")</f>
        <v>_</v>
      </c>
      <c r="E389" t="str">
        <f t="shared" si="24"/>
        <v>X</v>
      </c>
      <c r="F389" t="str">
        <f ca="1">IFERROR(IF(AND(C389&amp;D389&amp;E389="___",INDIRECT("Inventory!A"&amp;MATCH(VLOOKUP(B389,Inventory!E:E,1,0),Inventory!E:E,0))&lt;&gt;INDIRECT("'Full Inventory'!B"&amp;MATCH(VLOOKUP(B389,'Full Inventory'!F:F,1,0),'Full Inventory'!F:F,0))),"X","_"),"_")</f>
        <v>_</v>
      </c>
      <c r="L389" t="str">
        <f t="shared" ca="1" si="26"/>
        <v>__X_</v>
      </c>
      <c r="M389" t="str">
        <f t="shared" ca="1" si="27"/>
        <v/>
      </c>
    </row>
    <row r="390" spans="1:13" x14ac:dyDescent="0.25">
      <c r="A390" s="5"/>
      <c r="B390" s="4" t="str">
        <f t="shared" si="25"/>
        <v/>
      </c>
      <c r="C390" t="str">
        <f>IF(AND(TRIM(A390)&lt;&gt;"",IFERROR(VLOOKUP(TRIM(B390),Inventory!E:E,1,0),0)=0),"X","_")</f>
        <v>_</v>
      </c>
      <c r="D390" t="str">
        <f>IF(AND(TRIM(A390)&lt;&gt;"",IFERROR(VLOOKUP(TRIM(B390),'Full Inventory'!F:F,1,0),0)=0),"X","_")</f>
        <v>_</v>
      </c>
      <c r="E390" t="str">
        <f t="shared" si="24"/>
        <v>X</v>
      </c>
      <c r="F390" t="str">
        <f ca="1">IFERROR(IF(AND(C390&amp;D390&amp;E390="___",INDIRECT("Inventory!A"&amp;MATCH(VLOOKUP(B390,Inventory!E:E,1,0),Inventory!E:E,0))&lt;&gt;INDIRECT("'Full Inventory'!B"&amp;MATCH(VLOOKUP(B390,'Full Inventory'!F:F,1,0),'Full Inventory'!F:F,0))),"X","_"),"_")</f>
        <v>_</v>
      </c>
      <c r="L390" t="str">
        <f t="shared" ca="1" si="26"/>
        <v>__X_</v>
      </c>
      <c r="M390" t="str">
        <f t="shared" ca="1" si="27"/>
        <v/>
      </c>
    </row>
    <row r="391" spans="1:13" x14ac:dyDescent="0.25">
      <c r="A391" s="5"/>
      <c r="B391" s="4" t="str">
        <f t="shared" si="25"/>
        <v/>
      </c>
      <c r="C391" t="str">
        <f>IF(AND(TRIM(A391)&lt;&gt;"",IFERROR(VLOOKUP(TRIM(B391),Inventory!E:E,1,0),0)=0),"X","_")</f>
        <v>_</v>
      </c>
      <c r="D391" t="str">
        <f>IF(AND(TRIM(A391)&lt;&gt;"",IFERROR(VLOOKUP(TRIM(B391),'Full Inventory'!F:F,1,0),0)=0),"X","_")</f>
        <v>_</v>
      </c>
      <c r="E391" t="str">
        <f t="shared" si="24"/>
        <v>X</v>
      </c>
      <c r="F391" t="str">
        <f ca="1">IFERROR(IF(AND(C391&amp;D391&amp;E391="___",INDIRECT("Inventory!A"&amp;MATCH(VLOOKUP(B391,Inventory!E:E,1,0),Inventory!E:E,0))&lt;&gt;INDIRECT("'Full Inventory'!B"&amp;MATCH(VLOOKUP(B391,'Full Inventory'!F:F,1,0),'Full Inventory'!F:F,0))),"X","_"),"_")</f>
        <v>_</v>
      </c>
      <c r="L391" t="str">
        <f t="shared" ca="1" si="26"/>
        <v>__X_</v>
      </c>
      <c r="M391" t="str">
        <f t="shared" ca="1" si="27"/>
        <v/>
      </c>
    </row>
    <row r="392" spans="1:13" x14ac:dyDescent="0.25">
      <c r="A392" s="5"/>
      <c r="B392" s="4" t="str">
        <f t="shared" si="25"/>
        <v/>
      </c>
      <c r="C392" t="str">
        <f>IF(AND(TRIM(A392)&lt;&gt;"",IFERROR(VLOOKUP(TRIM(B392),Inventory!E:E,1,0),0)=0),"X","_")</f>
        <v>_</v>
      </c>
      <c r="D392" t="str">
        <f>IF(AND(TRIM(A392)&lt;&gt;"",IFERROR(VLOOKUP(TRIM(B392),'Full Inventory'!F:F,1,0),0)=0),"X","_")</f>
        <v>_</v>
      </c>
      <c r="E392" t="str">
        <f t="shared" si="24"/>
        <v>X</v>
      </c>
      <c r="F392" t="str">
        <f ca="1">IFERROR(IF(AND(C392&amp;D392&amp;E392="___",INDIRECT("Inventory!A"&amp;MATCH(VLOOKUP(B392,Inventory!E:E,1,0),Inventory!E:E,0))&lt;&gt;INDIRECT("'Full Inventory'!B"&amp;MATCH(VLOOKUP(B392,'Full Inventory'!F:F,1,0),'Full Inventory'!F:F,0))),"X","_"),"_")</f>
        <v>_</v>
      </c>
      <c r="L392" t="str">
        <f t="shared" ca="1" si="26"/>
        <v>__X_</v>
      </c>
      <c r="M392" t="str">
        <f t="shared" ca="1" si="27"/>
        <v/>
      </c>
    </row>
    <row r="393" spans="1:13" x14ac:dyDescent="0.25">
      <c r="A393" s="5"/>
      <c r="B393" s="4" t="str">
        <f t="shared" si="25"/>
        <v/>
      </c>
      <c r="C393" t="str">
        <f>IF(AND(TRIM(A393)&lt;&gt;"",IFERROR(VLOOKUP(TRIM(B393),Inventory!E:E,1,0),0)=0),"X","_")</f>
        <v>_</v>
      </c>
      <c r="D393" t="str">
        <f>IF(AND(TRIM(A393)&lt;&gt;"",IFERROR(VLOOKUP(TRIM(B393),'Full Inventory'!F:F,1,0),0)=0),"X","_")</f>
        <v>_</v>
      </c>
      <c r="E393" t="str">
        <f t="shared" si="24"/>
        <v>X</v>
      </c>
      <c r="F393" t="str">
        <f ca="1">IFERROR(IF(AND(C393&amp;D393&amp;E393="___",INDIRECT("Inventory!A"&amp;MATCH(VLOOKUP(B393,Inventory!E:E,1,0),Inventory!E:E,0))&lt;&gt;INDIRECT("'Full Inventory'!B"&amp;MATCH(VLOOKUP(B393,'Full Inventory'!F:F,1,0),'Full Inventory'!F:F,0))),"X","_"),"_")</f>
        <v>_</v>
      </c>
      <c r="L393" t="str">
        <f t="shared" ca="1" si="26"/>
        <v>__X_</v>
      </c>
      <c r="M393" t="str">
        <f t="shared" ca="1" si="27"/>
        <v/>
      </c>
    </row>
    <row r="394" spans="1:13" x14ac:dyDescent="0.25">
      <c r="A394" s="5"/>
      <c r="B394" s="4" t="str">
        <f t="shared" si="25"/>
        <v/>
      </c>
      <c r="C394" t="str">
        <f>IF(AND(TRIM(A394)&lt;&gt;"",IFERROR(VLOOKUP(TRIM(B394),Inventory!E:E,1,0),0)=0),"X","_")</f>
        <v>_</v>
      </c>
      <c r="D394" t="str">
        <f>IF(AND(TRIM(A394)&lt;&gt;"",IFERROR(VLOOKUP(TRIM(B394),'Full Inventory'!F:F,1,0),0)=0),"X","_")</f>
        <v>_</v>
      </c>
      <c r="E394" t="str">
        <f t="shared" si="24"/>
        <v>X</v>
      </c>
      <c r="F394" t="str">
        <f ca="1">IFERROR(IF(AND(C394&amp;D394&amp;E394="___",INDIRECT("Inventory!A"&amp;MATCH(VLOOKUP(B394,Inventory!E:E,1,0),Inventory!E:E,0))&lt;&gt;INDIRECT("'Full Inventory'!B"&amp;MATCH(VLOOKUP(B394,'Full Inventory'!F:F,1,0),'Full Inventory'!F:F,0))),"X","_"),"_")</f>
        <v>_</v>
      </c>
      <c r="L394" t="str">
        <f t="shared" ca="1" si="26"/>
        <v>__X_</v>
      </c>
      <c r="M394" t="str">
        <f t="shared" ca="1" si="27"/>
        <v/>
      </c>
    </row>
    <row r="395" spans="1:13" x14ac:dyDescent="0.25">
      <c r="A395" s="5"/>
      <c r="B395" s="4" t="str">
        <f t="shared" si="25"/>
        <v/>
      </c>
      <c r="C395" t="str">
        <f>IF(AND(TRIM(A395)&lt;&gt;"",IFERROR(VLOOKUP(TRIM(B395),Inventory!E:E,1,0),0)=0),"X","_")</f>
        <v>_</v>
      </c>
      <c r="D395" t="str">
        <f>IF(AND(TRIM(A395)&lt;&gt;"",IFERROR(VLOOKUP(TRIM(B395),'Full Inventory'!F:F,1,0),0)=0),"X","_")</f>
        <v>_</v>
      </c>
      <c r="E395" t="str">
        <f t="shared" si="24"/>
        <v>X</v>
      </c>
      <c r="F395" t="str">
        <f ca="1">IFERROR(IF(AND(C395&amp;D395&amp;E395="___",INDIRECT("Inventory!A"&amp;MATCH(VLOOKUP(B395,Inventory!E:E,1,0),Inventory!E:E,0))&lt;&gt;INDIRECT("'Full Inventory'!B"&amp;MATCH(VLOOKUP(B395,'Full Inventory'!F:F,1,0),'Full Inventory'!F:F,0))),"X","_"),"_")</f>
        <v>_</v>
      </c>
      <c r="L395" t="str">
        <f t="shared" ca="1" si="26"/>
        <v>__X_</v>
      </c>
      <c r="M395" t="str">
        <f t="shared" ca="1" si="27"/>
        <v/>
      </c>
    </row>
    <row r="396" spans="1:13" x14ac:dyDescent="0.25">
      <c r="A396" s="5"/>
      <c r="B396" s="4" t="str">
        <f t="shared" si="25"/>
        <v/>
      </c>
      <c r="C396" t="str">
        <f>IF(AND(TRIM(A396)&lt;&gt;"",IFERROR(VLOOKUP(TRIM(B396),Inventory!E:E,1,0),0)=0),"X","_")</f>
        <v>_</v>
      </c>
      <c r="D396" t="str">
        <f>IF(AND(TRIM(A396)&lt;&gt;"",IFERROR(VLOOKUP(TRIM(B396),'Full Inventory'!F:F,1,0),0)=0),"X","_")</f>
        <v>_</v>
      </c>
      <c r="E396" t="str">
        <f t="shared" si="24"/>
        <v>X</v>
      </c>
      <c r="F396" t="str">
        <f ca="1">IFERROR(IF(AND(C396&amp;D396&amp;E396="___",INDIRECT("Inventory!A"&amp;MATCH(VLOOKUP(B396,Inventory!E:E,1,0),Inventory!E:E,0))&lt;&gt;INDIRECT("'Full Inventory'!B"&amp;MATCH(VLOOKUP(B396,'Full Inventory'!F:F,1,0),'Full Inventory'!F:F,0))),"X","_"),"_")</f>
        <v>_</v>
      </c>
      <c r="L396" t="str">
        <f t="shared" ca="1" si="26"/>
        <v>__X_</v>
      </c>
      <c r="M396" t="str">
        <f t="shared" ca="1" si="27"/>
        <v/>
      </c>
    </row>
    <row r="397" spans="1:13" x14ac:dyDescent="0.25">
      <c r="A397" s="5"/>
      <c r="B397" s="4" t="str">
        <f t="shared" si="25"/>
        <v/>
      </c>
      <c r="C397" t="str">
        <f>IF(AND(TRIM(A397)&lt;&gt;"",IFERROR(VLOOKUP(TRIM(B397),Inventory!E:E,1,0),0)=0),"X","_")</f>
        <v>_</v>
      </c>
      <c r="D397" t="str">
        <f>IF(AND(TRIM(A397)&lt;&gt;"",IFERROR(VLOOKUP(TRIM(B397),'Full Inventory'!F:F,1,0),0)=0),"X","_")</f>
        <v>_</v>
      </c>
      <c r="E397" t="str">
        <f t="shared" si="24"/>
        <v>X</v>
      </c>
      <c r="F397" t="str">
        <f ca="1">IFERROR(IF(AND(C397&amp;D397&amp;E397="___",INDIRECT("Inventory!A"&amp;MATCH(VLOOKUP(B397,Inventory!E:E,1,0),Inventory!E:E,0))&lt;&gt;INDIRECT("'Full Inventory'!B"&amp;MATCH(VLOOKUP(B397,'Full Inventory'!F:F,1,0),'Full Inventory'!F:F,0))),"X","_"),"_")</f>
        <v>_</v>
      </c>
      <c r="L397" t="str">
        <f t="shared" ca="1" si="26"/>
        <v>__X_</v>
      </c>
      <c r="M397" t="str">
        <f t="shared" ca="1" si="27"/>
        <v/>
      </c>
    </row>
    <row r="398" spans="1:13" x14ac:dyDescent="0.25">
      <c r="A398" s="5"/>
      <c r="B398" s="4" t="str">
        <f t="shared" si="25"/>
        <v/>
      </c>
      <c r="C398" t="str">
        <f>IF(AND(TRIM(A398)&lt;&gt;"",IFERROR(VLOOKUP(TRIM(B398),Inventory!E:E,1,0),0)=0),"X","_")</f>
        <v>_</v>
      </c>
      <c r="D398" t="str">
        <f>IF(AND(TRIM(A398)&lt;&gt;"",IFERROR(VLOOKUP(TRIM(B398),'Full Inventory'!F:F,1,0),0)=0),"X","_")</f>
        <v>_</v>
      </c>
      <c r="E398" t="str">
        <f t="shared" si="24"/>
        <v>X</v>
      </c>
      <c r="F398" t="str">
        <f ca="1">IFERROR(IF(AND(C398&amp;D398&amp;E398="___",INDIRECT("Inventory!A"&amp;MATCH(VLOOKUP(B398,Inventory!E:E,1,0),Inventory!E:E,0))&lt;&gt;INDIRECT("'Full Inventory'!B"&amp;MATCH(VLOOKUP(B398,'Full Inventory'!F:F,1,0),'Full Inventory'!F:F,0))),"X","_"),"_")</f>
        <v>_</v>
      </c>
      <c r="L398" t="str">
        <f t="shared" ca="1" si="26"/>
        <v>__X_</v>
      </c>
      <c r="M398" t="str">
        <f t="shared" ca="1" si="27"/>
        <v/>
      </c>
    </row>
    <row r="399" spans="1:13" x14ac:dyDescent="0.25">
      <c r="A399" s="5"/>
      <c r="B399" s="4" t="str">
        <f t="shared" si="25"/>
        <v/>
      </c>
      <c r="C399" t="str">
        <f>IF(AND(TRIM(A399)&lt;&gt;"",IFERROR(VLOOKUP(TRIM(B399),Inventory!E:E,1,0),0)=0),"X","_")</f>
        <v>_</v>
      </c>
      <c r="D399" t="str">
        <f>IF(AND(TRIM(A399)&lt;&gt;"",IFERROR(VLOOKUP(TRIM(B399),'Full Inventory'!F:F,1,0),0)=0),"X","_")</f>
        <v>_</v>
      </c>
      <c r="E399" t="str">
        <f t="shared" si="24"/>
        <v>X</v>
      </c>
      <c r="F399" t="str">
        <f ca="1">IFERROR(IF(AND(C399&amp;D399&amp;E399="___",INDIRECT("Inventory!A"&amp;MATCH(VLOOKUP(B399,Inventory!E:E,1,0),Inventory!E:E,0))&lt;&gt;INDIRECT("'Full Inventory'!B"&amp;MATCH(VLOOKUP(B399,'Full Inventory'!F:F,1,0),'Full Inventory'!F:F,0))),"X","_"),"_")</f>
        <v>_</v>
      </c>
      <c r="L399" t="str">
        <f t="shared" ca="1" si="26"/>
        <v>__X_</v>
      </c>
      <c r="M399" t="str">
        <f t="shared" ca="1" si="27"/>
        <v/>
      </c>
    </row>
    <row r="400" spans="1:13" x14ac:dyDescent="0.25">
      <c r="A400" s="5"/>
      <c r="B400" s="4" t="str">
        <f t="shared" si="25"/>
        <v/>
      </c>
      <c r="C400" t="str">
        <f>IF(AND(TRIM(A400)&lt;&gt;"",IFERROR(VLOOKUP(TRIM(B400),Inventory!E:E,1,0),0)=0),"X","_")</f>
        <v>_</v>
      </c>
      <c r="D400" t="str">
        <f>IF(AND(TRIM(A400)&lt;&gt;"",IFERROR(VLOOKUP(TRIM(B400),'Full Inventory'!F:F,1,0),0)=0),"X","_")</f>
        <v>_</v>
      </c>
      <c r="E400" t="str">
        <f t="shared" si="24"/>
        <v>X</v>
      </c>
      <c r="F400" t="str">
        <f ca="1">IFERROR(IF(AND(C400&amp;D400&amp;E400="___",INDIRECT("Inventory!A"&amp;MATCH(VLOOKUP(B400,Inventory!E:E,1,0),Inventory!E:E,0))&lt;&gt;INDIRECT("'Full Inventory'!B"&amp;MATCH(VLOOKUP(B400,'Full Inventory'!F:F,1,0),'Full Inventory'!F:F,0))),"X","_"),"_")</f>
        <v>_</v>
      </c>
      <c r="L400" t="str">
        <f t="shared" ca="1" si="26"/>
        <v>__X_</v>
      </c>
      <c r="M400" t="str">
        <f t="shared" ca="1" si="27"/>
        <v/>
      </c>
    </row>
    <row r="401" spans="1:13" x14ac:dyDescent="0.25">
      <c r="A401" s="5"/>
      <c r="B401" s="4" t="str">
        <f t="shared" si="25"/>
        <v/>
      </c>
      <c r="C401" t="str">
        <f>IF(AND(TRIM(A401)&lt;&gt;"",IFERROR(VLOOKUP(TRIM(B401),Inventory!E:E,1,0),0)=0),"X","_")</f>
        <v>_</v>
      </c>
      <c r="D401" t="str">
        <f>IF(AND(TRIM(A401)&lt;&gt;"",IFERROR(VLOOKUP(TRIM(B401),'Full Inventory'!F:F,1,0),0)=0),"X","_")</f>
        <v>_</v>
      </c>
      <c r="E401" t="str">
        <f t="shared" si="24"/>
        <v>X</v>
      </c>
      <c r="F401" t="str">
        <f ca="1">IFERROR(IF(AND(C401&amp;D401&amp;E401="___",INDIRECT("Inventory!A"&amp;MATCH(VLOOKUP(B401,Inventory!E:E,1,0),Inventory!E:E,0))&lt;&gt;INDIRECT("'Full Inventory'!B"&amp;MATCH(VLOOKUP(B401,'Full Inventory'!F:F,1,0),'Full Inventory'!F:F,0))),"X","_"),"_")</f>
        <v>_</v>
      </c>
      <c r="L401" t="str">
        <f t="shared" ca="1" si="26"/>
        <v>__X_</v>
      </c>
      <c r="M401" t="str">
        <f t="shared" ca="1" si="27"/>
        <v/>
      </c>
    </row>
    <row r="402" spans="1:13" x14ac:dyDescent="0.25">
      <c r="A402" s="5"/>
      <c r="B402" s="4" t="str">
        <f t="shared" si="25"/>
        <v/>
      </c>
      <c r="C402" t="str">
        <f>IF(AND(TRIM(A402)&lt;&gt;"",IFERROR(VLOOKUP(TRIM(B402),Inventory!E:E,1,0),0)=0),"X","_")</f>
        <v>_</v>
      </c>
      <c r="D402" t="str">
        <f>IF(AND(TRIM(A402)&lt;&gt;"",IFERROR(VLOOKUP(TRIM(B402),'Full Inventory'!F:F,1,0),0)=0),"X","_")</f>
        <v>_</v>
      </c>
      <c r="E402" t="str">
        <f t="shared" si="24"/>
        <v>X</v>
      </c>
      <c r="F402" t="str">
        <f ca="1">IFERROR(IF(AND(C402&amp;D402&amp;E402="___",INDIRECT("Inventory!A"&amp;MATCH(VLOOKUP(B402,Inventory!E:E,1,0),Inventory!E:E,0))&lt;&gt;INDIRECT("'Full Inventory'!B"&amp;MATCH(VLOOKUP(B402,'Full Inventory'!F:F,1,0),'Full Inventory'!F:F,0))),"X","_"),"_")</f>
        <v>_</v>
      </c>
      <c r="L402" t="str">
        <f t="shared" ca="1" si="26"/>
        <v>__X_</v>
      </c>
      <c r="M402" t="str">
        <f t="shared" ca="1" si="27"/>
        <v/>
      </c>
    </row>
    <row r="403" spans="1:13" x14ac:dyDescent="0.25">
      <c r="A403" s="5"/>
      <c r="B403" s="4" t="str">
        <f t="shared" si="25"/>
        <v/>
      </c>
      <c r="C403" t="str">
        <f>IF(AND(TRIM(A403)&lt;&gt;"",IFERROR(VLOOKUP(TRIM(B403),Inventory!E:E,1,0),0)=0),"X","_")</f>
        <v>_</v>
      </c>
      <c r="D403" t="str">
        <f>IF(AND(TRIM(A403)&lt;&gt;"",IFERROR(VLOOKUP(TRIM(B403),'Full Inventory'!F:F,1,0),0)=0),"X","_")</f>
        <v>_</v>
      </c>
      <c r="E403" t="str">
        <f t="shared" si="24"/>
        <v>X</v>
      </c>
      <c r="F403" t="str">
        <f ca="1">IFERROR(IF(AND(C403&amp;D403&amp;E403="___",INDIRECT("Inventory!A"&amp;MATCH(VLOOKUP(B403,Inventory!E:E,1,0),Inventory!E:E,0))&lt;&gt;INDIRECT("'Full Inventory'!B"&amp;MATCH(VLOOKUP(B403,'Full Inventory'!F:F,1,0),'Full Inventory'!F:F,0))),"X","_"),"_")</f>
        <v>_</v>
      </c>
      <c r="L403" t="str">
        <f t="shared" ca="1" si="26"/>
        <v>__X_</v>
      </c>
      <c r="M403" t="str">
        <f t="shared" ca="1" si="27"/>
        <v/>
      </c>
    </row>
    <row r="404" spans="1:13" x14ac:dyDescent="0.25">
      <c r="A404" s="5"/>
      <c r="B404" s="4" t="str">
        <f t="shared" si="25"/>
        <v/>
      </c>
      <c r="C404" t="str">
        <f>IF(AND(TRIM(A404)&lt;&gt;"",IFERROR(VLOOKUP(TRIM(B404),Inventory!E:E,1,0),0)=0),"X","_")</f>
        <v>_</v>
      </c>
      <c r="D404" t="str">
        <f>IF(AND(TRIM(A404)&lt;&gt;"",IFERROR(VLOOKUP(TRIM(B404),'Full Inventory'!F:F,1,0),0)=0),"X","_")</f>
        <v>_</v>
      </c>
      <c r="E404" t="str">
        <f t="shared" ref="E404:E467" si="28">IF(TRIM(A404)&lt;&gt;"","_","X")</f>
        <v>X</v>
      </c>
      <c r="F404" t="str">
        <f ca="1">IFERROR(IF(AND(C404&amp;D404&amp;E404="___",INDIRECT("Inventory!A"&amp;MATCH(VLOOKUP(B404,Inventory!E:E,1,0),Inventory!E:E,0))&lt;&gt;INDIRECT("'Full Inventory'!B"&amp;MATCH(VLOOKUP(B404,'Full Inventory'!F:F,1,0),'Full Inventory'!F:F,0))),"X","_"),"_")</f>
        <v>_</v>
      </c>
      <c r="L404" t="str">
        <f t="shared" ca="1" si="26"/>
        <v>__X_</v>
      </c>
      <c r="M404" t="str">
        <f t="shared" ca="1" si="27"/>
        <v/>
      </c>
    </row>
    <row r="405" spans="1:13" x14ac:dyDescent="0.25">
      <c r="A405" s="5"/>
      <c r="B405" s="4" t="str">
        <f t="shared" si="25"/>
        <v/>
      </c>
      <c r="C405" t="str">
        <f>IF(AND(TRIM(A405)&lt;&gt;"",IFERROR(VLOOKUP(TRIM(B405),Inventory!E:E,1,0),0)=0),"X","_")</f>
        <v>_</v>
      </c>
      <c r="D405" t="str">
        <f>IF(AND(TRIM(A405)&lt;&gt;"",IFERROR(VLOOKUP(TRIM(B405),'Full Inventory'!F:F,1,0),0)=0),"X","_")</f>
        <v>_</v>
      </c>
      <c r="E405" t="str">
        <f t="shared" si="28"/>
        <v>X</v>
      </c>
      <c r="F405" t="str">
        <f ca="1">IFERROR(IF(AND(C405&amp;D405&amp;E405="___",INDIRECT("Inventory!A"&amp;MATCH(VLOOKUP(B405,Inventory!E:E,1,0),Inventory!E:E,0))&lt;&gt;INDIRECT("'Full Inventory'!B"&amp;MATCH(VLOOKUP(B405,'Full Inventory'!F:F,1,0),'Full Inventory'!F:F,0))),"X","_"),"_")</f>
        <v>_</v>
      </c>
      <c r="L405" t="str">
        <f t="shared" ca="1" si="26"/>
        <v>__X_</v>
      </c>
      <c r="M405" t="str">
        <f t="shared" ca="1" si="27"/>
        <v/>
      </c>
    </row>
    <row r="406" spans="1:13" x14ac:dyDescent="0.25">
      <c r="A406" s="5"/>
      <c r="B406" s="4" t="str">
        <f t="shared" si="25"/>
        <v/>
      </c>
      <c r="C406" t="str">
        <f>IF(AND(TRIM(A406)&lt;&gt;"",IFERROR(VLOOKUP(TRIM(B406),Inventory!E:E,1,0),0)=0),"X","_")</f>
        <v>_</v>
      </c>
      <c r="D406" t="str">
        <f>IF(AND(TRIM(A406)&lt;&gt;"",IFERROR(VLOOKUP(TRIM(B406),'Full Inventory'!F:F,1,0),0)=0),"X","_")</f>
        <v>_</v>
      </c>
      <c r="E406" t="str">
        <f t="shared" si="28"/>
        <v>X</v>
      </c>
      <c r="F406" t="str">
        <f ca="1">IFERROR(IF(AND(C406&amp;D406&amp;E406="___",INDIRECT("Inventory!A"&amp;MATCH(VLOOKUP(B406,Inventory!E:E,1,0),Inventory!E:E,0))&lt;&gt;INDIRECT("'Full Inventory'!B"&amp;MATCH(VLOOKUP(B406,'Full Inventory'!F:F,1,0),'Full Inventory'!F:F,0))),"X","_"),"_")</f>
        <v>_</v>
      </c>
      <c r="L406" t="str">
        <f t="shared" ca="1" si="26"/>
        <v>__X_</v>
      </c>
      <c r="M406" t="str">
        <f t="shared" ca="1" si="27"/>
        <v/>
      </c>
    </row>
    <row r="407" spans="1:13" x14ac:dyDescent="0.25">
      <c r="A407" s="5"/>
      <c r="B407" s="4" t="str">
        <f t="shared" si="25"/>
        <v/>
      </c>
      <c r="C407" t="str">
        <f>IF(AND(TRIM(A407)&lt;&gt;"",IFERROR(VLOOKUP(TRIM(B407),Inventory!E:E,1,0),0)=0),"X","_")</f>
        <v>_</v>
      </c>
      <c r="D407" t="str">
        <f>IF(AND(TRIM(A407)&lt;&gt;"",IFERROR(VLOOKUP(TRIM(B407),'Full Inventory'!F:F,1,0),0)=0),"X","_")</f>
        <v>_</v>
      </c>
      <c r="E407" t="str">
        <f t="shared" si="28"/>
        <v>X</v>
      </c>
      <c r="F407" t="str">
        <f ca="1">IFERROR(IF(AND(C407&amp;D407&amp;E407="___",INDIRECT("Inventory!A"&amp;MATCH(VLOOKUP(B407,Inventory!E:E,1,0),Inventory!E:E,0))&lt;&gt;INDIRECT("'Full Inventory'!B"&amp;MATCH(VLOOKUP(B407,'Full Inventory'!F:F,1,0),'Full Inventory'!F:F,0))),"X","_"),"_")</f>
        <v>_</v>
      </c>
      <c r="L407" t="str">
        <f t="shared" ca="1" si="26"/>
        <v>__X_</v>
      </c>
      <c r="M407" t="str">
        <f t="shared" ca="1" si="27"/>
        <v/>
      </c>
    </row>
    <row r="408" spans="1:13" x14ac:dyDescent="0.25">
      <c r="A408" s="5"/>
      <c r="B408" s="4" t="str">
        <f t="shared" si="25"/>
        <v/>
      </c>
      <c r="C408" t="str">
        <f>IF(AND(TRIM(A408)&lt;&gt;"",IFERROR(VLOOKUP(TRIM(B408),Inventory!E:E,1,0),0)=0),"X","_")</f>
        <v>_</v>
      </c>
      <c r="D408" t="str">
        <f>IF(AND(TRIM(A408)&lt;&gt;"",IFERROR(VLOOKUP(TRIM(B408),'Full Inventory'!F:F,1,0),0)=0),"X","_")</f>
        <v>_</v>
      </c>
      <c r="E408" t="str">
        <f t="shared" si="28"/>
        <v>X</v>
      </c>
      <c r="F408" t="str">
        <f ca="1">IFERROR(IF(AND(C408&amp;D408&amp;E408="___",INDIRECT("Inventory!A"&amp;MATCH(VLOOKUP(B408,Inventory!E:E,1,0),Inventory!E:E,0))&lt;&gt;INDIRECT("'Full Inventory'!B"&amp;MATCH(VLOOKUP(B408,'Full Inventory'!F:F,1,0),'Full Inventory'!F:F,0))),"X","_"),"_")</f>
        <v>_</v>
      </c>
      <c r="L408" t="str">
        <f t="shared" ca="1" si="26"/>
        <v>__X_</v>
      </c>
      <c r="M408" t="str">
        <f t="shared" ca="1" si="27"/>
        <v/>
      </c>
    </row>
    <row r="409" spans="1:13" x14ac:dyDescent="0.25">
      <c r="A409" s="5"/>
      <c r="B409" s="4" t="str">
        <f t="shared" si="25"/>
        <v/>
      </c>
      <c r="C409" t="str">
        <f>IF(AND(TRIM(A409)&lt;&gt;"",IFERROR(VLOOKUP(TRIM(B409),Inventory!E:E,1,0),0)=0),"X","_")</f>
        <v>_</v>
      </c>
      <c r="D409" t="str">
        <f>IF(AND(TRIM(A409)&lt;&gt;"",IFERROR(VLOOKUP(TRIM(B409),'Full Inventory'!F:F,1,0),0)=0),"X","_")</f>
        <v>_</v>
      </c>
      <c r="E409" t="str">
        <f t="shared" si="28"/>
        <v>X</v>
      </c>
      <c r="F409" t="str">
        <f ca="1">IFERROR(IF(AND(C409&amp;D409&amp;E409="___",INDIRECT("Inventory!A"&amp;MATCH(VLOOKUP(B409,Inventory!E:E,1,0),Inventory!E:E,0))&lt;&gt;INDIRECT("'Full Inventory'!B"&amp;MATCH(VLOOKUP(B409,'Full Inventory'!F:F,1,0),'Full Inventory'!F:F,0))),"X","_"),"_")</f>
        <v>_</v>
      </c>
      <c r="L409" t="str">
        <f t="shared" ca="1" si="26"/>
        <v>__X_</v>
      </c>
      <c r="M409" t="str">
        <f t="shared" ca="1" si="27"/>
        <v/>
      </c>
    </row>
    <row r="410" spans="1:13" x14ac:dyDescent="0.25">
      <c r="A410" s="5"/>
      <c r="B410" s="4" t="str">
        <f t="shared" si="25"/>
        <v/>
      </c>
      <c r="C410" t="str">
        <f>IF(AND(TRIM(A410)&lt;&gt;"",IFERROR(VLOOKUP(TRIM(B410),Inventory!E:E,1,0),0)=0),"X","_")</f>
        <v>_</v>
      </c>
      <c r="D410" t="str">
        <f>IF(AND(TRIM(A410)&lt;&gt;"",IFERROR(VLOOKUP(TRIM(B410),'Full Inventory'!F:F,1,0),0)=0),"X","_")</f>
        <v>_</v>
      </c>
      <c r="E410" t="str">
        <f t="shared" si="28"/>
        <v>X</v>
      </c>
      <c r="F410" t="str">
        <f ca="1">IFERROR(IF(AND(C410&amp;D410&amp;E410="___",INDIRECT("Inventory!A"&amp;MATCH(VLOOKUP(B410,Inventory!E:E,1,0),Inventory!E:E,0))&lt;&gt;INDIRECT("'Full Inventory'!B"&amp;MATCH(VLOOKUP(B410,'Full Inventory'!F:F,1,0),'Full Inventory'!F:F,0))),"X","_"),"_")</f>
        <v>_</v>
      </c>
      <c r="L410" t="str">
        <f t="shared" ca="1" si="26"/>
        <v>__X_</v>
      </c>
      <c r="M410" t="str">
        <f t="shared" ca="1" si="27"/>
        <v/>
      </c>
    </row>
    <row r="411" spans="1:13" x14ac:dyDescent="0.25">
      <c r="A411" s="5"/>
      <c r="B411" s="4" t="str">
        <f t="shared" si="25"/>
        <v/>
      </c>
      <c r="C411" t="str">
        <f>IF(AND(TRIM(A411)&lt;&gt;"",IFERROR(VLOOKUP(TRIM(B411),Inventory!E:E,1,0),0)=0),"X","_")</f>
        <v>_</v>
      </c>
      <c r="D411" t="str">
        <f>IF(AND(TRIM(A411)&lt;&gt;"",IFERROR(VLOOKUP(TRIM(B411),'Full Inventory'!F:F,1,0),0)=0),"X","_")</f>
        <v>_</v>
      </c>
      <c r="E411" t="str">
        <f t="shared" si="28"/>
        <v>X</v>
      </c>
      <c r="F411" t="str">
        <f ca="1">IFERROR(IF(AND(C411&amp;D411&amp;E411="___",INDIRECT("Inventory!A"&amp;MATCH(VLOOKUP(B411,Inventory!E:E,1,0),Inventory!E:E,0))&lt;&gt;INDIRECT("'Full Inventory'!B"&amp;MATCH(VLOOKUP(B411,'Full Inventory'!F:F,1,0),'Full Inventory'!F:F,0))),"X","_"),"_")</f>
        <v>_</v>
      </c>
      <c r="L411" t="str">
        <f t="shared" ca="1" si="26"/>
        <v>__X_</v>
      </c>
      <c r="M411" t="str">
        <f t="shared" ca="1" si="27"/>
        <v/>
      </c>
    </row>
    <row r="412" spans="1:13" x14ac:dyDescent="0.25">
      <c r="A412" s="5"/>
      <c r="B412" s="4" t="str">
        <f t="shared" si="25"/>
        <v/>
      </c>
      <c r="C412" t="str">
        <f>IF(AND(TRIM(A412)&lt;&gt;"",IFERROR(VLOOKUP(TRIM(B412),Inventory!E:E,1,0),0)=0),"X","_")</f>
        <v>_</v>
      </c>
      <c r="D412" t="str">
        <f>IF(AND(TRIM(A412)&lt;&gt;"",IFERROR(VLOOKUP(TRIM(B412),'Full Inventory'!F:F,1,0),0)=0),"X","_")</f>
        <v>_</v>
      </c>
      <c r="E412" t="str">
        <f t="shared" si="28"/>
        <v>X</v>
      </c>
      <c r="F412" t="str">
        <f ca="1">IFERROR(IF(AND(C412&amp;D412&amp;E412="___",INDIRECT("Inventory!A"&amp;MATCH(VLOOKUP(B412,Inventory!E:E,1,0),Inventory!E:E,0))&lt;&gt;INDIRECT("'Full Inventory'!B"&amp;MATCH(VLOOKUP(B412,'Full Inventory'!F:F,1,0),'Full Inventory'!F:F,0))),"X","_"),"_")</f>
        <v>_</v>
      </c>
      <c r="L412" t="str">
        <f t="shared" ca="1" si="26"/>
        <v>__X_</v>
      </c>
      <c r="M412" t="str">
        <f t="shared" ca="1" si="27"/>
        <v/>
      </c>
    </row>
    <row r="413" spans="1:13" x14ac:dyDescent="0.25">
      <c r="A413" s="5"/>
      <c r="B413" s="4" t="str">
        <f t="shared" si="25"/>
        <v/>
      </c>
      <c r="C413" t="str">
        <f>IF(AND(TRIM(A413)&lt;&gt;"",IFERROR(VLOOKUP(TRIM(B413),Inventory!E:E,1,0),0)=0),"X","_")</f>
        <v>_</v>
      </c>
      <c r="D413" t="str">
        <f>IF(AND(TRIM(A413)&lt;&gt;"",IFERROR(VLOOKUP(TRIM(B413),'Full Inventory'!F:F,1,0),0)=0),"X","_")</f>
        <v>_</v>
      </c>
      <c r="E413" t="str">
        <f t="shared" si="28"/>
        <v>X</v>
      </c>
      <c r="F413" t="str">
        <f ca="1">IFERROR(IF(AND(C413&amp;D413&amp;E413="___",INDIRECT("Inventory!A"&amp;MATCH(VLOOKUP(B413,Inventory!E:E,1,0),Inventory!E:E,0))&lt;&gt;INDIRECT("'Full Inventory'!B"&amp;MATCH(VLOOKUP(B413,'Full Inventory'!F:F,1,0),'Full Inventory'!F:F,0))),"X","_"),"_")</f>
        <v>_</v>
      </c>
      <c r="L413" t="str">
        <f t="shared" ca="1" si="26"/>
        <v>__X_</v>
      </c>
      <c r="M413" t="str">
        <f t="shared" ca="1" si="27"/>
        <v/>
      </c>
    </row>
    <row r="414" spans="1:13" x14ac:dyDescent="0.25">
      <c r="A414" s="5"/>
      <c r="B414" s="4" t="str">
        <f t="shared" si="25"/>
        <v/>
      </c>
      <c r="C414" t="str">
        <f>IF(AND(TRIM(A414)&lt;&gt;"",IFERROR(VLOOKUP(TRIM(B414),Inventory!E:E,1,0),0)=0),"X","_")</f>
        <v>_</v>
      </c>
      <c r="D414" t="str">
        <f>IF(AND(TRIM(A414)&lt;&gt;"",IFERROR(VLOOKUP(TRIM(B414),'Full Inventory'!F:F,1,0),0)=0),"X","_")</f>
        <v>_</v>
      </c>
      <c r="E414" t="str">
        <f t="shared" si="28"/>
        <v>X</v>
      </c>
      <c r="F414" t="str">
        <f ca="1">IFERROR(IF(AND(C414&amp;D414&amp;E414="___",INDIRECT("Inventory!A"&amp;MATCH(VLOOKUP(B414,Inventory!E:E,1,0),Inventory!E:E,0))&lt;&gt;INDIRECT("'Full Inventory'!B"&amp;MATCH(VLOOKUP(B414,'Full Inventory'!F:F,1,0),'Full Inventory'!F:F,0))),"X","_"),"_")</f>
        <v>_</v>
      </c>
      <c r="L414" t="str">
        <f t="shared" ca="1" si="26"/>
        <v>__X_</v>
      </c>
      <c r="M414" t="str">
        <f t="shared" ca="1" si="27"/>
        <v/>
      </c>
    </row>
    <row r="415" spans="1:13" x14ac:dyDescent="0.25">
      <c r="A415" s="5"/>
      <c r="B415" s="4" t="str">
        <f t="shared" si="25"/>
        <v/>
      </c>
      <c r="C415" t="str">
        <f>IF(AND(TRIM(A415)&lt;&gt;"",IFERROR(VLOOKUP(TRIM(B415),Inventory!E:E,1,0),0)=0),"X","_")</f>
        <v>_</v>
      </c>
      <c r="D415" t="str">
        <f>IF(AND(TRIM(A415)&lt;&gt;"",IFERROR(VLOOKUP(TRIM(B415),'Full Inventory'!F:F,1,0),0)=0),"X","_")</f>
        <v>_</v>
      </c>
      <c r="E415" t="str">
        <f t="shared" si="28"/>
        <v>X</v>
      </c>
      <c r="F415" t="str">
        <f ca="1">IFERROR(IF(AND(C415&amp;D415&amp;E415="___",INDIRECT("Inventory!A"&amp;MATCH(VLOOKUP(B415,Inventory!E:E,1,0),Inventory!E:E,0))&lt;&gt;INDIRECT("'Full Inventory'!B"&amp;MATCH(VLOOKUP(B415,'Full Inventory'!F:F,1,0),'Full Inventory'!F:F,0))),"X","_"),"_")</f>
        <v>_</v>
      </c>
      <c r="L415" t="str">
        <f t="shared" ca="1" si="26"/>
        <v>__X_</v>
      </c>
      <c r="M415" t="str">
        <f t="shared" ca="1" si="27"/>
        <v/>
      </c>
    </row>
    <row r="416" spans="1:13" x14ac:dyDescent="0.25">
      <c r="A416" s="5"/>
      <c r="B416" s="4" t="str">
        <f t="shared" si="25"/>
        <v/>
      </c>
      <c r="C416" t="str">
        <f>IF(AND(TRIM(A416)&lt;&gt;"",IFERROR(VLOOKUP(TRIM(B416),Inventory!E:E,1,0),0)=0),"X","_")</f>
        <v>_</v>
      </c>
      <c r="D416" t="str">
        <f>IF(AND(TRIM(A416)&lt;&gt;"",IFERROR(VLOOKUP(TRIM(B416),'Full Inventory'!F:F,1,0),0)=0),"X","_")</f>
        <v>_</v>
      </c>
      <c r="E416" t="str">
        <f t="shared" si="28"/>
        <v>X</v>
      </c>
      <c r="F416" t="str">
        <f ca="1">IFERROR(IF(AND(C416&amp;D416&amp;E416="___",INDIRECT("Inventory!A"&amp;MATCH(VLOOKUP(B416,Inventory!E:E,1,0),Inventory!E:E,0))&lt;&gt;INDIRECT("'Full Inventory'!B"&amp;MATCH(VLOOKUP(B416,'Full Inventory'!F:F,1,0),'Full Inventory'!F:F,0))),"X","_"),"_")</f>
        <v>_</v>
      </c>
      <c r="L416" t="str">
        <f t="shared" ca="1" si="26"/>
        <v>__X_</v>
      </c>
      <c r="M416" t="str">
        <f t="shared" ca="1" si="27"/>
        <v/>
      </c>
    </row>
    <row r="417" spans="1:13" x14ac:dyDescent="0.25">
      <c r="A417" s="5"/>
      <c r="B417" s="4" t="str">
        <f t="shared" si="25"/>
        <v/>
      </c>
      <c r="C417" t="str">
        <f>IF(AND(TRIM(A417)&lt;&gt;"",IFERROR(VLOOKUP(TRIM(B417),Inventory!E:E,1,0),0)=0),"X","_")</f>
        <v>_</v>
      </c>
      <c r="D417" t="str">
        <f>IF(AND(TRIM(A417)&lt;&gt;"",IFERROR(VLOOKUP(TRIM(B417),'Full Inventory'!F:F,1,0),0)=0),"X","_")</f>
        <v>_</v>
      </c>
      <c r="E417" t="str">
        <f t="shared" si="28"/>
        <v>X</v>
      </c>
      <c r="F417" t="str">
        <f ca="1">IFERROR(IF(AND(C417&amp;D417&amp;E417="___",INDIRECT("Inventory!A"&amp;MATCH(VLOOKUP(B417,Inventory!E:E,1,0),Inventory!E:E,0))&lt;&gt;INDIRECT("'Full Inventory'!B"&amp;MATCH(VLOOKUP(B417,'Full Inventory'!F:F,1,0),'Full Inventory'!F:F,0))),"X","_"),"_")</f>
        <v>_</v>
      </c>
      <c r="L417" t="str">
        <f t="shared" ca="1" si="26"/>
        <v>__X_</v>
      </c>
      <c r="M417" t="str">
        <f t="shared" ca="1" si="27"/>
        <v/>
      </c>
    </row>
    <row r="418" spans="1:13" x14ac:dyDescent="0.25">
      <c r="A418" s="5"/>
      <c r="B418" s="4" t="str">
        <f t="shared" si="25"/>
        <v/>
      </c>
      <c r="C418" t="str">
        <f>IF(AND(TRIM(A418)&lt;&gt;"",IFERROR(VLOOKUP(TRIM(B418),Inventory!E:E,1,0),0)=0),"X","_")</f>
        <v>_</v>
      </c>
      <c r="D418" t="str">
        <f>IF(AND(TRIM(A418)&lt;&gt;"",IFERROR(VLOOKUP(TRIM(B418),'Full Inventory'!F:F,1,0),0)=0),"X","_")</f>
        <v>_</v>
      </c>
      <c r="E418" t="str">
        <f t="shared" si="28"/>
        <v>X</v>
      </c>
      <c r="F418" t="str">
        <f ca="1">IFERROR(IF(AND(C418&amp;D418&amp;E418="___",INDIRECT("Inventory!A"&amp;MATCH(VLOOKUP(B418,Inventory!E:E,1,0),Inventory!E:E,0))&lt;&gt;INDIRECT("'Full Inventory'!B"&amp;MATCH(VLOOKUP(B418,'Full Inventory'!F:F,1,0),'Full Inventory'!F:F,0))),"X","_"),"_")</f>
        <v>_</v>
      </c>
      <c r="L418" t="str">
        <f t="shared" ca="1" si="26"/>
        <v>__X_</v>
      </c>
      <c r="M418" t="str">
        <f t="shared" ca="1" si="27"/>
        <v/>
      </c>
    </row>
    <row r="419" spans="1:13" x14ac:dyDescent="0.25">
      <c r="A419" s="5"/>
      <c r="B419" s="4" t="str">
        <f t="shared" si="25"/>
        <v/>
      </c>
      <c r="C419" t="str">
        <f>IF(AND(TRIM(A419)&lt;&gt;"",IFERROR(VLOOKUP(TRIM(B419),Inventory!E:E,1,0),0)=0),"X","_")</f>
        <v>_</v>
      </c>
      <c r="D419" t="str">
        <f>IF(AND(TRIM(A419)&lt;&gt;"",IFERROR(VLOOKUP(TRIM(B419),'Full Inventory'!F:F,1,0),0)=0),"X","_")</f>
        <v>_</v>
      </c>
      <c r="E419" t="str">
        <f t="shared" si="28"/>
        <v>X</v>
      </c>
      <c r="F419" t="str">
        <f ca="1">IFERROR(IF(AND(C419&amp;D419&amp;E419="___",INDIRECT("Inventory!A"&amp;MATCH(VLOOKUP(B419,Inventory!E:E,1,0),Inventory!E:E,0))&lt;&gt;INDIRECT("'Full Inventory'!B"&amp;MATCH(VLOOKUP(B419,'Full Inventory'!F:F,1,0),'Full Inventory'!F:F,0))),"X","_"),"_")</f>
        <v>_</v>
      </c>
      <c r="L419" t="str">
        <f t="shared" ca="1" si="26"/>
        <v>__X_</v>
      </c>
      <c r="M419" t="str">
        <f t="shared" ca="1" si="27"/>
        <v/>
      </c>
    </row>
    <row r="420" spans="1:13" x14ac:dyDescent="0.25">
      <c r="A420" s="5"/>
      <c r="B420" s="4" t="str">
        <f t="shared" si="25"/>
        <v/>
      </c>
      <c r="C420" t="str">
        <f>IF(AND(TRIM(A420)&lt;&gt;"",IFERROR(VLOOKUP(TRIM(B420),Inventory!E:E,1,0),0)=0),"X","_")</f>
        <v>_</v>
      </c>
      <c r="D420" t="str">
        <f>IF(AND(TRIM(A420)&lt;&gt;"",IFERROR(VLOOKUP(TRIM(B420),'Full Inventory'!F:F,1,0),0)=0),"X","_")</f>
        <v>_</v>
      </c>
      <c r="E420" t="str">
        <f t="shared" si="28"/>
        <v>X</v>
      </c>
      <c r="F420" t="str">
        <f ca="1">IFERROR(IF(AND(C420&amp;D420&amp;E420="___",INDIRECT("Inventory!A"&amp;MATCH(VLOOKUP(B420,Inventory!E:E,1,0),Inventory!E:E,0))&lt;&gt;INDIRECT("'Full Inventory'!B"&amp;MATCH(VLOOKUP(B420,'Full Inventory'!F:F,1,0),'Full Inventory'!F:F,0))),"X","_"),"_")</f>
        <v>_</v>
      </c>
      <c r="L420" t="str">
        <f t="shared" ca="1" si="26"/>
        <v>__X_</v>
      </c>
      <c r="M420" t="str">
        <f t="shared" ca="1" si="27"/>
        <v/>
      </c>
    </row>
    <row r="421" spans="1:13" x14ac:dyDescent="0.25">
      <c r="A421" s="5"/>
      <c r="B421" s="4" t="str">
        <f t="shared" si="25"/>
        <v/>
      </c>
      <c r="C421" t="str">
        <f>IF(AND(TRIM(A421)&lt;&gt;"",IFERROR(VLOOKUP(TRIM(B421),Inventory!E:E,1,0),0)=0),"X","_")</f>
        <v>_</v>
      </c>
      <c r="D421" t="str">
        <f>IF(AND(TRIM(A421)&lt;&gt;"",IFERROR(VLOOKUP(TRIM(B421),'Full Inventory'!F:F,1,0),0)=0),"X","_")</f>
        <v>_</v>
      </c>
      <c r="E421" t="str">
        <f t="shared" si="28"/>
        <v>X</v>
      </c>
      <c r="F421" t="str">
        <f ca="1">IFERROR(IF(AND(C421&amp;D421&amp;E421="___",INDIRECT("Inventory!A"&amp;MATCH(VLOOKUP(B421,Inventory!E:E,1,0),Inventory!E:E,0))&lt;&gt;INDIRECT("'Full Inventory'!B"&amp;MATCH(VLOOKUP(B421,'Full Inventory'!F:F,1,0),'Full Inventory'!F:F,0))),"X","_"),"_")</f>
        <v>_</v>
      </c>
      <c r="L421" t="str">
        <f t="shared" ca="1" si="26"/>
        <v>__X_</v>
      </c>
      <c r="M421" t="str">
        <f t="shared" ca="1" si="27"/>
        <v/>
      </c>
    </row>
    <row r="422" spans="1:13" x14ac:dyDescent="0.25">
      <c r="A422" s="5"/>
      <c r="B422" s="4" t="str">
        <f t="shared" si="25"/>
        <v/>
      </c>
      <c r="C422" t="str">
        <f>IF(AND(TRIM(A422)&lt;&gt;"",IFERROR(VLOOKUP(TRIM(B422),Inventory!E:E,1,0),0)=0),"X","_")</f>
        <v>_</v>
      </c>
      <c r="D422" t="str">
        <f>IF(AND(TRIM(A422)&lt;&gt;"",IFERROR(VLOOKUP(TRIM(B422),'Full Inventory'!F:F,1,0),0)=0),"X","_")</f>
        <v>_</v>
      </c>
      <c r="E422" t="str">
        <f t="shared" si="28"/>
        <v>X</v>
      </c>
      <c r="F422" t="str">
        <f ca="1">IFERROR(IF(AND(C422&amp;D422&amp;E422="___",INDIRECT("Inventory!A"&amp;MATCH(VLOOKUP(B422,Inventory!E:E,1,0),Inventory!E:E,0))&lt;&gt;INDIRECT("'Full Inventory'!B"&amp;MATCH(VLOOKUP(B422,'Full Inventory'!F:F,1,0),'Full Inventory'!F:F,0))),"X","_"),"_")</f>
        <v>_</v>
      </c>
      <c r="L422" t="str">
        <f t="shared" ca="1" si="26"/>
        <v>__X_</v>
      </c>
      <c r="M422" t="str">
        <f t="shared" ca="1" si="27"/>
        <v/>
      </c>
    </row>
    <row r="423" spans="1:13" x14ac:dyDescent="0.25">
      <c r="A423" s="5"/>
      <c r="B423" s="4" t="str">
        <f t="shared" si="25"/>
        <v/>
      </c>
      <c r="C423" t="str">
        <f>IF(AND(TRIM(A423)&lt;&gt;"",IFERROR(VLOOKUP(TRIM(B423),Inventory!E:E,1,0),0)=0),"X","_")</f>
        <v>_</v>
      </c>
      <c r="D423" t="str">
        <f>IF(AND(TRIM(A423)&lt;&gt;"",IFERROR(VLOOKUP(TRIM(B423),'Full Inventory'!F:F,1,0),0)=0),"X","_")</f>
        <v>_</v>
      </c>
      <c r="E423" t="str">
        <f t="shared" si="28"/>
        <v>X</v>
      </c>
      <c r="F423" t="str">
        <f ca="1">IFERROR(IF(AND(C423&amp;D423&amp;E423="___",INDIRECT("Inventory!A"&amp;MATCH(VLOOKUP(B423,Inventory!E:E,1,0),Inventory!E:E,0))&lt;&gt;INDIRECT("'Full Inventory'!B"&amp;MATCH(VLOOKUP(B423,'Full Inventory'!F:F,1,0),'Full Inventory'!F:F,0))),"X","_"),"_")</f>
        <v>_</v>
      </c>
      <c r="L423" t="str">
        <f t="shared" ca="1" si="26"/>
        <v>__X_</v>
      </c>
      <c r="M423" t="str">
        <f t="shared" ca="1" si="27"/>
        <v/>
      </c>
    </row>
    <row r="424" spans="1:13" x14ac:dyDescent="0.25">
      <c r="A424" s="5"/>
      <c r="B424" s="4" t="str">
        <f t="shared" si="25"/>
        <v/>
      </c>
      <c r="C424" t="str">
        <f>IF(AND(TRIM(A424)&lt;&gt;"",IFERROR(VLOOKUP(TRIM(B424),Inventory!E:E,1,0),0)=0),"X","_")</f>
        <v>_</v>
      </c>
      <c r="D424" t="str">
        <f>IF(AND(TRIM(A424)&lt;&gt;"",IFERROR(VLOOKUP(TRIM(B424),'Full Inventory'!F:F,1,0),0)=0),"X","_")</f>
        <v>_</v>
      </c>
      <c r="E424" t="str">
        <f t="shared" si="28"/>
        <v>X</v>
      </c>
      <c r="F424" t="str">
        <f ca="1">IFERROR(IF(AND(C424&amp;D424&amp;E424="___",INDIRECT("Inventory!A"&amp;MATCH(VLOOKUP(B424,Inventory!E:E,1,0),Inventory!E:E,0))&lt;&gt;INDIRECT("'Full Inventory'!B"&amp;MATCH(VLOOKUP(B424,'Full Inventory'!F:F,1,0),'Full Inventory'!F:F,0))),"X","_"),"_")</f>
        <v>_</v>
      </c>
      <c r="L424" t="str">
        <f t="shared" ca="1" si="26"/>
        <v>__X_</v>
      </c>
      <c r="M424" t="str">
        <f t="shared" ca="1" si="27"/>
        <v/>
      </c>
    </row>
    <row r="425" spans="1:13" x14ac:dyDescent="0.25">
      <c r="A425" s="5"/>
      <c r="B425" s="4" t="str">
        <f t="shared" si="25"/>
        <v/>
      </c>
      <c r="C425" t="str">
        <f>IF(AND(TRIM(A425)&lt;&gt;"",IFERROR(VLOOKUP(TRIM(B425),Inventory!E:E,1,0),0)=0),"X","_")</f>
        <v>_</v>
      </c>
      <c r="D425" t="str">
        <f>IF(AND(TRIM(A425)&lt;&gt;"",IFERROR(VLOOKUP(TRIM(B425),'Full Inventory'!F:F,1,0),0)=0),"X","_")</f>
        <v>_</v>
      </c>
      <c r="E425" t="str">
        <f t="shared" si="28"/>
        <v>X</v>
      </c>
      <c r="F425" t="str">
        <f ca="1">IFERROR(IF(AND(C425&amp;D425&amp;E425="___",INDIRECT("Inventory!A"&amp;MATCH(VLOOKUP(B425,Inventory!E:E,1,0),Inventory!E:E,0))&lt;&gt;INDIRECT("'Full Inventory'!B"&amp;MATCH(VLOOKUP(B425,'Full Inventory'!F:F,1,0),'Full Inventory'!F:F,0))),"X","_"),"_")</f>
        <v>_</v>
      </c>
      <c r="L425" t="str">
        <f t="shared" ca="1" si="26"/>
        <v>__X_</v>
      </c>
      <c r="M425" t="str">
        <f t="shared" ca="1" si="27"/>
        <v/>
      </c>
    </row>
    <row r="426" spans="1:13" x14ac:dyDescent="0.25">
      <c r="A426" s="5"/>
      <c r="B426" s="4" t="str">
        <f t="shared" si="25"/>
        <v/>
      </c>
      <c r="C426" t="str">
        <f>IF(AND(TRIM(A426)&lt;&gt;"",IFERROR(VLOOKUP(TRIM(B426),Inventory!E:E,1,0),0)=0),"X","_")</f>
        <v>_</v>
      </c>
      <c r="D426" t="str">
        <f>IF(AND(TRIM(A426)&lt;&gt;"",IFERROR(VLOOKUP(TRIM(B426),'Full Inventory'!F:F,1,0),0)=0),"X","_")</f>
        <v>_</v>
      </c>
      <c r="E426" t="str">
        <f t="shared" si="28"/>
        <v>X</v>
      </c>
      <c r="F426" t="str">
        <f ca="1">IFERROR(IF(AND(C426&amp;D426&amp;E426="___",INDIRECT("Inventory!A"&amp;MATCH(VLOOKUP(B426,Inventory!E:E,1,0),Inventory!E:E,0))&lt;&gt;INDIRECT("'Full Inventory'!B"&amp;MATCH(VLOOKUP(B426,'Full Inventory'!F:F,1,0),'Full Inventory'!F:F,0))),"X","_"),"_")</f>
        <v>_</v>
      </c>
      <c r="L426" t="str">
        <f t="shared" ca="1" si="26"/>
        <v>__X_</v>
      </c>
      <c r="M426" t="str">
        <f t="shared" ca="1" si="27"/>
        <v/>
      </c>
    </row>
    <row r="427" spans="1:13" x14ac:dyDescent="0.25">
      <c r="A427" s="5"/>
      <c r="B427" s="4" t="str">
        <f t="shared" si="25"/>
        <v/>
      </c>
      <c r="C427" t="str">
        <f>IF(AND(TRIM(A427)&lt;&gt;"",IFERROR(VLOOKUP(TRIM(B427),Inventory!E:E,1,0),0)=0),"X","_")</f>
        <v>_</v>
      </c>
      <c r="D427" t="str">
        <f>IF(AND(TRIM(A427)&lt;&gt;"",IFERROR(VLOOKUP(TRIM(B427),'Full Inventory'!F:F,1,0),0)=0),"X","_")</f>
        <v>_</v>
      </c>
      <c r="E427" t="str">
        <f t="shared" si="28"/>
        <v>X</v>
      </c>
      <c r="F427" t="str">
        <f ca="1">IFERROR(IF(AND(C427&amp;D427&amp;E427="___",INDIRECT("Inventory!A"&amp;MATCH(VLOOKUP(B427,Inventory!E:E,1,0),Inventory!E:E,0))&lt;&gt;INDIRECT("'Full Inventory'!B"&amp;MATCH(VLOOKUP(B427,'Full Inventory'!F:F,1,0),'Full Inventory'!F:F,0))),"X","_"),"_")</f>
        <v>_</v>
      </c>
      <c r="L427" t="str">
        <f t="shared" ca="1" si="26"/>
        <v>__X_</v>
      </c>
      <c r="M427" t="str">
        <f t="shared" ca="1" si="27"/>
        <v/>
      </c>
    </row>
    <row r="428" spans="1:13" x14ac:dyDescent="0.25">
      <c r="A428" s="5"/>
      <c r="B428" s="4" t="str">
        <f t="shared" si="25"/>
        <v/>
      </c>
      <c r="C428" t="str">
        <f>IF(AND(TRIM(A428)&lt;&gt;"",IFERROR(VLOOKUP(TRIM(B428),Inventory!E:E,1,0),0)=0),"X","_")</f>
        <v>_</v>
      </c>
      <c r="D428" t="str">
        <f>IF(AND(TRIM(A428)&lt;&gt;"",IFERROR(VLOOKUP(TRIM(B428),'Full Inventory'!F:F,1,0),0)=0),"X","_")</f>
        <v>_</v>
      </c>
      <c r="E428" t="str">
        <f t="shared" si="28"/>
        <v>X</v>
      </c>
      <c r="F428" t="str">
        <f ca="1">IFERROR(IF(AND(C428&amp;D428&amp;E428="___",INDIRECT("Inventory!A"&amp;MATCH(VLOOKUP(B428,Inventory!E:E,1,0),Inventory!E:E,0))&lt;&gt;INDIRECT("'Full Inventory'!B"&amp;MATCH(VLOOKUP(B428,'Full Inventory'!F:F,1,0),'Full Inventory'!F:F,0))),"X","_"),"_")</f>
        <v>_</v>
      </c>
      <c r="L428" t="str">
        <f t="shared" ca="1" si="26"/>
        <v>__X_</v>
      </c>
      <c r="M428" t="str">
        <f t="shared" ca="1" si="27"/>
        <v/>
      </c>
    </row>
    <row r="429" spans="1:13" x14ac:dyDescent="0.25">
      <c r="A429" s="5"/>
      <c r="B429" s="4" t="str">
        <f t="shared" si="25"/>
        <v/>
      </c>
      <c r="C429" t="str">
        <f>IF(AND(TRIM(A429)&lt;&gt;"",IFERROR(VLOOKUP(TRIM(B429),Inventory!E:E,1,0),0)=0),"X","_")</f>
        <v>_</v>
      </c>
      <c r="D429" t="str">
        <f>IF(AND(TRIM(A429)&lt;&gt;"",IFERROR(VLOOKUP(TRIM(B429),'Full Inventory'!F:F,1,0),0)=0),"X","_")</f>
        <v>_</v>
      </c>
      <c r="E429" t="str">
        <f t="shared" si="28"/>
        <v>X</v>
      </c>
      <c r="F429" t="str">
        <f ca="1">IFERROR(IF(AND(C429&amp;D429&amp;E429="___",INDIRECT("Inventory!A"&amp;MATCH(VLOOKUP(B429,Inventory!E:E,1,0),Inventory!E:E,0))&lt;&gt;INDIRECT("'Full Inventory'!B"&amp;MATCH(VLOOKUP(B429,'Full Inventory'!F:F,1,0),'Full Inventory'!F:F,0))),"X","_"),"_")</f>
        <v>_</v>
      </c>
      <c r="L429" t="str">
        <f t="shared" ca="1" si="26"/>
        <v>__X_</v>
      </c>
      <c r="M429" t="str">
        <f t="shared" ca="1" si="27"/>
        <v/>
      </c>
    </row>
    <row r="430" spans="1:13" x14ac:dyDescent="0.25">
      <c r="A430" s="5"/>
      <c r="B430" s="4" t="str">
        <f t="shared" si="25"/>
        <v/>
      </c>
      <c r="C430" t="str">
        <f>IF(AND(TRIM(A430)&lt;&gt;"",IFERROR(VLOOKUP(TRIM(B430),Inventory!E:E,1,0),0)=0),"X","_")</f>
        <v>_</v>
      </c>
      <c r="D430" t="str">
        <f>IF(AND(TRIM(A430)&lt;&gt;"",IFERROR(VLOOKUP(TRIM(B430),'Full Inventory'!F:F,1,0),0)=0),"X","_")</f>
        <v>_</v>
      </c>
      <c r="E430" t="str">
        <f t="shared" si="28"/>
        <v>X</v>
      </c>
      <c r="F430" t="str">
        <f ca="1">IFERROR(IF(AND(C430&amp;D430&amp;E430="___",INDIRECT("Inventory!A"&amp;MATCH(VLOOKUP(B430,Inventory!E:E,1,0),Inventory!E:E,0))&lt;&gt;INDIRECT("'Full Inventory'!B"&amp;MATCH(VLOOKUP(B430,'Full Inventory'!F:F,1,0),'Full Inventory'!F:F,0))),"X","_"),"_")</f>
        <v>_</v>
      </c>
      <c r="L430" t="str">
        <f t="shared" ca="1" si="26"/>
        <v>__X_</v>
      </c>
      <c r="M430" t="str">
        <f t="shared" ca="1" si="27"/>
        <v/>
      </c>
    </row>
    <row r="431" spans="1:13" x14ac:dyDescent="0.25">
      <c r="A431" s="5"/>
      <c r="B431" s="4" t="str">
        <f t="shared" si="25"/>
        <v/>
      </c>
      <c r="C431" t="str">
        <f>IF(AND(TRIM(A431)&lt;&gt;"",IFERROR(VLOOKUP(TRIM(B431),Inventory!E:E,1,0),0)=0),"X","_")</f>
        <v>_</v>
      </c>
      <c r="D431" t="str">
        <f>IF(AND(TRIM(A431)&lt;&gt;"",IFERROR(VLOOKUP(TRIM(B431),'Full Inventory'!F:F,1,0),0)=0),"X","_")</f>
        <v>_</v>
      </c>
      <c r="E431" t="str">
        <f t="shared" si="28"/>
        <v>X</v>
      </c>
      <c r="F431" t="str">
        <f ca="1">IFERROR(IF(AND(C431&amp;D431&amp;E431="___",INDIRECT("Inventory!A"&amp;MATCH(VLOOKUP(B431,Inventory!E:E,1,0),Inventory!E:E,0))&lt;&gt;INDIRECT("'Full Inventory'!B"&amp;MATCH(VLOOKUP(B431,'Full Inventory'!F:F,1,0),'Full Inventory'!F:F,0))),"X","_"),"_")</f>
        <v>_</v>
      </c>
      <c r="L431" t="str">
        <f t="shared" ca="1" si="26"/>
        <v>__X_</v>
      </c>
      <c r="M431" t="str">
        <f t="shared" ca="1" si="27"/>
        <v/>
      </c>
    </row>
    <row r="432" spans="1:13" x14ac:dyDescent="0.25">
      <c r="A432" s="5"/>
      <c r="B432" s="4" t="str">
        <f t="shared" si="25"/>
        <v/>
      </c>
      <c r="C432" t="str">
        <f>IF(AND(TRIM(A432)&lt;&gt;"",IFERROR(VLOOKUP(TRIM(B432),Inventory!E:E,1,0),0)=0),"X","_")</f>
        <v>_</v>
      </c>
      <c r="D432" t="str">
        <f>IF(AND(TRIM(A432)&lt;&gt;"",IFERROR(VLOOKUP(TRIM(B432),'Full Inventory'!F:F,1,0),0)=0),"X","_")</f>
        <v>_</v>
      </c>
      <c r="E432" t="str">
        <f t="shared" si="28"/>
        <v>X</v>
      </c>
      <c r="F432" t="str">
        <f ca="1">IFERROR(IF(AND(C432&amp;D432&amp;E432="___",INDIRECT("Inventory!A"&amp;MATCH(VLOOKUP(B432,Inventory!E:E,1,0),Inventory!E:E,0))&lt;&gt;INDIRECT("'Full Inventory'!B"&amp;MATCH(VLOOKUP(B432,'Full Inventory'!F:F,1,0),'Full Inventory'!F:F,0))),"X","_"),"_")</f>
        <v>_</v>
      </c>
      <c r="L432" t="str">
        <f t="shared" ca="1" si="26"/>
        <v>__X_</v>
      </c>
      <c r="M432" t="str">
        <f t="shared" ca="1" si="27"/>
        <v/>
      </c>
    </row>
    <row r="433" spans="1:13" x14ac:dyDescent="0.25">
      <c r="A433" s="5"/>
      <c r="B433" s="4" t="str">
        <f t="shared" si="25"/>
        <v/>
      </c>
      <c r="C433" t="str">
        <f>IF(AND(TRIM(A433)&lt;&gt;"",IFERROR(VLOOKUP(TRIM(B433),Inventory!E:E,1,0),0)=0),"X","_")</f>
        <v>_</v>
      </c>
      <c r="D433" t="str">
        <f>IF(AND(TRIM(A433)&lt;&gt;"",IFERROR(VLOOKUP(TRIM(B433),'Full Inventory'!F:F,1,0),0)=0),"X","_")</f>
        <v>_</v>
      </c>
      <c r="E433" t="str">
        <f t="shared" si="28"/>
        <v>X</v>
      </c>
      <c r="F433" t="str">
        <f ca="1">IFERROR(IF(AND(C433&amp;D433&amp;E433="___",INDIRECT("Inventory!A"&amp;MATCH(VLOOKUP(B433,Inventory!E:E,1,0),Inventory!E:E,0))&lt;&gt;INDIRECT("'Full Inventory'!B"&amp;MATCH(VLOOKUP(B433,'Full Inventory'!F:F,1,0),'Full Inventory'!F:F,0))),"X","_"),"_")</f>
        <v>_</v>
      </c>
      <c r="L433" t="str">
        <f t="shared" ca="1" si="26"/>
        <v>__X_</v>
      </c>
      <c r="M433" t="str">
        <f t="shared" ca="1" si="27"/>
        <v/>
      </c>
    </row>
    <row r="434" spans="1:13" x14ac:dyDescent="0.25">
      <c r="A434" s="5"/>
      <c r="B434" s="4" t="str">
        <f t="shared" si="25"/>
        <v/>
      </c>
      <c r="C434" t="str">
        <f>IF(AND(TRIM(A434)&lt;&gt;"",IFERROR(VLOOKUP(TRIM(B434),Inventory!E:E,1,0),0)=0),"X","_")</f>
        <v>_</v>
      </c>
      <c r="D434" t="str">
        <f>IF(AND(TRIM(A434)&lt;&gt;"",IFERROR(VLOOKUP(TRIM(B434),'Full Inventory'!F:F,1,0),0)=0),"X","_")</f>
        <v>_</v>
      </c>
      <c r="E434" t="str">
        <f t="shared" si="28"/>
        <v>X</v>
      </c>
      <c r="F434" t="str">
        <f ca="1">IFERROR(IF(AND(C434&amp;D434&amp;E434="___",INDIRECT("Inventory!A"&amp;MATCH(VLOOKUP(B434,Inventory!E:E,1,0),Inventory!E:E,0))&lt;&gt;INDIRECT("'Full Inventory'!B"&amp;MATCH(VLOOKUP(B434,'Full Inventory'!F:F,1,0),'Full Inventory'!F:F,0))),"X","_"),"_")</f>
        <v>_</v>
      </c>
      <c r="L434" t="str">
        <f t="shared" ca="1" si="26"/>
        <v>__X_</v>
      </c>
      <c r="M434" t="str">
        <f t="shared" ca="1" si="27"/>
        <v/>
      </c>
    </row>
    <row r="435" spans="1:13" x14ac:dyDescent="0.25">
      <c r="A435" s="5"/>
      <c r="B435" s="4" t="str">
        <f t="shared" si="25"/>
        <v/>
      </c>
      <c r="C435" t="str">
        <f>IF(AND(TRIM(A435)&lt;&gt;"",IFERROR(VLOOKUP(TRIM(B435),Inventory!E:E,1,0),0)=0),"X","_")</f>
        <v>_</v>
      </c>
      <c r="D435" t="str">
        <f>IF(AND(TRIM(A435)&lt;&gt;"",IFERROR(VLOOKUP(TRIM(B435),'Full Inventory'!F:F,1,0),0)=0),"X","_")</f>
        <v>_</v>
      </c>
      <c r="E435" t="str">
        <f t="shared" si="28"/>
        <v>X</v>
      </c>
      <c r="F435" t="str">
        <f ca="1">IFERROR(IF(AND(C435&amp;D435&amp;E435="___",INDIRECT("Inventory!A"&amp;MATCH(VLOOKUP(B435,Inventory!E:E,1,0),Inventory!E:E,0))&lt;&gt;INDIRECT("'Full Inventory'!B"&amp;MATCH(VLOOKUP(B435,'Full Inventory'!F:F,1,0),'Full Inventory'!F:F,0))),"X","_"),"_")</f>
        <v>_</v>
      </c>
      <c r="L435" t="str">
        <f t="shared" ca="1" si="26"/>
        <v>__X_</v>
      </c>
      <c r="M435" t="str">
        <f t="shared" ca="1" si="27"/>
        <v/>
      </c>
    </row>
    <row r="436" spans="1:13" x14ac:dyDescent="0.25">
      <c r="A436" s="5"/>
      <c r="B436" s="4" t="str">
        <f t="shared" si="25"/>
        <v/>
      </c>
      <c r="C436" t="str">
        <f>IF(AND(TRIM(A436)&lt;&gt;"",IFERROR(VLOOKUP(TRIM(B436),Inventory!E:E,1,0),0)=0),"X","_")</f>
        <v>_</v>
      </c>
      <c r="D436" t="str">
        <f>IF(AND(TRIM(A436)&lt;&gt;"",IFERROR(VLOOKUP(TRIM(B436),'Full Inventory'!F:F,1,0),0)=0),"X","_")</f>
        <v>_</v>
      </c>
      <c r="E436" t="str">
        <f t="shared" si="28"/>
        <v>X</v>
      </c>
      <c r="F436" t="str">
        <f ca="1">IFERROR(IF(AND(C436&amp;D436&amp;E436="___",INDIRECT("Inventory!A"&amp;MATCH(VLOOKUP(B436,Inventory!E:E,1,0),Inventory!E:E,0))&lt;&gt;INDIRECT("'Full Inventory'!B"&amp;MATCH(VLOOKUP(B436,'Full Inventory'!F:F,1,0),'Full Inventory'!F:F,0))),"X","_"),"_")</f>
        <v>_</v>
      </c>
      <c r="L436" t="str">
        <f t="shared" ca="1" si="26"/>
        <v>__X_</v>
      </c>
      <c r="M436" t="str">
        <f t="shared" ca="1" si="27"/>
        <v/>
      </c>
    </row>
    <row r="437" spans="1:13" x14ac:dyDescent="0.25">
      <c r="A437" s="5"/>
      <c r="B437" s="4" t="str">
        <f t="shared" si="25"/>
        <v/>
      </c>
      <c r="C437" t="str">
        <f>IF(AND(TRIM(A437)&lt;&gt;"",IFERROR(VLOOKUP(TRIM(B437),Inventory!E:E,1,0),0)=0),"X","_")</f>
        <v>_</v>
      </c>
      <c r="D437" t="str">
        <f>IF(AND(TRIM(A437)&lt;&gt;"",IFERROR(VLOOKUP(TRIM(B437),'Full Inventory'!F:F,1,0),0)=0),"X","_")</f>
        <v>_</v>
      </c>
      <c r="E437" t="str">
        <f t="shared" si="28"/>
        <v>X</v>
      </c>
      <c r="F437" t="str">
        <f ca="1">IFERROR(IF(AND(C437&amp;D437&amp;E437="___",INDIRECT("Inventory!A"&amp;MATCH(VLOOKUP(B437,Inventory!E:E,1,0),Inventory!E:E,0))&lt;&gt;INDIRECT("'Full Inventory'!B"&amp;MATCH(VLOOKUP(B437,'Full Inventory'!F:F,1,0),'Full Inventory'!F:F,0))),"X","_"),"_")</f>
        <v>_</v>
      </c>
      <c r="L437" t="str">
        <f t="shared" ca="1" si="26"/>
        <v>__X_</v>
      </c>
      <c r="M437" t="str">
        <f t="shared" ca="1" si="27"/>
        <v/>
      </c>
    </row>
    <row r="438" spans="1:13" x14ac:dyDescent="0.25">
      <c r="A438" s="5"/>
      <c r="B438" s="4" t="str">
        <f t="shared" si="25"/>
        <v/>
      </c>
      <c r="C438" t="str">
        <f>IF(AND(TRIM(A438)&lt;&gt;"",IFERROR(VLOOKUP(TRIM(B438),Inventory!E:E,1,0),0)=0),"X","_")</f>
        <v>_</v>
      </c>
      <c r="D438" t="str">
        <f>IF(AND(TRIM(A438)&lt;&gt;"",IFERROR(VLOOKUP(TRIM(B438),'Full Inventory'!F:F,1,0),0)=0),"X","_")</f>
        <v>_</v>
      </c>
      <c r="E438" t="str">
        <f t="shared" si="28"/>
        <v>X</v>
      </c>
      <c r="F438" t="str">
        <f ca="1">IFERROR(IF(AND(C438&amp;D438&amp;E438="___",INDIRECT("Inventory!A"&amp;MATCH(VLOOKUP(B438,Inventory!E:E,1,0),Inventory!E:E,0))&lt;&gt;INDIRECT("'Full Inventory'!B"&amp;MATCH(VLOOKUP(B438,'Full Inventory'!F:F,1,0),'Full Inventory'!F:F,0))),"X","_"),"_")</f>
        <v>_</v>
      </c>
      <c r="L438" t="str">
        <f t="shared" ca="1" si="26"/>
        <v>__X_</v>
      </c>
      <c r="M438" t="str">
        <f t="shared" ca="1" si="27"/>
        <v/>
      </c>
    </row>
    <row r="439" spans="1:13" x14ac:dyDescent="0.25">
      <c r="A439" s="5"/>
      <c r="B439" s="4" t="str">
        <f t="shared" si="25"/>
        <v/>
      </c>
      <c r="C439" t="str">
        <f>IF(AND(TRIM(A439)&lt;&gt;"",IFERROR(VLOOKUP(TRIM(B439),Inventory!E:E,1,0),0)=0),"X","_")</f>
        <v>_</v>
      </c>
      <c r="D439" t="str">
        <f>IF(AND(TRIM(A439)&lt;&gt;"",IFERROR(VLOOKUP(TRIM(B439),'Full Inventory'!F:F,1,0),0)=0),"X","_")</f>
        <v>_</v>
      </c>
      <c r="E439" t="str">
        <f t="shared" si="28"/>
        <v>X</v>
      </c>
      <c r="F439" t="str">
        <f ca="1">IFERROR(IF(AND(C439&amp;D439&amp;E439="___",INDIRECT("Inventory!A"&amp;MATCH(VLOOKUP(B439,Inventory!E:E,1,0),Inventory!E:E,0))&lt;&gt;INDIRECT("'Full Inventory'!B"&amp;MATCH(VLOOKUP(B439,'Full Inventory'!F:F,1,0),'Full Inventory'!F:F,0))),"X","_"),"_")</f>
        <v>_</v>
      </c>
      <c r="L439" t="str">
        <f t="shared" ca="1" si="26"/>
        <v>__X_</v>
      </c>
      <c r="M439" t="str">
        <f t="shared" ca="1" si="27"/>
        <v/>
      </c>
    </row>
    <row r="440" spans="1:13" x14ac:dyDescent="0.25">
      <c r="A440" s="5"/>
      <c r="B440" s="4" t="str">
        <f t="shared" si="25"/>
        <v/>
      </c>
      <c r="C440" t="str">
        <f>IF(AND(TRIM(A440)&lt;&gt;"",IFERROR(VLOOKUP(TRIM(B440),Inventory!E:E,1,0),0)=0),"X","_")</f>
        <v>_</v>
      </c>
      <c r="D440" t="str">
        <f>IF(AND(TRIM(A440)&lt;&gt;"",IFERROR(VLOOKUP(TRIM(B440),'Full Inventory'!F:F,1,0),0)=0),"X","_")</f>
        <v>_</v>
      </c>
      <c r="E440" t="str">
        <f t="shared" si="28"/>
        <v>X</v>
      </c>
      <c r="F440" t="str">
        <f ca="1">IFERROR(IF(AND(C440&amp;D440&amp;E440="___",INDIRECT("Inventory!A"&amp;MATCH(VLOOKUP(B440,Inventory!E:E,1,0),Inventory!E:E,0))&lt;&gt;INDIRECT("'Full Inventory'!B"&amp;MATCH(VLOOKUP(B440,'Full Inventory'!F:F,1,0),'Full Inventory'!F:F,0))),"X","_"),"_")</f>
        <v>_</v>
      </c>
      <c r="L440" t="str">
        <f t="shared" ca="1" si="26"/>
        <v>__X_</v>
      </c>
      <c r="M440" t="str">
        <f t="shared" ca="1" si="27"/>
        <v/>
      </c>
    </row>
    <row r="441" spans="1:13" x14ac:dyDescent="0.25">
      <c r="A441" s="5"/>
      <c r="B441" s="4" t="str">
        <f t="shared" si="25"/>
        <v/>
      </c>
      <c r="C441" t="str">
        <f>IF(AND(TRIM(A441)&lt;&gt;"",IFERROR(VLOOKUP(TRIM(B441),Inventory!E:E,1,0),0)=0),"X","_")</f>
        <v>_</v>
      </c>
      <c r="D441" t="str">
        <f>IF(AND(TRIM(A441)&lt;&gt;"",IFERROR(VLOOKUP(TRIM(B441),'Full Inventory'!F:F,1,0),0)=0),"X","_")</f>
        <v>_</v>
      </c>
      <c r="E441" t="str">
        <f t="shared" si="28"/>
        <v>X</v>
      </c>
      <c r="F441" t="str">
        <f ca="1">IFERROR(IF(AND(C441&amp;D441&amp;E441="___",INDIRECT("Inventory!A"&amp;MATCH(VLOOKUP(B441,Inventory!E:E,1,0),Inventory!E:E,0))&lt;&gt;INDIRECT("'Full Inventory'!B"&amp;MATCH(VLOOKUP(B441,'Full Inventory'!F:F,1,0),'Full Inventory'!F:F,0))),"X","_"),"_")</f>
        <v>_</v>
      </c>
      <c r="L441" t="str">
        <f t="shared" ca="1" si="26"/>
        <v>__X_</v>
      </c>
      <c r="M441" t="str">
        <f t="shared" ca="1" si="27"/>
        <v/>
      </c>
    </row>
    <row r="442" spans="1:13" x14ac:dyDescent="0.25">
      <c r="A442" s="5"/>
      <c r="B442" s="4" t="str">
        <f t="shared" si="25"/>
        <v/>
      </c>
      <c r="C442" t="str">
        <f>IF(AND(TRIM(A442)&lt;&gt;"",IFERROR(VLOOKUP(TRIM(B442),Inventory!E:E,1,0),0)=0),"X","_")</f>
        <v>_</v>
      </c>
      <c r="D442" t="str">
        <f>IF(AND(TRIM(A442)&lt;&gt;"",IFERROR(VLOOKUP(TRIM(B442),'Full Inventory'!F:F,1,0),0)=0),"X","_")</f>
        <v>_</v>
      </c>
      <c r="E442" t="str">
        <f t="shared" si="28"/>
        <v>X</v>
      </c>
      <c r="F442" t="str">
        <f ca="1">IFERROR(IF(AND(C442&amp;D442&amp;E442="___",INDIRECT("Inventory!A"&amp;MATCH(VLOOKUP(B442,Inventory!E:E,1,0),Inventory!E:E,0))&lt;&gt;INDIRECT("'Full Inventory'!B"&amp;MATCH(VLOOKUP(B442,'Full Inventory'!F:F,1,0),'Full Inventory'!F:F,0))),"X","_"),"_")</f>
        <v>_</v>
      </c>
      <c r="L442" t="str">
        <f t="shared" ca="1" si="26"/>
        <v>__X_</v>
      </c>
      <c r="M442" t="str">
        <f t="shared" ca="1" si="27"/>
        <v/>
      </c>
    </row>
    <row r="443" spans="1:13" x14ac:dyDescent="0.25">
      <c r="A443" s="5"/>
      <c r="B443" s="4" t="str">
        <f t="shared" si="25"/>
        <v/>
      </c>
      <c r="C443" t="str">
        <f>IF(AND(TRIM(A443)&lt;&gt;"",IFERROR(VLOOKUP(TRIM(B443),Inventory!E:E,1,0),0)=0),"X","_")</f>
        <v>_</v>
      </c>
      <c r="D443" t="str">
        <f>IF(AND(TRIM(A443)&lt;&gt;"",IFERROR(VLOOKUP(TRIM(B443),'Full Inventory'!F:F,1,0),0)=0),"X","_")</f>
        <v>_</v>
      </c>
      <c r="E443" t="str">
        <f t="shared" si="28"/>
        <v>X</v>
      </c>
      <c r="F443" t="str">
        <f ca="1">IFERROR(IF(AND(C443&amp;D443&amp;E443="___",INDIRECT("Inventory!A"&amp;MATCH(VLOOKUP(B443,Inventory!E:E,1,0),Inventory!E:E,0))&lt;&gt;INDIRECT("'Full Inventory'!B"&amp;MATCH(VLOOKUP(B443,'Full Inventory'!F:F,1,0),'Full Inventory'!F:F,0))),"X","_"),"_")</f>
        <v>_</v>
      </c>
      <c r="L443" t="str">
        <f t="shared" ca="1" si="26"/>
        <v>__X_</v>
      </c>
      <c r="M443" t="str">
        <f t="shared" ca="1" si="27"/>
        <v/>
      </c>
    </row>
    <row r="444" spans="1:13" x14ac:dyDescent="0.25">
      <c r="A444" s="5"/>
      <c r="B444" s="4" t="str">
        <f t="shared" si="25"/>
        <v/>
      </c>
      <c r="C444" t="str">
        <f>IF(AND(TRIM(A444)&lt;&gt;"",IFERROR(VLOOKUP(TRIM(B444),Inventory!E:E,1,0),0)=0),"X","_")</f>
        <v>_</v>
      </c>
      <c r="D444" t="str">
        <f>IF(AND(TRIM(A444)&lt;&gt;"",IFERROR(VLOOKUP(TRIM(B444),'Full Inventory'!F:F,1,0),0)=0),"X","_")</f>
        <v>_</v>
      </c>
      <c r="E444" t="str">
        <f t="shared" si="28"/>
        <v>X</v>
      </c>
      <c r="F444" t="str">
        <f ca="1">IFERROR(IF(AND(C444&amp;D444&amp;E444="___",INDIRECT("Inventory!A"&amp;MATCH(VLOOKUP(B444,Inventory!E:E,1,0),Inventory!E:E,0))&lt;&gt;INDIRECT("'Full Inventory'!B"&amp;MATCH(VLOOKUP(B444,'Full Inventory'!F:F,1,0),'Full Inventory'!F:F,0))),"X","_"),"_")</f>
        <v>_</v>
      </c>
      <c r="L444" t="str">
        <f t="shared" ca="1" si="26"/>
        <v>__X_</v>
      </c>
      <c r="M444" t="str">
        <f t="shared" ca="1" si="27"/>
        <v/>
      </c>
    </row>
    <row r="445" spans="1:13" x14ac:dyDescent="0.25">
      <c r="A445" s="5"/>
      <c r="B445" s="4" t="str">
        <f t="shared" si="25"/>
        <v/>
      </c>
      <c r="C445" t="str">
        <f>IF(AND(TRIM(A445)&lt;&gt;"",IFERROR(VLOOKUP(TRIM(B445),Inventory!E:E,1,0),0)=0),"X","_")</f>
        <v>_</v>
      </c>
      <c r="D445" t="str">
        <f>IF(AND(TRIM(A445)&lt;&gt;"",IFERROR(VLOOKUP(TRIM(B445),'Full Inventory'!F:F,1,0),0)=0),"X","_")</f>
        <v>_</v>
      </c>
      <c r="E445" t="str">
        <f t="shared" si="28"/>
        <v>X</v>
      </c>
      <c r="F445" t="str">
        <f ca="1">IFERROR(IF(AND(C445&amp;D445&amp;E445="___",INDIRECT("Inventory!A"&amp;MATCH(VLOOKUP(B445,Inventory!E:E,1,0),Inventory!E:E,0))&lt;&gt;INDIRECT("'Full Inventory'!B"&amp;MATCH(VLOOKUP(B445,'Full Inventory'!F:F,1,0),'Full Inventory'!F:F,0))),"X","_"),"_")</f>
        <v>_</v>
      </c>
      <c r="L445" t="str">
        <f t="shared" ca="1" si="26"/>
        <v>__X_</v>
      </c>
      <c r="M445" t="str">
        <f t="shared" ca="1" si="27"/>
        <v/>
      </c>
    </row>
    <row r="446" spans="1:13" x14ac:dyDescent="0.25">
      <c r="A446" s="5"/>
      <c r="B446" s="4" t="str">
        <f t="shared" si="25"/>
        <v/>
      </c>
      <c r="C446" t="str">
        <f>IF(AND(TRIM(A446)&lt;&gt;"",IFERROR(VLOOKUP(TRIM(B446),Inventory!E:E,1,0),0)=0),"X","_")</f>
        <v>_</v>
      </c>
      <c r="D446" t="str">
        <f>IF(AND(TRIM(A446)&lt;&gt;"",IFERROR(VLOOKUP(TRIM(B446),'Full Inventory'!F:F,1,0),0)=0),"X","_")</f>
        <v>_</v>
      </c>
      <c r="E446" t="str">
        <f t="shared" si="28"/>
        <v>X</v>
      </c>
      <c r="F446" t="str">
        <f ca="1">IFERROR(IF(AND(C446&amp;D446&amp;E446="___",INDIRECT("Inventory!A"&amp;MATCH(VLOOKUP(B446,Inventory!E:E,1,0),Inventory!E:E,0))&lt;&gt;INDIRECT("'Full Inventory'!B"&amp;MATCH(VLOOKUP(B446,'Full Inventory'!F:F,1,0),'Full Inventory'!F:F,0))),"X","_"),"_")</f>
        <v>_</v>
      </c>
      <c r="L446" t="str">
        <f t="shared" ca="1" si="26"/>
        <v>__X_</v>
      </c>
      <c r="M446" t="str">
        <f t="shared" ca="1" si="27"/>
        <v/>
      </c>
    </row>
    <row r="447" spans="1:13" x14ac:dyDescent="0.25">
      <c r="A447" s="5"/>
      <c r="B447" s="4" t="str">
        <f t="shared" si="25"/>
        <v/>
      </c>
      <c r="C447" t="str">
        <f>IF(AND(TRIM(A447)&lt;&gt;"",IFERROR(VLOOKUP(TRIM(B447),Inventory!E:E,1,0),0)=0),"X","_")</f>
        <v>_</v>
      </c>
      <c r="D447" t="str">
        <f>IF(AND(TRIM(A447)&lt;&gt;"",IFERROR(VLOOKUP(TRIM(B447),'Full Inventory'!F:F,1,0),0)=0),"X","_")</f>
        <v>_</v>
      </c>
      <c r="E447" t="str">
        <f t="shared" si="28"/>
        <v>X</v>
      </c>
      <c r="F447" t="str">
        <f ca="1">IFERROR(IF(AND(C447&amp;D447&amp;E447="___",INDIRECT("Inventory!A"&amp;MATCH(VLOOKUP(B447,Inventory!E:E,1,0),Inventory!E:E,0))&lt;&gt;INDIRECT("'Full Inventory'!B"&amp;MATCH(VLOOKUP(B447,'Full Inventory'!F:F,1,0),'Full Inventory'!F:F,0))),"X","_"),"_")</f>
        <v>_</v>
      </c>
      <c r="L447" t="str">
        <f t="shared" ca="1" si="26"/>
        <v>__X_</v>
      </c>
      <c r="M447" t="str">
        <f t="shared" ca="1" si="27"/>
        <v/>
      </c>
    </row>
    <row r="448" spans="1:13" x14ac:dyDescent="0.25">
      <c r="A448" s="5"/>
      <c r="B448" s="4" t="str">
        <f t="shared" si="25"/>
        <v/>
      </c>
      <c r="C448" t="str">
        <f>IF(AND(TRIM(A448)&lt;&gt;"",IFERROR(VLOOKUP(TRIM(B448),Inventory!E:E,1,0),0)=0),"X","_")</f>
        <v>_</v>
      </c>
      <c r="D448" t="str">
        <f>IF(AND(TRIM(A448)&lt;&gt;"",IFERROR(VLOOKUP(TRIM(B448),'Full Inventory'!F:F,1,0),0)=0),"X","_")</f>
        <v>_</v>
      </c>
      <c r="E448" t="str">
        <f t="shared" si="28"/>
        <v>X</v>
      </c>
      <c r="F448" t="str">
        <f ca="1">IFERROR(IF(AND(C448&amp;D448&amp;E448="___",INDIRECT("Inventory!A"&amp;MATCH(VLOOKUP(B448,Inventory!E:E,1,0),Inventory!E:E,0))&lt;&gt;INDIRECT("'Full Inventory'!B"&amp;MATCH(VLOOKUP(B448,'Full Inventory'!F:F,1,0),'Full Inventory'!F:F,0))),"X","_"),"_")</f>
        <v>_</v>
      </c>
      <c r="L448" t="str">
        <f t="shared" ca="1" si="26"/>
        <v>__X_</v>
      </c>
      <c r="M448" t="str">
        <f t="shared" ca="1" si="27"/>
        <v/>
      </c>
    </row>
    <row r="449" spans="1:13" x14ac:dyDescent="0.25">
      <c r="A449" s="5"/>
      <c r="B449" s="4" t="str">
        <f t="shared" si="25"/>
        <v/>
      </c>
      <c r="C449" t="str">
        <f>IF(AND(TRIM(A449)&lt;&gt;"",IFERROR(VLOOKUP(TRIM(B449),Inventory!E:E,1,0),0)=0),"X","_")</f>
        <v>_</v>
      </c>
      <c r="D449" t="str">
        <f>IF(AND(TRIM(A449)&lt;&gt;"",IFERROR(VLOOKUP(TRIM(B449),'Full Inventory'!F:F,1,0),0)=0),"X","_")</f>
        <v>_</v>
      </c>
      <c r="E449" t="str">
        <f t="shared" si="28"/>
        <v>X</v>
      </c>
      <c r="F449" t="str">
        <f ca="1">IFERROR(IF(AND(C449&amp;D449&amp;E449="___",INDIRECT("Inventory!A"&amp;MATCH(VLOOKUP(B449,Inventory!E:E,1,0),Inventory!E:E,0))&lt;&gt;INDIRECT("'Full Inventory'!B"&amp;MATCH(VLOOKUP(B449,'Full Inventory'!F:F,1,0),'Full Inventory'!F:F,0))),"X","_"),"_")</f>
        <v>_</v>
      </c>
      <c r="L449" t="str">
        <f t="shared" ca="1" si="26"/>
        <v>__X_</v>
      </c>
      <c r="M449" t="str">
        <f t="shared" ca="1" si="27"/>
        <v/>
      </c>
    </row>
    <row r="450" spans="1:13" x14ac:dyDescent="0.25">
      <c r="A450" s="5"/>
      <c r="B450" s="4" t="str">
        <f t="shared" si="25"/>
        <v/>
      </c>
      <c r="C450" t="str">
        <f>IF(AND(TRIM(A450)&lt;&gt;"",IFERROR(VLOOKUP(TRIM(B450),Inventory!E:E,1,0),0)=0),"X","_")</f>
        <v>_</v>
      </c>
      <c r="D450" t="str">
        <f>IF(AND(TRIM(A450)&lt;&gt;"",IFERROR(VLOOKUP(TRIM(B450),'Full Inventory'!F:F,1,0),0)=0),"X","_")</f>
        <v>_</v>
      </c>
      <c r="E450" t="str">
        <f t="shared" si="28"/>
        <v>X</v>
      </c>
      <c r="F450" t="str">
        <f ca="1">IFERROR(IF(AND(C450&amp;D450&amp;E450="___",INDIRECT("Inventory!A"&amp;MATCH(VLOOKUP(B450,Inventory!E:E,1,0),Inventory!E:E,0))&lt;&gt;INDIRECT("'Full Inventory'!B"&amp;MATCH(VLOOKUP(B450,'Full Inventory'!F:F,1,0),'Full Inventory'!F:F,0))),"X","_"),"_")</f>
        <v>_</v>
      </c>
      <c r="L450" t="str">
        <f t="shared" ca="1" si="26"/>
        <v>__X_</v>
      </c>
      <c r="M450" t="str">
        <f t="shared" ca="1" si="27"/>
        <v/>
      </c>
    </row>
    <row r="451" spans="1:13" x14ac:dyDescent="0.25">
      <c r="A451" s="5"/>
      <c r="B451" s="4" t="str">
        <f t="shared" ref="B451:B514" si="29">SUBSTITUTE(SUBSTITUTE(A451,"ö","0"),"Ö","0")</f>
        <v/>
      </c>
      <c r="C451" t="str">
        <f>IF(AND(TRIM(A451)&lt;&gt;"",IFERROR(VLOOKUP(TRIM(B451),Inventory!E:E,1,0),0)=0),"X","_")</f>
        <v>_</v>
      </c>
      <c r="D451" t="str">
        <f>IF(AND(TRIM(A451)&lt;&gt;"",IFERROR(VLOOKUP(TRIM(B451),'Full Inventory'!F:F,1,0),0)=0),"X","_")</f>
        <v>_</v>
      </c>
      <c r="E451" t="str">
        <f t="shared" si="28"/>
        <v>X</v>
      </c>
      <c r="F451" t="str">
        <f ca="1">IFERROR(IF(AND(C451&amp;D451&amp;E451="___",INDIRECT("Inventory!A"&amp;MATCH(VLOOKUP(B451,Inventory!E:E,1,0),Inventory!E:E,0))&lt;&gt;INDIRECT("'Full Inventory'!B"&amp;MATCH(VLOOKUP(B451,'Full Inventory'!F:F,1,0),'Full Inventory'!F:F,0))),"X","_"),"_")</f>
        <v>_</v>
      </c>
      <c r="L451" t="str">
        <f t="shared" ref="L451:L514" ca="1" si="30">C451&amp;D451&amp;E451&amp;F451</f>
        <v>__X_</v>
      </c>
      <c r="M451" t="str">
        <f t="shared" ref="M451:M514" ca="1" si="31">IF(L451="____","OK",IF(L451="_X__","NOT IN FULL INVENTORY",IF(L451="XX__","NOT IN FULL INVENTORY AND INVENTORY",IF(L451="X___","NOT IN INVENTORY",IF(L451="___X","DIFFERENT NAMES IN FULL INVENTORY AND INVENTORY","")))))</f>
        <v/>
      </c>
    </row>
    <row r="452" spans="1:13" x14ac:dyDescent="0.25">
      <c r="A452" s="5"/>
      <c r="B452" s="4" t="str">
        <f t="shared" si="29"/>
        <v/>
      </c>
      <c r="C452" t="str">
        <f>IF(AND(TRIM(A452)&lt;&gt;"",IFERROR(VLOOKUP(TRIM(B452),Inventory!E:E,1,0),0)=0),"X","_")</f>
        <v>_</v>
      </c>
      <c r="D452" t="str">
        <f>IF(AND(TRIM(A452)&lt;&gt;"",IFERROR(VLOOKUP(TRIM(B452),'Full Inventory'!F:F,1,0),0)=0),"X","_")</f>
        <v>_</v>
      </c>
      <c r="E452" t="str">
        <f t="shared" si="28"/>
        <v>X</v>
      </c>
      <c r="F452" t="str">
        <f ca="1">IFERROR(IF(AND(C452&amp;D452&amp;E452="___",INDIRECT("Inventory!A"&amp;MATCH(VLOOKUP(B452,Inventory!E:E,1,0),Inventory!E:E,0))&lt;&gt;INDIRECT("'Full Inventory'!B"&amp;MATCH(VLOOKUP(B452,'Full Inventory'!F:F,1,0),'Full Inventory'!F:F,0))),"X","_"),"_")</f>
        <v>_</v>
      </c>
      <c r="L452" t="str">
        <f t="shared" ca="1" si="30"/>
        <v>__X_</v>
      </c>
      <c r="M452" t="str">
        <f t="shared" ca="1" si="31"/>
        <v/>
      </c>
    </row>
    <row r="453" spans="1:13" x14ac:dyDescent="0.25">
      <c r="A453" s="5"/>
      <c r="B453" s="4" t="str">
        <f t="shared" si="29"/>
        <v/>
      </c>
      <c r="C453" t="str">
        <f>IF(AND(TRIM(A453)&lt;&gt;"",IFERROR(VLOOKUP(TRIM(B453),Inventory!E:E,1,0),0)=0),"X","_")</f>
        <v>_</v>
      </c>
      <c r="D453" t="str">
        <f>IF(AND(TRIM(A453)&lt;&gt;"",IFERROR(VLOOKUP(TRIM(B453),'Full Inventory'!F:F,1,0),0)=0),"X","_")</f>
        <v>_</v>
      </c>
      <c r="E453" t="str">
        <f t="shared" si="28"/>
        <v>X</v>
      </c>
      <c r="F453" t="str">
        <f ca="1">IFERROR(IF(AND(C453&amp;D453&amp;E453="___",INDIRECT("Inventory!A"&amp;MATCH(VLOOKUP(B453,Inventory!E:E,1,0),Inventory!E:E,0))&lt;&gt;INDIRECT("'Full Inventory'!B"&amp;MATCH(VLOOKUP(B453,'Full Inventory'!F:F,1,0),'Full Inventory'!F:F,0))),"X","_"),"_")</f>
        <v>_</v>
      </c>
      <c r="L453" t="str">
        <f t="shared" ca="1" si="30"/>
        <v>__X_</v>
      </c>
      <c r="M453" t="str">
        <f t="shared" ca="1" si="31"/>
        <v/>
      </c>
    </row>
    <row r="454" spans="1:13" x14ac:dyDescent="0.25">
      <c r="A454" s="5"/>
      <c r="B454" s="4" t="str">
        <f t="shared" si="29"/>
        <v/>
      </c>
      <c r="C454" t="str">
        <f>IF(AND(TRIM(A454)&lt;&gt;"",IFERROR(VLOOKUP(TRIM(B454),Inventory!E:E,1,0),0)=0),"X","_")</f>
        <v>_</v>
      </c>
      <c r="D454" t="str">
        <f>IF(AND(TRIM(A454)&lt;&gt;"",IFERROR(VLOOKUP(TRIM(B454),'Full Inventory'!F:F,1,0),0)=0),"X","_")</f>
        <v>_</v>
      </c>
      <c r="E454" t="str">
        <f t="shared" si="28"/>
        <v>X</v>
      </c>
      <c r="F454" t="str">
        <f ca="1">IFERROR(IF(AND(C454&amp;D454&amp;E454="___",INDIRECT("Inventory!A"&amp;MATCH(VLOOKUP(B454,Inventory!E:E,1,0),Inventory!E:E,0))&lt;&gt;INDIRECT("'Full Inventory'!B"&amp;MATCH(VLOOKUP(B454,'Full Inventory'!F:F,1,0),'Full Inventory'!F:F,0))),"X","_"),"_")</f>
        <v>_</v>
      </c>
      <c r="L454" t="str">
        <f t="shared" ca="1" si="30"/>
        <v>__X_</v>
      </c>
      <c r="M454" t="str">
        <f t="shared" ca="1" si="31"/>
        <v/>
      </c>
    </row>
    <row r="455" spans="1:13" x14ac:dyDescent="0.25">
      <c r="A455" s="5"/>
      <c r="B455" s="4" t="str">
        <f t="shared" si="29"/>
        <v/>
      </c>
      <c r="C455" t="str">
        <f>IF(AND(TRIM(A455)&lt;&gt;"",IFERROR(VLOOKUP(TRIM(B455),Inventory!E:E,1,0),0)=0),"X","_")</f>
        <v>_</v>
      </c>
      <c r="D455" t="str">
        <f>IF(AND(TRIM(A455)&lt;&gt;"",IFERROR(VLOOKUP(TRIM(B455),'Full Inventory'!F:F,1,0),0)=0),"X","_")</f>
        <v>_</v>
      </c>
      <c r="E455" t="str">
        <f t="shared" si="28"/>
        <v>X</v>
      </c>
      <c r="F455" t="str">
        <f ca="1">IFERROR(IF(AND(C455&amp;D455&amp;E455="___",INDIRECT("Inventory!A"&amp;MATCH(VLOOKUP(B455,Inventory!E:E,1,0),Inventory!E:E,0))&lt;&gt;INDIRECT("'Full Inventory'!B"&amp;MATCH(VLOOKUP(B455,'Full Inventory'!F:F,1,0),'Full Inventory'!F:F,0))),"X","_"),"_")</f>
        <v>_</v>
      </c>
      <c r="L455" t="str">
        <f t="shared" ca="1" si="30"/>
        <v>__X_</v>
      </c>
      <c r="M455" t="str">
        <f t="shared" ca="1" si="31"/>
        <v/>
      </c>
    </row>
    <row r="456" spans="1:13" x14ac:dyDescent="0.25">
      <c r="A456" s="5"/>
      <c r="B456" s="4" t="str">
        <f t="shared" si="29"/>
        <v/>
      </c>
      <c r="C456" t="str">
        <f>IF(AND(TRIM(A456)&lt;&gt;"",IFERROR(VLOOKUP(TRIM(B456),Inventory!E:E,1,0),0)=0),"X","_")</f>
        <v>_</v>
      </c>
      <c r="D456" t="str">
        <f>IF(AND(TRIM(A456)&lt;&gt;"",IFERROR(VLOOKUP(TRIM(B456),'Full Inventory'!F:F,1,0),0)=0),"X","_")</f>
        <v>_</v>
      </c>
      <c r="E456" t="str">
        <f t="shared" si="28"/>
        <v>X</v>
      </c>
      <c r="F456" t="str">
        <f ca="1">IFERROR(IF(AND(C456&amp;D456&amp;E456="___",INDIRECT("Inventory!A"&amp;MATCH(VLOOKUP(B456,Inventory!E:E,1,0),Inventory!E:E,0))&lt;&gt;INDIRECT("'Full Inventory'!B"&amp;MATCH(VLOOKUP(B456,'Full Inventory'!F:F,1,0),'Full Inventory'!F:F,0))),"X","_"),"_")</f>
        <v>_</v>
      </c>
      <c r="L456" t="str">
        <f t="shared" ca="1" si="30"/>
        <v>__X_</v>
      </c>
      <c r="M456" t="str">
        <f t="shared" ca="1" si="31"/>
        <v/>
      </c>
    </row>
    <row r="457" spans="1:13" x14ac:dyDescent="0.25">
      <c r="A457" s="5"/>
      <c r="B457" s="4" t="str">
        <f t="shared" si="29"/>
        <v/>
      </c>
      <c r="C457" t="str">
        <f>IF(AND(TRIM(A457)&lt;&gt;"",IFERROR(VLOOKUP(TRIM(B457),Inventory!E:E,1,0),0)=0),"X","_")</f>
        <v>_</v>
      </c>
      <c r="D457" t="str">
        <f>IF(AND(TRIM(A457)&lt;&gt;"",IFERROR(VLOOKUP(TRIM(B457),'Full Inventory'!F:F,1,0),0)=0),"X","_")</f>
        <v>_</v>
      </c>
      <c r="E457" t="str">
        <f t="shared" si="28"/>
        <v>X</v>
      </c>
      <c r="F457" t="str">
        <f ca="1">IFERROR(IF(AND(C457&amp;D457&amp;E457="___",INDIRECT("Inventory!A"&amp;MATCH(VLOOKUP(B457,Inventory!E:E,1,0),Inventory!E:E,0))&lt;&gt;INDIRECT("'Full Inventory'!B"&amp;MATCH(VLOOKUP(B457,'Full Inventory'!F:F,1,0),'Full Inventory'!F:F,0))),"X","_"),"_")</f>
        <v>_</v>
      </c>
      <c r="L457" t="str">
        <f t="shared" ca="1" si="30"/>
        <v>__X_</v>
      </c>
      <c r="M457" t="str">
        <f t="shared" ca="1" si="31"/>
        <v/>
      </c>
    </row>
    <row r="458" spans="1:13" x14ac:dyDescent="0.25">
      <c r="A458" s="5"/>
      <c r="B458" s="4" t="str">
        <f t="shared" si="29"/>
        <v/>
      </c>
      <c r="C458" t="str">
        <f>IF(AND(TRIM(A458)&lt;&gt;"",IFERROR(VLOOKUP(TRIM(B458),Inventory!E:E,1,0),0)=0),"X","_")</f>
        <v>_</v>
      </c>
      <c r="D458" t="str">
        <f>IF(AND(TRIM(A458)&lt;&gt;"",IFERROR(VLOOKUP(TRIM(B458),'Full Inventory'!F:F,1,0),0)=0),"X","_")</f>
        <v>_</v>
      </c>
      <c r="E458" t="str">
        <f t="shared" si="28"/>
        <v>X</v>
      </c>
      <c r="F458" t="str">
        <f ca="1">IFERROR(IF(AND(C458&amp;D458&amp;E458="___",INDIRECT("Inventory!A"&amp;MATCH(VLOOKUP(B458,Inventory!E:E,1,0),Inventory!E:E,0))&lt;&gt;INDIRECT("'Full Inventory'!B"&amp;MATCH(VLOOKUP(B458,'Full Inventory'!F:F,1,0),'Full Inventory'!F:F,0))),"X","_"),"_")</f>
        <v>_</v>
      </c>
      <c r="L458" t="str">
        <f t="shared" ca="1" si="30"/>
        <v>__X_</v>
      </c>
      <c r="M458" t="str">
        <f t="shared" ca="1" si="31"/>
        <v/>
      </c>
    </row>
    <row r="459" spans="1:13" x14ac:dyDescent="0.25">
      <c r="A459" s="5"/>
      <c r="B459" s="4" t="str">
        <f t="shared" si="29"/>
        <v/>
      </c>
      <c r="C459" t="str">
        <f>IF(AND(TRIM(A459)&lt;&gt;"",IFERROR(VLOOKUP(TRIM(B459),Inventory!E:E,1,0),0)=0),"X","_")</f>
        <v>_</v>
      </c>
      <c r="D459" t="str">
        <f>IF(AND(TRIM(A459)&lt;&gt;"",IFERROR(VLOOKUP(TRIM(B459),'Full Inventory'!F:F,1,0),0)=0),"X","_")</f>
        <v>_</v>
      </c>
      <c r="E459" t="str">
        <f t="shared" si="28"/>
        <v>X</v>
      </c>
      <c r="F459" t="str">
        <f ca="1">IFERROR(IF(AND(C459&amp;D459&amp;E459="___",INDIRECT("Inventory!A"&amp;MATCH(VLOOKUP(B459,Inventory!E:E,1,0),Inventory!E:E,0))&lt;&gt;INDIRECT("'Full Inventory'!B"&amp;MATCH(VLOOKUP(B459,'Full Inventory'!F:F,1,0),'Full Inventory'!F:F,0))),"X","_"),"_")</f>
        <v>_</v>
      </c>
      <c r="L459" t="str">
        <f t="shared" ca="1" si="30"/>
        <v>__X_</v>
      </c>
      <c r="M459" t="str">
        <f t="shared" ca="1" si="31"/>
        <v/>
      </c>
    </row>
    <row r="460" spans="1:13" x14ac:dyDescent="0.25">
      <c r="A460" s="5"/>
      <c r="B460" s="4" t="str">
        <f t="shared" si="29"/>
        <v/>
      </c>
      <c r="C460" t="str">
        <f>IF(AND(TRIM(A460)&lt;&gt;"",IFERROR(VLOOKUP(TRIM(B460),Inventory!E:E,1,0),0)=0),"X","_")</f>
        <v>_</v>
      </c>
      <c r="D460" t="str">
        <f>IF(AND(TRIM(A460)&lt;&gt;"",IFERROR(VLOOKUP(TRIM(B460),'Full Inventory'!F:F,1,0),0)=0),"X","_")</f>
        <v>_</v>
      </c>
      <c r="E460" t="str">
        <f t="shared" si="28"/>
        <v>X</v>
      </c>
      <c r="F460" t="str">
        <f ca="1">IFERROR(IF(AND(C460&amp;D460&amp;E460="___",INDIRECT("Inventory!A"&amp;MATCH(VLOOKUP(B460,Inventory!E:E,1,0),Inventory!E:E,0))&lt;&gt;INDIRECT("'Full Inventory'!B"&amp;MATCH(VLOOKUP(B460,'Full Inventory'!F:F,1,0),'Full Inventory'!F:F,0))),"X","_"),"_")</f>
        <v>_</v>
      </c>
      <c r="L460" t="str">
        <f t="shared" ca="1" si="30"/>
        <v>__X_</v>
      </c>
      <c r="M460" t="str">
        <f t="shared" ca="1" si="31"/>
        <v/>
      </c>
    </row>
    <row r="461" spans="1:13" x14ac:dyDescent="0.25">
      <c r="A461" s="5"/>
      <c r="B461" s="4" t="str">
        <f t="shared" si="29"/>
        <v/>
      </c>
      <c r="C461" t="str">
        <f>IF(AND(TRIM(A461)&lt;&gt;"",IFERROR(VLOOKUP(TRIM(B461),Inventory!E:E,1,0),0)=0),"X","_")</f>
        <v>_</v>
      </c>
      <c r="D461" t="str">
        <f>IF(AND(TRIM(A461)&lt;&gt;"",IFERROR(VLOOKUP(TRIM(B461),'Full Inventory'!F:F,1,0),0)=0),"X","_")</f>
        <v>_</v>
      </c>
      <c r="E461" t="str">
        <f t="shared" si="28"/>
        <v>X</v>
      </c>
      <c r="F461" t="str">
        <f ca="1">IFERROR(IF(AND(C461&amp;D461&amp;E461="___",INDIRECT("Inventory!A"&amp;MATCH(VLOOKUP(B461,Inventory!E:E,1,0),Inventory!E:E,0))&lt;&gt;INDIRECT("'Full Inventory'!B"&amp;MATCH(VLOOKUP(B461,'Full Inventory'!F:F,1,0),'Full Inventory'!F:F,0))),"X","_"),"_")</f>
        <v>_</v>
      </c>
      <c r="L461" t="str">
        <f t="shared" ca="1" si="30"/>
        <v>__X_</v>
      </c>
      <c r="M461" t="str">
        <f t="shared" ca="1" si="31"/>
        <v/>
      </c>
    </row>
    <row r="462" spans="1:13" x14ac:dyDescent="0.25">
      <c r="A462" s="5"/>
      <c r="B462" s="4" t="str">
        <f t="shared" si="29"/>
        <v/>
      </c>
      <c r="C462" t="str">
        <f>IF(AND(TRIM(A462)&lt;&gt;"",IFERROR(VLOOKUP(TRIM(B462),Inventory!E:E,1,0),0)=0),"X","_")</f>
        <v>_</v>
      </c>
      <c r="D462" t="str">
        <f>IF(AND(TRIM(A462)&lt;&gt;"",IFERROR(VLOOKUP(TRIM(B462),'Full Inventory'!F:F,1,0),0)=0),"X","_")</f>
        <v>_</v>
      </c>
      <c r="E462" t="str">
        <f t="shared" si="28"/>
        <v>X</v>
      </c>
      <c r="F462" t="str">
        <f ca="1">IFERROR(IF(AND(C462&amp;D462&amp;E462="___",INDIRECT("Inventory!A"&amp;MATCH(VLOOKUP(B462,Inventory!E:E,1,0),Inventory!E:E,0))&lt;&gt;INDIRECT("'Full Inventory'!B"&amp;MATCH(VLOOKUP(B462,'Full Inventory'!F:F,1,0),'Full Inventory'!F:F,0))),"X","_"),"_")</f>
        <v>_</v>
      </c>
      <c r="L462" t="str">
        <f t="shared" ca="1" si="30"/>
        <v>__X_</v>
      </c>
      <c r="M462" t="str">
        <f t="shared" ca="1" si="31"/>
        <v/>
      </c>
    </row>
    <row r="463" spans="1:13" x14ac:dyDescent="0.25">
      <c r="A463" s="5"/>
      <c r="B463" s="4" t="str">
        <f t="shared" si="29"/>
        <v/>
      </c>
      <c r="C463" t="str">
        <f>IF(AND(TRIM(A463)&lt;&gt;"",IFERROR(VLOOKUP(TRIM(B463),Inventory!E:E,1,0),0)=0),"X","_")</f>
        <v>_</v>
      </c>
      <c r="D463" t="str">
        <f>IF(AND(TRIM(A463)&lt;&gt;"",IFERROR(VLOOKUP(TRIM(B463),'Full Inventory'!F:F,1,0),0)=0),"X","_")</f>
        <v>_</v>
      </c>
      <c r="E463" t="str">
        <f t="shared" si="28"/>
        <v>X</v>
      </c>
      <c r="F463" t="str">
        <f ca="1">IFERROR(IF(AND(C463&amp;D463&amp;E463="___",INDIRECT("Inventory!A"&amp;MATCH(VLOOKUP(B463,Inventory!E:E,1,0),Inventory!E:E,0))&lt;&gt;INDIRECT("'Full Inventory'!B"&amp;MATCH(VLOOKUP(B463,'Full Inventory'!F:F,1,0),'Full Inventory'!F:F,0))),"X","_"),"_")</f>
        <v>_</v>
      </c>
      <c r="L463" t="str">
        <f t="shared" ca="1" si="30"/>
        <v>__X_</v>
      </c>
      <c r="M463" t="str">
        <f t="shared" ca="1" si="31"/>
        <v/>
      </c>
    </row>
    <row r="464" spans="1:13" x14ac:dyDescent="0.25">
      <c r="A464" s="5"/>
      <c r="B464" s="4" t="str">
        <f t="shared" si="29"/>
        <v/>
      </c>
      <c r="C464" t="str">
        <f>IF(AND(TRIM(A464)&lt;&gt;"",IFERROR(VLOOKUP(TRIM(B464),Inventory!E:E,1,0),0)=0),"X","_")</f>
        <v>_</v>
      </c>
      <c r="D464" t="str">
        <f>IF(AND(TRIM(A464)&lt;&gt;"",IFERROR(VLOOKUP(TRIM(B464),'Full Inventory'!F:F,1,0),0)=0),"X","_")</f>
        <v>_</v>
      </c>
      <c r="E464" t="str">
        <f t="shared" si="28"/>
        <v>X</v>
      </c>
      <c r="F464" t="str">
        <f ca="1">IFERROR(IF(AND(C464&amp;D464&amp;E464="___",INDIRECT("Inventory!A"&amp;MATCH(VLOOKUP(B464,Inventory!E:E,1,0),Inventory!E:E,0))&lt;&gt;INDIRECT("'Full Inventory'!B"&amp;MATCH(VLOOKUP(B464,'Full Inventory'!F:F,1,0),'Full Inventory'!F:F,0))),"X","_"),"_")</f>
        <v>_</v>
      </c>
      <c r="L464" t="str">
        <f t="shared" ca="1" si="30"/>
        <v>__X_</v>
      </c>
      <c r="M464" t="str">
        <f t="shared" ca="1" si="31"/>
        <v/>
      </c>
    </row>
    <row r="465" spans="1:13" x14ac:dyDescent="0.25">
      <c r="A465" s="5"/>
      <c r="B465" s="4" t="str">
        <f t="shared" si="29"/>
        <v/>
      </c>
      <c r="C465" t="str">
        <f>IF(AND(TRIM(A465)&lt;&gt;"",IFERROR(VLOOKUP(TRIM(B465),Inventory!E:E,1,0),0)=0),"X","_")</f>
        <v>_</v>
      </c>
      <c r="D465" t="str">
        <f>IF(AND(TRIM(A465)&lt;&gt;"",IFERROR(VLOOKUP(TRIM(B465),'Full Inventory'!F:F,1,0),0)=0),"X","_")</f>
        <v>_</v>
      </c>
      <c r="E465" t="str">
        <f t="shared" si="28"/>
        <v>X</v>
      </c>
      <c r="F465" t="str">
        <f ca="1">IFERROR(IF(AND(C465&amp;D465&amp;E465="___",INDIRECT("Inventory!A"&amp;MATCH(VLOOKUP(B465,Inventory!E:E,1,0),Inventory!E:E,0))&lt;&gt;INDIRECT("'Full Inventory'!B"&amp;MATCH(VLOOKUP(B465,'Full Inventory'!F:F,1,0),'Full Inventory'!F:F,0))),"X","_"),"_")</f>
        <v>_</v>
      </c>
      <c r="L465" t="str">
        <f t="shared" ca="1" si="30"/>
        <v>__X_</v>
      </c>
      <c r="M465" t="str">
        <f t="shared" ca="1" si="31"/>
        <v/>
      </c>
    </row>
    <row r="466" spans="1:13" x14ac:dyDescent="0.25">
      <c r="A466" s="5"/>
      <c r="B466" s="4" t="str">
        <f t="shared" si="29"/>
        <v/>
      </c>
      <c r="C466" t="str">
        <f>IF(AND(TRIM(A466)&lt;&gt;"",IFERROR(VLOOKUP(TRIM(B466),Inventory!E:E,1,0),0)=0),"X","_")</f>
        <v>_</v>
      </c>
      <c r="D466" t="str">
        <f>IF(AND(TRIM(A466)&lt;&gt;"",IFERROR(VLOOKUP(TRIM(B466),'Full Inventory'!F:F,1,0),0)=0),"X","_")</f>
        <v>_</v>
      </c>
      <c r="E466" t="str">
        <f t="shared" si="28"/>
        <v>X</v>
      </c>
      <c r="F466" t="str">
        <f ca="1">IFERROR(IF(AND(C466&amp;D466&amp;E466="___",INDIRECT("Inventory!A"&amp;MATCH(VLOOKUP(B466,Inventory!E:E,1,0),Inventory!E:E,0))&lt;&gt;INDIRECT("'Full Inventory'!B"&amp;MATCH(VLOOKUP(B466,'Full Inventory'!F:F,1,0),'Full Inventory'!F:F,0))),"X","_"),"_")</f>
        <v>_</v>
      </c>
      <c r="L466" t="str">
        <f t="shared" ca="1" si="30"/>
        <v>__X_</v>
      </c>
      <c r="M466" t="str">
        <f t="shared" ca="1" si="31"/>
        <v/>
      </c>
    </row>
    <row r="467" spans="1:13" x14ac:dyDescent="0.25">
      <c r="A467" s="5"/>
      <c r="B467" s="4" t="str">
        <f t="shared" si="29"/>
        <v/>
      </c>
      <c r="C467" t="str">
        <f>IF(AND(TRIM(A467)&lt;&gt;"",IFERROR(VLOOKUP(TRIM(B467),Inventory!E:E,1,0),0)=0),"X","_")</f>
        <v>_</v>
      </c>
      <c r="D467" t="str">
        <f>IF(AND(TRIM(A467)&lt;&gt;"",IFERROR(VLOOKUP(TRIM(B467),'Full Inventory'!F:F,1,0),0)=0),"X","_")</f>
        <v>_</v>
      </c>
      <c r="E467" t="str">
        <f t="shared" si="28"/>
        <v>X</v>
      </c>
      <c r="F467" t="str">
        <f ca="1">IFERROR(IF(AND(C467&amp;D467&amp;E467="___",INDIRECT("Inventory!A"&amp;MATCH(VLOOKUP(B467,Inventory!E:E,1,0),Inventory!E:E,0))&lt;&gt;INDIRECT("'Full Inventory'!B"&amp;MATCH(VLOOKUP(B467,'Full Inventory'!F:F,1,0),'Full Inventory'!F:F,0))),"X","_"),"_")</f>
        <v>_</v>
      </c>
      <c r="L467" t="str">
        <f t="shared" ca="1" si="30"/>
        <v>__X_</v>
      </c>
      <c r="M467" t="str">
        <f t="shared" ca="1" si="31"/>
        <v/>
      </c>
    </row>
    <row r="468" spans="1:13" x14ac:dyDescent="0.25">
      <c r="A468" s="5"/>
      <c r="B468" s="4" t="str">
        <f t="shared" si="29"/>
        <v/>
      </c>
      <c r="C468" t="str">
        <f>IF(AND(TRIM(A468)&lt;&gt;"",IFERROR(VLOOKUP(TRIM(B468),Inventory!E:E,1,0),0)=0),"X","_")</f>
        <v>_</v>
      </c>
      <c r="D468" t="str">
        <f>IF(AND(TRIM(A468)&lt;&gt;"",IFERROR(VLOOKUP(TRIM(B468),'Full Inventory'!F:F,1,0),0)=0),"X","_")</f>
        <v>_</v>
      </c>
      <c r="E468" t="str">
        <f t="shared" ref="E468:E531" si="32">IF(TRIM(A468)&lt;&gt;"","_","X")</f>
        <v>X</v>
      </c>
      <c r="F468" t="str">
        <f ca="1">IFERROR(IF(AND(C468&amp;D468&amp;E468="___",INDIRECT("Inventory!A"&amp;MATCH(VLOOKUP(B468,Inventory!E:E,1,0),Inventory!E:E,0))&lt;&gt;INDIRECT("'Full Inventory'!B"&amp;MATCH(VLOOKUP(B468,'Full Inventory'!F:F,1,0),'Full Inventory'!F:F,0))),"X","_"),"_")</f>
        <v>_</v>
      </c>
      <c r="L468" t="str">
        <f t="shared" ca="1" si="30"/>
        <v>__X_</v>
      </c>
      <c r="M468" t="str">
        <f t="shared" ca="1" si="31"/>
        <v/>
      </c>
    </row>
    <row r="469" spans="1:13" x14ac:dyDescent="0.25">
      <c r="A469" s="5"/>
      <c r="B469" s="4" t="str">
        <f t="shared" si="29"/>
        <v/>
      </c>
      <c r="C469" t="str">
        <f>IF(AND(TRIM(A469)&lt;&gt;"",IFERROR(VLOOKUP(TRIM(B469),Inventory!E:E,1,0),0)=0),"X","_")</f>
        <v>_</v>
      </c>
      <c r="D469" t="str">
        <f>IF(AND(TRIM(A469)&lt;&gt;"",IFERROR(VLOOKUP(TRIM(B469),'Full Inventory'!F:F,1,0),0)=0),"X","_")</f>
        <v>_</v>
      </c>
      <c r="E469" t="str">
        <f t="shared" si="32"/>
        <v>X</v>
      </c>
      <c r="F469" t="str">
        <f ca="1">IFERROR(IF(AND(C469&amp;D469&amp;E469="___",INDIRECT("Inventory!A"&amp;MATCH(VLOOKUP(B469,Inventory!E:E,1,0),Inventory!E:E,0))&lt;&gt;INDIRECT("'Full Inventory'!B"&amp;MATCH(VLOOKUP(B469,'Full Inventory'!F:F,1,0),'Full Inventory'!F:F,0))),"X","_"),"_")</f>
        <v>_</v>
      </c>
      <c r="L469" t="str">
        <f t="shared" ca="1" si="30"/>
        <v>__X_</v>
      </c>
      <c r="M469" t="str">
        <f t="shared" ca="1" si="31"/>
        <v/>
      </c>
    </row>
    <row r="470" spans="1:13" x14ac:dyDescent="0.25">
      <c r="A470" s="5"/>
      <c r="B470" s="4" t="str">
        <f t="shared" si="29"/>
        <v/>
      </c>
      <c r="C470" t="str">
        <f>IF(AND(TRIM(A470)&lt;&gt;"",IFERROR(VLOOKUP(TRIM(B470),Inventory!E:E,1,0),0)=0),"X","_")</f>
        <v>_</v>
      </c>
      <c r="D470" t="str">
        <f>IF(AND(TRIM(A470)&lt;&gt;"",IFERROR(VLOOKUP(TRIM(B470),'Full Inventory'!F:F,1,0),0)=0),"X","_")</f>
        <v>_</v>
      </c>
      <c r="E470" t="str">
        <f t="shared" si="32"/>
        <v>X</v>
      </c>
      <c r="F470" t="str">
        <f ca="1">IFERROR(IF(AND(C470&amp;D470&amp;E470="___",INDIRECT("Inventory!A"&amp;MATCH(VLOOKUP(B470,Inventory!E:E,1,0),Inventory!E:E,0))&lt;&gt;INDIRECT("'Full Inventory'!B"&amp;MATCH(VLOOKUP(B470,'Full Inventory'!F:F,1,0),'Full Inventory'!F:F,0))),"X","_"),"_")</f>
        <v>_</v>
      </c>
      <c r="L470" t="str">
        <f t="shared" ca="1" si="30"/>
        <v>__X_</v>
      </c>
      <c r="M470" t="str">
        <f t="shared" ca="1" si="31"/>
        <v/>
      </c>
    </row>
    <row r="471" spans="1:13" x14ac:dyDescent="0.25">
      <c r="A471" s="5"/>
      <c r="B471" s="4" t="str">
        <f t="shared" si="29"/>
        <v/>
      </c>
      <c r="C471" t="str">
        <f>IF(AND(TRIM(A471)&lt;&gt;"",IFERROR(VLOOKUP(TRIM(B471),Inventory!E:E,1,0),0)=0),"X","_")</f>
        <v>_</v>
      </c>
      <c r="D471" t="str">
        <f>IF(AND(TRIM(A471)&lt;&gt;"",IFERROR(VLOOKUP(TRIM(B471),'Full Inventory'!F:F,1,0),0)=0),"X","_")</f>
        <v>_</v>
      </c>
      <c r="E471" t="str">
        <f t="shared" si="32"/>
        <v>X</v>
      </c>
      <c r="F471" t="str">
        <f ca="1">IFERROR(IF(AND(C471&amp;D471&amp;E471="___",INDIRECT("Inventory!A"&amp;MATCH(VLOOKUP(B471,Inventory!E:E,1,0),Inventory!E:E,0))&lt;&gt;INDIRECT("'Full Inventory'!B"&amp;MATCH(VLOOKUP(B471,'Full Inventory'!F:F,1,0),'Full Inventory'!F:F,0))),"X","_"),"_")</f>
        <v>_</v>
      </c>
      <c r="L471" t="str">
        <f t="shared" ca="1" si="30"/>
        <v>__X_</v>
      </c>
      <c r="M471" t="str">
        <f t="shared" ca="1" si="31"/>
        <v/>
      </c>
    </row>
    <row r="472" spans="1:13" x14ac:dyDescent="0.25">
      <c r="A472" s="5"/>
      <c r="B472" s="4" t="str">
        <f t="shared" si="29"/>
        <v/>
      </c>
      <c r="C472" t="str">
        <f>IF(AND(TRIM(A472)&lt;&gt;"",IFERROR(VLOOKUP(TRIM(B472),Inventory!E:E,1,0),0)=0),"X","_")</f>
        <v>_</v>
      </c>
      <c r="D472" t="str">
        <f>IF(AND(TRIM(A472)&lt;&gt;"",IFERROR(VLOOKUP(TRIM(B472),'Full Inventory'!F:F,1,0),0)=0),"X","_")</f>
        <v>_</v>
      </c>
      <c r="E472" t="str">
        <f t="shared" si="32"/>
        <v>X</v>
      </c>
      <c r="F472" t="str">
        <f ca="1">IFERROR(IF(AND(C472&amp;D472&amp;E472="___",INDIRECT("Inventory!A"&amp;MATCH(VLOOKUP(B472,Inventory!E:E,1,0),Inventory!E:E,0))&lt;&gt;INDIRECT("'Full Inventory'!B"&amp;MATCH(VLOOKUP(B472,'Full Inventory'!F:F,1,0),'Full Inventory'!F:F,0))),"X","_"),"_")</f>
        <v>_</v>
      </c>
      <c r="L472" t="str">
        <f t="shared" ca="1" si="30"/>
        <v>__X_</v>
      </c>
      <c r="M472" t="str">
        <f t="shared" ca="1" si="31"/>
        <v/>
      </c>
    </row>
    <row r="473" spans="1:13" x14ac:dyDescent="0.25">
      <c r="A473" s="5"/>
      <c r="B473" s="4" t="str">
        <f t="shared" si="29"/>
        <v/>
      </c>
      <c r="C473" t="str">
        <f>IF(AND(TRIM(A473)&lt;&gt;"",IFERROR(VLOOKUP(TRIM(B473),Inventory!E:E,1,0),0)=0),"X","_")</f>
        <v>_</v>
      </c>
      <c r="D473" t="str">
        <f>IF(AND(TRIM(A473)&lt;&gt;"",IFERROR(VLOOKUP(TRIM(B473),'Full Inventory'!F:F,1,0),0)=0),"X","_")</f>
        <v>_</v>
      </c>
      <c r="E473" t="str">
        <f t="shared" si="32"/>
        <v>X</v>
      </c>
      <c r="F473" t="str">
        <f ca="1">IFERROR(IF(AND(C473&amp;D473&amp;E473="___",INDIRECT("Inventory!A"&amp;MATCH(VLOOKUP(B473,Inventory!E:E,1,0),Inventory!E:E,0))&lt;&gt;INDIRECT("'Full Inventory'!B"&amp;MATCH(VLOOKUP(B473,'Full Inventory'!F:F,1,0),'Full Inventory'!F:F,0))),"X","_"),"_")</f>
        <v>_</v>
      </c>
      <c r="L473" t="str">
        <f t="shared" ca="1" si="30"/>
        <v>__X_</v>
      </c>
      <c r="M473" t="str">
        <f t="shared" ca="1" si="31"/>
        <v/>
      </c>
    </row>
    <row r="474" spans="1:13" x14ac:dyDescent="0.25">
      <c r="A474" s="5"/>
      <c r="B474" s="4" t="str">
        <f t="shared" si="29"/>
        <v/>
      </c>
      <c r="C474" t="str">
        <f>IF(AND(TRIM(A474)&lt;&gt;"",IFERROR(VLOOKUP(TRIM(B474),Inventory!E:E,1,0),0)=0),"X","_")</f>
        <v>_</v>
      </c>
      <c r="D474" t="str">
        <f>IF(AND(TRIM(A474)&lt;&gt;"",IFERROR(VLOOKUP(TRIM(B474),'Full Inventory'!F:F,1,0),0)=0),"X","_")</f>
        <v>_</v>
      </c>
      <c r="E474" t="str">
        <f t="shared" si="32"/>
        <v>X</v>
      </c>
      <c r="F474" t="str">
        <f ca="1">IFERROR(IF(AND(C474&amp;D474&amp;E474="___",INDIRECT("Inventory!A"&amp;MATCH(VLOOKUP(B474,Inventory!E:E,1,0),Inventory!E:E,0))&lt;&gt;INDIRECT("'Full Inventory'!B"&amp;MATCH(VLOOKUP(B474,'Full Inventory'!F:F,1,0),'Full Inventory'!F:F,0))),"X","_"),"_")</f>
        <v>_</v>
      </c>
      <c r="L474" t="str">
        <f t="shared" ca="1" si="30"/>
        <v>__X_</v>
      </c>
      <c r="M474" t="str">
        <f t="shared" ca="1" si="31"/>
        <v/>
      </c>
    </row>
    <row r="475" spans="1:13" x14ac:dyDescent="0.25">
      <c r="A475" s="5"/>
      <c r="B475" s="4" t="str">
        <f t="shared" si="29"/>
        <v/>
      </c>
      <c r="C475" t="str">
        <f>IF(AND(TRIM(A475)&lt;&gt;"",IFERROR(VLOOKUP(TRIM(B475),Inventory!E:E,1,0),0)=0),"X","_")</f>
        <v>_</v>
      </c>
      <c r="D475" t="str">
        <f>IF(AND(TRIM(A475)&lt;&gt;"",IFERROR(VLOOKUP(TRIM(B475),'Full Inventory'!F:F,1,0),0)=0),"X","_")</f>
        <v>_</v>
      </c>
      <c r="E475" t="str">
        <f t="shared" si="32"/>
        <v>X</v>
      </c>
      <c r="F475" t="str">
        <f ca="1">IFERROR(IF(AND(C475&amp;D475&amp;E475="___",INDIRECT("Inventory!A"&amp;MATCH(VLOOKUP(B475,Inventory!E:E,1,0),Inventory!E:E,0))&lt;&gt;INDIRECT("'Full Inventory'!B"&amp;MATCH(VLOOKUP(B475,'Full Inventory'!F:F,1,0),'Full Inventory'!F:F,0))),"X","_"),"_")</f>
        <v>_</v>
      </c>
      <c r="L475" t="str">
        <f t="shared" ca="1" si="30"/>
        <v>__X_</v>
      </c>
      <c r="M475" t="str">
        <f t="shared" ca="1" si="31"/>
        <v/>
      </c>
    </row>
    <row r="476" spans="1:13" x14ac:dyDescent="0.25">
      <c r="A476" s="5"/>
      <c r="B476" s="4" t="str">
        <f t="shared" si="29"/>
        <v/>
      </c>
      <c r="C476" t="str">
        <f>IF(AND(TRIM(A476)&lt;&gt;"",IFERROR(VLOOKUP(TRIM(B476),Inventory!E:E,1,0),0)=0),"X","_")</f>
        <v>_</v>
      </c>
      <c r="D476" t="str">
        <f>IF(AND(TRIM(A476)&lt;&gt;"",IFERROR(VLOOKUP(TRIM(B476),'Full Inventory'!F:F,1,0),0)=0),"X","_")</f>
        <v>_</v>
      </c>
      <c r="E476" t="str">
        <f t="shared" si="32"/>
        <v>X</v>
      </c>
      <c r="F476" t="str">
        <f ca="1">IFERROR(IF(AND(C476&amp;D476&amp;E476="___",INDIRECT("Inventory!A"&amp;MATCH(VLOOKUP(B476,Inventory!E:E,1,0),Inventory!E:E,0))&lt;&gt;INDIRECT("'Full Inventory'!B"&amp;MATCH(VLOOKUP(B476,'Full Inventory'!F:F,1,0),'Full Inventory'!F:F,0))),"X","_"),"_")</f>
        <v>_</v>
      </c>
      <c r="L476" t="str">
        <f t="shared" ca="1" si="30"/>
        <v>__X_</v>
      </c>
      <c r="M476" t="str">
        <f t="shared" ca="1" si="31"/>
        <v/>
      </c>
    </row>
    <row r="477" spans="1:13" x14ac:dyDescent="0.25">
      <c r="A477" s="5"/>
      <c r="B477" s="4" t="str">
        <f t="shared" si="29"/>
        <v/>
      </c>
      <c r="C477" t="str">
        <f>IF(AND(TRIM(A477)&lt;&gt;"",IFERROR(VLOOKUP(TRIM(B477),Inventory!E:E,1,0),0)=0),"X","_")</f>
        <v>_</v>
      </c>
      <c r="D477" t="str">
        <f>IF(AND(TRIM(A477)&lt;&gt;"",IFERROR(VLOOKUP(TRIM(B477),'Full Inventory'!F:F,1,0),0)=0),"X","_")</f>
        <v>_</v>
      </c>
      <c r="E477" t="str">
        <f t="shared" si="32"/>
        <v>X</v>
      </c>
      <c r="F477" t="str">
        <f ca="1">IFERROR(IF(AND(C477&amp;D477&amp;E477="___",INDIRECT("Inventory!A"&amp;MATCH(VLOOKUP(B477,Inventory!E:E,1,0),Inventory!E:E,0))&lt;&gt;INDIRECT("'Full Inventory'!B"&amp;MATCH(VLOOKUP(B477,'Full Inventory'!F:F,1,0),'Full Inventory'!F:F,0))),"X","_"),"_")</f>
        <v>_</v>
      </c>
      <c r="L477" t="str">
        <f t="shared" ca="1" si="30"/>
        <v>__X_</v>
      </c>
      <c r="M477" t="str">
        <f t="shared" ca="1" si="31"/>
        <v/>
      </c>
    </row>
    <row r="478" spans="1:13" x14ac:dyDescent="0.25">
      <c r="A478" s="5"/>
      <c r="B478" s="4" t="str">
        <f t="shared" si="29"/>
        <v/>
      </c>
      <c r="C478" t="str">
        <f>IF(AND(TRIM(A478)&lt;&gt;"",IFERROR(VLOOKUP(TRIM(B478),Inventory!E:E,1,0),0)=0),"X","_")</f>
        <v>_</v>
      </c>
      <c r="D478" t="str">
        <f>IF(AND(TRIM(A478)&lt;&gt;"",IFERROR(VLOOKUP(TRIM(B478),'Full Inventory'!F:F,1,0),0)=0),"X","_")</f>
        <v>_</v>
      </c>
      <c r="E478" t="str">
        <f t="shared" si="32"/>
        <v>X</v>
      </c>
      <c r="F478" t="str">
        <f ca="1">IFERROR(IF(AND(C478&amp;D478&amp;E478="___",INDIRECT("Inventory!A"&amp;MATCH(VLOOKUP(B478,Inventory!E:E,1,0),Inventory!E:E,0))&lt;&gt;INDIRECT("'Full Inventory'!B"&amp;MATCH(VLOOKUP(B478,'Full Inventory'!F:F,1,0),'Full Inventory'!F:F,0))),"X","_"),"_")</f>
        <v>_</v>
      </c>
      <c r="L478" t="str">
        <f t="shared" ca="1" si="30"/>
        <v>__X_</v>
      </c>
      <c r="M478" t="str">
        <f t="shared" ca="1" si="31"/>
        <v/>
      </c>
    </row>
    <row r="479" spans="1:13" x14ac:dyDescent="0.25">
      <c r="A479" s="5"/>
      <c r="B479" s="4" t="str">
        <f t="shared" si="29"/>
        <v/>
      </c>
      <c r="C479" t="str">
        <f>IF(AND(TRIM(A479)&lt;&gt;"",IFERROR(VLOOKUP(TRIM(B479),Inventory!E:E,1,0),0)=0),"X","_")</f>
        <v>_</v>
      </c>
      <c r="D479" t="str">
        <f>IF(AND(TRIM(A479)&lt;&gt;"",IFERROR(VLOOKUP(TRIM(B479),'Full Inventory'!F:F,1,0),0)=0),"X","_")</f>
        <v>_</v>
      </c>
      <c r="E479" t="str">
        <f t="shared" si="32"/>
        <v>X</v>
      </c>
      <c r="F479" t="str">
        <f ca="1">IFERROR(IF(AND(C479&amp;D479&amp;E479="___",INDIRECT("Inventory!A"&amp;MATCH(VLOOKUP(B479,Inventory!E:E,1,0),Inventory!E:E,0))&lt;&gt;INDIRECT("'Full Inventory'!B"&amp;MATCH(VLOOKUP(B479,'Full Inventory'!F:F,1,0),'Full Inventory'!F:F,0))),"X","_"),"_")</f>
        <v>_</v>
      </c>
      <c r="L479" t="str">
        <f t="shared" ca="1" si="30"/>
        <v>__X_</v>
      </c>
      <c r="M479" t="str">
        <f t="shared" ca="1" si="31"/>
        <v/>
      </c>
    </row>
    <row r="480" spans="1:13" x14ac:dyDescent="0.25">
      <c r="A480" s="5"/>
      <c r="B480" s="4" t="str">
        <f t="shared" si="29"/>
        <v/>
      </c>
      <c r="C480" t="str">
        <f>IF(AND(TRIM(A480)&lt;&gt;"",IFERROR(VLOOKUP(TRIM(B480),Inventory!E:E,1,0),0)=0),"X","_")</f>
        <v>_</v>
      </c>
      <c r="D480" t="str">
        <f>IF(AND(TRIM(A480)&lt;&gt;"",IFERROR(VLOOKUP(TRIM(B480),'Full Inventory'!F:F,1,0),0)=0),"X","_")</f>
        <v>_</v>
      </c>
      <c r="E480" t="str">
        <f t="shared" si="32"/>
        <v>X</v>
      </c>
      <c r="F480" t="str">
        <f ca="1">IFERROR(IF(AND(C480&amp;D480&amp;E480="___",INDIRECT("Inventory!A"&amp;MATCH(VLOOKUP(B480,Inventory!E:E,1,0),Inventory!E:E,0))&lt;&gt;INDIRECT("'Full Inventory'!B"&amp;MATCH(VLOOKUP(B480,'Full Inventory'!F:F,1,0),'Full Inventory'!F:F,0))),"X","_"),"_")</f>
        <v>_</v>
      </c>
      <c r="L480" t="str">
        <f t="shared" ca="1" si="30"/>
        <v>__X_</v>
      </c>
      <c r="M480" t="str">
        <f t="shared" ca="1" si="31"/>
        <v/>
      </c>
    </row>
    <row r="481" spans="1:13" x14ac:dyDescent="0.25">
      <c r="A481" s="5"/>
      <c r="B481" s="4" t="str">
        <f t="shared" si="29"/>
        <v/>
      </c>
      <c r="C481" t="str">
        <f>IF(AND(TRIM(A481)&lt;&gt;"",IFERROR(VLOOKUP(TRIM(B481),Inventory!E:E,1,0),0)=0),"X","_")</f>
        <v>_</v>
      </c>
      <c r="D481" t="str">
        <f>IF(AND(TRIM(A481)&lt;&gt;"",IFERROR(VLOOKUP(TRIM(B481),'Full Inventory'!F:F,1,0),0)=0),"X","_")</f>
        <v>_</v>
      </c>
      <c r="E481" t="str">
        <f t="shared" si="32"/>
        <v>X</v>
      </c>
      <c r="F481" t="str">
        <f ca="1">IFERROR(IF(AND(C481&amp;D481&amp;E481="___",INDIRECT("Inventory!A"&amp;MATCH(VLOOKUP(B481,Inventory!E:E,1,0),Inventory!E:E,0))&lt;&gt;INDIRECT("'Full Inventory'!B"&amp;MATCH(VLOOKUP(B481,'Full Inventory'!F:F,1,0),'Full Inventory'!F:F,0))),"X","_"),"_")</f>
        <v>_</v>
      </c>
      <c r="L481" t="str">
        <f t="shared" ca="1" si="30"/>
        <v>__X_</v>
      </c>
      <c r="M481" t="str">
        <f t="shared" ca="1" si="31"/>
        <v/>
      </c>
    </row>
    <row r="482" spans="1:13" x14ac:dyDescent="0.25">
      <c r="A482" s="5"/>
      <c r="B482" s="4" t="str">
        <f t="shared" si="29"/>
        <v/>
      </c>
      <c r="C482" t="str">
        <f>IF(AND(TRIM(A482)&lt;&gt;"",IFERROR(VLOOKUP(TRIM(B482),Inventory!E:E,1,0),0)=0),"X","_")</f>
        <v>_</v>
      </c>
      <c r="D482" t="str">
        <f>IF(AND(TRIM(A482)&lt;&gt;"",IFERROR(VLOOKUP(TRIM(B482),'Full Inventory'!F:F,1,0),0)=0),"X","_")</f>
        <v>_</v>
      </c>
      <c r="E482" t="str">
        <f t="shared" si="32"/>
        <v>X</v>
      </c>
      <c r="F482" t="str">
        <f ca="1">IFERROR(IF(AND(C482&amp;D482&amp;E482="___",INDIRECT("Inventory!A"&amp;MATCH(VLOOKUP(B482,Inventory!E:E,1,0),Inventory!E:E,0))&lt;&gt;INDIRECT("'Full Inventory'!B"&amp;MATCH(VLOOKUP(B482,'Full Inventory'!F:F,1,0),'Full Inventory'!F:F,0))),"X","_"),"_")</f>
        <v>_</v>
      </c>
      <c r="L482" t="str">
        <f t="shared" ca="1" si="30"/>
        <v>__X_</v>
      </c>
      <c r="M482" t="str">
        <f t="shared" ca="1" si="31"/>
        <v/>
      </c>
    </row>
    <row r="483" spans="1:13" x14ac:dyDescent="0.25">
      <c r="A483" s="5"/>
      <c r="B483" s="4" t="str">
        <f t="shared" si="29"/>
        <v/>
      </c>
      <c r="C483" t="str">
        <f>IF(AND(TRIM(A483)&lt;&gt;"",IFERROR(VLOOKUP(TRIM(B483),Inventory!E:E,1,0),0)=0),"X","_")</f>
        <v>_</v>
      </c>
      <c r="D483" t="str">
        <f>IF(AND(TRIM(A483)&lt;&gt;"",IFERROR(VLOOKUP(TRIM(B483),'Full Inventory'!F:F,1,0),0)=0),"X","_")</f>
        <v>_</v>
      </c>
      <c r="E483" t="str">
        <f t="shared" si="32"/>
        <v>X</v>
      </c>
      <c r="F483" t="str">
        <f ca="1">IFERROR(IF(AND(C483&amp;D483&amp;E483="___",INDIRECT("Inventory!A"&amp;MATCH(VLOOKUP(B483,Inventory!E:E,1,0),Inventory!E:E,0))&lt;&gt;INDIRECT("'Full Inventory'!B"&amp;MATCH(VLOOKUP(B483,'Full Inventory'!F:F,1,0),'Full Inventory'!F:F,0))),"X","_"),"_")</f>
        <v>_</v>
      </c>
      <c r="L483" t="str">
        <f t="shared" ca="1" si="30"/>
        <v>__X_</v>
      </c>
      <c r="M483" t="str">
        <f t="shared" ca="1" si="31"/>
        <v/>
      </c>
    </row>
    <row r="484" spans="1:13" x14ac:dyDescent="0.25">
      <c r="A484" s="5"/>
      <c r="B484" s="4" t="str">
        <f t="shared" si="29"/>
        <v/>
      </c>
      <c r="C484" t="str">
        <f>IF(AND(TRIM(A484)&lt;&gt;"",IFERROR(VLOOKUP(TRIM(B484),Inventory!E:E,1,0),0)=0),"X","_")</f>
        <v>_</v>
      </c>
      <c r="D484" t="str">
        <f>IF(AND(TRIM(A484)&lt;&gt;"",IFERROR(VLOOKUP(TRIM(B484),'Full Inventory'!F:F,1,0),0)=0),"X","_")</f>
        <v>_</v>
      </c>
      <c r="E484" t="str">
        <f t="shared" si="32"/>
        <v>X</v>
      </c>
      <c r="F484" t="str">
        <f ca="1">IFERROR(IF(AND(C484&amp;D484&amp;E484="___",INDIRECT("Inventory!A"&amp;MATCH(VLOOKUP(B484,Inventory!E:E,1,0),Inventory!E:E,0))&lt;&gt;INDIRECT("'Full Inventory'!B"&amp;MATCH(VLOOKUP(B484,'Full Inventory'!F:F,1,0),'Full Inventory'!F:F,0))),"X","_"),"_")</f>
        <v>_</v>
      </c>
      <c r="L484" t="str">
        <f t="shared" ca="1" si="30"/>
        <v>__X_</v>
      </c>
      <c r="M484" t="str">
        <f t="shared" ca="1" si="31"/>
        <v/>
      </c>
    </row>
    <row r="485" spans="1:13" x14ac:dyDescent="0.25">
      <c r="A485" s="5"/>
      <c r="B485" s="4" t="str">
        <f t="shared" si="29"/>
        <v/>
      </c>
      <c r="C485" t="str">
        <f>IF(AND(TRIM(A485)&lt;&gt;"",IFERROR(VLOOKUP(TRIM(B485),Inventory!E:E,1,0),0)=0),"X","_")</f>
        <v>_</v>
      </c>
      <c r="D485" t="str">
        <f>IF(AND(TRIM(A485)&lt;&gt;"",IFERROR(VLOOKUP(TRIM(B485),'Full Inventory'!F:F,1,0),0)=0),"X","_")</f>
        <v>_</v>
      </c>
      <c r="E485" t="str">
        <f t="shared" si="32"/>
        <v>X</v>
      </c>
      <c r="F485" t="str">
        <f ca="1">IFERROR(IF(AND(C485&amp;D485&amp;E485="___",INDIRECT("Inventory!A"&amp;MATCH(VLOOKUP(B485,Inventory!E:E,1,0),Inventory!E:E,0))&lt;&gt;INDIRECT("'Full Inventory'!B"&amp;MATCH(VLOOKUP(B485,'Full Inventory'!F:F,1,0),'Full Inventory'!F:F,0))),"X","_"),"_")</f>
        <v>_</v>
      </c>
      <c r="L485" t="str">
        <f t="shared" ca="1" si="30"/>
        <v>__X_</v>
      </c>
      <c r="M485" t="str">
        <f t="shared" ca="1" si="31"/>
        <v/>
      </c>
    </row>
    <row r="486" spans="1:13" x14ac:dyDescent="0.25">
      <c r="A486" s="5"/>
      <c r="B486" s="4" t="str">
        <f t="shared" si="29"/>
        <v/>
      </c>
      <c r="C486" t="str">
        <f>IF(AND(TRIM(A486)&lt;&gt;"",IFERROR(VLOOKUP(TRIM(B486),Inventory!E:E,1,0),0)=0),"X","_")</f>
        <v>_</v>
      </c>
      <c r="D486" t="str">
        <f>IF(AND(TRIM(A486)&lt;&gt;"",IFERROR(VLOOKUP(TRIM(B486),'Full Inventory'!F:F,1,0),0)=0),"X","_")</f>
        <v>_</v>
      </c>
      <c r="E486" t="str">
        <f t="shared" si="32"/>
        <v>X</v>
      </c>
      <c r="F486" t="str">
        <f ca="1">IFERROR(IF(AND(C486&amp;D486&amp;E486="___",INDIRECT("Inventory!A"&amp;MATCH(VLOOKUP(B486,Inventory!E:E,1,0),Inventory!E:E,0))&lt;&gt;INDIRECT("'Full Inventory'!B"&amp;MATCH(VLOOKUP(B486,'Full Inventory'!F:F,1,0),'Full Inventory'!F:F,0))),"X","_"),"_")</f>
        <v>_</v>
      </c>
      <c r="L486" t="str">
        <f t="shared" ca="1" si="30"/>
        <v>__X_</v>
      </c>
      <c r="M486" t="str">
        <f t="shared" ca="1" si="31"/>
        <v/>
      </c>
    </row>
    <row r="487" spans="1:13" x14ac:dyDescent="0.25">
      <c r="A487" s="5"/>
      <c r="B487" s="4" t="str">
        <f t="shared" si="29"/>
        <v/>
      </c>
      <c r="C487" t="str">
        <f>IF(AND(TRIM(A487)&lt;&gt;"",IFERROR(VLOOKUP(TRIM(B487),Inventory!E:E,1,0),0)=0),"X","_")</f>
        <v>_</v>
      </c>
      <c r="D487" t="str">
        <f>IF(AND(TRIM(A487)&lt;&gt;"",IFERROR(VLOOKUP(TRIM(B487),'Full Inventory'!F:F,1,0),0)=0),"X","_")</f>
        <v>_</v>
      </c>
      <c r="E487" t="str">
        <f t="shared" si="32"/>
        <v>X</v>
      </c>
      <c r="F487" t="str">
        <f ca="1">IFERROR(IF(AND(C487&amp;D487&amp;E487="___",INDIRECT("Inventory!A"&amp;MATCH(VLOOKUP(B487,Inventory!E:E,1,0),Inventory!E:E,0))&lt;&gt;INDIRECT("'Full Inventory'!B"&amp;MATCH(VLOOKUP(B487,'Full Inventory'!F:F,1,0),'Full Inventory'!F:F,0))),"X","_"),"_")</f>
        <v>_</v>
      </c>
      <c r="L487" t="str">
        <f t="shared" ca="1" si="30"/>
        <v>__X_</v>
      </c>
      <c r="M487" t="str">
        <f t="shared" ca="1" si="31"/>
        <v/>
      </c>
    </row>
    <row r="488" spans="1:13" x14ac:dyDescent="0.25">
      <c r="A488" s="5"/>
      <c r="B488" s="4" t="str">
        <f t="shared" si="29"/>
        <v/>
      </c>
      <c r="C488" t="str">
        <f>IF(AND(TRIM(A488)&lt;&gt;"",IFERROR(VLOOKUP(TRIM(B488),Inventory!E:E,1,0),0)=0),"X","_")</f>
        <v>_</v>
      </c>
      <c r="D488" t="str">
        <f>IF(AND(TRIM(A488)&lt;&gt;"",IFERROR(VLOOKUP(TRIM(B488),'Full Inventory'!F:F,1,0),0)=0),"X","_")</f>
        <v>_</v>
      </c>
      <c r="E488" t="str">
        <f t="shared" si="32"/>
        <v>X</v>
      </c>
      <c r="F488" t="str">
        <f ca="1">IFERROR(IF(AND(C488&amp;D488&amp;E488="___",INDIRECT("Inventory!A"&amp;MATCH(VLOOKUP(B488,Inventory!E:E,1,0),Inventory!E:E,0))&lt;&gt;INDIRECT("'Full Inventory'!B"&amp;MATCH(VLOOKUP(B488,'Full Inventory'!F:F,1,0),'Full Inventory'!F:F,0))),"X","_"),"_")</f>
        <v>_</v>
      </c>
      <c r="L488" t="str">
        <f t="shared" ca="1" si="30"/>
        <v>__X_</v>
      </c>
      <c r="M488" t="str">
        <f t="shared" ca="1" si="31"/>
        <v/>
      </c>
    </row>
    <row r="489" spans="1:13" x14ac:dyDescent="0.25">
      <c r="A489" s="5"/>
      <c r="B489" s="4" t="str">
        <f t="shared" si="29"/>
        <v/>
      </c>
      <c r="C489" t="str">
        <f>IF(AND(TRIM(A489)&lt;&gt;"",IFERROR(VLOOKUP(TRIM(B489),Inventory!E:E,1,0),0)=0),"X","_")</f>
        <v>_</v>
      </c>
      <c r="D489" t="str">
        <f>IF(AND(TRIM(A489)&lt;&gt;"",IFERROR(VLOOKUP(TRIM(B489),'Full Inventory'!F:F,1,0),0)=0),"X","_")</f>
        <v>_</v>
      </c>
      <c r="E489" t="str">
        <f t="shared" si="32"/>
        <v>X</v>
      </c>
      <c r="F489" t="str">
        <f ca="1">IFERROR(IF(AND(C489&amp;D489&amp;E489="___",INDIRECT("Inventory!A"&amp;MATCH(VLOOKUP(B489,Inventory!E:E,1,0),Inventory!E:E,0))&lt;&gt;INDIRECT("'Full Inventory'!B"&amp;MATCH(VLOOKUP(B489,'Full Inventory'!F:F,1,0),'Full Inventory'!F:F,0))),"X","_"),"_")</f>
        <v>_</v>
      </c>
      <c r="L489" t="str">
        <f t="shared" ca="1" si="30"/>
        <v>__X_</v>
      </c>
      <c r="M489" t="str">
        <f t="shared" ca="1" si="31"/>
        <v/>
      </c>
    </row>
    <row r="490" spans="1:13" x14ac:dyDescent="0.25">
      <c r="A490" s="5"/>
      <c r="B490" s="4" t="str">
        <f t="shared" si="29"/>
        <v/>
      </c>
      <c r="C490" t="str">
        <f>IF(AND(TRIM(A490)&lt;&gt;"",IFERROR(VLOOKUP(TRIM(B490),Inventory!E:E,1,0),0)=0),"X","_")</f>
        <v>_</v>
      </c>
      <c r="D490" t="str">
        <f>IF(AND(TRIM(A490)&lt;&gt;"",IFERROR(VLOOKUP(TRIM(B490),'Full Inventory'!F:F,1,0),0)=0),"X","_")</f>
        <v>_</v>
      </c>
      <c r="E490" t="str">
        <f t="shared" si="32"/>
        <v>X</v>
      </c>
      <c r="F490" t="str">
        <f ca="1">IFERROR(IF(AND(C490&amp;D490&amp;E490="___",INDIRECT("Inventory!A"&amp;MATCH(VLOOKUP(B490,Inventory!E:E,1,0),Inventory!E:E,0))&lt;&gt;INDIRECT("'Full Inventory'!B"&amp;MATCH(VLOOKUP(B490,'Full Inventory'!F:F,1,0),'Full Inventory'!F:F,0))),"X","_"),"_")</f>
        <v>_</v>
      </c>
      <c r="L490" t="str">
        <f t="shared" ca="1" si="30"/>
        <v>__X_</v>
      </c>
      <c r="M490" t="str">
        <f t="shared" ca="1" si="31"/>
        <v/>
      </c>
    </row>
    <row r="491" spans="1:13" x14ac:dyDescent="0.25">
      <c r="A491" s="5"/>
      <c r="B491" s="4" t="str">
        <f t="shared" si="29"/>
        <v/>
      </c>
      <c r="C491" t="str">
        <f>IF(AND(TRIM(A491)&lt;&gt;"",IFERROR(VLOOKUP(TRIM(B491),Inventory!E:E,1,0),0)=0),"X","_")</f>
        <v>_</v>
      </c>
      <c r="D491" t="str">
        <f>IF(AND(TRIM(A491)&lt;&gt;"",IFERROR(VLOOKUP(TRIM(B491),'Full Inventory'!F:F,1,0),0)=0),"X","_")</f>
        <v>_</v>
      </c>
      <c r="E491" t="str">
        <f t="shared" si="32"/>
        <v>X</v>
      </c>
      <c r="F491" t="str">
        <f ca="1">IFERROR(IF(AND(C491&amp;D491&amp;E491="___",INDIRECT("Inventory!A"&amp;MATCH(VLOOKUP(B491,Inventory!E:E,1,0),Inventory!E:E,0))&lt;&gt;INDIRECT("'Full Inventory'!B"&amp;MATCH(VLOOKUP(B491,'Full Inventory'!F:F,1,0),'Full Inventory'!F:F,0))),"X","_"),"_")</f>
        <v>_</v>
      </c>
      <c r="L491" t="str">
        <f t="shared" ca="1" si="30"/>
        <v>__X_</v>
      </c>
      <c r="M491" t="str">
        <f t="shared" ca="1" si="31"/>
        <v/>
      </c>
    </row>
    <row r="492" spans="1:13" x14ac:dyDescent="0.25">
      <c r="A492" s="5"/>
      <c r="B492" s="4" t="str">
        <f t="shared" si="29"/>
        <v/>
      </c>
      <c r="C492" t="str">
        <f>IF(AND(TRIM(A492)&lt;&gt;"",IFERROR(VLOOKUP(TRIM(B492),Inventory!E:E,1,0),0)=0),"X","_")</f>
        <v>_</v>
      </c>
      <c r="D492" t="str">
        <f>IF(AND(TRIM(A492)&lt;&gt;"",IFERROR(VLOOKUP(TRIM(B492),'Full Inventory'!F:F,1,0),0)=0),"X","_")</f>
        <v>_</v>
      </c>
      <c r="E492" t="str">
        <f t="shared" si="32"/>
        <v>X</v>
      </c>
      <c r="F492" t="str">
        <f ca="1">IFERROR(IF(AND(C492&amp;D492&amp;E492="___",INDIRECT("Inventory!A"&amp;MATCH(VLOOKUP(B492,Inventory!E:E,1,0),Inventory!E:E,0))&lt;&gt;INDIRECT("'Full Inventory'!B"&amp;MATCH(VLOOKUP(B492,'Full Inventory'!F:F,1,0),'Full Inventory'!F:F,0))),"X","_"),"_")</f>
        <v>_</v>
      </c>
      <c r="L492" t="str">
        <f t="shared" ca="1" si="30"/>
        <v>__X_</v>
      </c>
      <c r="M492" t="str">
        <f t="shared" ca="1" si="31"/>
        <v/>
      </c>
    </row>
    <row r="493" spans="1:13" x14ac:dyDescent="0.25">
      <c r="A493" s="5"/>
      <c r="B493" s="4" t="str">
        <f t="shared" si="29"/>
        <v/>
      </c>
      <c r="C493" t="str">
        <f>IF(AND(TRIM(A493)&lt;&gt;"",IFERROR(VLOOKUP(TRIM(B493),Inventory!E:E,1,0),0)=0),"X","_")</f>
        <v>_</v>
      </c>
      <c r="D493" t="str">
        <f>IF(AND(TRIM(A493)&lt;&gt;"",IFERROR(VLOOKUP(TRIM(B493),'Full Inventory'!F:F,1,0),0)=0),"X","_")</f>
        <v>_</v>
      </c>
      <c r="E493" t="str">
        <f t="shared" si="32"/>
        <v>X</v>
      </c>
      <c r="F493" t="str">
        <f ca="1">IFERROR(IF(AND(C493&amp;D493&amp;E493="___",INDIRECT("Inventory!A"&amp;MATCH(VLOOKUP(B493,Inventory!E:E,1,0),Inventory!E:E,0))&lt;&gt;INDIRECT("'Full Inventory'!B"&amp;MATCH(VLOOKUP(B493,'Full Inventory'!F:F,1,0),'Full Inventory'!F:F,0))),"X","_"),"_")</f>
        <v>_</v>
      </c>
      <c r="L493" t="str">
        <f t="shared" ca="1" si="30"/>
        <v>__X_</v>
      </c>
      <c r="M493" t="str">
        <f t="shared" ca="1" si="31"/>
        <v/>
      </c>
    </row>
    <row r="494" spans="1:13" x14ac:dyDescent="0.25">
      <c r="A494" s="5"/>
      <c r="B494" s="4" t="str">
        <f t="shared" si="29"/>
        <v/>
      </c>
      <c r="C494" t="str">
        <f>IF(AND(TRIM(A494)&lt;&gt;"",IFERROR(VLOOKUP(TRIM(B494),Inventory!E:E,1,0),0)=0),"X","_")</f>
        <v>_</v>
      </c>
      <c r="D494" t="str">
        <f>IF(AND(TRIM(A494)&lt;&gt;"",IFERROR(VLOOKUP(TRIM(B494),'Full Inventory'!F:F,1,0),0)=0),"X","_")</f>
        <v>_</v>
      </c>
      <c r="E494" t="str">
        <f t="shared" si="32"/>
        <v>X</v>
      </c>
      <c r="F494" t="str">
        <f ca="1">IFERROR(IF(AND(C494&amp;D494&amp;E494="___",INDIRECT("Inventory!A"&amp;MATCH(VLOOKUP(B494,Inventory!E:E,1,0),Inventory!E:E,0))&lt;&gt;INDIRECT("'Full Inventory'!B"&amp;MATCH(VLOOKUP(B494,'Full Inventory'!F:F,1,0),'Full Inventory'!F:F,0))),"X","_"),"_")</f>
        <v>_</v>
      </c>
      <c r="L494" t="str">
        <f t="shared" ca="1" si="30"/>
        <v>__X_</v>
      </c>
      <c r="M494" t="str">
        <f t="shared" ca="1" si="31"/>
        <v/>
      </c>
    </row>
    <row r="495" spans="1:13" x14ac:dyDescent="0.25">
      <c r="A495" s="5"/>
      <c r="B495" s="4" t="str">
        <f t="shared" si="29"/>
        <v/>
      </c>
      <c r="C495" t="str">
        <f>IF(AND(TRIM(A495)&lt;&gt;"",IFERROR(VLOOKUP(TRIM(B495),Inventory!E:E,1,0),0)=0),"X","_")</f>
        <v>_</v>
      </c>
      <c r="D495" t="str">
        <f>IF(AND(TRIM(A495)&lt;&gt;"",IFERROR(VLOOKUP(TRIM(B495),'Full Inventory'!F:F,1,0),0)=0),"X","_")</f>
        <v>_</v>
      </c>
      <c r="E495" t="str">
        <f t="shared" si="32"/>
        <v>X</v>
      </c>
      <c r="F495" t="str">
        <f ca="1">IFERROR(IF(AND(C495&amp;D495&amp;E495="___",INDIRECT("Inventory!A"&amp;MATCH(VLOOKUP(B495,Inventory!E:E,1,0),Inventory!E:E,0))&lt;&gt;INDIRECT("'Full Inventory'!B"&amp;MATCH(VLOOKUP(B495,'Full Inventory'!F:F,1,0),'Full Inventory'!F:F,0))),"X","_"),"_")</f>
        <v>_</v>
      </c>
      <c r="L495" t="str">
        <f t="shared" ca="1" si="30"/>
        <v>__X_</v>
      </c>
      <c r="M495" t="str">
        <f t="shared" ca="1" si="31"/>
        <v/>
      </c>
    </row>
    <row r="496" spans="1:13" x14ac:dyDescent="0.25">
      <c r="A496" s="5"/>
      <c r="B496" s="4" t="str">
        <f t="shared" si="29"/>
        <v/>
      </c>
      <c r="C496" t="str">
        <f>IF(AND(TRIM(A496)&lt;&gt;"",IFERROR(VLOOKUP(TRIM(B496),Inventory!E:E,1,0),0)=0),"X","_")</f>
        <v>_</v>
      </c>
      <c r="D496" t="str">
        <f>IF(AND(TRIM(A496)&lt;&gt;"",IFERROR(VLOOKUP(TRIM(B496),'Full Inventory'!F:F,1,0),0)=0),"X","_")</f>
        <v>_</v>
      </c>
      <c r="E496" t="str">
        <f t="shared" si="32"/>
        <v>X</v>
      </c>
      <c r="F496" t="str">
        <f ca="1">IFERROR(IF(AND(C496&amp;D496&amp;E496="___",INDIRECT("Inventory!A"&amp;MATCH(VLOOKUP(B496,Inventory!E:E,1,0),Inventory!E:E,0))&lt;&gt;INDIRECT("'Full Inventory'!B"&amp;MATCH(VLOOKUP(B496,'Full Inventory'!F:F,1,0),'Full Inventory'!F:F,0))),"X","_"),"_")</f>
        <v>_</v>
      </c>
      <c r="L496" t="str">
        <f t="shared" ca="1" si="30"/>
        <v>__X_</v>
      </c>
      <c r="M496" t="str">
        <f t="shared" ca="1" si="31"/>
        <v/>
      </c>
    </row>
    <row r="497" spans="1:13" x14ac:dyDescent="0.25">
      <c r="A497" s="5"/>
      <c r="B497" s="4" t="str">
        <f t="shared" si="29"/>
        <v/>
      </c>
      <c r="C497" t="str">
        <f>IF(AND(TRIM(A497)&lt;&gt;"",IFERROR(VLOOKUP(TRIM(B497),Inventory!E:E,1,0),0)=0),"X","_")</f>
        <v>_</v>
      </c>
      <c r="D497" t="str">
        <f>IF(AND(TRIM(A497)&lt;&gt;"",IFERROR(VLOOKUP(TRIM(B497),'Full Inventory'!F:F,1,0),0)=0),"X","_")</f>
        <v>_</v>
      </c>
      <c r="E497" t="str">
        <f t="shared" si="32"/>
        <v>X</v>
      </c>
      <c r="F497" t="str">
        <f ca="1">IFERROR(IF(AND(C497&amp;D497&amp;E497="___",INDIRECT("Inventory!A"&amp;MATCH(VLOOKUP(B497,Inventory!E:E,1,0),Inventory!E:E,0))&lt;&gt;INDIRECT("'Full Inventory'!B"&amp;MATCH(VLOOKUP(B497,'Full Inventory'!F:F,1,0),'Full Inventory'!F:F,0))),"X","_"),"_")</f>
        <v>_</v>
      </c>
      <c r="L497" t="str">
        <f t="shared" ca="1" si="30"/>
        <v>__X_</v>
      </c>
      <c r="M497" t="str">
        <f t="shared" ca="1" si="31"/>
        <v/>
      </c>
    </row>
    <row r="498" spans="1:13" x14ac:dyDescent="0.25">
      <c r="A498" s="5"/>
      <c r="B498" s="4" t="str">
        <f t="shared" si="29"/>
        <v/>
      </c>
      <c r="C498" t="str">
        <f>IF(AND(TRIM(A498)&lt;&gt;"",IFERROR(VLOOKUP(TRIM(B498),Inventory!E:E,1,0),0)=0),"X","_")</f>
        <v>_</v>
      </c>
      <c r="D498" t="str">
        <f>IF(AND(TRIM(A498)&lt;&gt;"",IFERROR(VLOOKUP(TRIM(B498),'Full Inventory'!F:F,1,0),0)=0),"X","_")</f>
        <v>_</v>
      </c>
      <c r="E498" t="str">
        <f t="shared" si="32"/>
        <v>X</v>
      </c>
      <c r="F498" t="str">
        <f ca="1">IFERROR(IF(AND(C498&amp;D498&amp;E498="___",INDIRECT("Inventory!A"&amp;MATCH(VLOOKUP(B498,Inventory!E:E,1,0),Inventory!E:E,0))&lt;&gt;INDIRECT("'Full Inventory'!B"&amp;MATCH(VLOOKUP(B498,'Full Inventory'!F:F,1,0),'Full Inventory'!F:F,0))),"X","_"),"_")</f>
        <v>_</v>
      </c>
      <c r="L498" t="str">
        <f t="shared" ca="1" si="30"/>
        <v>__X_</v>
      </c>
      <c r="M498" t="str">
        <f t="shared" ca="1" si="31"/>
        <v/>
      </c>
    </row>
    <row r="499" spans="1:13" x14ac:dyDescent="0.25">
      <c r="A499" s="5"/>
      <c r="B499" s="4" t="str">
        <f t="shared" si="29"/>
        <v/>
      </c>
      <c r="C499" t="str">
        <f>IF(AND(TRIM(A499)&lt;&gt;"",IFERROR(VLOOKUP(TRIM(B499),Inventory!E:E,1,0),0)=0),"X","_")</f>
        <v>_</v>
      </c>
      <c r="D499" t="str">
        <f>IF(AND(TRIM(A499)&lt;&gt;"",IFERROR(VLOOKUP(TRIM(B499),'Full Inventory'!F:F,1,0),0)=0),"X","_")</f>
        <v>_</v>
      </c>
      <c r="E499" t="str">
        <f t="shared" si="32"/>
        <v>X</v>
      </c>
      <c r="F499" t="str">
        <f ca="1">IFERROR(IF(AND(C499&amp;D499&amp;E499="___",INDIRECT("Inventory!A"&amp;MATCH(VLOOKUP(B499,Inventory!E:E,1,0),Inventory!E:E,0))&lt;&gt;INDIRECT("'Full Inventory'!B"&amp;MATCH(VLOOKUP(B499,'Full Inventory'!F:F,1,0),'Full Inventory'!F:F,0))),"X","_"),"_")</f>
        <v>_</v>
      </c>
      <c r="L499" t="str">
        <f t="shared" ca="1" si="30"/>
        <v>__X_</v>
      </c>
      <c r="M499" t="str">
        <f t="shared" ca="1" si="31"/>
        <v/>
      </c>
    </row>
    <row r="500" spans="1:13" x14ac:dyDescent="0.25">
      <c r="A500" s="5"/>
      <c r="B500" s="4" t="str">
        <f t="shared" si="29"/>
        <v/>
      </c>
      <c r="C500" t="str">
        <f>IF(AND(TRIM(A500)&lt;&gt;"",IFERROR(VLOOKUP(TRIM(B500),Inventory!E:E,1,0),0)=0),"X","_")</f>
        <v>_</v>
      </c>
      <c r="D500" t="str">
        <f>IF(AND(TRIM(A500)&lt;&gt;"",IFERROR(VLOOKUP(TRIM(B500),'Full Inventory'!F:F,1,0),0)=0),"X","_")</f>
        <v>_</v>
      </c>
      <c r="E500" t="str">
        <f t="shared" si="32"/>
        <v>X</v>
      </c>
      <c r="F500" t="str">
        <f ca="1">IFERROR(IF(AND(C500&amp;D500&amp;E500="___",INDIRECT("Inventory!A"&amp;MATCH(VLOOKUP(B500,Inventory!E:E,1,0),Inventory!E:E,0))&lt;&gt;INDIRECT("'Full Inventory'!B"&amp;MATCH(VLOOKUP(B500,'Full Inventory'!F:F,1,0),'Full Inventory'!F:F,0))),"X","_"),"_")</f>
        <v>_</v>
      </c>
      <c r="L500" t="str">
        <f t="shared" ca="1" si="30"/>
        <v>__X_</v>
      </c>
      <c r="M500" t="str">
        <f t="shared" ca="1" si="31"/>
        <v/>
      </c>
    </row>
    <row r="501" spans="1:13" x14ac:dyDescent="0.25">
      <c r="A501" s="5"/>
      <c r="B501" s="4" t="str">
        <f t="shared" si="29"/>
        <v/>
      </c>
      <c r="C501" t="str">
        <f>IF(AND(TRIM(A501)&lt;&gt;"",IFERROR(VLOOKUP(TRIM(B501),Inventory!E:E,1,0),0)=0),"X","_")</f>
        <v>_</v>
      </c>
      <c r="D501" t="str">
        <f>IF(AND(TRIM(A501)&lt;&gt;"",IFERROR(VLOOKUP(TRIM(B501),'Full Inventory'!F:F,1,0),0)=0),"X","_")</f>
        <v>_</v>
      </c>
      <c r="E501" t="str">
        <f t="shared" si="32"/>
        <v>X</v>
      </c>
      <c r="F501" t="str">
        <f ca="1">IFERROR(IF(AND(C501&amp;D501&amp;E501="___",INDIRECT("Inventory!A"&amp;MATCH(VLOOKUP(B501,Inventory!E:E,1,0),Inventory!E:E,0))&lt;&gt;INDIRECT("'Full Inventory'!B"&amp;MATCH(VLOOKUP(B501,'Full Inventory'!F:F,1,0),'Full Inventory'!F:F,0))),"X","_"),"_")</f>
        <v>_</v>
      </c>
      <c r="L501" t="str">
        <f t="shared" ca="1" si="30"/>
        <v>__X_</v>
      </c>
      <c r="M501" t="str">
        <f t="shared" ca="1" si="31"/>
        <v/>
      </c>
    </row>
    <row r="502" spans="1:13" x14ac:dyDescent="0.25">
      <c r="A502" s="5"/>
      <c r="B502" s="4" t="str">
        <f t="shared" si="29"/>
        <v/>
      </c>
      <c r="C502" t="str">
        <f>IF(AND(TRIM(A502)&lt;&gt;"",IFERROR(VLOOKUP(TRIM(B502),Inventory!E:E,1,0),0)=0),"X","_")</f>
        <v>_</v>
      </c>
      <c r="D502" t="str">
        <f>IF(AND(TRIM(A502)&lt;&gt;"",IFERROR(VLOOKUP(TRIM(B502),'Full Inventory'!F:F,1,0),0)=0),"X","_")</f>
        <v>_</v>
      </c>
      <c r="E502" t="str">
        <f t="shared" si="32"/>
        <v>X</v>
      </c>
      <c r="F502" t="str">
        <f ca="1">IFERROR(IF(AND(C502&amp;D502&amp;E502="___",INDIRECT("Inventory!A"&amp;MATCH(VLOOKUP(B502,Inventory!E:E,1,0),Inventory!E:E,0))&lt;&gt;INDIRECT("'Full Inventory'!B"&amp;MATCH(VLOOKUP(B502,'Full Inventory'!F:F,1,0),'Full Inventory'!F:F,0))),"X","_"),"_")</f>
        <v>_</v>
      </c>
      <c r="L502" t="str">
        <f t="shared" ca="1" si="30"/>
        <v>__X_</v>
      </c>
      <c r="M502" t="str">
        <f t="shared" ca="1" si="31"/>
        <v/>
      </c>
    </row>
    <row r="503" spans="1:13" x14ac:dyDescent="0.25">
      <c r="A503" s="5"/>
      <c r="B503" s="4" t="str">
        <f t="shared" si="29"/>
        <v/>
      </c>
      <c r="C503" t="str">
        <f>IF(AND(TRIM(A503)&lt;&gt;"",IFERROR(VLOOKUP(TRIM(B503),Inventory!E:E,1,0),0)=0),"X","_")</f>
        <v>_</v>
      </c>
      <c r="D503" t="str">
        <f>IF(AND(TRIM(A503)&lt;&gt;"",IFERROR(VLOOKUP(TRIM(B503),'Full Inventory'!F:F,1,0),0)=0),"X","_")</f>
        <v>_</v>
      </c>
      <c r="E503" t="str">
        <f t="shared" si="32"/>
        <v>X</v>
      </c>
      <c r="F503" t="str">
        <f ca="1">IFERROR(IF(AND(C503&amp;D503&amp;E503="___",INDIRECT("Inventory!A"&amp;MATCH(VLOOKUP(B503,Inventory!E:E,1,0),Inventory!E:E,0))&lt;&gt;INDIRECT("'Full Inventory'!B"&amp;MATCH(VLOOKUP(B503,'Full Inventory'!F:F,1,0),'Full Inventory'!F:F,0))),"X","_"),"_")</f>
        <v>_</v>
      </c>
      <c r="L503" t="str">
        <f t="shared" ca="1" si="30"/>
        <v>__X_</v>
      </c>
      <c r="M503" t="str">
        <f t="shared" ca="1" si="31"/>
        <v/>
      </c>
    </row>
    <row r="504" spans="1:13" x14ac:dyDescent="0.25">
      <c r="A504" s="5"/>
      <c r="B504" s="4" t="str">
        <f t="shared" si="29"/>
        <v/>
      </c>
      <c r="C504" t="str">
        <f>IF(AND(TRIM(A504)&lt;&gt;"",IFERROR(VLOOKUP(TRIM(B504),Inventory!E:E,1,0),0)=0),"X","_")</f>
        <v>_</v>
      </c>
      <c r="D504" t="str">
        <f>IF(AND(TRIM(A504)&lt;&gt;"",IFERROR(VLOOKUP(TRIM(B504),'Full Inventory'!F:F,1,0),0)=0),"X","_")</f>
        <v>_</v>
      </c>
      <c r="E504" t="str">
        <f t="shared" si="32"/>
        <v>X</v>
      </c>
      <c r="F504" t="str">
        <f ca="1">IFERROR(IF(AND(C504&amp;D504&amp;E504="___",INDIRECT("Inventory!A"&amp;MATCH(VLOOKUP(B504,Inventory!E:E,1,0),Inventory!E:E,0))&lt;&gt;INDIRECT("'Full Inventory'!B"&amp;MATCH(VLOOKUP(B504,'Full Inventory'!F:F,1,0),'Full Inventory'!F:F,0))),"X","_"),"_")</f>
        <v>_</v>
      </c>
      <c r="L504" t="str">
        <f t="shared" ca="1" si="30"/>
        <v>__X_</v>
      </c>
      <c r="M504" t="str">
        <f t="shared" ca="1" si="31"/>
        <v/>
      </c>
    </row>
    <row r="505" spans="1:13" x14ac:dyDescent="0.25">
      <c r="A505" s="5"/>
      <c r="B505" s="4" t="str">
        <f t="shared" si="29"/>
        <v/>
      </c>
      <c r="C505" t="str">
        <f>IF(AND(TRIM(A505)&lt;&gt;"",IFERROR(VLOOKUP(TRIM(B505),Inventory!E:E,1,0),0)=0),"X","_")</f>
        <v>_</v>
      </c>
      <c r="D505" t="str">
        <f>IF(AND(TRIM(A505)&lt;&gt;"",IFERROR(VLOOKUP(TRIM(B505),'Full Inventory'!F:F,1,0),0)=0),"X","_")</f>
        <v>_</v>
      </c>
      <c r="E505" t="str">
        <f t="shared" si="32"/>
        <v>X</v>
      </c>
      <c r="F505" t="str">
        <f ca="1">IFERROR(IF(AND(C505&amp;D505&amp;E505="___",INDIRECT("Inventory!A"&amp;MATCH(VLOOKUP(B505,Inventory!E:E,1,0),Inventory!E:E,0))&lt;&gt;INDIRECT("'Full Inventory'!B"&amp;MATCH(VLOOKUP(B505,'Full Inventory'!F:F,1,0),'Full Inventory'!F:F,0))),"X","_"),"_")</f>
        <v>_</v>
      </c>
      <c r="L505" t="str">
        <f t="shared" ca="1" si="30"/>
        <v>__X_</v>
      </c>
      <c r="M505" t="str">
        <f t="shared" ca="1" si="31"/>
        <v/>
      </c>
    </row>
    <row r="506" spans="1:13" x14ac:dyDescent="0.25">
      <c r="A506" s="5"/>
      <c r="B506" s="4" t="str">
        <f t="shared" si="29"/>
        <v/>
      </c>
      <c r="C506" t="str">
        <f>IF(AND(TRIM(A506)&lt;&gt;"",IFERROR(VLOOKUP(TRIM(B506),Inventory!E:E,1,0),0)=0),"X","_")</f>
        <v>_</v>
      </c>
      <c r="D506" t="str">
        <f>IF(AND(TRIM(A506)&lt;&gt;"",IFERROR(VLOOKUP(TRIM(B506),'Full Inventory'!F:F,1,0),0)=0),"X","_")</f>
        <v>_</v>
      </c>
      <c r="E506" t="str">
        <f t="shared" si="32"/>
        <v>X</v>
      </c>
      <c r="F506" t="str">
        <f ca="1">IFERROR(IF(AND(C506&amp;D506&amp;E506="___",INDIRECT("Inventory!A"&amp;MATCH(VLOOKUP(B506,Inventory!E:E,1,0),Inventory!E:E,0))&lt;&gt;INDIRECT("'Full Inventory'!B"&amp;MATCH(VLOOKUP(B506,'Full Inventory'!F:F,1,0),'Full Inventory'!F:F,0))),"X","_"),"_")</f>
        <v>_</v>
      </c>
      <c r="L506" t="str">
        <f t="shared" ca="1" si="30"/>
        <v>__X_</v>
      </c>
      <c r="M506" t="str">
        <f t="shared" ca="1" si="31"/>
        <v/>
      </c>
    </row>
    <row r="507" spans="1:13" x14ac:dyDescent="0.25">
      <c r="A507" s="5"/>
      <c r="B507" s="4" t="str">
        <f t="shared" si="29"/>
        <v/>
      </c>
      <c r="C507" t="str">
        <f>IF(AND(TRIM(A507)&lt;&gt;"",IFERROR(VLOOKUP(TRIM(B507),Inventory!E:E,1,0),0)=0),"X","_")</f>
        <v>_</v>
      </c>
      <c r="D507" t="str">
        <f>IF(AND(TRIM(A507)&lt;&gt;"",IFERROR(VLOOKUP(TRIM(B507),'Full Inventory'!F:F,1,0),0)=0),"X","_")</f>
        <v>_</v>
      </c>
      <c r="E507" t="str">
        <f t="shared" si="32"/>
        <v>X</v>
      </c>
      <c r="F507" t="str">
        <f ca="1">IFERROR(IF(AND(C507&amp;D507&amp;E507="___",INDIRECT("Inventory!A"&amp;MATCH(VLOOKUP(B507,Inventory!E:E,1,0),Inventory!E:E,0))&lt;&gt;INDIRECT("'Full Inventory'!B"&amp;MATCH(VLOOKUP(B507,'Full Inventory'!F:F,1,0),'Full Inventory'!F:F,0))),"X","_"),"_")</f>
        <v>_</v>
      </c>
      <c r="L507" t="str">
        <f t="shared" ca="1" si="30"/>
        <v>__X_</v>
      </c>
      <c r="M507" t="str">
        <f t="shared" ca="1" si="31"/>
        <v/>
      </c>
    </row>
    <row r="508" spans="1:13" x14ac:dyDescent="0.25">
      <c r="A508" s="5"/>
      <c r="B508" s="4" t="str">
        <f t="shared" si="29"/>
        <v/>
      </c>
      <c r="C508" t="str">
        <f>IF(AND(TRIM(A508)&lt;&gt;"",IFERROR(VLOOKUP(TRIM(B508),Inventory!E:E,1,0),0)=0),"X","_")</f>
        <v>_</v>
      </c>
      <c r="D508" t="str">
        <f>IF(AND(TRIM(A508)&lt;&gt;"",IFERROR(VLOOKUP(TRIM(B508),'Full Inventory'!F:F,1,0),0)=0),"X","_")</f>
        <v>_</v>
      </c>
      <c r="E508" t="str">
        <f t="shared" si="32"/>
        <v>X</v>
      </c>
      <c r="F508" t="str">
        <f ca="1">IFERROR(IF(AND(C508&amp;D508&amp;E508="___",INDIRECT("Inventory!A"&amp;MATCH(VLOOKUP(B508,Inventory!E:E,1,0),Inventory!E:E,0))&lt;&gt;INDIRECT("'Full Inventory'!B"&amp;MATCH(VLOOKUP(B508,'Full Inventory'!F:F,1,0),'Full Inventory'!F:F,0))),"X","_"),"_")</f>
        <v>_</v>
      </c>
      <c r="L508" t="str">
        <f t="shared" ca="1" si="30"/>
        <v>__X_</v>
      </c>
      <c r="M508" t="str">
        <f t="shared" ca="1" si="31"/>
        <v/>
      </c>
    </row>
    <row r="509" spans="1:13" x14ac:dyDescent="0.25">
      <c r="A509" s="5"/>
      <c r="B509" s="4" t="str">
        <f t="shared" si="29"/>
        <v/>
      </c>
      <c r="C509" t="str">
        <f>IF(AND(TRIM(A509)&lt;&gt;"",IFERROR(VLOOKUP(TRIM(B509),Inventory!E:E,1,0),0)=0),"X","_")</f>
        <v>_</v>
      </c>
      <c r="D509" t="str">
        <f>IF(AND(TRIM(A509)&lt;&gt;"",IFERROR(VLOOKUP(TRIM(B509),'Full Inventory'!F:F,1,0),0)=0),"X","_")</f>
        <v>_</v>
      </c>
      <c r="E509" t="str">
        <f t="shared" si="32"/>
        <v>X</v>
      </c>
      <c r="F509" t="str">
        <f ca="1">IFERROR(IF(AND(C509&amp;D509&amp;E509="___",INDIRECT("Inventory!A"&amp;MATCH(VLOOKUP(B509,Inventory!E:E,1,0),Inventory!E:E,0))&lt;&gt;INDIRECT("'Full Inventory'!B"&amp;MATCH(VLOOKUP(B509,'Full Inventory'!F:F,1,0),'Full Inventory'!F:F,0))),"X","_"),"_")</f>
        <v>_</v>
      </c>
      <c r="L509" t="str">
        <f t="shared" ca="1" si="30"/>
        <v>__X_</v>
      </c>
      <c r="M509" t="str">
        <f t="shared" ca="1" si="31"/>
        <v/>
      </c>
    </row>
    <row r="510" spans="1:13" x14ac:dyDescent="0.25">
      <c r="A510" s="5"/>
      <c r="B510" s="4" t="str">
        <f t="shared" si="29"/>
        <v/>
      </c>
      <c r="C510" t="str">
        <f>IF(AND(TRIM(A510)&lt;&gt;"",IFERROR(VLOOKUP(TRIM(B510),Inventory!E:E,1,0),0)=0),"X","_")</f>
        <v>_</v>
      </c>
      <c r="D510" t="str">
        <f>IF(AND(TRIM(A510)&lt;&gt;"",IFERROR(VLOOKUP(TRIM(B510),'Full Inventory'!F:F,1,0),0)=0),"X","_")</f>
        <v>_</v>
      </c>
      <c r="E510" t="str">
        <f t="shared" si="32"/>
        <v>X</v>
      </c>
      <c r="F510" t="str">
        <f ca="1">IFERROR(IF(AND(C510&amp;D510&amp;E510="___",INDIRECT("Inventory!A"&amp;MATCH(VLOOKUP(B510,Inventory!E:E,1,0),Inventory!E:E,0))&lt;&gt;INDIRECT("'Full Inventory'!B"&amp;MATCH(VLOOKUP(B510,'Full Inventory'!F:F,1,0),'Full Inventory'!F:F,0))),"X","_"),"_")</f>
        <v>_</v>
      </c>
      <c r="L510" t="str">
        <f t="shared" ca="1" si="30"/>
        <v>__X_</v>
      </c>
      <c r="M510" t="str">
        <f t="shared" ca="1" si="31"/>
        <v/>
      </c>
    </row>
    <row r="511" spans="1:13" x14ac:dyDescent="0.25">
      <c r="A511" s="5"/>
      <c r="B511" s="4" t="str">
        <f t="shared" si="29"/>
        <v/>
      </c>
      <c r="C511" t="str">
        <f>IF(AND(TRIM(A511)&lt;&gt;"",IFERROR(VLOOKUP(TRIM(B511),Inventory!E:E,1,0),0)=0),"X","_")</f>
        <v>_</v>
      </c>
      <c r="D511" t="str">
        <f>IF(AND(TRIM(A511)&lt;&gt;"",IFERROR(VLOOKUP(TRIM(B511),'Full Inventory'!F:F,1,0),0)=0),"X","_")</f>
        <v>_</v>
      </c>
      <c r="E511" t="str">
        <f t="shared" si="32"/>
        <v>X</v>
      </c>
      <c r="F511" t="str">
        <f ca="1">IFERROR(IF(AND(C511&amp;D511&amp;E511="___",INDIRECT("Inventory!A"&amp;MATCH(VLOOKUP(B511,Inventory!E:E,1,0),Inventory!E:E,0))&lt;&gt;INDIRECT("'Full Inventory'!B"&amp;MATCH(VLOOKUP(B511,'Full Inventory'!F:F,1,0),'Full Inventory'!F:F,0))),"X","_"),"_")</f>
        <v>_</v>
      </c>
      <c r="L511" t="str">
        <f t="shared" ca="1" si="30"/>
        <v>__X_</v>
      </c>
      <c r="M511" t="str">
        <f t="shared" ca="1" si="31"/>
        <v/>
      </c>
    </row>
    <row r="512" spans="1:13" x14ac:dyDescent="0.25">
      <c r="A512" s="5"/>
      <c r="B512" s="4" t="str">
        <f t="shared" si="29"/>
        <v/>
      </c>
      <c r="C512" t="str">
        <f>IF(AND(TRIM(A512)&lt;&gt;"",IFERROR(VLOOKUP(TRIM(B512),Inventory!E:E,1,0),0)=0),"X","_")</f>
        <v>_</v>
      </c>
      <c r="D512" t="str">
        <f>IF(AND(TRIM(A512)&lt;&gt;"",IFERROR(VLOOKUP(TRIM(B512),'Full Inventory'!F:F,1,0),0)=0),"X","_")</f>
        <v>_</v>
      </c>
      <c r="E512" t="str">
        <f t="shared" si="32"/>
        <v>X</v>
      </c>
      <c r="F512" t="str">
        <f ca="1">IFERROR(IF(AND(C512&amp;D512&amp;E512="___",INDIRECT("Inventory!A"&amp;MATCH(VLOOKUP(B512,Inventory!E:E,1,0),Inventory!E:E,0))&lt;&gt;INDIRECT("'Full Inventory'!B"&amp;MATCH(VLOOKUP(B512,'Full Inventory'!F:F,1,0),'Full Inventory'!F:F,0))),"X","_"),"_")</f>
        <v>_</v>
      </c>
      <c r="L512" t="str">
        <f t="shared" ca="1" si="30"/>
        <v>__X_</v>
      </c>
      <c r="M512" t="str">
        <f t="shared" ca="1" si="31"/>
        <v/>
      </c>
    </row>
    <row r="513" spans="1:13" x14ac:dyDescent="0.25">
      <c r="A513" s="5"/>
      <c r="B513" s="4" t="str">
        <f t="shared" si="29"/>
        <v/>
      </c>
      <c r="C513" t="str">
        <f>IF(AND(TRIM(A513)&lt;&gt;"",IFERROR(VLOOKUP(TRIM(B513),Inventory!E:E,1,0),0)=0),"X","_")</f>
        <v>_</v>
      </c>
      <c r="D513" t="str">
        <f>IF(AND(TRIM(A513)&lt;&gt;"",IFERROR(VLOOKUP(TRIM(B513),'Full Inventory'!F:F,1,0),0)=0),"X","_")</f>
        <v>_</v>
      </c>
      <c r="E513" t="str">
        <f t="shared" si="32"/>
        <v>X</v>
      </c>
      <c r="F513" t="str">
        <f ca="1">IFERROR(IF(AND(C513&amp;D513&amp;E513="___",INDIRECT("Inventory!A"&amp;MATCH(VLOOKUP(B513,Inventory!E:E,1,0),Inventory!E:E,0))&lt;&gt;INDIRECT("'Full Inventory'!B"&amp;MATCH(VLOOKUP(B513,'Full Inventory'!F:F,1,0),'Full Inventory'!F:F,0))),"X","_"),"_")</f>
        <v>_</v>
      </c>
      <c r="L513" t="str">
        <f t="shared" ca="1" si="30"/>
        <v>__X_</v>
      </c>
      <c r="M513" t="str">
        <f t="shared" ca="1" si="31"/>
        <v/>
      </c>
    </row>
    <row r="514" spans="1:13" x14ac:dyDescent="0.25">
      <c r="A514" s="5"/>
      <c r="B514" s="4" t="str">
        <f t="shared" si="29"/>
        <v/>
      </c>
      <c r="C514" t="str">
        <f>IF(AND(TRIM(A514)&lt;&gt;"",IFERROR(VLOOKUP(TRIM(B514),Inventory!E:E,1,0),0)=0),"X","_")</f>
        <v>_</v>
      </c>
      <c r="D514" t="str">
        <f>IF(AND(TRIM(A514)&lt;&gt;"",IFERROR(VLOOKUP(TRIM(B514),'Full Inventory'!F:F,1,0),0)=0),"X","_")</f>
        <v>_</v>
      </c>
      <c r="E514" t="str">
        <f t="shared" si="32"/>
        <v>X</v>
      </c>
      <c r="F514" t="str">
        <f ca="1">IFERROR(IF(AND(C514&amp;D514&amp;E514="___",INDIRECT("Inventory!A"&amp;MATCH(VLOOKUP(B514,Inventory!E:E,1,0),Inventory!E:E,0))&lt;&gt;INDIRECT("'Full Inventory'!B"&amp;MATCH(VLOOKUP(B514,'Full Inventory'!F:F,1,0),'Full Inventory'!F:F,0))),"X","_"),"_")</f>
        <v>_</v>
      </c>
      <c r="L514" t="str">
        <f t="shared" ca="1" si="30"/>
        <v>__X_</v>
      </c>
      <c r="M514" t="str">
        <f t="shared" ca="1" si="31"/>
        <v/>
      </c>
    </row>
    <row r="515" spans="1:13" x14ac:dyDescent="0.25">
      <c r="A515" s="5"/>
      <c r="B515" s="4" t="str">
        <f t="shared" ref="B515:B578" si="33">SUBSTITUTE(SUBSTITUTE(A515,"ö","0"),"Ö","0")</f>
        <v/>
      </c>
      <c r="C515" t="str">
        <f>IF(AND(TRIM(A515)&lt;&gt;"",IFERROR(VLOOKUP(TRIM(B515),Inventory!E:E,1,0),0)=0),"X","_")</f>
        <v>_</v>
      </c>
      <c r="D515" t="str">
        <f>IF(AND(TRIM(A515)&lt;&gt;"",IFERROR(VLOOKUP(TRIM(B515),'Full Inventory'!F:F,1,0),0)=0),"X","_")</f>
        <v>_</v>
      </c>
      <c r="E515" t="str">
        <f t="shared" si="32"/>
        <v>X</v>
      </c>
      <c r="F515" t="str">
        <f ca="1">IFERROR(IF(AND(C515&amp;D515&amp;E515="___",INDIRECT("Inventory!A"&amp;MATCH(VLOOKUP(B515,Inventory!E:E,1,0),Inventory!E:E,0))&lt;&gt;INDIRECT("'Full Inventory'!B"&amp;MATCH(VLOOKUP(B515,'Full Inventory'!F:F,1,0),'Full Inventory'!F:F,0))),"X","_"),"_")</f>
        <v>_</v>
      </c>
      <c r="L515" t="str">
        <f t="shared" ref="L515:L578" ca="1" si="34">C515&amp;D515&amp;E515&amp;F515</f>
        <v>__X_</v>
      </c>
      <c r="M515" t="str">
        <f t="shared" ref="M515:M578" ca="1" si="35">IF(L515="____","OK",IF(L515="_X__","NOT IN FULL INVENTORY",IF(L515="XX__","NOT IN FULL INVENTORY AND INVENTORY",IF(L515="X___","NOT IN INVENTORY",IF(L515="___X","DIFFERENT NAMES IN FULL INVENTORY AND INVENTORY","")))))</f>
        <v/>
      </c>
    </row>
    <row r="516" spans="1:13" x14ac:dyDescent="0.25">
      <c r="A516" s="5"/>
      <c r="B516" s="4" t="str">
        <f t="shared" si="33"/>
        <v/>
      </c>
      <c r="C516" t="str">
        <f>IF(AND(TRIM(A516)&lt;&gt;"",IFERROR(VLOOKUP(TRIM(B516),Inventory!E:E,1,0),0)=0),"X","_")</f>
        <v>_</v>
      </c>
      <c r="D516" t="str">
        <f>IF(AND(TRIM(A516)&lt;&gt;"",IFERROR(VLOOKUP(TRIM(B516),'Full Inventory'!F:F,1,0),0)=0),"X","_")</f>
        <v>_</v>
      </c>
      <c r="E516" t="str">
        <f t="shared" si="32"/>
        <v>X</v>
      </c>
      <c r="F516" t="str">
        <f ca="1">IFERROR(IF(AND(C516&amp;D516&amp;E516="___",INDIRECT("Inventory!A"&amp;MATCH(VLOOKUP(B516,Inventory!E:E,1,0),Inventory!E:E,0))&lt;&gt;INDIRECT("'Full Inventory'!B"&amp;MATCH(VLOOKUP(B516,'Full Inventory'!F:F,1,0),'Full Inventory'!F:F,0))),"X","_"),"_")</f>
        <v>_</v>
      </c>
      <c r="L516" t="str">
        <f t="shared" ca="1" si="34"/>
        <v>__X_</v>
      </c>
      <c r="M516" t="str">
        <f t="shared" ca="1" si="35"/>
        <v/>
      </c>
    </row>
    <row r="517" spans="1:13" x14ac:dyDescent="0.25">
      <c r="A517" s="5"/>
      <c r="B517" s="4" t="str">
        <f t="shared" si="33"/>
        <v/>
      </c>
      <c r="C517" t="str">
        <f>IF(AND(TRIM(A517)&lt;&gt;"",IFERROR(VLOOKUP(TRIM(B517),Inventory!E:E,1,0),0)=0),"X","_")</f>
        <v>_</v>
      </c>
      <c r="D517" t="str">
        <f>IF(AND(TRIM(A517)&lt;&gt;"",IFERROR(VLOOKUP(TRIM(B517),'Full Inventory'!F:F,1,0),0)=0),"X","_")</f>
        <v>_</v>
      </c>
      <c r="E517" t="str">
        <f t="shared" si="32"/>
        <v>X</v>
      </c>
      <c r="F517" t="str">
        <f ca="1">IFERROR(IF(AND(C517&amp;D517&amp;E517="___",INDIRECT("Inventory!A"&amp;MATCH(VLOOKUP(B517,Inventory!E:E,1,0),Inventory!E:E,0))&lt;&gt;INDIRECT("'Full Inventory'!B"&amp;MATCH(VLOOKUP(B517,'Full Inventory'!F:F,1,0),'Full Inventory'!F:F,0))),"X","_"),"_")</f>
        <v>_</v>
      </c>
      <c r="L517" t="str">
        <f t="shared" ca="1" si="34"/>
        <v>__X_</v>
      </c>
      <c r="M517" t="str">
        <f t="shared" ca="1" si="35"/>
        <v/>
      </c>
    </row>
    <row r="518" spans="1:13" x14ac:dyDescent="0.25">
      <c r="A518" s="5"/>
      <c r="B518" s="4" t="str">
        <f t="shared" si="33"/>
        <v/>
      </c>
      <c r="C518" t="str">
        <f>IF(AND(TRIM(A518)&lt;&gt;"",IFERROR(VLOOKUP(TRIM(B518),Inventory!E:E,1,0),0)=0),"X","_")</f>
        <v>_</v>
      </c>
      <c r="D518" t="str">
        <f>IF(AND(TRIM(A518)&lt;&gt;"",IFERROR(VLOOKUP(TRIM(B518),'Full Inventory'!F:F,1,0),0)=0),"X","_")</f>
        <v>_</v>
      </c>
      <c r="E518" t="str">
        <f t="shared" si="32"/>
        <v>X</v>
      </c>
      <c r="F518" t="str">
        <f ca="1">IFERROR(IF(AND(C518&amp;D518&amp;E518="___",INDIRECT("Inventory!A"&amp;MATCH(VLOOKUP(B518,Inventory!E:E,1,0),Inventory!E:E,0))&lt;&gt;INDIRECT("'Full Inventory'!B"&amp;MATCH(VLOOKUP(B518,'Full Inventory'!F:F,1,0),'Full Inventory'!F:F,0))),"X","_"),"_")</f>
        <v>_</v>
      </c>
      <c r="L518" t="str">
        <f t="shared" ca="1" si="34"/>
        <v>__X_</v>
      </c>
      <c r="M518" t="str">
        <f t="shared" ca="1" si="35"/>
        <v/>
      </c>
    </row>
    <row r="519" spans="1:13" x14ac:dyDescent="0.25">
      <c r="A519" s="5"/>
      <c r="B519" s="4" t="str">
        <f t="shared" si="33"/>
        <v/>
      </c>
      <c r="C519" t="str">
        <f>IF(AND(TRIM(A519)&lt;&gt;"",IFERROR(VLOOKUP(TRIM(B519),Inventory!E:E,1,0),0)=0),"X","_")</f>
        <v>_</v>
      </c>
      <c r="D519" t="str">
        <f>IF(AND(TRIM(A519)&lt;&gt;"",IFERROR(VLOOKUP(TRIM(B519),'Full Inventory'!F:F,1,0),0)=0),"X","_")</f>
        <v>_</v>
      </c>
      <c r="E519" t="str">
        <f t="shared" si="32"/>
        <v>X</v>
      </c>
      <c r="F519" t="str">
        <f ca="1">IFERROR(IF(AND(C519&amp;D519&amp;E519="___",INDIRECT("Inventory!A"&amp;MATCH(VLOOKUP(B519,Inventory!E:E,1,0),Inventory!E:E,0))&lt;&gt;INDIRECT("'Full Inventory'!B"&amp;MATCH(VLOOKUP(B519,'Full Inventory'!F:F,1,0),'Full Inventory'!F:F,0))),"X","_"),"_")</f>
        <v>_</v>
      </c>
      <c r="L519" t="str">
        <f t="shared" ca="1" si="34"/>
        <v>__X_</v>
      </c>
      <c r="M519" t="str">
        <f t="shared" ca="1" si="35"/>
        <v/>
      </c>
    </row>
    <row r="520" spans="1:13" x14ac:dyDescent="0.25">
      <c r="A520" s="5"/>
      <c r="B520" s="4" t="str">
        <f t="shared" si="33"/>
        <v/>
      </c>
      <c r="C520" t="str">
        <f>IF(AND(TRIM(A520)&lt;&gt;"",IFERROR(VLOOKUP(TRIM(B520),Inventory!E:E,1,0),0)=0),"X","_")</f>
        <v>_</v>
      </c>
      <c r="D520" t="str">
        <f>IF(AND(TRIM(A520)&lt;&gt;"",IFERROR(VLOOKUP(TRIM(B520),'Full Inventory'!F:F,1,0),0)=0),"X","_")</f>
        <v>_</v>
      </c>
      <c r="E520" t="str">
        <f t="shared" si="32"/>
        <v>X</v>
      </c>
      <c r="F520" t="str">
        <f ca="1">IFERROR(IF(AND(C520&amp;D520&amp;E520="___",INDIRECT("Inventory!A"&amp;MATCH(VLOOKUP(B520,Inventory!E:E,1,0),Inventory!E:E,0))&lt;&gt;INDIRECT("'Full Inventory'!B"&amp;MATCH(VLOOKUP(B520,'Full Inventory'!F:F,1,0),'Full Inventory'!F:F,0))),"X","_"),"_")</f>
        <v>_</v>
      </c>
      <c r="L520" t="str">
        <f t="shared" ca="1" si="34"/>
        <v>__X_</v>
      </c>
      <c r="M520" t="str">
        <f t="shared" ca="1" si="35"/>
        <v/>
      </c>
    </row>
    <row r="521" spans="1:13" x14ac:dyDescent="0.25">
      <c r="A521" s="5"/>
      <c r="B521" s="4" t="str">
        <f t="shared" si="33"/>
        <v/>
      </c>
      <c r="C521" t="str">
        <f>IF(AND(TRIM(A521)&lt;&gt;"",IFERROR(VLOOKUP(TRIM(B521),Inventory!E:E,1,0),0)=0),"X","_")</f>
        <v>_</v>
      </c>
      <c r="D521" t="str">
        <f>IF(AND(TRIM(A521)&lt;&gt;"",IFERROR(VLOOKUP(TRIM(B521),'Full Inventory'!F:F,1,0),0)=0),"X","_")</f>
        <v>_</v>
      </c>
      <c r="E521" t="str">
        <f t="shared" si="32"/>
        <v>X</v>
      </c>
      <c r="F521" t="str">
        <f ca="1">IFERROR(IF(AND(C521&amp;D521&amp;E521="___",INDIRECT("Inventory!A"&amp;MATCH(VLOOKUP(B521,Inventory!E:E,1,0),Inventory!E:E,0))&lt;&gt;INDIRECT("'Full Inventory'!B"&amp;MATCH(VLOOKUP(B521,'Full Inventory'!F:F,1,0),'Full Inventory'!F:F,0))),"X","_"),"_")</f>
        <v>_</v>
      </c>
      <c r="L521" t="str">
        <f t="shared" ca="1" si="34"/>
        <v>__X_</v>
      </c>
      <c r="M521" t="str">
        <f t="shared" ca="1" si="35"/>
        <v/>
      </c>
    </row>
    <row r="522" spans="1:13" x14ac:dyDescent="0.25">
      <c r="A522" s="5"/>
      <c r="B522" s="4" t="str">
        <f t="shared" si="33"/>
        <v/>
      </c>
      <c r="C522" t="str">
        <f>IF(AND(TRIM(A522)&lt;&gt;"",IFERROR(VLOOKUP(TRIM(B522),Inventory!E:E,1,0),0)=0),"X","_")</f>
        <v>_</v>
      </c>
      <c r="D522" t="str">
        <f>IF(AND(TRIM(A522)&lt;&gt;"",IFERROR(VLOOKUP(TRIM(B522),'Full Inventory'!F:F,1,0),0)=0),"X","_")</f>
        <v>_</v>
      </c>
      <c r="E522" t="str">
        <f t="shared" si="32"/>
        <v>X</v>
      </c>
      <c r="F522" t="str">
        <f ca="1">IFERROR(IF(AND(C522&amp;D522&amp;E522="___",INDIRECT("Inventory!A"&amp;MATCH(VLOOKUP(B522,Inventory!E:E,1,0),Inventory!E:E,0))&lt;&gt;INDIRECT("'Full Inventory'!B"&amp;MATCH(VLOOKUP(B522,'Full Inventory'!F:F,1,0),'Full Inventory'!F:F,0))),"X","_"),"_")</f>
        <v>_</v>
      </c>
      <c r="L522" t="str">
        <f t="shared" ca="1" si="34"/>
        <v>__X_</v>
      </c>
      <c r="M522" t="str">
        <f t="shared" ca="1" si="35"/>
        <v/>
      </c>
    </row>
    <row r="523" spans="1:13" x14ac:dyDescent="0.25">
      <c r="A523" s="5"/>
      <c r="B523" s="4" t="str">
        <f t="shared" si="33"/>
        <v/>
      </c>
      <c r="C523" t="str">
        <f>IF(AND(TRIM(A523)&lt;&gt;"",IFERROR(VLOOKUP(TRIM(B523),Inventory!E:E,1,0),0)=0),"X","_")</f>
        <v>_</v>
      </c>
      <c r="D523" t="str">
        <f>IF(AND(TRIM(A523)&lt;&gt;"",IFERROR(VLOOKUP(TRIM(B523),'Full Inventory'!F:F,1,0),0)=0),"X","_")</f>
        <v>_</v>
      </c>
      <c r="E523" t="str">
        <f t="shared" si="32"/>
        <v>X</v>
      </c>
      <c r="F523" t="str">
        <f ca="1">IFERROR(IF(AND(C523&amp;D523&amp;E523="___",INDIRECT("Inventory!A"&amp;MATCH(VLOOKUP(B523,Inventory!E:E,1,0),Inventory!E:E,0))&lt;&gt;INDIRECT("'Full Inventory'!B"&amp;MATCH(VLOOKUP(B523,'Full Inventory'!F:F,1,0),'Full Inventory'!F:F,0))),"X","_"),"_")</f>
        <v>_</v>
      </c>
      <c r="L523" t="str">
        <f t="shared" ca="1" si="34"/>
        <v>__X_</v>
      </c>
      <c r="M523" t="str">
        <f t="shared" ca="1" si="35"/>
        <v/>
      </c>
    </row>
    <row r="524" spans="1:13" x14ac:dyDescent="0.25">
      <c r="A524" s="5"/>
      <c r="B524" s="4" t="str">
        <f t="shared" si="33"/>
        <v/>
      </c>
      <c r="C524" t="str">
        <f>IF(AND(TRIM(A524)&lt;&gt;"",IFERROR(VLOOKUP(TRIM(B524),Inventory!E:E,1,0),0)=0),"X","_")</f>
        <v>_</v>
      </c>
      <c r="D524" t="str">
        <f>IF(AND(TRIM(A524)&lt;&gt;"",IFERROR(VLOOKUP(TRIM(B524),'Full Inventory'!F:F,1,0),0)=0),"X","_")</f>
        <v>_</v>
      </c>
      <c r="E524" t="str">
        <f t="shared" si="32"/>
        <v>X</v>
      </c>
      <c r="F524" t="str">
        <f ca="1">IFERROR(IF(AND(C524&amp;D524&amp;E524="___",INDIRECT("Inventory!A"&amp;MATCH(VLOOKUP(B524,Inventory!E:E,1,0),Inventory!E:E,0))&lt;&gt;INDIRECT("'Full Inventory'!B"&amp;MATCH(VLOOKUP(B524,'Full Inventory'!F:F,1,0),'Full Inventory'!F:F,0))),"X","_"),"_")</f>
        <v>_</v>
      </c>
      <c r="L524" t="str">
        <f t="shared" ca="1" si="34"/>
        <v>__X_</v>
      </c>
      <c r="M524" t="str">
        <f t="shared" ca="1" si="35"/>
        <v/>
      </c>
    </row>
    <row r="525" spans="1:13" x14ac:dyDescent="0.25">
      <c r="A525" s="5"/>
      <c r="B525" s="4" t="str">
        <f t="shared" si="33"/>
        <v/>
      </c>
      <c r="C525" t="str">
        <f>IF(AND(TRIM(A525)&lt;&gt;"",IFERROR(VLOOKUP(TRIM(B525),Inventory!E:E,1,0),0)=0),"X","_")</f>
        <v>_</v>
      </c>
      <c r="D525" t="str">
        <f>IF(AND(TRIM(A525)&lt;&gt;"",IFERROR(VLOOKUP(TRIM(B525),'Full Inventory'!F:F,1,0),0)=0),"X","_")</f>
        <v>_</v>
      </c>
      <c r="E525" t="str">
        <f t="shared" si="32"/>
        <v>X</v>
      </c>
      <c r="F525" t="str">
        <f ca="1">IFERROR(IF(AND(C525&amp;D525&amp;E525="___",INDIRECT("Inventory!A"&amp;MATCH(VLOOKUP(B525,Inventory!E:E,1,0),Inventory!E:E,0))&lt;&gt;INDIRECT("'Full Inventory'!B"&amp;MATCH(VLOOKUP(B525,'Full Inventory'!F:F,1,0),'Full Inventory'!F:F,0))),"X","_"),"_")</f>
        <v>_</v>
      </c>
      <c r="L525" t="str">
        <f t="shared" ca="1" si="34"/>
        <v>__X_</v>
      </c>
      <c r="M525" t="str">
        <f t="shared" ca="1" si="35"/>
        <v/>
      </c>
    </row>
    <row r="526" spans="1:13" x14ac:dyDescent="0.25">
      <c r="A526" s="5"/>
      <c r="B526" s="4" t="str">
        <f t="shared" si="33"/>
        <v/>
      </c>
      <c r="C526" t="str">
        <f>IF(AND(TRIM(A526)&lt;&gt;"",IFERROR(VLOOKUP(TRIM(B526),Inventory!E:E,1,0),0)=0),"X","_")</f>
        <v>_</v>
      </c>
      <c r="D526" t="str">
        <f>IF(AND(TRIM(A526)&lt;&gt;"",IFERROR(VLOOKUP(TRIM(B526),'Full Inventory'!F:F,1,0),0)=0),"X","_")</f>
        <v>_</v>
      </c>
      <c r="E526" t="str">
        <f t="shared" si="32"/>
        <v>X</v>
      </c>
      <c r="F526" t="str">
        <f ca="1">IFERROR(IF(AND(C526&amp;D526&amp;E526="___",INDIRECT("Inventory!A"&amp;MATCH(VLOOKUP(B526,Inventory!E:E,1,0),Inventory!E:E,0))&lt;&gt;INDIRECT("'Full Inventory'!B"&amp;MATCH(VLOOKUP(B526,'Full Inventory'!F:F,1,0),'Full Inventory'!F:F,0))),"X","_"),"_")</f>
        <v>_</v>
      </c>
      <c r="L526" t="str">
        <f t="shared" ca="1" si="34"/>
        <v>__X_</v>
      </c>
      <c r="M526" t="str">
        <f t="shared" ca="1" si="35"/>
        <v/>
      </c>
    </row>
    <row r="527" spans="1:13" x14ac:dyDescent="0.25">
      <c r="A527" s="5"/>
      <c r="B527" s="4" t="str">
        <f t="shared" si="33"/>
        <v/>
      </c>
      <c r="C527" t="str">
        <f>IF(AND(TRIM(A527)&lt;&gt;"",IFERROR(VLOOKUP(TRIM(B527),Inventory!E:E,1,0),0)=0),"X","_")</f>
        <v>_</v>
      </c>
      <c r="D527" t="str">
        <f>IF(AND(TRIM(A527)&lt;&gt;"",IFERROR(VLOOKUP(TRIM(B527),'Full Inventory'!F:F,1,0),0)=0),"X","_")</f>
        <v>_</v>
      </c>
      <c r="E527" t="str">
        <f t="shared" si="32"/>
        <v>X</v>
      </c>
      <c r="F527" t="str">
        <f ca="1">IFERROR(IF(AND(C527&amp;D527&amp;E527="___",INDIRECT("Inventory!A"&amp;MATCH(VLOOKUP(B527,Inventory!E:E,1,0),Inventory!E:E,0))&lt;&gt;INDIRECT("'Full Inventory'!B"&amp;MATCH(VLOOKUP(B527,'Full Inventory'!F:F,1,0),'Full Inventory'!F:F,0))),"X","_"),"_")</f>
        <v>_</v>
      </c>
      <c r="L527" t="str">
        <f t="shared" ca="1" si="34"/>
        <v>__X_</v>
      </c>
      <c r="M527" t="str">
        <f t="shared" ca="1" si="35"/>
        <v/>
      </c>
    </row>
    <row r="528" spans="1:13" x14ac:dyDescent="0.25">
      <c r="A528" s="5"/>
      <c r="B528" s="4" t="str">
        <f t="shared" si="33"/>
        <v/>
      </c>
      <c r="C528" t="str">
        <f>IF(AND(TRIM(A528)&lt;&gt;"",IFERROR(VLOOKUP(TRIM(B528),Inventory!E:E,1,0),0)=0),"X","_")</f>
        <v>_</v>
      </c>
      <c r="D528" t="str">
        <f>IF(AND(TRIM(A528)&lt;&gt;"",IFERROR(VLOOKUP(TRIM(B528),'Full Inventory'!F:F,1,0),0)=0),"X","_")</f>
        <v>_</v>
      </c>
      <c r="E528" t="str">
        <f t="shared" si="32"/>
        <v>X</v>
      </c>
      <c r="F528" t="str">
        <f ca="1">IFERROR(IF(AND(C528&amp;D528&amp;E528="___",INDIRECT("Inventory!A"&amp;MATCH(VLOOKUP(B528,Inventory!E:E,1,0),Inventory!E:E,0))&lt;&gt;INDIRECT("'Full Inventory'!B"&amp;MATCH(VLOOKUP(B528,'Full Inventory'!F:F,1,0),'Full Inventory'!F:F,0))),"X","_"),"_")</f>
        <v>_</v>
      </c>
      <c r="L528" t="str">
        <f t="shared" ca="1" si="34"/>
        <v>__X_</v>
      </c>
      <c r="M528" t="str">
        <f t="shared" ca="1" si="35"/>
        <v/>
      </c>
    </row>
    <row r="529" spans="1:13" x14ac:dyDescent="0.25">
      <c r="A529" s="5"/>
      <c r="B529" s="4" t="str">
        <f t="shared" si="33"/>
        <v/>
      </c>
      <c r="C529" t="str">
        <f>IF(AND(TRIM(A529)&lt;&gt;"",IFERROR(VLOOKUP(TRIM(B529),Inventory!E:E,1,0),0)=0),"X","_")</f>
        <v>_</v>
      </c>
      <c r="D529" t="str">
        <f>IF(AND(TRIM(A529)&lt;&gt;"",IFERROR(VLOOKUP(TRIM(B529),'Full Inventory'!F:F,1,0),0)=0),"X","_")</f>
        <v>_</v>
      </c>
      <c r="E529" t="str">
        <f t="shared" si="32"/>
        <v>X</v>
      </c>
      <c r="F529" t="str">
        <f ca="1">IFERROR(IF(AND(C529&amp;D529&amp;E529="___",INDIRECT("Inventory!A"&amp;MATCH(VLOOKUP(B529,Inventory!E:E,1,0),Inventory!E:E,0))&lt;&gt;INDIRECT("'Full Inventory'!B"&amp;MATCH(VLOOKUP(B529,'Full Inventory'!F:F,1,0),'Full Inventory'!F:F,0))),"X","_"),"_")</f>
        <v>_</v>
      </c>
      <c r="L529" t="str">
        <f t="shared" ca="1" si="34"/>
        <v>__X_</v>
      </c>
      <c r="M529" t="str">
        <f t="shared" ca="1" si="35"/>
        <v/>
      </c>
    </row>
    <row r="530" spans="1:13" x14ac:dyDescent="0.25">
      <c r="A530" s="5"/>
      <c r="B530" s="4" t="str">
        <f t="shared" si="33"/>
        <v/>
      </c>
      <c r="C530" t="str">
        <f>IF(AND(TRIM(A530)&lt;&gt;"",IFERROR(VLOOKUP(TRIM(B530),Inventory!E:E,1,0),0)=0),"X","_")</f>
        <v>_</v>
      </c>
      <c r="D530" t="str">
        <f>IF(AND(TRIM(A530)&lt;&gt;"",IFERROR(VLOOKUP(TRIM(B530),'Full Inventory'!F:F,1,0),0)=0),"X","_")</f>
        <v>_</v>
      </c>
      <c r="E530" t="str">
        <f t="shared" si="32"/>
        <v>X</v>
      </c>
      <c r="F530" t="str">
        <f ca="1">IFERROR(IF(AND(C530&amp;D530&amp;E530="___",INDIRECT("Inventory!A"&amp;MATCH(VLOOKUP(B530,Inventory!E:E,1,0),Inventory!E:E,0))&lt;&gt;INDIRECT("'Full Inventory'!B"&amp;MATCH(VLOOKUP(B530,'Full Inventory'!F:F,1,0),'Full Inventory'!F:F,0))),"X","_"),"_")</f>
        <v>_</v>
      </c>
      <c r="L530" t="str">
        <f t="shared" ca="1" si="34"/>
        <v>__X_</v>
      </c>
      <c r="M530" t="str">
        <f t="shared" ca="1" si="35"/>
        <v/>
      </c>
    </row>
    <row r="531" spans="1:13" x14ac:dyDescent="0.25">
      <c r="A531" s="5"/>
      <c r="B531" s="4" t="str">
        <f t="shared" si="33"/>
        <v/>
      </c>
      <c r="C531" t="str">
        <f>IF(AND(TRIM(A531)&lt;&gt;"",IFERROR(VLOOKUP(TRIM(B531),Inventory!E:E,1,0),0)=0),"X","_")</f>
        <v>_</v>
      </c>
      <c r="D531" t="str">
        <f>IF(AND(TRIM(A531)&lt;&gt;"",IFERROR(VLOOKUP(TRIM(B531),'Full Inventory'!F:F,1,0),0)=0),"X","_")</f>
        <v>_</v>
      </c>
      <c r="E531" t="str">
        <f t="shared" si="32"/>
        <v>X</v>
      </c>
      <c r="F531" t="str">
        <f ca="1">IFERROR(IF(AND(C531&amp;D531&amp;E531="___",INDIRECT("Inventory!A"&amp;MATCH(VLOOKUP(B531,Inventory!E:E,1,0),Inventory!E:E,0))&lt;&gt;INDIRECT("'Full Inventory'!B"&amp;MATCH(VLOOKUP(B531,'Full Inventory'!F:F,1,0),'Full Inventory'!F:F,0))),"X","_"),"_")</f>
        <v>_</v>
      </c>
      <c r="L531" t="str">
        <f t="shared" ca="1" si="34"/>
        <v>__X_</v>
      </c>
      <c r="M531" t="str">
        <f t="shared" ca="1" si="35"/>
        <v/>
      </c>
    </row>
    <row r="532" spans="1:13" x14ac:dyDescent="0.25">
      <c r="A532" s="5"/>
      <c r="B532" s="4" t="str">
        <f t="shared" si="33"/>
        <v/>
      </c>
      <c r="C532" t="str">
        <f>IF(AND(TRIM(A532)&lt;&gt;"",IFERROR(VLOOKUP(TRIM(B532),Inventory!E:E,1,0),0)=0),"X","_")</f>
        <v>_</v>
      </c>
      <c r="D532" t="str">
        <f>IF(AND(TRIM(A532)&lt;&gt;"",IFERROR(VLOOKUP(TRIM(B532),'Full Inventory'!F:F,1,0),0)=0),"X","_")</f>
        <v>_</v>
      </c>
      <c r="E532" t="str">
        <f t="shared" ref="E532:E595" si="36">IF(TRIM(A532)&lt;&gt;"","_","X")</f>
        <v>X</v>
      </c>
      <c r="F532" t="str">
        <f ca="1">IFERROR(IF(AND(C532&amp;D532&amp;E532="___",INDIRECT("Inventory!A"&amp;MATCH(VLOOKUP(B532,Inventory!E:E,1,0),Inventory!E:E,0))&lt;&gt;INDIRECT("'Full Inventory'!B"&amp;MATCH(VLOOKUP(B532,'Full Inventory'!F:F,1,0),'Full Inventory'!F:F,0))),"X","_"),"_")</f>
        <v>_</v>
      </c>
      <c r="L532" t="str">
        <f t="shared" ca="1" si="34"/>
        <v>__X_</v>
      </c>
      <c r="M532" t="str">
        <f t="shared" ca="1" si="35"/>
        <v/>
      </c>
    </row>
    <row r="533" spans="1:13" x14ac:dyDescent="0.25">
      <c r="A533" s="5"/>
      <c r="B533" s="4" t="str">
        <f t="shared" si="33"/>
        <v/>
      </c>
      <c r="C533" t="str">
        <f>IF(AND(TRIM(A533)&lt;&gt;"",IFERROR(VLOOKUP(TRIM(B533),Inventory!E:E,1,0),0)=0),"X","_")</f>
        <v>_</v>
      </c>
      <c r="D533" t="str">
        <f>IF(AND(TRIM(A533)&lt;&gt;"",IFERROR(VLOOKUP(TRIM(B533),'Full Inventory'!F:F,1,0),0)=0),"X","_")</f>
        <v>_</v>
      </c>
      <c r="E533" t="str">
        <f t="shared" si="36"/>
        <v>X</v>
      </c>
      <c r="F533" t="str">
        <f ca="1">IFERROR(IF(AND(C533&amp;D533&amp;E533="___",INDIRECT("Inventory!A"&amp;MATCH(VLOOKUP(B533,Inventory!E:E,1,0),Inventory!E:E,0))&lt;&gt;INDIRECT("'Full Inventory'!B"&amp;MATCH(VLOOKUP(B533,'Full Inventory'!F:F,1,0),'Full Inventory'!F:F,0))),"X","_"),"_")</f>
        <v>_</v>
      </c>
      <c r="L533" t="str">
        <f t="shared" ca="1" si="34"/>
        <v>__X_</v>
      </c>
      <c r="M533" t="str">
        <f t="shared" ca="1" si="35"/>
        <v/>
      </c>
    </row>
    <row r="534" spans="1:13" x14ac:dyDescent="0.25">
      <c r="A534" s="5"/>
      <c r="B534" s="4" t="str">
        <f t="shared" si="33"/>
        <v/>
      </c>
      <c r="C534" t="str">
        <f>IF(AND(TRIM(A534)&lt;&gt;"",IFERROR(VLOOKUP(TRIM(B534),Inventory!E:E,1,0),0)=0),"X","_")</f>
        <v>_</v>
      </c>
      <c r="D534" t="str">
        <f>IF(AND(TRIM(A534)&lt;&gt;"",IFERROR(VLOOKUP(TRIM(B534),'Full Inventory'!F:F,1,0),0)=0),"X","_")</f>
        <v>_</v>
      </c>
      <c r="E534" t="str">
        <f t="shared" si="36"/>
        <v>X</v>
      </c>
      <c r="F534" t="str">
        <f ca="1">IFERROR(IF(AND(C534&amp;D534&amp;E534="___",INDIRECT("Inventory!A"&amp;MATCH(VLOOKUP(B534,Inventory!E:E,1,0),Inventory!E:E,0))&lt;&gt;INDIRECT("'Full Inventory'!B"&amp;MATCH(VLOOKUP(B534,'Full Inventory'!F:F,1,0),'Full Inventory'!F:F,0))),"X","_"),"_")</f>
        <v>_</v>
      </c>
      <c r="L534" t="str">
        <f t="shared" ca="1" si="34"/>
        <v>__X_</v>
      </c>
      <c r="M534" t="str">
        <f t="shared" ca="1" si="35"/>
        <v/>
      </c>
    </row>
    <row r="535" spans="1:13" x14ac:dyDescent="0.25">
      <c r="A535" s="5"/>
      <c r="B535" s="4" t="str">
        <f t="shared" si="33"/>
        <v/>
      </c>
      <c r="C535" t="str">
        <f>IF(AND(TRIM(A535)&lt;&gt;"",IFERROR(VLOOKUP(TRIM(B535),Inventory!E:E,1,0),0)=0),"X","_")</f>
        <v>_</v>
      </c>
      <c r="D535" t="str">
        <f>IF(AND(TRIM(A535)&lt;&gt;"",IFERROR(VLOOKUP(TRIM(B535),'Full Inventory'!F:F,1,0),0)=0),"X","_")</f>
        <v>_</v>
      </c>
      <c r="E535" t="str">
        <f t="shared" si="36"/>
        <v>X</v>
      </c>
      <c r="F535" t="str">
        <f ca="1">IFERROR(IF(AND(C535&amp;D535&amp;E535="___",INDIRECT("Inventory!A"&amp;MATCH(VLOOKUP(B535,Inventory!E:E,1,0),Inventory!E:E,0))&lt;&gt;INDIRECT("'Full Inventory'!B"&amp;MATCH(VLOOKUP(B535,'Full Inventory'!F:F,1,0),'Full Inventory'!F:F,0))),"X","_"),"_")</f>
        <v>_</v>
      </c>
      <c r="L535" t="str">
        <f t="shared" ca="1" si="34"/>
        <v>__X_</v>
      </c>
      <c r="M535" t="str">
        <f t="shared" ca="1" si="35"/>
        <v/>
      </c>
    </row>
    <row r="536" spans="1:13" x14ac:dyDescent="0.25">
      <c r="A536" s="5"/>
      <c r="B536" s="4" t="str">
        <f t="shared" si="33"/>
        <v/>
      </c>
      <c r="C536" t="str">
        <f>IF(AND(TRIM(A536)&lt;&gt;"",IFERROR(VLOOKUP(TRIM(B536),Inventory!E:E,1,0),0)=0),"X","_")</f>
        <v>_</v>
      </c>
      <c r="D536" t="str">
        <f>IF(AND(TRIM(A536)&lt;&gt;"",IFERROR(VLOOKUP(TRIM(B536),'Full Inventory'!F:F,1,0),0)=0),"X","_")</f>
        <v>_</v>
      </c>
      <c r="E536" t="str">
        <f t="shared" si="36"/>
        <v>X</v>
      </c>
      <c r="F536" t="str">
        <f ca="1">IFERROR(IF(AND(C536&amp;D536&amp;E536="___",INDIRECT("Inventory!A"&amp;MATCH(VLOOKUP(B536,Inventory!E:E,1,0),Inventory!E:E,0))&lt;&gt;INDIRECT("'Full Inventory'!B"&amp;MATCH(VLOOKUP(B536,'Full Inventory'!F:F,1,0),'Full Inventory'!F:F,0))),"X","_"),"_")</f>
        <v>_</v>
      </c>
      <c r="L536" t="str">
        <f t="shared" ca="1" si="34"/>
        <v>__X_</v>
      </c>
      <c r="M536" t="str">
        <f t="shared" ca="1" si="35"/>
        <v/>
      </c>
    </row>
    <row r="537" spans="1:13" x14ac:dyDescent="0.25">
      <c r="A537" s="5"/>
      <c r="B537" s="4" t="str">
        <f t="shared" si="33"/>
        <v/>
      </c>
      <c r="C537" t="str">
        <f>IF(AND(TRIM(A537)&lt;&gt;"",IFERROR(VLOOKUP(TRIM(B537),Inventory!E:E,1,0),0)=0),"X","_")</f>
        <v>_</v>
      </c>
      <c r="D537" t="str">
        <f>IF(AND(TRIM(A537)&lt;&gt;"",IFERROR(VLOOKUP(TRIM(B537),'Full Inventory'!F:F,1,0),0)=0),"X","_")</f>
        <v>_</v>
      </c>
      <c r="E537" t="str">
        <f t="shared" si="36"/>
        <v>X</v>
      </c>
      <c r="F537" t="str">
        <f ca="1">IFERROR(IF(AND(C537&amp;D537&amp;E537="___",INDIRECT("Inventory!A"&amp;MATCH(VLOOKUP(B537,Inventory!E:E,1,0),Inventory!E:E,0))&lt;&gt;INDIRECT("'Full Inventory'!B"&amp;MATCH(VLOOKUP(B537,'Full Inventory'!F:F,1,0),'Full Inventory'!F:F,0))),"X","_"),"_")</f>
        <v>_</v>
      </c>
      <c r="L537" t="str">
        <f t="shared" ca="1" si="34"/>
        <v>__X_</v>
      </c>
      <c r="M537" t="str">
        <f t="shared" ca="1" si="35"/>
        <v/>
      </c>
    </row>
    <row r="538" spans="1:13" x14ac:dyDescent="0.25">
      <c r="A538" s="5"/>
      <c r="B538" s="4" t="str">
        <f t="shared" si="33"/>
        <v/>
      </c>
      <c r="C538" t="str">
        <f>IF(AND(TRIM(A538)&lt;&gt;"",IFERROR(VLOOKUP(TRIM(B538),Inventory!E:E,1,0),0)=0),"X","_")</f>
        <v>_</v>
      </c>
      <c r="D538" t="str">
        <f>IF(AND(TRIM(A538)&lt;&gt;"",IFERROR(VLOOKUP(TRIM(B538),'Full Inventory'!F:F,1,0),0)=0),"X","_")</f>
        <v>_</v>
      </c>
      <c r="E538" t="str">
        <f t="shared" si="36"/>
        <v>X</v>
      </c>
      <c r="F538" t="str">
        <f ca="1">IFERROR(IF(AND(C538&amp;D538&amp;E538="___",INDIRECT("Inventory!A"&amp;MATCH(VLOOKUP(B538,Inventory!E:E,1,0),Inventory!E:E,0))&lt;&gt;INDIRECT("'Full Inventory'!B"&amp;MATCH(VLOOKUP(B538,'Full Inventory'!F:F,1,0),'Full Inventory'!F:F,0))),"X","_"),"_")</f>
        <v>_</v>
      </c>
      <c r="L538" t="str">
        <f t="shared" ca="1" si="34"/>
        <v>__X_</v>
      </c>
      <c r="M538" t="str">
        <f t="shared" ca="1" si="35"/>
        <v/>
      </c>
    </row>
    <row r="539" spans="1:13" x14ac:dyDescent="0.25">
      <c r="A539" s="5"/>
      <c r="B539" s="4" t="str">
        <f t="shared" si="33"/>
        <v/>
      </c>
      <c r="C539" t="str">
        <f>IF(AND(TRIM(A539)&lt;&gt;"",IFERROR(VLOOKUP(TRIM(B539),Inventory!E:E,1,0),0)=0),"X","_")</f>
        <v>_</v>
      </c>
      <c r="D539" t="str">
        <f>IF(AND(TRIM(A539)&lt;&gt;"",IFERROR(VLOOKUP(TRIM(B539),'Full Inventory'!F:F,1,0),0)=0),"X","_")</f>
        <v>_</v>
      </c>
      <c r="E539" t="str">
        <f t="shared" si="36"/>
        <v>X</v>
      </c>
      <c r="F539" t="str">
        <f ca="1">IFERROR(IF(AND(C539&amp;D539&amp;E539="___",INDIRECT("Inventory!A"&amp;MATCH(VLOOKUP(B539,Inventory!E:E,1,0),Inventory!E:E,0))&lt;&gt;INDIRECT("'Full Inventory'!B"&amp;MATCH(VLOOKUP(B539,'Full Inventory'!F:F,1,0),'Full Inventory'!F:F,0))),"X","_"),"_")</f>
        <v>_</v>
      </c>
      <c r="L539" t="str">
        <f t="shared" ca="1" si="34"/>
        <v>__X_</v>
      </c>
      <c r="M539" t="str">
        <f t="shared" ca="1" si="35"/>
        <v/>
      </c>
    </row>
    <row r="540" spans="1:13" x14ac:dyDescent="0.25">
      <c r="A540" s="5"/>
      <c r="B540" s="4" t="str">
        <f t="shared" si="33"/>
        <v/>
      </c>
      <c r="C540" t="str">
        <f>IF(AND(TRIM(A540)&lt;&gt;"",IFERROR(VLOOKUP(TRIM(B540),Inventory!E:E,1,0),0)=0),"X","_")</f>
        <v>_</v>
      </c>
      <c r="D540" t="str">
        <f>IF(AND(TRIM(A540)&lt;&gt;"",IFERROR(VLOOKUP(TRIM(B540),'Full Inventory'!F:F,1,0),0)=0),"X","_")</f>
        <v>_</v>
      </c>
      <c r="E540" t="str">
        <f t="shared" si="36"/>
        <v>X</v>
      </c>
      <c r="F540" t="str">
        <f ca="1">IFERROR(IF(AND(C540&amp;D540&amp;E540="___",INDIRECT("Inventory!A"&amp;MATCH(VLOOKUP(B540,Inventory!E:E,1,0),Inventory!E:E,0))&lt;&gt;INDIRECT("'Full Inventory'!B"&amp;MATCH(VLOOKUP(B540,'Full Inventory'!F:F,1,0),'Full Inventory'!F:F,0))),"X","_"),"_")</f>
        <v>_</v>
      </c>
      <c r="L540" t="str">
        <f t="shared" ca="1" si="34"/>
        <v>__X_</v>
      </c>
      <c r="M540" t="str">
        <f t="shared" ca="1" si="35"/>
        <v/>
      </c>
    </row>
    <row r="541" spans="1:13" x14ac:dyDescent="0.25">
      <c r="A541" s="5"/>
      <c r="B541" s="4" t="str">
        <f t="shared" si="33"/>
        <v/>
      </c>
      <c r="C541" t="str">
        <f>IF(AND(TRIM(A541)&lt;&gt;"",IFERROR(VLOOKUP(TRIM(B541),Inventory!E:E,1,0),0)=0),"X","_")</f>
        <v>_</v>
      </c>
      <c r="D541" t="str">
        <f>IF(AND(TRIM(A541)&lt;&gt;"",IFERROR(VLOOKUP(TRIM(B541),'Full Inventory'!F:F,1,0),0)=0),"X","_")</f>
        <v>_</v>
      </c>
      <c r="E541" t="str">
        <f t="shared" si="36"/>
        <v>X</v>
      </c>
      <c r="F541" t="str">
        <f ca="1">IFERROR(IF(AND(C541&amp;D541&amp;E541="___",INDIRECT("Inventory!A"&amp;MATCH(VLOOKUP(B541,Inventory!E:E,1,0),Inventory!E:E,0))&lt;&gt;INDIRECT("'Full Inventory'!B"&amp;MATCH(VLOOKUP(B541,'Full Inventory'!F:F,1,0),'Full Inventory'!F:F,0))),"X","_"),"_")</f>
        <v>_</v>
      </c>
      <c r="L541" t="str">
        <f t="shared" ca="1" si="34"/>
        <v>__X_</v>
      </c>
      <c r="M541" t="str">
        <f t="shared" ca="1" si="35"/>
        <v/>
      </c>
    </row>
    <row r="542" spans="1:13" x14ac:dyDescent="0.25">
      <c r="A542" s="5"/>
      <c r="B542" s="4" t="str">
        <f t="shared" si="33"/>
        <v/>
      </c>
      <c r="C542" t="str">
        <f>IF(AND(TRIM(A542)&lt;&gt;"",IFERROR(VLOOKUP(TRIM(B542),Inventory!E:E,1,0),0)=0),"X","_")</f>
        <v>_</v>
      </c>
      <c r="D542" t="str">
        <f>IF(AND(TRIM(A542)&lt;&gt;"",IFERROR(VLOOKUP(TRIM(B542),'Full Inventory'!F:F,1,0),0)=0),"X","_")</f>
        <v>_</v>
      </c>
      <c r="E542" t="str">
        <f t="shared" si="36"/>
        <v>X</v>
      </c>
      <c r="F542" t="str">
        <f ca="1">IFERROR(IF(AND(C542&amp;D542&amp;E542="___",INDIRECT("Inventory!A"&amp;MATCH(VLOOKUP(B542,Inventory!E:E,1,0),Inventory!E:E,0))&lt;&gt;INDIRECT("'Full Inventory'!B"&amp;MATCH(VLOOKUP(B542,'Full Inventory'!F:F,1,0),'Full Inventory'!F:F,0))),"X","_"),"_")</f>
        <v>_</v>
      </c>
      <c r="L542" t="str">
        <f t="shared" ca="1" si="34"/>
        <v>__X_</v>
      </c>
      <c r="M542" t="str">
        <f t="shared" ca="1" si="35"/>
        <v/>
      </c>
    </row>
    <row r="543" spans="1:13" x14ac:dyDescent="0.25">
      <c r="A543" s="5"/>
      <c r="B543" s="4" t="str">
        <f t="shared" si="33"/>
        <v/>
      </c>
      <c r="C543" t="str">
        <f>IF(AND(TRIM(A543)&lt;&gt;"",IFERROR(VLOOKUP(TRIM(B543),Inventory!E:E,1,0),0)=0),"X","_")</f>
        <v>_</v>
      </c>
      <c r="D543" t="str">
        <f>IF(AND(TRIM(A543)&lt;&gt;"",IFERROR(VLOOKUP(TRIM(B543),'Full Inventory'!F:F,1,0),0)=0),"X","_")</f>
        <v>_</v>
      </c>
      <c r="E543" t="str">
        <f t="shared" si="36"/>
        <v>X</v>
      </c>
      <c r="F543" t="str">
        <f ca="1">IFERROR(IF(AND(C543&amp;D543&amp;E543="___",INDIRECT("Inventory!A"&amp;MATCH(VLOOKUP(B543,Inventory!E:E,1,0),Inventory!E:E,0))&lt;&gt;INDIRECT("'Full Inventory'!B"&amp;MATCH(VLOOKUP(B543,'Full Inventory'!F:F,1,0),'Full Inventory'!F:F,0))),"X","_"),"_")</f>
        <v>_</v>
      </c>
      <c r="L543" t="str">
        <f t="shared" ca="1" si="34"/>
        <v>__X_</v>
      </c>
      <c r="M543" t="str">
        <f t="shared" ca="1" si="35"/>
        <v/>
      </c>
    </row>
    <row r="544" spans="1:13" x14ac:dyDescent="0.25">
      <c r="A544" s="5"/>
      <c r="B544" s="4" t="str">
        <f t="shared" si="33"/>
        <v/>
      </c>
      <c r="C544" t="str">
        <f>IF(AND(TRIM(A544)&lt;&gt;"",IFERROR(VLOOKUP(TRIM(B544),Inventory!E:E,1,0),0)=0),"X","_")</f>
        <v>_</v>
      </c>
      <c r="D544" t="str">
        <f>IF(AND(TRIM(A544)&lt;&gt;"",IFERROR(VLOOKUP(TRIM(B544),'Full Inventory'!F:F,1,0),0)=0),"X","_")</f>
        <v>_</v>
      </c>
      <c r="E544" t="str">
        <f t="shared" si="36"/>
        <v>X</v>
      </c>
      <c r="F544" t="str">
        <f ca="1">IFERROR(IF(AND(C544&amp;D544&amp;E544="___",INDIRECT("Inventory!A"&amp;MATCH(VLOOKUP(B544,Inventory!E:E,1,0),Inventory!E:E,0))&lt;&gt;INDIRECT("'Full Inventory'!B"&amp;MATCH(VLOOKUP(B544,'Full Inventory'!F:F,1,0),'Full Inventory'!F:F,0))),"X","_"),"_")</f>
        <v>_</v>
      </c>
      <c r="L544" t="str">
        <f t="shared" ca="1" si="34"/>
        <v>__X_</v>
      </c>
      <c r="M544" t="str">
        <f t="shared" ca="1" si="35"/>
        <v/>
      </c>
    </row>
    <row r="545" spans="1:13" x14ac:dyDescent="0.25">
      <c r="A545" s="5"/>
      <c r="B545" s="4" t="str">
        <f t="shared" si="33"/>
        <v/>
      </c>
      <c r="C545" t="str">
        <f>IF(AND(TRIM(A545)&lt;&gt;"",IFERROR(VLOOKUP(TRIM(B545),Inventory!E:E,1,0),0)=0),"X","_")</f>
        <v>_</v>
      </c>
      <c r="D545" t="str">
        <f>IF(AND(TRIM(A545)&lt;&gt;"",IFERROR(VLOOKUP(TRIM(B545),'Full Inventory'!F:F,1,0),0)=0),"X","_")</f>
        <v>_</v>
      </c>
      <c r="E545" t="str">
        <f t="shared" si="36"/>
        <v>X</v>
      </c>
      <c r="F545" t="str">
        <f ca="1">IFERROR(IF(AND(C545&amp;D545&amp;E545="___",INDIRECT("Inventory!A"&amp;MATCH(VLOOKUP(B545,Inventory!E:E,1,0),Inventory!E:E,0))&lt;&gt;INDIRECT("'Full Inventory'!B"&amp;MATCH(VLOOKUP(B545,'Full Inventory'!F:F,1,0),'Full Inventory'!F:F,0))),"X","_"),"_")</f>
        <v>_</v>
      </c>
      <c r="L545" t="str">
        <f t="shared" ca="1" si="34"/>
        <v>__X_</v>
      </c>
      <c r="M545" t="str">
        <f t="shared" ca="1" si="35"/>
        <v/>
      </c>
    </row>
    <row r="546" spans="1:13" x14ac:dyDescent="0.25">
      <c r="A546" s="5"/>
      <c r="B546" s="4" t="str">
        <f t="shared" si="33"/>
        <v/>
      </c>
      <c r="C546" t="str">
        <f>IF(AND(TRIM(A546)&lt;&gt;"",IFERROR(VLOOKUP(TRIM(B546),Inventory!E:E,1,0),0)=0),"X","_")</f>
        <v>_</v>
      </c>
      <c r="D546" t="str">
        <f>IF(AND(TRIM(A546)&lt;&gt;"",IFERROR(VLOOKUP(TRIM(B546),'Full Inventory'!F:F,1,0),0)=0),"X","_")</f>
        <v>_</v>
      </c>
      <c r="E546" t="str">
        <f t="shared" si="36"/>
        <v>X</v>
      </c>
      <c r="F546" t="str">
        <f ca="1">IFERROR(IF(AND(C546&amp;D546&amp;E546="___",INDIRECT("Inventory!A"&amp;MATCH(VLOOKUP(B546,Inventory!E:E,1,0),Inventory!E:E,0))&lt;&gt;INDIRECT("'Full Inventory'!B"&amp;MATCH(VLOOKUP(B546,'Full Inventory'!F:F,1,0),'Full Inventory'!F:F,0))),"X","_"),"_")</f>
        <v>_</v>
      </c>
      <c r="L546" t="str">
        <f t="shared" ca="1" si="34"/>
        <v>__X_</v>
      </c>
      <c r="M546" t="str">
        <f t="shared" ca="1" si="35"/>
        <v/>
      </c>
    </row>
    <row r="547" spans="1:13" x14ac:dyDescent="0.25">
      <c r="A547" s="5"/>
      <c r="B547" s="4" t="str">
        <f t="shared" si="33"/>
        <v/>
      </c>
      <c r="C547" t="str">
        <f>IF(AND(TRIM(A547)&lt;&gt;"",IFERROR(VLOOKUP(TRIM(B547),Inventory!E:E,1,0),0)=0),"X","_")</f>
        <v>_</v>
      </c>
      <c r="D547" t="str">
        <f>IF(AND(TRIM(A547)&lt;&gt;"",IFERROR(VLOOKUP(TRIM(B547),'Full Inventory'!F:F,1,0),0)=0),"X","_")</f>
        <v>_</v>
      </c>
      <c r="E547" t="str">
        <f t="shared" si="36"/>
        <v>X</v>
      </c>
      <c r="F547" t="str">
        <f ca="1">IFERROR(IF(AND(C547&amp;D547&amp;E547="___",INDIRECT("Inventory!A"&amp;MATCH(VLOOKUP(B547,Inventory!E:E,1,0),Inventory!E:E,0))&lt;&gt;INDIRECT("'Full Inventory'!B"&amp;MATCH(VLOOKUP(B547,'Full Inventory'!F:F,1,0),'Full Inventory'!F:F,0))),"X","_"),"_")</f>
        <v>_</v>
      </c>
      <c r="L547" t="str">
        <f t="shared" ca="1" si="34"/>
        <v>__X_</v>
      </c>
      <c r="M547" t="str">
        <f t="shared" ca="1" si="35"/>
        <v/>
      </c>
    </row>
    <row r="548" spans="1:13" x14ac:dyDescent="0.25">
      <c r="A548" s="5"/>
      <c r="B548" s="4" t="str">
        <f t="shared" si="33"/>
        <v/>
      </c>
      <c r="C548" t="str">
        <f>IF(AND(TRIM(A548)&lt;&gt;"",IFERROR(VLOOKUP(TRIM(B548),Inventory!E:E,1,0),0)=0),"X","_")</f>
        <v>_</v>
      </c>
      <c r="D548" t="str">
        <f>IF(AND(TRIM(A548)&lt;&gt;"",IFERROR(VLOOKUP(TRIM(B548),'Full Inventory'!F:F,1,0),0)=0),"X","_")</f>
        <v>_</v>
      </c>
      <c r="E548" t="str">
        <f t="shared" si="36"/>
        <v>X</v>
      </c>
      <c r="F548" t="str">
        <f ca="1">IFERROR(IF(AND(C548&amp;D548&amp;E548="___",INDIRECT("Inventory!A"&amp;MATCH(VLOOKUP(B548,Inventory!E:E,1,0),Inventory!E:E,0))&lt;&gt;INDIRECT("'Full Inventory'!B"&amp;MATCH(VLOOKUP(B548,'Full Inventory'!F:F,1,0),'Full Inventory'!F:F,0))),"X","_"),"_")</f>
        <v>_</v>
      </c>
      <c r="L548" t="str">
        <f t="shared" ca="1" si="34"/>
        <v>__X_</v>
      </c>
      <c r="M548" t="str">
        <f t="shared" ca="1" si="35"/>
        <v/>
      </c>
    </row>
    <row r="549" spans="1:13" x14ac:dyDescent="0.25">
      <c r="A549" s="5"/>
      <c r="B549" s="4" t="str">
        <f t="shared" si="33"/>
        <v/>
      </c>
      <c r="C549" t="str">
        <f>IF(AND(TRIM(A549)&lt;&gt;"",IFERROR(VLOOKUP(TRIM(B549),Inventory!E:E,1,0),0)=0),"X","_")</f>
        <v>_</v>
      </c>
      <c r="D549" t="str">
        <f>IF(AND(TRIM(A549)&lt;&gt;"",IFERROR(VLOOKUP(TRIM(B549),'Full Inventory'!F:F,1,0),0)=0),"X","_")</f>
        <v>_</v>
      </c>
      <c r="E549" t="str">
        <f t="shared" si="36"/>
        <v>X</v>
      </c>
      <c r="F549" t="str">
        <f ca="1">IFERROR(IF(AND(C549&amp;D549&amp;E549="___",INDIRECT("Inventory!A"&amp;MATCH(VLOOKUP(B549,Inventory!E:E,1,0),Inventory!E:E,0))&lt;&gt;INDIRECT("'Full Inventory'!B"&amp;MATCH(VLOOKUP(B549,'Full Inventory'!F:F,1,0),'Full Inventory'!F:F,0))),"X","_"),"_")</f>
        <v>_</v>
      </c>
      <c r="L549" t="str">
        <f t="shared" ca="1" si="34"/>
        <v>__X_</v>
      </c>
      <c r="M549" t="str">
        <f t="shared" ca="1" si="35"/>
        <v/>
      </c>
    </row>
    <row r="550" spans="1:13" x14ac:dyDescent="0.25">
      <c r="A550" s="5"/>
      <c r="B550" s="4" t="str">
        <f t="shared" si="33"/>
        <v/>
      </c>
      <c r="C550" t="str">
        <f>IF(AND(TRIM(A550)&lt;&gt;"",IFERROR(VLOOKUP(TRIM(B550),Inventory!E:E,1,0),0)=0),"X","_")</f>
        <v>_</v>
      </c>
      <c r="D550" t="str">
        <f>IF(AND(TRIM(A550)&lt;&gt;"",IFERROR(VLOOKUP(TRIM(B550),'Full Inventory'!F:F,1,0),0)=0),"X","_")</f>
        <v>_</v>
      </c>
      <c r="E550" t="str">
        <f t="shared" si="36"/>
        <v>X</v>
      </c>
      <c r="F550" t="str">
        <f ca="1">IFERROR(IF(AND(C550&amp;D550&amp;E550="___",INDIRECT("Inventory!A"&amp;MATCH(VLOOKUP(B550,Inventory!E:E,1,0),Inventory!E:E,0))&lt;&gt;INDIRECT("'Full Inventory'!B"&amp;MATCH(VLOOKUP(B550,'Full Inventory'!F:F,1,0),'Full Inventory'!F:F,0))),"X","_"),"_")</f>
        <v>_</v>
      </c>
      <c r="L550" t="str">
        <f t="shared" ca="1" si="34"/>
        <v>__X_</v>
      </c>
      <c r="M550" t="str">
        <f t="shared" ca="1" si="35"/>
        <v/>
      </c>
    </row>
    <row r="551" spans="1:13" x14ac:dyDescent="0.25">
      <c r="A551" s="5"/>
      <c r="B551" s="4" t="str">
        <f t="shared" si="33"/>
        <v/>
      </c>
      <c r="C551" t="str">
        <f>IF(AND(TRIM(A551)&lt;&gt;"",IFERROR(VLOOKUP(TRIM(B551),Inventory!E:E,1,0),0)=0),"X","_")</f>
        <v>_</v>
      </c>
      <c r="D551" t="str">
        <f>IF(AND(TRIM(A551)&lt;&gt;"",IFERROR(VLOOKUP(TRIM(B551),'Full Inventory'!F:F,1,0),0)=0),"X","_")</f>
        <v>_</v>
      </c>
      <c r="E551" t="str">
        <f t="shared" si="36"/>
        <v>X</v>
      </c>
      <c r="F551" t="str">
        <f ca="1">IFERROR(IF(AND(C551&amp;D551&amp;E551="___",INDIRECT("Inventory!A"&amp;MATCH(VLOOKUP(B551,Inventory!E:E,1,0),Inventory!E:E,0))&lt;&gt;INDIRECT("'Full Inventory'!B"&amp;MATCH(VLOOKUP(B551,'Full Inventory'!F:F,1,0),'Full Inventory'!F:F,0))),"X","_"),"_")</f>
        <v>_</v>
      </c>
      <c r="L551" t="str">
        <f t="shared" ca="1" si="34"/>
        <v>__X_</v>
      </c>
      <c r="M551" t="str">
        <f t="shared" ca="1" si="35"/>
        <v/>
      </c>
    </row>
    <row r="552" spans="1:13" x14ac:dyDescent="0.25">
      <c r="A552" s="5"/>
      <c r="B552" s="4" t="str">
        <f t="shared" si="33"/>
        <v/>
      </c>
      <c r="C552" t="str">
        <f>IF(AND(TRIM(A552)&lt;&gt;"",IFERROR(VLOOKUP(TRIM(B552),Inventory!E:E,1,0),0)=0),"X","_")</f>
        <v>_</v>
      </c>
      <c r="D552" t="str">
        <f>IF(AND(TRIM(A552)&lt;&gt;"",IFERROR(VLOOKUP(TRIM(B552),'Full Inventory'!F:F,1,0),0)=0),"X","_")</f>
        <v>_</v>
      </c>
      <c r="E552" t="str">
        <f t="shared" si="36"/>
        <v>X</v>
      </c>
      <c r="F552" t="str">
        <f ca="1">IFERROR(IF(AND(C552&amp;D552&amp;E552="___",INDIRECT("Inventory!A"&amp;MATCH(VLOOKUP(B552,Inventory!E:E,1,0),Inventory!E:E,0))&lt;&gt;INDIRECT("'Full Inventory'!B"&amp;MATCH(VLOOKUP(B552,'Full Inventory'!F:F,1,0),'Full Inventory'!F:F,0))),"X","_"),"_")</f>
        <v>_</v>
      </c>
      <c r="L552" t="str">
        <f t="shared" ca="1" si="34"/>
        <v>__X_</v>
      </c>
      <c r="M552" t="str">
        <f t="shared" ca="1" si="35"/>
        <v/>
      </c>
    </row>
    <row r="553" spans="1:13" x14ac:dyDescent="0.25">
      <c r="A553" s="5"/>
      <c r="B553" s="4" t="str">
        <f t="shared" si="33"/>
        <v/>
      </c>
      <c r="C553" t="str">
        <f>IF(AND(TRIM(A553)&lt;&gt;"",IFERROR(VLOOKUP(TRIM(B553),Inventory!E:E,1,0),0)=0),"X","_")</f>
        <v>_</v>
      </c>
      <c r="D553" t="str">
        <f>IF(AND(TRIM(A553)&lt;&gt;"",IFERROR(VLOOKUP(TRIM(B553),'Full Inventory'!F:F,1,0),0)=0),"X","_")</f>
        <v>_</v>
      </c>
      <c r="E553" t="str">
        <f t="shared" si="36"/>
        <v>X</v>
      </c>
      <c r="F553" t="str">
        <f ca="1">IFERROR(IF(AND(C553&amp;D553&amp;E553="___",INDIRECT("Inventory!A"&amp;MATCH(VLOOKUP(B553,Inventory!E:E,1,0),Inventory!E:E,0))&lt;&gt;INDIRECT("'Full Inventory'!B"&amp;MATCH(VLOOKUP(B553,'Full Inventory'!F:F,1,0),'Full Inventory'!F:F,0))),"X","_"),"_")</f>
        <v>_</v>
      </c>
      <c r="L553" t="str">
        <f t="shared" ca="1" si="34"/>
        <v>__X_</v>
      </c>
      <c r="M553" t="str">
        <f t="shared" ca="1" si="35"/>
        <v/>
      </c>
    </row>
    <row r="554" spans="1:13" x14ac:dyDescent="0.25">
      <c r="A554" s="5"/>
      <c r="B554" s="4" t="str">
        <f t="shared" si="33"/>
        <v/>
      </c>
      <c r="C554" t="str">
        <f>IF(AND(TRIM(A554)&lt;&gt;"",IFERROR(VLOOKUP(TRIM(B554),Inventory!E:E,1,0),0)=0),"X","_")</f>
        <v>_</v>
      </c>
      <c r="D554" t="str">
        <f>IF(AND(TRIM(A554)&lt;&gt;"",IFERROR(VLOOKUP(TRIM(B554),'Full Inventory'!F:F,1,0),0)=0),"X","_")</f>
        <v>_</v>
      </c>
      <c r="E554" t="str">
        <f t="shared" si="36"/>
        <v>X</v>
      </c>
      <c r="F554" t="str">
        <f ca="1">IFERROR(IF(AND(C554&amp;D554&amp;E554="___",INDIRECT("Inventory!A"&amp;MATCH(VLOOKUP(B554,Inventory!E:E,1,0),Inventory!E:E,0))&lt;&gt;INDIRECT("'Full Inventory'!B"&amp;MATCH(VLOOKUP(B554,'Full Inventory'!F:F,1,0),'Full Inventory'!F:F,0))),"X","_"),"_")</f>
        <v>_</v>
      </c>
      <c r="L554" t="str">
        <f t="shared" ca="1" si="34"/>
        <v>__X_</v>
      </c>
      <c r="M554" t="str">
        <f t="shared" ca="1" si="35"/>
        <v/>
      </c>
    </row>
    <row r="555" spans="1:13" x14ac:dyDescent="0.25">
      <c r="A555" s="5"/>
      <c r="B555" s="4" t="str">
        <f t="shared" si="33"/>
        <v/>
      </c>
      <c r="C555" t="str">
        <f>IF(AND(TRIM(A555)&lt;&gt;"",IFERROR(VLOOKUP(TRIM(B555),Inventory!E:E,1,0),0)=0),"X","_")</f>
        <v>_</v>
      </c>
      <c r="D555" t="str">
        <f>IF(AND(TRIM(A555)&lt;&gt;"",IFERROR(VLOOKUP(TRIM(B555),'Full Inventory'!F:F,1,0),0)=0),"X","_")</f>
        <v>_</v>
      </c>
      <c r="E555" t="str">
        <f t="shared" si="36"/>
        <v>X</v>
      </c>
      <c r="F555" t="str">
        <f ca="1">IFERROR(IF(AND(C555&amp;D555&amp;E555="___",INDIRECT("Inventory!A"&amp;MATCH(VLOOKUP(B555,Inventory!E:E,1,0),Inventory!E:E,0))&lt;&gt;INDIRECT("'Full Inventory'!B"&amp;MATCH(VLOOKUP(B555,'Full Inventory'!F:F,1,0),'Full Inventory'!F:F,0))),"X","_"),"_")</f>
        <v>_</v>
      </c>
      <c r="L555" t="str">
        <f t="shared" ca="1" si="34"/>
        <v>__X_</v>
      </c>
      <c r="M555" t="str">
        <f t="shared" ca="1" si="35"/>
        <v/>
      </c>
    </row>
    <row r="556" spans="1:13" x14ac:dyDescent="0.25">
      <c r="A556" s="5"/>
      <c r="B556" s="4" t="str">
        <f t="shared" si="33"/>
        <v/>
      </c>
      <c r="C556" t="str">
        <f>IF(AND(TRIM(A556)&lt;&gt;"",IFERROR(VLOOKUP(TRIM(B556),Inventory!E:E,1,0),0)=0),"X","_")</f>
        <v>_</v>
      </c>
      <c r="D556" t="str">
        <f>IF(AND(TRIM(A556)&lt;&gt;"",IFERROR(VLOOKUP(TRIM(B556),'Full Inventory'!F:F,1,0),0)=0),"X","_")</f>
        <v>_</v>
      </c>
      <c r="E556" t="str">
        <f t="shared" si="36"/>
        <v>X</v>
      </c>
      <c r="F556" t="str">
        <f ca="1">IFERROR(IF(AND(C556&amp;D556&amp;E556="___",INDIRECT("Inventory!A"&amp;MATCH(VLOOKUP(B556,Inventory!E:E,1,0),Inventory!E:E,0))&lt;&gt;INDIRECT("'Full Inventory'!B"&amp;MATCH(VLOOKUP(B556,'Full Inventory'!F:F,1,0),'Full Inventory'!F:F,0))),"X","_"),"_")</f>
        <v>_</v>
      </c>
      <c r="L556" t="str">
        <f t="shared" ca="1" si="34"/>
        <v>__X_</v>
      </c>
      <c r="M556" t="str">
        <f t="shared" ca="1" si="35"/>
        <v/>
      </c>
    </row>
    <row r="557" spans="1:13" x14ac:dyDescent="0.25">
      <c r="A557" s="5"/>
      <c r="B557" s="4" t="str">
        <f t="shared" si="33"/>
        <v/>
      </c>
      <c r="C557" t="str">
        <f>IF(AND(TRIM(A557)&lt;&gt;"",IFERROR(VLOOKUP(TRIM(B557),Inventory!E:E,1,0),0)=0),"X","_")</f>
        <v>_</v>
      </c>
      <c r="D557" t="str">
        <f>IF(AND(TRIM(A557)&lt;&gt;"",IFERROR(VLOOKUP(TRIM(B557),'Full Inventory'!F:F,1,0),0)=0),"X","_")</f>
        <v>_</v>
      </c>
      <c r="E557" t="str">
        <f t="shared" si="36"/>
        <v>X</v>
      </c>
      <c r="F557" t="str">
        <f ca="1">IFERROR(IF(AND(C557&amp;D557&amp;E557="___",INDIRECT("Inventory!A"&amp;MATCH(VLOOKUP(B557,Inventory!E:E,1,0),Inventory!E:E,0))&lt;&gt;INDIRECT("'Full Inventory'!B"&amp;MATCH(VLOOKUP(B557,'Full Inventory'!F:F,1,0),'Full Inventory'!F:F,0))),"X","_"),"_")</f>
        <v>_</v>
      </c>
      <c r="L557" t="str">
        <f t="shared" ca="1" si="34"/>
        <v>__X_</v>
      </c>
      <c r="M557" t="str">
        <f t="shared" ca="1" si="35"/>
        <v/>
      </c>
    </row>
    <row r="558" spans="1:13" x14ac:dyDescent="0.25">
      <c r="A558" s="5"/>
      <c r="B558" s="4" t="str">
        <f t="shared" si="33"/>
        <v/>
      </c>
      <c r="C558" t="str">
        <f>IF(AND(TRIM(A558)&lt;&gt;"",IFERROR(VLOOKUP(TRIM(B558),Inventory!E:E,1,0),0)=0),"X","_")</f>
        <v>_</v>
      </c>
      <c r="D558" t="str">
        <f>IF(AND(TRIM(A558)&lt;&gt;"",IFERROR(VLOOKUP(TRIM(B558),'Full Inventory'!F:F,1,0),0)=0),"X","_")</f>
        <v>_</v>
      </c>
      <c r="E558" t="str">
        <f t="shared" si="36"/>
        <v>X</v>
      </c>
      <c r="F558" t="str">
        <f ca="1">IFERROR(IF(AND(C558&amp;D558&amp;E558="___",INDIRECT("Inventory!A"&amp;MATCH(VLOOKUP(B558,Inventory!E:E,1,0),Inventory!E:E,0))&lt;&gt;INDIRECT("'Full Inventory'!B"&amp;MATCH(VLOOKUP(B558,'Full Inventory'!F:F,1,0),'Full Inventory'!F:F,0))),"X","_"),"_")</f>
        <v>_</v>
      </c>
      <c r="L558" t="str">
        <f t="shared" ca="1" si="34"/>
        <v>__X_</v>
      </c>
      <c r="M558" t="str">
        <f t="shared" ca="1" si="35"/>
        <v/>
      </c>
    </row>
    <row r="559" spans="1:13" x14ac:dyDescent="0.25">
      <c r="A559" s="5"/>
      <c r="B559" s="4" t="str">
        <f t="shared" si="33"/>
        <v/>
      </c>
      <c r="C559" t="str">
        <f>IF(AND(TRIM(A559)&lt;&gt;"",IFERROR(VLOOKUP(TRIM(B559),Inventory!E:E,1,0),0)=0),"X","_")</f>
        <v>_</v>
      </c>
      <c r="D559" t="str">
        <f>IF(AND(TRIM(A559)&lt;&gt;"",IFERROR(VLOOKUP(TRIM(B559),'Full Inventory'!F:F,1,0),0)=0),"X","_")</f>
        <v>_</v>
      </c>
      <c r="E559" t="str">
        <f t="shared" si="36"/>
        <v>X</v>
      </c>
      <c r="F559" t="str">
        <f ca="1">IFERROR(IF(AND(C559&amp;D559&amp;E559="___",INDIRECT("Inventory!A"&amp;MATCH(VLOOKUP(B559,Inventory!E:E,1,0),Inventory!E:E,0))&lt;&gt;INDIRECT("'Full Inventory'!B"&amp;MATCH(VLOOKUP(B559,'Full Inventory'!F:F,1,0),'Full Inventory'!F:F,0))),"X","_"),"_")</f>
        <v>_</v>
      </c>
      <c r="L559" t="str">
        <f t="shared" ca="1" si="34"/>
        <v>__X_</v>
      </c>
      <c r="M559" t="str">
        <f t="shared" ca="1" si="35"/>
        <v/>
      </c>
    </row>
    <row r="560" spans="1:13" x14ac:dyDescent="0.25">
      <c r="A560" s="5"/>
      <c r="B560" s="4" t="str">
        <f t="shared" si="33"/>
        <v/>
      </c>
      <c r="C560" t="str">
        <f>IF(AND(TRIM(A560)&lt;&gt;"",IFERROR(VLOOKUP(TRIM(B560),Inventory!E:E,1,0),0)=0),"X","_")</f>
        <v>_</v>
      </c>
      <c r="D560" t="str">
        <f>IF(AND(TRIM(A560)&lt;&gt;"",IFERROR(VLOOKUP(TRIM(B560),'Full Inventory'!F:F,1,0),0)=0),"X","_")</f>
        <v>_</v>
      </c>
      <c r="E560" t="str">
        <f t="shared" si="36"/>
        <v>X</v>
      </c>
      <c r="F560" t="str">
        <f ca="1">IFERROR(IF(AND(C560&amp;D560&amp;E560="___",INDIRECT("Inventory!A"&amp;MATCH(VLOOKUP(B560,Inventory!E:E,1,0),Inventory!E:E,0))&lt;&gt;INDIRECT("'Full Inventory'!B"&amp;MATCH(VLOOKUP(B560,'Full Inventory'!F:F,1,0),'Full Inventory'!F:F,0))),"X","_"),"_")</f>
        <v>_</v>
      </c>
      <c r="L560" t="str">
        <f t="shared" ca="1" si="34"/>
        <v>__X_</v>
      </c>
      <c r="M560" t="str">
        <f t="shared" ca="1" si="35"/>
        <v/>
      </c>
    </row>
    <row r="561" spans="1:13" x14ac:dyDescent="0.25">
      <c r="A561" s="5"/>
      <c r="B561" s="4" t="str">
        <f t="shared" si="33"/>
        <v/>
      </c>
      <c r="C561" t="str">
        <f>IF(AND(TRIM(A561)&lt;&gt;"",IFERROR(VLOOKUP(TRIM(B561),Inventory!E:E,1,0),0)=0),"X","_")</f>
        <v>_</v>
      </c>
      <c r="D561" t="str">
        <f>IF(AND(TRIM(A561)&lt;&gt;"",IFERROR(VLOOKUP(TRIM(B561),'Full Inventory'!F:F,1,0),0)=0),"X","_")</f>
        <v>_</v>
      </c>
      <c r="E561" t="str">
        <f t="shared" si="36"/>
        <v>X</v>
      </c>
      <c r="F561" t="str">
        <f ca="1">IFERROR(IF(AND(C561&amp;D561&amp;E561="___",INDIRECT("Inventory!A"&amp;MATCH(VLOOKUP(B561,Inventory!E:E,1,0),Inventory!E:E,0))&lt;&gt;INDIRECT("'Full Inventory'!B"&amp;MATCH(VLOOKUP(B561,'Full Inventory'!F:F,1,0),'Full Inventory'!F:F,0))),"X","_"),"_")</f>
        <v>_</v>
      </c>
      <c r="L561" t="str">
        <f t="shared" ca="1" si="34"/>
        <v>__X_</v>
      </c>
      <c r="M561" t="str">
        <f t="shared" ca="1" si="35"/>
        <v/>
      </c>
    </row>
    <row r="562" spans="1:13" x14ac:dyDescent="0.25">
      <c r="A562" s="5"/>
      <c r="B562" s="4" t="str">
        <f t="shared" si="33"/>
        <v/>
      </c>
      <c r="C562" t="str">
        <f>IF(AND(TRIM(A562)&lt;&gt;"",IFERROR(VLOOKUP(TRIM(B562),Inventory!E:E,1,0),0)=0),"X","_")</f>
        <v>_</v>
      </c>
      <c r="D562" t="str">
        <f>IF(AND(TRIM(A562)&lt;&gt;"",IFERROR(VLOOKUP(TRIM(B562),'Full Inventory'!F:F,1,0),0)=0),"X","_")</f>
        <v>_</v>
      </c>
      <c r="E562" t="str">
        <f t="shared" si="36"/>
        <v>X</v>
      </c>
      <c r="F562" t="str">
        <f ca="1">IFERROR(IF(AND(C562&amp;D562&amp;E562="___",INDIRECT("Inventory!A"&amp;MATCH(VLOOKUP(B562,Inventory!E:E,1,0),Inventory!E:E,0))&lt;&gt;INDIRECT("'Full Inventory'!B"&amp;MATCH(VLOOKUP(B562,'Full Inventory'!F:F,1,0),'Full Inventory'!F:F,0))),"X","_"),"_")</f>
        <v>_</v>
      </c>
      <c r="L562" t="str">
        <f t="shared" ca="1" si="34"/>
        <v>__X_</v>
      </c>
      <c r="M562" t="str">
        <f t="shared" ca="1" si="35"/>
        <v/>
      </c>
    </row>
    <row r="563" spans="1:13" x14ac:dyDescent="0.25">
      <c r="A563" s="5"/>
      <c r="B563" s="4" t="str">
        <f t="shared" si="33"/>
        <v/>
      </c>
      <c r="C563" t="str">
        <f>IF(AND(TRIM(A563)&lt;&gt;"",IFERROR(VLOOKUP(TRIM(B563),Inventory!E:E,1,0),0)=0),"X","_")</f>
        <v>_</v>
      </c>
      <c r="D563" t="str">
        <f>IF(AND(TRIM(A563)&lt;&gt;"",IFERROR(VLOOKUP(TRIM(B563),'Full Inventory'!F:F,1,0),0)=0),"X","_")</f>
        <v>_</v>
      </c>
      <c r="E563" t="str">
        <f t="shared" si="36"/>
        <v>X</v>
      </c>
      <c r="F563" t="str">
        <f ca="1">IFERROR(IF(AND(C563&amp;D563&amp;E563="___",INDIRECT("Inventory!A"&amp;MATCH(VLOOKUP(B563,Inventory!E:E,1,0),Inventory!E:E,0))&lt;&gt;INDIRECT("'Full Inventory'!B"&amp;MATCH(VLOOKUP(B563,'Full Inventory'!F:F,1,0),'Full Inventory'!F:F,0))),"X","_"),"_")</f>
        <v>_</v>
      </c>
      <c r="L563" t="str">
        <f t="shared" ca="1" si="34"/>
        <v>__X_</v>
      </c>
      <c r="M563" t="str">
        <f t="shared" ca="1" si="35"/>
        <v/>
      </c>
    </row>
    <row r="564" spans="1:13" x14ac:dyDescent="0.25">
      <c r="A564" s="5"/>
      <c r="B564" s="4" t="str">
        <f t="shared" si="33"/>
        <v/>
      </c>
      <c r="C564" t="str">
        <f>IF(AND(TRIM(A564)&lt;&gt;"",IFERROR(VLOOKUP(TRIM(B564),Inventory!E:E,1,0),0)=0),"X","_")</f>
        <v>_</v>
      </c>
      <c r="D564" t="str">
        <f>IF(AND(TRIM(A564)&lt;&gt;"",IFERROR(VLOOKUP(TRIM(B564),'Full Inventory'!F:F,1,0),0)=0),"X","_")</f>
        <v>_</v>
      </c>
      <c r="E564" t="str">
        <f t="shared" si="36"/>
        <v>X</v>
      </c>
      <c r="F564" t="str">
        <f ca="1">IFERROR(IF(AND(C564&amp;D564&amp;E564="___",INDIRECT("Inventory!A"&amp;MATCH(VLOOKUP(B564,Inventory!E:E,1,0),Inventory!E:E,0))&lt;&gt;INDIRECT("'Full Inventory'!B"&amp;MATCH(VLOOKUP(B564,'Full Inventory'!F:F,1,0),'Full Inventory'!F:F,0))),"X","_"),"_")</f>
        <v>_</v>
      </c>
      <c r="L564" t="str">
        <f t="shared" ca="1" si="34"/>
        <v>__X_</v>
      </c>
      <c r="M564" t="str">
        <f t="shared" ca="1" si="35"/>
        <v/>
      </c>
    </row>
    <row r="565" spans="1:13" x14ac:dyDescent="0.25">
      <c r="A565" s="5"/>
      <c r="B565" s="4" t="str">
        <f t="shared" si="33"/>
        <v/>
      </c>
      <c r="C565" t="str">
        <f>IF(AND(TRIM(A565)&lt;&gt;"",IFERROR(VLOOKUP(TRIM(B565),Inventory!E:E,1,0),0)=0),"X","_")</f>
        <v>_</v>
      </c>
      <c r="D565" t="str">
        <f>IF(AND(TRIM(A565)&lt;&gt;"",IFERROR(VLOOKUP(TRIM(B565),'Full Inventory'!F:F,1,0),0)=0),"X","_")</f>
        <v>_</v>
      </c>
      <c r="E565" t="str">
        <f t="shared" si="36"/>
        <v>X</v>
      </c>
      <c r="F565" t="str">
        <f ca="1">IFERROR(IF(AND(C565&amp;D565&amp;E565="___",INDIRECT("Inventory!A"&amp;MATCH(VLOOKUP(B565,Inventory!E:E,1,0),Inventory!E:E,0))&lt;&gt;INDIRECT("'Full Inventory'!B"&amp;MATCH(VLOOKUP(B565,'Full Inventory'!F:F,1,0),'Full Inventory'!F:F,0))),"X","_"),"_")</f>
        <v>_</v>
      </c>
      <c r="L565" t="str">
        <f t="shared" ca="1" si="34"/>
        <v>__X_</v>
      </c>
      <c r="M565" t="str">
        <f t="shared" ca="1" si="35"/>
        <v/>
      </c>
    </row>
    <row r="566" spans="1:13" x14ac:dyDescent="0.25">
      <c r="A566" s="5"/>
      <c r="B566" s="4" t="str">
        <f t="shared" si="33"/>
        <v/>
      </c>
      <c r="C566" t="str">
        <f>IF(AND(TRIM(A566)&lt;&gt;"",IFERROR(VLOOKUP(TRIM(B566),Inventory!E:E,1,0),0)=0),"X","_")</f>
        <v>_</v>
      </c>
      <c r="D566" t="str">
        <f>IF(AND(TRIM(A566)&lt;&gt;"",IFERROR(VLOOKUP(TRIM(B566),'Full Inventory'!F:F,1,0),0)=0),"X","_")</f>
        <v>_</v>
      </c>
      <c r="E566" t="str">
        <f t="shared" si="36"/>
        <v>X</v>
      </c>
      <c r="F566" t="str">
        <f ca="1">IFERROR(IF(AND(C566&amp;D566&amp;E566="___",INDIRECT("Inventory!A"&amp;MATCH(VLOOKUP(B566,Inventory!E:E,1,0),Inventory!E:E,0))&lt;&gt;INDIRECT("'Full Inventory'!B"&amp;MATCH(VLOOKUP(B566,'Full Inventory'!F:F,1,0),'Full Inventory'!F:F,0))),"X","_"),"_")</f>
        <v>_</v>
      </c>
      <c r="L566" t="str">
        <f t="shared" ca="1" si="34"/>
        <v>__X_</v>
      </c>
      <c r="M566" t="str">
        <f t="shared" ca="1" si="35"/>
        <v/>
      </c>
    </row>
    <row r="567" spans="1:13" x14ac:dyDescent="0.25">
      <c r="A567" s="5"/>
      <c r="B567" s="4" t="str">
        <f t="shared" si="33"/>
        <v/>
      </c>
      <c r="C567" t="str">
        <f>IF(AND(TRIM(A567)&lt;&gt;"",IFERROR(VLOOKUP(TRIM(B567),Inventory!E:E,1,0),0)=0),"X","_")</f>
        <v>_</v>
      </c>
      <c r="D567" t="str">
        <f>IF(AND(TRIM(A567)&lt;&gt;"",IFERROR(VLOOKUP(TRIM(B567),'Full Inventory'!F:F,1,0),0)=0),"X","_")</f>
        <v>_</v>
      </c>
      <c r="E567" t="str">
        <f t="shared" si="36"/>
        <v>X</v>
      </c>
      <c r="F567" t="str">
        <f ca="1">IFERROR(IF(AND(C567&amp;D567&amp;E567="___",INDIRECT("Inventory!A"&amp;MATCH(VLOOKUP(B567,Inventory!E:E,1,0),Inventory!E:E,0))&lt;&gt;INDIRECT("'Full Inventory'!B"&amp;MATCH(VLOOKUP(B567,'Full Inventory'!F:F,1,0),'Full Inventory'!F:F,0))),"X","_"),"_")</f>
        <v>_</v>
      </c>
      <c r="L567" t="str">
        <f t="shared" ca="1" si="34"/>
        <v>__X_</v>
      </c>
      <c r="M567" t="str">
        <f t="shared" ca="1" si="35"/>
        <v/>
      </c>
    </row>
    <row r="568" spans="1:13" x14ac:dyDescent="0.25">
      <c r="A568" s="5"/>
      <c r="B568" s="4" t="str">
        <f t="shared" si="33"/>
        <v/>
      </c>
      <c r="C568" t="str">
        <f>IF(AND(TRIM(A568)&lt;&gt;"",IFERROR(VLOOKUP(TRIM(B568),Inventory!E:E,1,0),0)=0),"X","_")</f>
        <v>_</v>
      </c>
      <c r="D568" t="str">
        <f>IF(AND(TRIM(A568)&lt;&gt;"",IFERROR(VLOOKUP(TRIM(B568),'Full Inventory'!F:F,1,0),0)=0),"X","_")</f>
        <v>_</v>
      </c>
      <c r="E568" t="str">
        <f t="shared" si="36"/>
        <v>X</v>
      </c>
      <c r="F568" t="str">
        <f ca="1">IFERROR(IF(AND(C568&amp;D568&amp;E568="___",INDIRECT("Inventory!A"&amp;MATCH(VLOOKUP(B568,Inventory!E:E,1,0),Inventory!E:E,0))&lt;&gt;INDIRECT("'Full Inventory'!B"&amp;MATCH(VLOOKUP(B568,'Full Inventory'!F:F,1,0),'Full Inventory'!F:F,0))),"X","_"),"_")</f>
        <v>_</v>
      </c>
      <c r="L568" t="str">
        <f t="shared" ca="1" si="34"/>
        <v>__X_</v>
      </c>
      <c r="M568" t="str">
        <f t="shared" ca="1" si="35"/>
        <v/>
      </c>
    </row>
    <row r="569" spans="1:13" x14ac:dyDescent="0.25">
      <c r="A569" s="5"/>
      <c r="B569" s="4" t="str">
        <f t="shared" si="33"/>
        <v/>
      </c>
      <c r="C569" t="str">
        <f>IF(AND(TRIM(A569)&lt;&gt;"",IFERROR(VLOOKUP(TRIM(B569),Inventory!E:E,1,0),0)=0),"X","_")</f>
        <v>_</v>
      </c>
      <c r="D569" t="str">
        <f>IF(AND(TRIM(A569)&lt;&gt;"",IFERROR(VLOOKUP(TRIM(B569),'Full Inventory'!F:F,1,0),0)=0),"X","_")</f>
        <v>_</v>
      </c>
      <c r="E569" t="str">
        <f t="shared" si="36"/>
        <v>X</v>
      </c>
      <c r="F569" t="str">
        <f ca="1">IFERROR(IF(AND(C569&amp;D569&amp;E569="___",INDIRECT("Inventory!A"&amp;MATCH(VLOOKUP(B569,Inventory!E:E,1,0),Inventory!E:E,0))&lt;&gt;INDIRECT("'Full Inventory'!B"&amp;MATCH(VLOOKUP(B569,'Full Inventory'!F:F,1,0),'Full Inventory'!F:F,0))),"X","_"),"_")</f>
        <v>_</v>
      </c>
      <c r="L569" t="str">
        <f t="shared" ca="1" si="34"/>
        <v>__X_</v>
      </c>
      <c r="M569" t="str">
        <f t="shared" ca="1" si="35"/>
        <v/>
      </c>
    </row>
    <row r="570" spans="1:13" x14ac:dyDescent="0.25">
      <c r="A570" s="5"/>
      <c r="B570" s="4" t="str">
        <f t="shared" si="33"/>
        <v/>
      </c>
      <c r="C570" t="str">
        <f>IF(AND(TRIM(A570)&lt;&gt;"",IFERROR(VLOOKUP(TRIM(B570),Inventory!E:E,1,0),0)=0),"X","_")</f>
        <v>_</v>
      </c>
      <c r="D570" t="str">
        <f>IF(AND(TRIM(A570)&lt;&gt;"",IFERROR(VLOOKUP(TRIM(B570),'Full Inventory'!F:F,1,0),0)=0),"X","_")</f>
        <v>_</v>
      </c>
      <c r="E570" t="str">
        <f t="shared" si="36"/>
        <v>X</v>
      </c>
      <c r="F570" t="str">
        <f ca="1">IFERROR(IF(AND(C570&amp;D570&amp;E570="___",INDIRECT("Inventory!A"&amp;MATCH(VLOOKUP(B570,Inventory!E:E,1,0),Inventory!E:E,0))&lt;&gt;INDIRECT("'Full Inventory'!B"&amp;MATCH(VLOOKUP(B570,'Full Inventory'!F:F,1,0),'Full Inventory'!F:F,0))),"X","_"),"_")</f>
        <v>_</v>
      </c>
      <c r="L570" t="str">
        <f t="shared" ca="1" si="34"/>
        <v>__X_</v>
      </c>
      <c r="M570" t="str">
        <f t="shared" ca="1" si="35"/>
        <v/>
      </c>
    </row>
    <row r="571" spans="1:13" x14ac:dyDescent="0.25">
      <c r="A571" s="5"/>
      <c r="B571" s="4" t="str">
        <f t="shared" si="33"/>
        <v/>
      </c>
      <c r="C571" t="str">
        <f>IF(AND(TRIM(A571)&lt;&gt;"",IFERROR(VLOOKUP(TRIM(B571),Inventory!E:E,1,0),0)=0),"X","_")</f>
        <v>_</v>
      </c>
      <c r="D571" t="str">
        <f>IF(AND(TRIM(A571)&lt;&gt;"",IFERROR(VLOOKUP(TRIM(B571),'Full Inventory'!F:F,1,0),0)=0),"X","_")</f>
        <v>_</v>
      </c>
      <c r="E571" t="str">
        <f t="shared" si="36"/>
        <v>X</v>
      </c>
      <c r="F571" t="str">
        <f ca="1">IFERROR(IF(AND(C571&amp;D571&amp;E571="___",INDIRECT("Inventory!A"&amp;MATCH(VLOOKUP(B571,Inventory!E:E,1,0),Inventory!E:E,0))&lt;&gt;INDIRECT("'Full Inventory'!B"&amp;MATCH(VLOOKUP(B571,'Full Inventory'!F:F,1,0),'Full Inventory'!F:F,0))),"X","_"),"_")</f>
        <v>_</v>
      </c>
      <c r="L571" t="str">
        <f t="shared" ca="1" si="34"/>
        <v>__X_</v>
      </c>
      <c r="M571" t="str">
        <f t="shared" ca="1" si="35"/>
        <v/>
      </c>
    </row>
    <row r="572" spans="1:13" x14ac:dyDescent="0.25">
      <c r="A572" s="5"/>
      <c r="B572" s="4" t="str">
        <f t="shared" si="33"/>
        <v/>
      </c>
      <c r="C572" t="str">
        <f>IF(AND(TRIM(A572)&lt;&gt;"",IFERROR(VLOOKUP(TRIM(B572),Inventory!E:E,1,0),0)=0),"X","_")</f>
        <v>_</v>
      </c>
      <c r="D572" t="str">
        <f>IF(AND(TRIM(A572)&lt;&gt;"",IFERROR(VLOOKUP(TRIM(B572),'Full Inventory'!F:F,1,0),0)=0),"X","_")</f>
        <v>_</v>
      </c>
      <c r="E572" t="str">
        <f t="shared" si="36"/>
        <v>X</v>
      </c>
      <c r="F572" t="str">
        <f ca="1">IFERROR(IF(AND(C572&amp;D572&amp;E572="___",INDIRECT("Inventory!A"&amp;MATCH(VLOOKUP(B572,Inventory!E:E,1,0),Inventory!E:E,0))&lt;&gt;INDIRECT("'Full Inventory'!B"&amp;MATCH(VLOOKUP(B572,'Full Inventory'!F:F,1,0),'Full Inventory'!F:F,0))),"X","_"),"_")</f>
        <v>_</v>
      </c>
      <c r="L572" t="str">
        <f t="shared" ca="1" si="34"/>
        <v>__X_</v>
      </c>
      <c r="M572" t="str">
        <f t="shared" ca="1" si="35"/>
        <v/>
      </c>
    </row>
    <row r="573" spans="1:13" x14ac:dyDescent="0.25">
      <c r="A573" s="5"/>
      <c r="B573" s="4" t="str">
        <f t="shared" si="33"/>
        <v/>
      </c>
      <c r="C573" t="str">
        <f>IF(AND(TRIM(A573)&lt;&gt;"",IFERROR(VLOOKUP(TRIM(B573),Inventory!E:E,1,0),0)=0),"X","_")</f>
        <v>_</v>
      </c>
      <c r="D573" t="str">
        <f>IF(AND(TRIM(A573)&lt;&gt;"",IFERROR(VLOOKUP(TRIM(B573),'Full Inventory'!F:F,1,0),0)=0),"X","_")</f>
        <v>_</v>
      </c>
      <c r="E573" t="str">
        <f t="shared" si="36"/>
        <v>X</v>
      </c>
      <c r="F573" t="str">
        <f ca="1">IFERROR(IF(AND(C573&amp;D573&amp;E573="___",INDIRECT("Inventory!A"&amp;MATCH(VLOOKUP(B573,Inventory!E:E,1,0),Inventory!E:E,0))&lt;&gt;INDIRECT("'Full Inventory'!B"&amp;MATCH(VLOOKUP(B573,'Full Inventory'!F:F,1,0),'Full Inventory'!F:F,0))),"X","_"),"_")</f>
        <v>_</v>
      </c>
      <c r="L573" t="str">
        <f t="shared" ca="1" si="34"/>
        <v>__X_</v>
      </c>
      <c r="M573" t="str">
        <f t="shared" ca="1" si="35"/>
        <v/>
      </c>
    </row>
    <row r="574" spans="1:13" x14ac:dyDescent="0.25">
      <c r="A574" s="5"/>
      <c r="B574" s="4" t="str">
        <f t="shared" si="33"/>
        <v/>
      </c>
      <c r="C574" t="str">
        <f>IF(AND(TRIM(A574)&lt;&gt;"",IFERROR(VLOOKUP(TRIM(B574),Inventory!E:E,1,0),0)=0),"X","_")</f>
        <v>_</v>
      </c>
      <c r="D574" t="str">
        <f>IF(AND(TRIM(A574)&lt;&gt;"",IFERROR(VLOOKUP(TRIM(B574),'Full Inventory'!F:F,1,0),0)=0),"X","_")</f>
        <v>_</v>
      </c>
      <c r="E574" t="str">
        <f t="shared" si="36"/>
        <v>X</v>
      </c>
      <c r="F574" t="str">
        <f ca="1">IFERROR(IF(AND(C574&amp;D574&amp;E574="___",INDIRECT("Inventory!A"&amp;MATCH(VLOOKUP(B574,Inventory!E:E,1,0),Inventory!E:E,0))&lt;&gt;INDIRECT("'Full Inventory'!B"&amp;MATCH(VLOOKUP(B574,'Full Inventory'!F:F,1,0),'Full Inventory'!F:F,0))),"X","_"),"_")</f>
        <v>_</v>
      </c>
      <c r="L574" t="str">
        <f t="shared" ca="1" si="34"/>
        <v>__X_</v>
      </c>
      <c r="M574" t="str">
        <f t="shared" ca="1" si="35"/>
        <v/>
      </c>
    </row>
    <row r="575" spans="1:13" x14ac:dyDescent="0.25">
      <c r="A575" s="5"/>
      <c r="B575" s="4" t="str">
        <f t="shared" si="33"/>
        <v/>
      </c>
      <c r="C575" t="str">
        <f>IF(AND(TRIM(A575)&lt;&gt;"",IFERROR(VLOOKUP(TRIM(B575),Inventory!E:E,1,0),0)=0),"X","_")</f>
        <v>_</v>
      </c>
      <c r="D575" t="str">
        <f>IF(AND(TRIM(A575)&lt;&gt;"",IFERROR(VLOOKUP(TRIM(B575),'Full Inventory'!F:F,1,0),0)=0),"X","_")</f>
        <v>_</v>
      </c>
      <c r="E575" t="str">
        <f t="shared" si="36"/>
        <v>X</v>
      </c>
      <c r="F575" t="str">
        <f ca="1">IFERROR(IF(AND(C575&amp;D575&amp;E575="___",INDIRECT("Inventory!A"&amp;MATCH(VLOOKUP(B575,Inventory!E:E,1,0),Inventory!E:E,0))&lt;&gt;INDIRECT("'Full Inventory'!B"&amp;MATCH(VLOOKUP(B575,'Full Inventory'!F:F,1,0),'Full Inventory'!F:F,0))),"X","_"),"_")</f>
        <v>_</v>
      </c>
      <c r="L575" t="str">
        <f t="shared" ca="1" si="34"/>
        <v>__X_</v>
      </c>
      <c r="M575" t="str">
        <f t="shared" ca="1" si="35"/>
        <v/>
      </c>
    </row>
    <row r="576" spans="1:13" x14ac:dyDescent="0.25">
      <c r="A576" s="5"/>
      <c r="B576" s="4" t="str">
        <f t="shared" si="33"/>
        <v/>
      </c>
      <c r="C576" t="str">
        <f>IF(AND(TRIM(A576)&lt;&gt;"",IFERROR(VLOOKUP(TRIM(B576),Inventory!E:E,1,0),0)=0),"X","_")</f>
        <v>_</v>
      </c>
      <c r="D576" t="str">
        <f>IF(AND(TRIM(A576)&lt;&gt;"",IFERROR(VLOOKUP(TRIM(B576),'Full Inventory'!F:F,1,0),0)=0),"X","_")</f>
        <v>_</v>
      </c>
      <c r="E576" t="str">
        <f t="shared" si="36"/>
        <v>X</v>
      </c>
      <c r="F576" t="str">
        <f ca="1">IFERROR(IF(AND(C576&amp;D576&amp;E576="___",INDIRECT("Inventory!A"&amp;MATCH(VLOOKUP(B576,Inventory!E:E,1,0),Inventory!E:E,0))&lt;&gt;INDIRECT("'Full Inventory'!B"&amp;MATCH(VLOOKUP(B576,'Full Inventory'!F:F,1,0),'Full Inventory'!F:F,0))),"X","_"),"_")</f>
        <v>_</v>
      </c>
      <c r="L576" t="str">
        <f t="shared" ca="1" si="34"/>
        <v>__X_</v>
      </c>
      <c r="M576" t="str">
        <f t="shared" ca="1" si="35"/>
        <v/>
      </c>
    </row>
    <row r="577" spans="1:13" x14ac:dyDescent="0.25">
      <c r="A577" s="5"/>
      <c r="B577" s="4" t="str">
        <f t="shared" si="33"/>
        <v/>
      </c>
      <c r="C577" t="str">
        <f>IF(AND(TRIM(A577)&lt;&gt;"",IFERROR(VLOOKUP(TRIM(B577),Inventory!E:E,1,0),0)=0),"X","_")</f>
        <v>_</v>
      </c>
      <c r="D577" t="str">
        <f>IF(AND(TRIM(A577)&lt;&gt;"",IFERROR(VLOOKUP(TRIM(B577),'Full Inventory'!F:F,1,0),0)=0),"X","_")</f>
        <v>_</v>
      </c>
      <c r="E577" t="str">
        <f t="shared" si="36"/>
        <v>X</v>
      </c>
      <c r="F577" t="str">
        <f ca="1">IFERROR(IF(AND(C577&amp;D577&amp;E577="___",INDIRECT("Inventory!A"&amp;MATCH(VLOOKUP(B577,Inventory!E:E,1,0),Inventory!E:E,0))&lt;&gt;INDIRECT("'Full Inventory'!B"&amp;MATCH(VLOOKUP(B577,'Full Inventory'!F:F,1,0),'Full Inventory'!F:F,0))),"X","_"),"_")</f>
        <v>_</v>
      </c>
      <c r="L577" t="str">
        <f t="shared" ca="1" si="34"/>
        <v>__X_</v>
      </c>
      <c r="M577" t="str">
        <f t="shared" ca="1" si="35"/>
        <v/>
      </c>
    </row>
    <row r="578" spans="1:13" x14ac:dyDescent="0.25">
      <c r="A578" s="5"/>
      <c r="B578" s="4" t="str">
        <f t="shared" si="33"/>
        <v/>
      </c>
      <c r="C578" t="str">
        <f>IF(AND(TRIM(A578)&lt;&gt;"",IFERROR(VLOOKUP(TRIM(B578),Inventory!E:E,1,0),0)=0),"X","_")</f>
        <v>_</v>
      </c>
      <c r="D578" t="str">
        <f>IF(AND(TRIM(A578)&lt;&gt;"",IFERROR(VLOOKUP(TRIM(B578),'Full Inventory'!F:F,1,0),0)=0),"X","_")</f>
        <v>_</v>
      </c>
      <c r="E578" t="str">
        <f t="shared" si="36"/>
        <v>X</v>
      </c>
      <c r="F578" t="str">
        <f ca="1">IFERROR(IF(AND(C578&amp;D578&amp;E578="___",INDIRECT("Inventory!A"&amp;MATCH(VLOOKUP(B578,Inventory!E:E,1,0),Inventory!E:E,0))&lt;&gt;INDIRECT("'Full Inventory'!B"&amp;MATCH(VLOOKUP(B578,'Full Inventory'!F:F,1,0),'Full Inventory'!F:F,0))),"X","_"),"_")</f>
        <v>_</v>
      </c>
      <c r="L578" t="str">
        <f t="shared" ca="1" si="34"/>
        <v>__X_</v>
      </c>
      <c r="M578" t="str">
        <f t="shared" ca="1" si="35"/>
        <v/>
      </c>
    </row>
    <row r="579" spans="1:13" x14ac:dyDescent="0.25">
      <c r="A579" s="5"/>
      <c r="B579" s="4" t="str">
        <f t="shared" ref="B579:B642" si="37">SUBSTITUTE(SUBSTITUTE(A579,"ö","0"),"Ö","0")</f>
        <v/>
      </c>
      <c r="C579" t="str">
        <f>IF(AND(TRIM(A579)&lt;&gt;"",IFERROR(VLOOKUP(TRIM(B579),Inventory!E:E,1,0),0)=0),"X","_")</f>
        <v>_</v>
      </c>
      <c r="D579" t="str">
        <f>IF(AND(TRIM(A579)&lt;&gt;"",IFERROR(VLOOKUP(TRIM(B579),'Full Inventory'!F:F,1,0),0)=0),"X","_")</f>
        <v>_</v>
      </c>
      <c r="E579" t="str">
        <f t="shared" si="36"/>
        <v>X</v>
      </c>
      <c r="F579" t="str">
        <f ca="1">IFERROR(IF(AND(C579&amp;D579&amp;E579="___",INDIRECT("Inventory!A"&amp;MATCH(VLOOKUP(B579,Inventory!E:E,1,0),Inventory!E:E,0))&lt;&gt;INDIRECT("'Full Inventory'!B"&amp;MATCH(VLOOKUP(B579,'Full Inventory'!F:F,1,0),'Full Inventory'!F:F,0))),"X","_"),"_")</f>
        <v>_</v>
      </c>
      <c r="L579" t="str">
        <f t="shared" ref="L579:L642" ca="1" si="38">C579&amp;D579&amp;E579&amp;F579</f>
        <v>__X_</v>
      </c>
      <c r="M579" t="str">
        <f t="shared" ref="M579:M642" ca="1" si="39">IF(L579="____","OK",IF(L579="_X__","NOT IN FULL INVENTORY",IF(L579="XX__","NOT IN FULL INVENTORY AND INVENTORY",IF(L579="X___","NOT IN INVENTORY",IF(L579="___X","DIFFERENT NAMES IN FULL INVENTORY AND INVENTORY","")))))</f>
        <v/>
      </c>
    </row>
    <row r="580" spans="1:13" x14ac:dyDescent="0.25">
      <c r="A580" s="5"/>
      <c r="B580" s="4" t="str">
        <f t="shared" si="37"/>
        <v/>
      </c>
      <c r="C580" t="str">
        <f>IF(AND(TRIM(A580)&lt;&gt;"",IFERROR(VLOOKUP(TRIM(B580),Inventory!E:E,1,0),0)=0),"X","_")</f>
        <v>_</v>
      </c>
      <c r="D580" t="str">
        <f>IF(AND(TRIM(A580)&lt;&gt;"",IFERROR(VLOOKUP(TRIM(B580),'Full Inventory'!F:F,1,0),0)=0),"X","_")</f>
        <v>_</v>
      </c>
      <c r="E580" t="str">
        <f t="shared" si="36"/>
        <v>X</v>
      </c>
      <c r="F580" t="str">
        <f ca="1">IFERROR(IF(AND(C580&amp;D580&amp;E580="___",INDIRECT("Inventory!A"&amp;MATCH(VLOOKUP(B580,Inventory!E:E,1,0),Inventory!E:E,0))&lt;&gt;INDIRECT("'Full Inventory'!B"&amp;MATCH(VLOOKUP(B580,'Full Inventory'!F:F,1,0),'Full Inventory'!F:F,0))),"X","_"),"_")</f>
        <v>_</v>
      </c>
      <c r="L580" t="str">
        <f t="shared" ca="1" si="38"/>
        <v>__X_</v>
      </c>
      <c r="M580" t="str">
        <f t="shared" ca="1" si="39"/>
        <v/>
      </c>
    </row>
    <row r="581" spans="1:13" x14ac:dyDescent="0.25">
      <c r="A581" s="5"/>
      <c r="B581" s="4" t="str">
        <f t="shared" si="37"/>
        <v/>
      </c>
      <c r="C581" t="str">
        <f>IF(AND(TRIM(A581)&lt;&gt;"",IFERROR(VLOOKUP(TRIM(B581),Inventory!E:E,1,0),0)=0),"X","_")</f>
        <v>_</v>
      </c>
      <c r="D581" t="str">
        <f>IF(AND(TRIM(A581)&lt;&gt;"",IFERROR(VLOOKUP(TRIM(B581),'Full Inventory'!F:F,1,0),0)=0),"X","_")</f>
        <v>_</v>
      </c>
      <c r="E581" t="str">
        <f t="shared" si="36"/>
        <v>X</v>
      </c>
      <c r="F581" t="str">
        <f ca="1">IFERROR(IF(AND(C581&amp;D581&amp;E581="___",INDIRECT("Inventory!A"&amp;MATCH(VLOOKUP(B581,Inventory!E:E,1,0),Inventory!E:E,0))&lt;&gt;INDIRECT("'Full Inventory'!B"&amp;MATCH(VLOOKUP(B581,'Full Inventory'!F:F,1,0),'Full Inventory'!F:F,0))),"X","_"),"_")</f>
        <v>_</v>
      </c>
      <c r="L581" t="str">
        <f t="shared" ca="1" si="38"/>
        <v>__X_</v>
      </c>
      <c r="M581" t="str">
        <f t="shared" ca="1" si="39"/>
        <v/>
      </c>
    </row>
    <row r="582" spans="1:13" x14ac:dyDescent="0.25">
      <c r="A582" s="5"/>
      <c r="B582" s="4" t="str">
        <f t="shared" si="37"/>
        <v/>
      </c>
      <c r="C582" t="str">
        <f>IF(AND(TRIM(A582)&lt;&gt;"",IFERROR(VLOOKUP(TRIM(B582),Inventory!E:E,1,0),0)=0),"X","_")</f>
        <v>_</v>
      </c>
      <c r="D582" t="str">
        <f>IF(AND(TRIM(A582)&lt;&gt;"",IFERROR(VLOOKUP(TRIM(B582),'Full Inventory'!F:F,1,0),0)=0),"X","_")</f>
        <v>_</v>
      </c>
      <c r="E582" t="str">
        <f t="shared" si="36"/>
        <v>X</v>
      </c>
      <c r="F582" t="str">
        <f ca="1">IFERROR(IF(AND(C582&amp;D582&amp;E582="___",INDIRECT("Inventory!A"&amp;MATCH(VLOOKUP(B582,Inventory!E:E,1,0),Inventory!E:E,0))&lt;&gt;INDIRECT("'Full Inventory'!B"&amp;MATCH(VLOOKUP(B582,'Full Inventory'!F:F,1,0),'Full Inventory'!F:F,0))),"X","_"),"_")</f>
        <v>_</v>
      </c>
      <c r="L582" t="str">
        <f t="shared" ca="1" si="38"/>
        <v>__X_</v>
      </c>
      <c r="M582" t="str">
        <f t="shared" ca="1" si="39"/>
        <v/>
      </c>
    </row>
    <row r="583" spans="1:13" x14ac:dyDescent="0.25">
      <c r="A583" s="5"/>
      <c r="B583" s="4" t="str">
        <f t="shared" si="37"/>
        <v/>
      </c>
      <c r="C583" t="str">
        <f>IF(AND(TRIM(A583)&lt;&gt;"",IFERROR(VLOOKUP(TRIM(B583),Inventory!E:E,1,0),0)=0),"X","_")</f>
        <v>_</v>
      </c>
      <c r="D583" t="str">
        <f>IF(AND(TRIM(A583)&lt;&gt;"",IFERROR(VLOOKUP(TRIM(B583),'Full Inventory'!F:F,1,0),0)=0),"X","_")</f>
        <v>_</v>
      </c>
      <c r="E583" t="str">
        <f t="shared" si="36"/>
        <v>X</v>
      </c>
      <c r="F583" t="str">
        <f ca="1">IFERROR(IF(AND(C583&amp;D583&amp;E583="___",INDIRECT("Inventory!A"&amp;MATCH(VLOOKUP(B583,Inventory!E:E,1,0),Inventory!E:E,0))&lt;&gt;INDIRECT("'Full Inventory'!B"&amp;MATCH(VLOOKUP(B583,'Full Inventory'!F:F,1,0),'Full Inventory'!F:F,0))),"X","_"),"_")</f>
        <v>_</v>
      </c>
      <c r="L583" t="str">
        <f t="shared" ca="1" si="38"/>
        <v>__X_</v>
      </c>
      <c r="M583" t="str">
        <f t="shared" ca="1" si="39"/>
        <v/>
      </c>
    </row>
    <row r="584" spans="1:13" x14ac:dyDescent="0.25">
      <c r="A584" s="5"/>
      <c r="B584" s="4" t="str">
        <f t="shared" si="37"/>
        <v/>
      </c>
      <c r="C584" t="str">
        <f>IF(AND(TRIM(A584)&lt;&gt;"",IFERROR(VLOOKUP(TRIM(B584),Inventory!E:E,1,0),0)=0),"X","_")</f>
        <v>_</v>
      </c>
      <c r="D584" t="str">
        <f>IF(AND(TRIM(A584)&lt;&gt;"",IFERROR(VLOOKUP(TRIM(B584),'Full Inventory'!F:F,1,0),0)=0),"X","_")</f>
        <v>_</v>
      </c>
      <c r="E584" t="str">
        <f t="shared" si="36"/>
        <v>X</v>
      </c>
      <c r="F584" t="str">
        <f ca="1">IFERROR(IF(AND(C584&amp;D584&amp;E584="___",INDIRECT("Inventory!A"&amp;MATCH(VLOOKUP(B584,Inventory!E:E,1,0),Inventory!E:E,0))&lt;&gt;INDIRECT("'Full Inventory'!B"&amp;MATCH(VLOOKUP(B584,'Full Inventory'!F:F,1,0),'Full Inventory'!F:F,0))),"X","_"),"_")</f>
        <v>_</v>
      </c>
      <c r="L584" t="str">
        <f t="shared" ca="1" si="38"/>
        <v>__X_</v>
      </c>
      <c r="M584" t="str">
        <f t="shared" ca="1" si="39"/>
        <v/>
      </c>
    </row>
    <row r="585" spans="1:13" x14ac:dyDescent="0.25">
      <c r="A585" s="5"/>
      <c r="B585" s="4" t="str">
        <f t="shared" si="37"/>
        <v/>
      </c>
      <c r="C585" t="str">
        <f>IF(AND(TRIM(A585)&lt;&gt;"",IFERROR(VLOOKUP(TRIM(B585),Inventory!E:E,1,0),0)=0),"X","_")</f>
        <v>_</v>
      </c>
      <c r="D585" t="str">
        <f>IF(AND(TRIM(A585)&lt;&gt;"",IFERROR(VLOOKUP(TRIM(B585),'Full Inventory'!F:F,1,0),0)=0),"X","_")</f>
        <v>_</v>
      </c>
      <c r="E585" t="str">
        <f t="shared" si="36"/>
        <v>X</v>
      </c>
      <c r="F585" t="str">
        <f ca="1">IFERROR(IF(AND(C585&amp;D585&amp;E585="___",INDIRECT("Inventory!A"&amp;MATCH(VLOOKUP(B585,Inventory!E:E,1,0),Inventory!E:E,0))&lt;&gt;INDIRECT("'Full Inventory'!B"&amp;MATCH(VLOOKUP(B585,'Full Inventory'!F:F,1,0),'Full Inventory'!F:F,0))),"X","_"),"_")</f>
        <v>_</v>
      </c>
      <c r="L585" t="str">
        <f t="shared" ca="1" si="38"/>
        <v>__X_</v>
      </c>
      <c r="M585" t="str">
        <f t="shared" ca="1" si="39"/>
        <v/>
      </c>
    </row>
    <row r="586" spans="1:13" x14ac:dyDescent="0.25">
      <c r="A586" s="5"/>
      <c r="B586" s="4" t="str">
        <f t="shared" si="37"/>
        <v/>
      </c>
      <c r="C586" t="str">
        <f>IF(AND(TRIM(A586)&lt;&gt;"",IFERROR(VLOOKUP(TRIM(B586),Inventory!E:E,1,0),0)=0),"X","_")</f>
        <v>_</v>
      </c>
      <c r="D586" t="str">
        <f>IF(AND(TRIM(A586)&lt;&gt;"",IFERROR(VLOOKUP(TRIM(B586),'Full Inventory'!F:F,1,0),0)=0),"X","_")</f>
        <v>_</v>
      </c>
      <c r="E586" t="str">
        <f t="shared" si="36"/>
        <v>X</v>
      </c>
      <c r="F586" t="str">
        <f ca="1">IFERROR(IF(AND(C586&amp;D586&amp;E586="___",INDIRECT("Inventory!A"&amp;MATCH(VLOOKUP(B586,Inventory!E:E,1,0),Inventory!E:E,0))&lt;&gt;INDIRECT("'Full Inventory'!B"&amp;MATCH(VLOOKUP(B586,'Full Inventory'!F:F,1,0),'Full Inventory'!F:F,0))),"X","_"),"_")</f>
        <v>_</v>
      </c>
      <c r="L586" t="str">
        <f t="shared" ca="1" si="38"/>
        <v>__X_</v>
      </c>
      <c r="M586" t="str">
        <f t="shared" ca="1" si="39"/>
        <v/>
      </c>
    </row>
    <row r="587" spans="1:13" x14ac:dyDescent="0.25">
      <c r="A587" s="5"/>
      <c r="B587" s="4" t="str">
        <f t="shared" si="37"/>
        <v/>
      </c>
      <c r="C587" t="str">
        <f>IF(AND(TRIM(A587)&lt;&gt;"",IFERROR(VLOOKUP(TRIM(B587),Inventory!E:E,1,0),0)=0),"X","_")</f>
        <v>_</v>
      </c>
      <c r="D587" t="str">
        <f>IF(AND(TRIM(A587)&lt;&gt;"",IFERROR(VLOOKUP(TRIM(B587),'Full Inventory'!F:F,1,0),0)=0),"X","_")</f>
        <v>_</v>
      </c>
      <c r="E587" t="str">
        <f t="shared" si="36"/>
        <v>X</v>
      </c>
      <c r="F587" t="str">
        <f ca="1">IFERROR(IF(AND(C587&amp;D587&amp;E587="___",INDIRECT("Inventory!A"&amp;MATCH(VLOOKUP(B587,Inventory!E:E,1,0),Inventory!E:E,0))&lt;&gt;INDIRECT("'Full Inventory'!B"&amp;MATCH(VLOOKUP(B587,'Full Inventory'!F:F,1,0),'Full Inventory'!F:F,0))),"X","_"),"_")</f>
        <v>_</v>
      </c>
      <c r="L587" t="str">
        <f t="shared" ca="1" si="38"/>
        <v>__X_</v>
      </c>
      <c r="M587" t="str">
        <f t="shared" ca="1" si="39"/>
        <v/>
      </c>
    </row>
    <row r="588" spans="1:13" x14ac:dyDescent="0.25">
      <c r="A588" s="5"/>
      <c r="B588" s="4" t="str">
        <f t="shared" si="37"/>
        <v/>
      </c>
      <c r="C588" t="str">
        <f>IF(AND(TRIM(A588)&lt;&gt;"",IFERROR(VLOOKUP(TRIM(B588),Inventory!E:E,1,0),0)=0),"X","_")</f>
        <v>_</v>
      </c>
      <c r="D588" t="str">
        <f>IF(AND(TRIM(A588)&lt;&gt;"",IFERROR(VLOOKUP(TRIM(B588),'Full Inventory'!F:F,1,0),0)=0),"X","_")</f>
        <v>_</v>
      </c>
      <c r="E588" t="str">
        <f t="shared" si="36"/>
        <v>X</v>
      </c>
      <c r="F588" t="str">
        <f ca="1">IFERROR(IF(AND(C588&amp;D588&amp;E588="___",INDIRECT("Inventory!A"&amp;MATCH(VLOOKUP(B588,Inventory!E:E,1,0),Inventory!E:E,0))&lt;&gt;INDIRECT("'Full Inventory'!B"&amp;MATCH(VLOOKUP(B588,'Full Inventory'!F:F,1,0),'Full Inventory'!F:F,0))),"X","_"),"_")</f>
        <v>_</v>
      </c>
      <c r="L588" t="str">
        <f t="shared" ca="1" si="38"/>
        <v>__X_</v>
      </c>
      <c r="M588" t="str">
        <f t="shared" ca="1" si="39"/>
        <v/>
      </c>
    </row>
    <row r="589" spans="1:13" x14ac:dyDescent="0.25">
      <c r="A589" s="5"/>
      <c r="B589" s="4" t="str">
        <f t="shared" si="37"/>
        <v/>
      </c>
      <c r="C589" t="str">
        <f>IF(AND(TRIM(A589)&lt;&gt;"",IFERROR(VLOOKUP(TRIM(B589),Inventory!E:E,1,0),0)=0),"X","_")</f>
        <v>_</v>
      </c>
      <c r="D589" t="str">
        <f>IF(AND(TRIM(A589)&lt;&gt;"",IFERROR(VLOOKUP(TRIM(B589),'Full Inventory'!F:F,1,0),0)=0),"X","_")</f>
        <v>_</v>
      </c>
      <c r="E589" t="str">
        <f t="shared" si="36"/>
        <v>X</v>
      </c>
      <c r="F589" t="str">
        <f ca="1">IFERROR(IF(AND(C589&amp;D589&amp;E589="___",INDIRECT("Inventory!A"&amp;MATCH(VLOOKUP(B589,Inventory!E:E,1,0),Inventory!E:E,0))&lt;&gt;INDIRECT("'Full Inventory'!B"&amp;MATCH(VLOOKUP(B589,'Full Inventory'!F:F,1,0),'Full Inventory'!F:F,0))),"X","_"),"_")</f>
        <v>_</v>
      </c>
      <c r="L589" t="str">
        <f t="shared" ca="1" si="38"/>
        <v>__X_</v>
      </c>
      <c r="M589" t="str">
        <f t="shared" ca="1" si="39"/>
        <v/>
      </c>
    </row>
    <row r="590" spans="1:13" x14ac:dyDescent="0.25">
      <c r="A590" s="5"/>
      <c r="B590" s="4" t="str">
        <f t="shared" si="37"/>
        <v/>
      </c>
      <c r="C590" t="str">
        <f>IF(AND(TRIM(A590)&lt;&gt;"",IFERROR(VLOOKUP(TRIM(B590),Inventory!E:E,1,0),0)=0),"X","_")</f>
        <v>_</v>
      </c>
      <c r="D590" t="str">
        <f>IF(AND(TRIM(A590)&lt;&gt;"",IFERROR(VLOOKUP(TRIM(B590),'Full Inventory'!F:F,1,0),0)=0),"X","_")</f>
        <v>_</v>
      </c>
      <c r="E590" t="str">
        <f t="shared" si="36"/>
        <v>X</v>
      </c>
      <c r="F590" t="str">
        <f ca="1">IFERROR(IF(AND(C590&amp;D590&amp;E590="___",INDIRECT("Inventory!A"&amp;MATCH(VLOOKUP(B590,Inventory!E:E,1,0),Inventory!E:E,0))&lt;&gt;INDIRECT("'Full Inventory'!B"&amp;MATCH(VLOOKUP(B590,'Full Inventory'!F:F,1,0),'Full Inventory'!F:F,0))),"X","_"),"_")</f>
        <v>_</v>
      </c>
      <c r="L590" t="str">
        <f t="shared" ca="1" si="38"/>
        <v>__X_</v>
      </c>
      <c r="M590" t="str">
        <f t="shared" ca="1" si="39"/>
        <v/>
      </c>
    </row>
    <row r="591" spans="1:13" x14ac:dyDescent="0.25">
      <c r="A591" s="5"/>
      <c r="B591" s="4" t="str">
        <f t="shared" si="37"/>
        <v/>
      </c>
      <c r="C591" t="str">
        <f>IF(AND(TRIM(A591)&lt;&gt;"",IFERROR(VLOOKUP(TRIM(B591),Inventory!E:E,1,0),0)=0),"X","_")</f>
        <v>_</v>
      </c>
      <c r="D591" t="str">
        <f>IF(AND(TRIM(A591)&lt;&gt;"",IFERROR(VLOOKUP(TRIM(B591),'Full Inventory'!F:F,1,0),0)=0),"X","_")</f>
        <v>_</v>
      </c>
      <c r="E591" t="str">
        <f t="shared" si="36"/>
        <v>X</v>
      </c>
      <c r="F591" t="str">
        <f ca="1">IFERROR(IF(AND(C591&amp;D591&amp;E591="___",INDIRECT("Inventory!A"&amp;MATCH(VLOOKUP(B591,Inventory!E:E,1,0),Inventory!E:E,0))&lt;&gt;INDIRECT("'Full Inventory'!B"&amp;MATCH(VLOOKUP(B591,'Full Inventory'!F:F,1,0),'Full Inventory'!F:F,0))),"X","_"),"_")</f>
        <v>_</v>
      </c>
      <c r="L591" t="str">
        <f t="shared" ca="1" si="38"/>
        <v>__X_</v>
      </c>
      <c r="M591" t="str">
        <f t="shared" ca="1" si="39"/>
        <v/>
      </c>
    </row>
    <row r="592" spans="1:13" x14ac:dyDescent="0.25">
      <c r="A592" s="5"/>
      <c r="B592" s="4" t="str">
        <f t="shared" si="37"/>
        <v/>
      </c>
      <c r="C592" t="str">
        <f>IF(AND(TRIM(A592)&lt;&gt;"",IFERROR(VLOOKUP(TRIM(B592),Inventory!E:E,1,0),0)=0),"X","_")</f>
        <v>_</v>
      </c>
      <c r="D592" t="str">
        <f>IF(AND(TRIM(A592)&lt;&gt;"",IFERROR(VLOOKUP(TRIM(B592),'Full Inventory'!F:F,1,0),0)=0),"X","_")</f>
        <v>_</v>
      </c>
      <c r="E592" t="str">
        <f t="shared" si="36"/>
        <v>X</v>
      </c>
      <c r="F592" t="str">
        <f ca="1">IFERROR(IF(AND(C592&amp;D592&amp;E592="___",INDIRECT("Inventory!A"&amp;MATCH(VLOOKUP(B592,Inventory!E:E,1,0),Inventory!E:E,0))&lt;&gt;INDIRECT("'Full Inventory'!B"&amp;MATCH(VLOOKUP(B592,'Full Inventory'!F:F,1,0),'Full Inventory'!F:F,0))),"X","_"),"_")</f>
        <v>_</v>
      </c>
      <c r="L592" t="str">
        <f t="shared" ca="1" si="38"/>
        <v>__X_</v>
      </c>
      <c r="M592" t="str">
        <f t="shared" ca="1" si="39"/>
        <v/>
      </c>
    </row>
    <row r="593" spans="1:13" x14ac:dyDescent="0.25">
      <c r="A593" s="5"/>
      <c r="B593" s="4" t="str">
        <f t="shared" si="37"/>
        <v/>
      </c>
      <c r="C593" t="str">
        <f>IF(AND(TRIM(A593)&lt;&gt;"",IFERROR(VLOOKUP(TRIM(B593),Inventory!E:E,1,0),0)=0),"X","_")</f>
        <v>_</v>
      </c>
      <c r="D593" t="str">
        <f>IF(AND(TRIM(A593)&lt;&gt;"",IFERROR(VLOOKUP(TRIM(B593),'Full Inventory'!F:F,1,0),0)=0),"X","_")</f>
        <v>_</v>
      </c>
      <c r="E593" t="str">
        <f t="shared" si="36"/>
        <v>X</v>
      </c>
      <c r="F593" t="str">
        <f ca="1">IFERROR(IF(AND(C593&amp;D593&amp;E593="___",INDIRECT("Inventory!A"&amp;MATCH(VLOOKUP(B593,Inventory!E:E,1,0),Inventory!E:E,0))&lt;&gt;INDIRECT("'Full Inventory'!B"&amp;MATCH(VLOOKUP(B593,'Full Inventory'!F:F,1,0),'Full Inventory'!F:F,0))),"X","_"),"_")</f>
        <v>_</v>
      </c>
      <c r="L593" t="str">
        <f t="shared" ca="1" si="38"/>
        <v>__X_</v>
      </c>
      <c r="M593" t="str">
        <f t="shared" ca="1" si="39"/>
        <v/>
      </c>
    </row>
    <row r="594" spans="1:13" x14ac:dyDescent="0.25">
      <c r="A594" s="5"/>
      <c r="B594" s="4" t="str">
        <f t="shared" si="37"/>
        <v/>
      </c>
      <c r="C594" t="str">
        <f>IF(AND(TRIM(A594)&lt;&gt;"",IFERROR(VLOOKUP(TRIM(B594),Inventory!E:E,1,0),0)=0),"X","_")</f>
        <v>_</v>
      </c>
      <c r="D594" t="str">
        <f>IF(AND(TRIM(A594)&lt;&gt;"",IFERROR(VLOOKUP(TRIM(B594),'Full Inventory'!F:F,1,0),0)=0),"X","_")</f>
        <v>_</v>
      </c>
      <c r="E594" t="str">
        <f t="shared" si="36"/>
        <v>X</v>
      </c>
      <c r="F594" t="str">
        <f ca="1">IFERROR(IF(AND(C594&amp;D594&amp;E594="___",INDIRECT("Inventory!A"&amp;MATCH(VLOOKUP(B594,Inventory!E:E,1,0),Inventory!E:E,0))&lt;&gt;INDIRECT("'Full Inventory'!B"&amp;MATCH(VLOOKUP(B594,'Full Inventory'!F:F,1,0),'Full Inventory'!F:F,0))),"X","_"),"_")</f>
        <v>_</v>
      </c>
      <c r="L594" t="str">
        <f t="shared" ca="1" si="38"/>
        <v>__X_</v>
      </c>
      <c r="M594" t="str">
        <f t="shared" ca="1" si="39"/>
        <v/>
      </c>
    </row>
    <row r="595" spans="1:13" x14ac:dyDescent="0.25">
      <c r="A595" s="5"/>
      <c r="B595" s="4" t="str">
        <f t="shared" si="37"/>
        <v/>
      </c>
      <c r="C595" t="str">
        <f>IF(AND(TRIM(A595)&lt;&gt;"",IFERROR(VLOOKUP(TRIM(B595),Inventory!E:E,1,0),0)=0),"X","_")</f>
        <v>_</v>
      </c>
      <c r="D595" t="str">
        <f>IF(AND(TRIM(A595)&lt;&gt;"",IFERROR(VLOOKUP(TRIM(B595),'Full Inventory'!F:F,1,0),0)=0),"X","_")</f>
        <v>_</v>
      </c>
      <c r="E595" t="str">
        <f t="shared" si="36"/>
        <v>X</v>
      </c>
      <c r="F595" t="str">
        <f ca="1">IFERROR(IF(AND(C595&amp;D595&amp;E595="___",INDIRECT("Inventory!A"&amp;MATCH(VLOOKUP(B595,Inventory!E:E,1,0),Inventory!E:E,0))&lt;&gt;INDIRECT("'Full Inventory'!B"&amp;MATCH(VLOOKUP(B595,'Full Inventory'!F:F,1,0),'Full Inventory'!F:F,0))),"X","_"),"_")</f>
        <v>_</v>
      </c>
      <c r="L595" t="str">
        <f t="shared" ca="1" si="38"/>
        <v>__X_</v>
      </c>
      <c r="M595" t="str">
        <f t="shared" ca="1" si="39"/>
        <v/>
      </c>
    </row>
    <row r="596" spans="1:13" x14ac:dyDescent="0.25">
      <c r="A596" s="5"/>
      <c r="B596" s="4" t="str">
        <f t="shared" si="37"/>
        <v/>
      </c>
      <c r="C596" t="str">
        <f>IF(AND(TRIM(A596)&lt;&gt;"",IFERROR(VLOOKUP(TRIM(B596),Inventory!E:E,1,0),0)=0),"X","_")</f>
        <v>_</v>
      </c>
      <c r="D596" t="str">
        <f>IF(AND(TRIM(A596)&lt;&gt;"",IFERROR(VLOOKUP(TRIM(B596),'Full Inventory'!F:F,1,0),0)=0),"X","_")</f>
        <v>_</v>
      </c>
      <c r="E596" t="str">
        <f t="shared" ref="E596:E659" si="40">IF(TRIM(A596)&lt;&gt;"","_","X")</f>
        <v>X</v>
      </c>
      <c r="F596" t="str">
        <f ca="1">IFERROR(IF(AND(C596&amp;D596&amp;E596="___",INDIRECT("Inventory!A"&amp;MATCH(VLOOKUP(B596,Inventory!E:E,1,0),Inventory!E:E,0))&lt;&gt;INDIRECT("'Full Inventory'!B"&amp;MATCH(VLOOKUP(B596,'Full Inventory'!F:F,1,0),'Full Inventory'!F:F,0))),"X","_"),"_")</f>
        <v>_</v>
      </c>
      <c r="L596" t="str">
        <f t="shared" ca="1" si="38"/>
        <v>__X_</v>
      </c>
      <c r="M596" t="str">
        <f t="shared" ca="1" si="39"/>
        <v/>
      </c>
    </row>
    <row r="597" spans="1:13" x14ac:dyDescent="0.25">
      <c r="A597" s="5"/>
      <c r="B597" s="4" t="str">
        <f t="shared" si="37"/>
        <v/>
      </c>
      <c r="C597" t="str">
        <f>IF(AND(TRIM(A597)&lt;&gt;"",IFERROR(VLOOKUP(TRIM(B597),Inventory!E:E,1,0),0)=0),"X","_")</f>
        <v>_</v>
      </c>
      <c r="D597" t="str">
        <f>IF(AND(TRIM(A597)&lt;&gt;"",IFERROR(VLOOKUP(TRIM(B597),'Full Inventory'!F:F,1,0),0)=0),"X","_")</f>
        <v>_</v>
      </c>
      <c r="E597" t="str">
        <f t="shared" si="40"/>
        <v>X</v>
      </c>
      <c r="F597" t="str">
        <f ca="1">IFERROR(IF(AND(C597&amp;D597&amp;E597="___",INDIRECT("Inventory!A"&amp;MATCH(VLOOKUP(B597,Inventory!E:E,1,0),Inventory!E:E,0))&lt;&gt;INDIRECT("'Full Inventory'!B"&amp;MATCH(VLOOKUP(B597,'Full Inventory'!F:F,1,0),'Full Inventory'!F:F,0))),"X","_"),"_")</f>
        <v>_</v>
      </c>
      <c r="L597" t="str">
        <f t="shared" ca="1" si="38"/>
        <v>__X_</v>
      </c>
      <c r="M597" t="str">
        <f t="shared" ca="1" si="39"/>
        <v/>
      </c>
    </row>
    <row r="598" spans="1:13" x14ac:dyDescent="0.25">
      <c r="A598" s="5"/>
      <c r="B598" s="4" t="str">
        <f t="shared" si="37"/>
        <v/>
      </c>
      <c r="C598" t="str">
        <f>IF(AND(TRIM(A598)&lt;&gt;"",IFERROR(VLOOKUP(TRIM(B598),Inventory!E:E,1,0),0)=0),"X","_")</f>
        <v>_</v>
      </c>
      <c r="D598" t="str">
        <f>IF(AND(TRIM(A598)&lt;&gt;"",IFERROR(VLOOKUP(TRIM(B598),'Full Inventory'!F:F,1,0),0)=0),"X","_")</f>
        <v>_</v>
      </c>
      <c r="E598" t="str">
        <f t="shared" si="40"/>
        <v>X</v>
      </c>
      <c r="F598" t="str">
        <f ca="1">IFERROR(IF(AND(C598&amp;D598&amp;E598="___",INDIRECT("Inventory!A"&amp;MATCH(VLOOKUP(B598,Inventory!E:E,1,0),Inventory!E:E,0))&lt;&gt;INDIRECT("'Full Inventory'!B"&amp;MATCH(VLOOKUP(B598,'Full Inventory'!F:F,1,0),'Full Inventory'!F:F,0))),"X","_"),"_")</f>
        <v>_</v>
      </c>
      <c r="L598" t="str">
        <f t="shared" ca="1" si="38"/>
        <v>__X_</v>
      </c>
      <c r="M598" t="str">
        <f t="shared" ca="1" si="39"/>
        <v/>
      </c>
    </row>
    <row r="599" spans="1:13" x14ac:dyDescent="0.25">
      <c r="A599" s="5"/>
      <c r="B599" s="4" t="str">
        <f t="shared" si="37"/>
        <v/>
      </c>
      <c r="C599" t="str">
        <f>IF(AND(TRIM(A599)&lt;&gt;"",IFERROR(VLOOKUP(TRIM(B599),Inventory!E:E,1,0),0)=0),"X","_")</f>
        <v>_</v>
      </c>
      <c r="D599" t="str">
        <f>IF(AND(TRIM(A599)&lt;&gt;"",IFERROR(VLOOKUP(TRIM(B599),'Full Inventory'!F:F,1,0),0)=0),"X","_")</f>
        <v>_</v>
      </c>
      <c r="E599" t="str">
        <f t="shared" si="40"/>
        <v>X</v>
      </c>
      <c r="F599" t="str">
        <f ca="1">IFERROR(IF(AND(C599&amp;D599&amp;E599="___",INDIRECT("Inventory!A"&amp;MATCH(VLOOKUP(B599,Inventory!E:E,1,0),Inventory!E:E,0))&lt;&gt;INDIRECT("'Full Inventory'!B"&amp;MATCH(VLOOKUP(B599,'Full Inventory'!F:F,1,0),'Full Inventory'!F:F,0))),"X","_"),"_")</f>
        <v>_</v>
      </c>
      <c r="L599" t="str">
        <f t="shared" ca="1" si="38"/>
        <v>__X_</v>
      </c>
      <c r="M599" t="str">
        <f t="shared" ca="1" si="39"/>
        <v/>
      </c>
    </row>
    <row r="600" spans="1:13" x14ac:dyDescent="0.25">
      <c r="A600" s="5"/>
      <c r="B600" s="4" t="str">
        <f t="shared" si="37"/>
        <v/>
      </c>
      <c r="C600" t="str">
        <f>IF(AND(TRIM(A600)&lt;&gt;"",IFERROR(VLOOKUP(TRIM(B600),Inventory!E:E,1,0),0)=0),"X","_")</f>
        <v>_</v>
      </c>
      <c r="D600" t="str">
        <f>IF(AND(TRIM(A600)&lt;&gt;"",IFERROR(VLOOKUP(TRIM(B600),'Full Inventory'!F:F,1,0),0)=0),"X","_")</f>
        <v>_</v>
      </c>
      <c r="E600" t="str">
        <f t="shared" si="40"/>
        <v>X</v>
      </c>
      <c r="F600" t="str">
        <f ca="1">IFERROR(IF(AND(C600&amp;D600&amp;E600="___",INDIRECT("Inventory!A"&amp;MATCH(VLOOKUP(B600,Inventory!E:E,1,0),Inventory!E:E,0))&lt;&gt;INDIRECT("'Full Inventory'!B"&amp;MATCH(VLOOKUP(B600,'Full Inventory'!F:F,1,0),'Full Inventory'!F:F,0))),"X","_"),"_")</f>
        <v>_</v>
      </c>
      <c r="L600" t="str">
        <f t="shared" ca="1" si="38"/>
        <v>__X_</v>
      </c>
      <c r="M600" t="str">
        <f t="shared" ca="1" si="39"/>
        <v/>
      </c>
    </row>
    <row r="601" spans="1:13" x14ac:dyDescent="0.25">
      <c r="A601" s="5"/>
      <c r="B601" s="4" t="str">
        <f t="shared" si="37"/>
        <v/>
      </c>
      <c r="C601" t="str">
        <f>IF(AND(TRIM(A601)&lt;&gt;"",IFERROR(VLOOKUP(TRIM(B601),Inventory!E:E,1,0),0)=0),"X","_")</f>
        <v>_</v>
      </c>
      <c r="D601" t="str">
        <f>IF(AND(TRIM(A601)&lt;&gt;"",IFERROR(VLOOKUP(TRIM(B601),'Full Inventory'!F:F,1,0),0)=0),"X","_")</f>
        <v>_</v>
      </c>
      <c r="E601" t="str">
        <f t="shared" si="40"/>
        <v>X</v>
      </c>
      <c r="F601" t="str">
        <f ca="1">IFERROR(IF(AND(C601&amp;D601&amp;E601="___",INDIRECT("Inventory!A"&amp;MATCH(VLOOKUP(B601,Inventory!E:E,1,0),Inventory!E:E,0))&lt;&gt;INDIRECT("'Full Inventory'!B"&amp;MATCH(VLOOKUP(B601,'Full Inventory'!F:F,1,0),'Full Inventory'!F:F,0))),"X","_"),"_")</f>
        <v>_</v>
      </c>
      <c r="L601" t="str">
        <f t="shared" ca="1" si="38"/>
        <v>__X_</v>
      </c>
      <c r="M601" t="str">
        <f t="shared" ca="1" si="39"/>
        <v/>
      </c>
    </row>
    <row r="602" spans="1:13" x14ac:dyDescent="0.25">
      <c r="A602" s="5"/>
      <c r="B602" s="4" t="str">
        <f t="shared" si="37"/>
        <v/>
      </c>
      <c r="C602" t="str">
        <f>IF(AND(TRIM(A602)&lt;&gt;"",IFERROR(VLOOKUP(TRIM(B602),Inventory!E:E,1,0),0)=0),"X","_")</f>
        <v>_</v>
      </c>
      <c r="D602" t="str">
        <f>IF(AND(TRIM(A602)&lt;&gt;"",IFERROR(VLOOKUP(TRIM(B602),'Full Inventory'!F:F,1,0),0)=0),"X","_")</f>
        <v>_</v>
      </c>
      <c r="E602" t="str">
        <f t="shared" si="40"/>
        <v>X</v>
      </c>
      <c r="F602" t="str">
        <f ca="1">IFERROR(IF(AND(C602&amp;D602&amp;E602="___",INDIRECT("Inventory!A"&amp;MATCH(VLOOKUP(B602,Inventory!E:E,1,0),Inventory!E:E,0))&lt;&gt;INDIRECT("'Full Inventory'!B"&amp;MATCH(VLOOKUP(B602,'Full Inventory'!F:F,1,0),'Full Inventory'!F:F,0))),"X","_"),"_")</f>
        <v>_</v>
      </c>
      <c r="L602" t="str">
        <f t="shared" ca="1" si="38"/>
        <v>__X_</v>
      </c>
      <c r="M602" t="str">
        <f t="shared" ca="1" si="39"/>
        <v/>
      </c>
    </row>
    <row r="603" spans="1:13" x14ac:dyDescent="0.25">
      <c r="A603" s="5"/>
      <c r="B603" s="4" t="str">
        <f t="shared" si="37"/>
        <v/>
      </c>
      <c r="C603" t="str">
        <f>IF(AND(TRIM(A603)&lt;&gt;"",IFERROR(VLOOKUP(TRIM(B603),Inventory!E:E,1,0),0)=0),"X","_")</f>
        <v>_</v>
      </c>
      <c r="D603" t="str">
        <f>IF(AND(TRIM(A603)&lt;&gt;"",IFERROR(VLOOKUP(TRIM(B603),'Full Inventory'!F:F,1,0),0)=0),"X","_")</f>
        <v>_</v>
      </c>
      <c r="E603" t="str">
        <f t="shared" si="40"/>
        <v>X</v>
      </c>
      <c r="F603" t="str">
        <f ca="1">IFERROR(IF(AND(C603&amp;D603&amp;E603="___",INDIRECT("Inventory!A"&amp;MATCH(VLOOKUP(B603,Inventory!E:E,1,0),Inventory!E:E,0))&lt;&gt;INDIRECT("'Full Inventory'!B"&amp;MATCH(VLOOKUP(B603,'Full Inventory'!F:F,1,0),'Full Inventory'!F:F,0))),"X","_"),"_")</f>
        <v>_</v>
      </c>
      <c r="L603" t="str">
        <f t="shared" ca="1" si="38"/>
        <v>__X_</v>
      </c>
      <c r="M603" t="str">
        <f t="shared" ca="1" si="39"/>
        <v/>
      </c>
    </row>
    <row r="604" spans="1:13" x14ac:dyDescent="0.25">
      <c r="A604" s="5"/>
      <c r="B604" s="4" t="str">
        <f t="shared" si="37"/>
        <v/>
      </c>
      <c r="C604" t="str">
        <f>IF(AND(TRIM(A604)&lt;&gt;"",IFERROR(VLOOKUP(TRIM(B604),Inventory!E:E,1,0),0)=0),"X","_")</f>
        <v>_</v>
      </c>
      <c r="D604" t="str">
        <f>IF(AND(TRIM(A604)&lt;&gt;"",IFERROR(VLOOKUP(TRIM(B604),'Full Inventory'!F:F,1,0),0)=0),"X","_")</f>
        <v>_</v>
      </c>
      <c r="E604" t="str">
        <f t="shared" si="40"/>
        <v>X</v>
      </c>
      <c r="F604" t="str">
        <f ca="1">IFERROR(IF(AND(C604&amp;D604&amp;E604="___",INDIRECT("Inventory!A"&amp;MATCH(VLOOKUP(B604,Inventory!E:E,1,0),Inventory!E:E,0))&lt;&gt;INDIRECT("'Full Inventory'!B"&amp;MATCH(VLOOKUP(B604,'Full Inventory'!F:F,1,0),'Full Inventory'!F:F,0))),"X","_"),"_")</f>
        <v>_</v>
      </c>
      <c r="L604" t="str">
        <f t="shared" ca="1" si="38"/>
        <v>__X_</v>
      </c>
      <c r="M604" t="str">
        <f t="shared" ca="1" si="39"/>
        <v/>
      </c>
    </row>
    <row r="605" spans="1:13" x14ac:dyDescent="0.25">
      <c r="A605" s="5"/>
      <c r="B605" s="4" t="str">
        <f t="shared" si="37"/>
        <v/>
      </c>
      <c r="C605" t="str">
        <f>IF(AND(TRIM(A605)&lt;&gt;"",IFERROR(VLOOKUP(TRIM(B605),Inventory!E:E,1,0),0)=0),"X","_")</f>
        <v>_</v>
      </c>
      <c r="D605" t="str">
        <f>IF(AND(TRIM(A605)&lt;&gt;"",IFERROR(VLOOKUP(TRIM(B605),'Full Inventory'!F:F,1,0),0)=0),"X","_")</f>
        <v>_</v>
      </c>
      <c r="E605" t="str">
        <f t="shared" si="40"/>
        <v>X</v>
      </c>
      <c r="F605" t="str">
        <f ca="1">IFERROR(IF(AND(C605&amp;D605&amp;E605="___",INDIRECT("Inventory!A"&amp;MATCH(VLOOKUP(B605,Inventory!E:E,1,0),Inventory!E:E,0))&lt;&gt;INDIRECT("'Full Inventory'!B"&amp;MATCH(VLOOKUP(B605,'Full Inventory'!F:F,1,0),'Full Inventory'!F:F,0))),"X","_"),"_")</f>
        <v>_</v>
      </c>
      <c r="L605" t="str">
        <f t="shared" ca="1" si="38"/>
        <v>__X_</v>
      </c>
      <c r="M605" t="str">
        <f t="shared" ca="1" si="39"/>
        <v/>
      </c>
    </row>
    <row r="606" spans="1:13" x14ac:dyDescent="0.25">
      <c r="A606" s="5"/>
      <c r="B606" s="4" t="str">
        <f t="shared" si="37"/>
        <v/>
      </c>
      <c r="C606" t="str">
        <f>IF(AND(TRIM(A606)&lt;&gt;"",IFERROR(VLOOKUP(TRIM(B606),Inventory!E:E,1,0),0)=0),"X","_")</f>
        <v>_</v>
      </c>
      <c r="D606" t="str">
        <f>IF(AND(TRIM(A606)&lt;&gt;"",IFERROR(VLOOKUP(TRIM(B606),'Full Inventory'!F:F,1,0),0)=0),"X","_")</f>
        <v>_</v>
      </c>
      <c r="E606" t="str">
        <f t="shared" si="40"/>
        <v>X</v>
      </c>
      <c r="F606" t="str">
        <f ca="1">IFERROR(IF(AND(C606&amp;D606&amp;E606="___",INDIRECT("Inventory!A"&amp;MATCH(VLOOKUP(B606,Inventory!E:E,1,0),Inventory!E:E,0))&lt;&gt;INDIRECT("'Full Inventory'!B"&amp;MATCH(VLOOKUP(B606,'Full Inventory'!F:F,1,0),'Full Inventory'!F:F,0))),"X","_"),"_")</f>
        <v>_</v>
      </c>
      <c r="L606" t="str">
        <f t="shared" ca="1" si="38"/>
        <v>__X_</v>
      </c>
      <c r="M606" t="str">
        <f t="shared" ca="1" si="39"/>
        <v/>
      </c>
    </row>
    <row r="607" spans="1:13" x14ac:dyDescent="0.25">
      <c r="A607" s="5"/>
      <c r="B607" s="4" t="str">
        <f t="shared" si="37"/>
        <v/>
      </c>
      <c r="C607" t="str">
        <f>IF(AND(TRIM(A607)&lt;&gt;"",IFERROR(VLOOKUP(TRIM(B607),Inventory!E:E,1,0),0)=0),"X","_")</f>
        <v>_</v>
      </c>
      <c r="D607" t="str">
        <f>IF(AND(TRIM(A607)&lt;&gt;"",IFERROR(VLOOKUP(TRIM(B607),'Full Inventory'!F:F,1,0),0)=0),"X","_")</f>
        <v>_</v>
      </c>
      <c r="E607" t="str">
        <f t="shared" si="40"/>
        <v>X</v>
      </c>
      <c r="F607" t="str">
        <f ca="1">IFERROR(IF(AND(C607&amp;D607&amp;E607="___",INDIRECT("Inventory!A"&amp;MATCH(VLOOKUP(B607,Inventory!E:E,1,0),Inventory!E:E,0))&lt;&gt;INDIRECT("'Full Inventory'!B"&amp;MATCH(VLOOKUP(B607,'Full Inventory'!F:F,1,0),'Full Inventory'!F:F,0))),"X","_"),"_")</f>
        <v>_</v>
      </c>
      <c r="L607" t="str">
        <f t="shared" ca="1" si="38"/>
        <v>__X_</v>
      </c>
      <c r="M607" t="str">
        <f t="shared" ca="1" si="39"/>
        <v/>
      </c>
    </row>
    <row r="608" spans="1:13" x14ac:dyDescent="0.25">
      <c r="A608" s="5"/>
      <c r="B608" s="4" t="str">
        <f t="shared" si="37"/>
        <v/>
      </c>
      <c r="C608" t="str">
        <f>IF(AND(TRIM(A608)&lt;&gt;"",IFERROR(VLOOKUP(TRIM(B608),Inventory!E:E,1,0),0)=0),"X","_")</f>
        <v>_</v>
      </c>
      <c r="D608" t="str">
        <f>IF(AND(TRIM(A608)&lt;&gt;"",IFERROR(VLOOKUP(TRIM(B608),'Full Inventory'!F:F,1,0),0)=0),"X","_")</f>
        <v>_</v>
      </c>
      <c r="E608" t="str">
        <f t="shared" si="40"/>
        <v>X</v>
      </c>
      <c r="F608" t="str">
        <f ca="1">IFERROR(IF(AND(C608&amp;D608&amp;E608="___",INDIRECT("Inventory!A"&amp;MATCH(VLOOKUP(B608,Inventory!E:E,1,0),Inventory!E:E,0))&lt;&gt;INDIRECT("'Full Inventory'!B"&amp;MATCH(VLOOKUP(B608,'Full Inventory'!F:F,1,0),'Full Inventory'!F:F,0))),"X","_"),"_")</f>
        <v>_</v>
      </c>
      <c r="L608" t="str">
        <f t="shared" ca="1" si="38"/>
        <v>__X_</v>
      </c>
      <c r="M608" t="str">
        <f t="shared" ca="1" si="39"/>
        <v/>
      </c>
    </row>
    <row r="609" spans="1:13" x14ac:dyDescent="0.25">
      <c r="A609" s="5"/>
      <c r="B609" s="4" t="str">
        <f t="shared" si="37"/>
        <v/>
      </c>
      <c r="C609" t="str">
        <f>IF(AND(TRIM(A609)&lt;&gt;"",IFERROR(VLOOKUP(TRIM(B609),Inventory!E:E,1,0),0)=0),"X","_")</f>
        <v>_</v>
      </c>
      <c r="D609" t="str">
        <f>IF(AND(TRIM(A609)&lt;&gt;"",IFERROR(VLOOKUP(TRIM(B609),'Full Inventory'!F:F,1,0),0)=0),"X","_")</f>
        <v>_</v>
      </c>
      <c r="E609" t="str">
        <f t="shared" si="40"/>
        <v>X</v>
      </c>
      <c r="F609" t="str">
        <f ca="1">IFERROR(IF(AND(C609&amp;D609&amp;E609="___",INDIRECT("Inventory!A"&amp;MATCH(VLOOKUP(B609,Inventory!E:E,1,0),Inventory!E:E,0))&lt;&gt;INDIRECT("'Full Inventory'!B"&amp;MATCH(VLOOKUP(B609,'Full Inventory'!F:F,1,0),'Full Inventory'!F:F,0))),"X","_"),"_")</f>
        <v>_</v>
      </c>
      <c r="L609" t="str">
        <f t="shared" ca="1" si="38"/>
        <v>__X_</v>
      </c>
      <c r="M609" t="str">
        <f t="shared" ca="1" si="39"/>
        <v/>
      </c>
    </row>
    <row r="610" spans="1:13" x14ac:dyDescent="0.25">
      <c r="A610" s="5"/>
      <c r="B610" s="4" t="str">
        <f t="shared" si="37"/>
        <v/>
      </c>
      <c r="C610" t="str">
        <f>IF(AND(TRIM(A610)&lt;&gt;"",IFERROR(VLOOKUP(TRIM(B610),Inventory!E:E,1,0),0)=0),"X","_")</f>
        <v>_</v>
      </c>
      <c r="D610" t="str">
        <f>IF(AND(TRIM(A610)&lt;&gt;"",IFERROR(VLOOKUP(TRIM(B610),'Full Inventory'!F:F,1,0),0)=0),"X","_")</f>
        <v>_</v>
      </c>
      <c r="E610" t="str">
        <f t="shared" si="40"/>
        <v>X</v>
      </c>
      <c r="F610" t="str">
        <f ca="1">IFERROR(IF(AND(C610&amp;D610&amp;E610="___",INDIRECT("Inventory!A"&amp;MATCH(VLOOKUP(B610,Inventory!E:E,1,0),Inventory!E:E,0))&lt;&gt;INDIRECT("'Full Inventory'!B"&amp;MATCH(VLOOKUP(B610,'Full Inventory'!F:F,1,0),'Full Inventory'!F:F,0))),"X","_"),"_")</f>
        <v>_</v>
      </c>
      <c r="L610" t="str">
        <f t="shared" ca="1" si="38"/>
        <v>__X_</v>
      </c>
      <c r="M610" t="str">
        <f t="shared" ca="1" si="39"/>
        <v/>
      </c>
    </row>
    <row r="611" spans="1:13" x14ac:dyDescent="0.25">
      <c r="A611" s="5"/>
      <c r="B611" s="4" t="str">
        <f t="shared" si="37"/>
        <v/>
      </c>
      <c r="C611" t="str">
        <f>IF(AND(TRIM(A611)&lt;&gt;"",IFERROR(VLOOKUP(TRIM(B611),Inventory!E:E,1,0),0)=0),"X","_")</f>
        <v>_</v>
      </c>
      <c r="D611" t="str">
        <f>IF(AND(TRIM(A611)&lt;&gt;"",IFERROR(VLOOKUP(TRIM(B611),'Full Inventory'!F:F,1,0),0)=0),"X","_")</f>
        <v>_</v>
      </c>
      <c r="E611" t="str">
        <f t="shared" si="40"/>
        <v>X</v>
      </c>
      <c r="F611" t="str">
        <f ca="1">IFERROR(IF(AND(C611&amp;D611&amp;E611="___",INDIRECT("Inventory!A"&amp;MATCH(VLOOKUP(B611,Inventory!E:E,1,0),Inventory!E:E,0))&lt;&gt;INDIRECT("'Full Inventory'!B"&amp;MATCH(VLOOKUP(B611,'Full Inventory'!F:F,1,0),'Full Inventory'!F:F,0))),"X","_"),"_")</f>
        <v>_</v>
      </c>
      <c r="L611" t="str">
        <f t="shared" ca="1" si="38"/>
        <v>__X_</v>
      </c>
      <c r="M611" t="str">
        <f t="shared" ca="1" si="39"/>
        <v/>
      </c>
    </row>
    <row r="612" spans="1:13" x14ac:dyDescent="0.25">
      <c r="A612" s="5"/>
      <c r="B612" s="4" t="str">
        <f t="shared" si="37"/>
        <v/>
      </c>
      <c r="C612" t="str">
        <f>IF(AND(TRIM(A612)&lt;&gt;"",IFERROR(VLOOKUP(TRIM(B612),Inventory!E:E,1,0),0)=0),"X","_")</f>
        <v>_</v>
      </c>
      <c r="D612" t="str">
        <f>IF(AND(TRIM(A612)&lt;&gt;"",IFERROR(VLOOKUP(TRIM(B612),'Full Inventory'!F:F,1,0),0)=0),"X","_")</f>
        <v>_</v>
      </c>
      <c r="E612" t="str">
        <f t="shared" si="40"/>
        <v>X</v>
      </c>
      <c r="F612" t="str">
        <f ca="1">IFERROR(IF(AND(C612&amp;D612&amp;E612="___",INDIRECT("Inventory!A"&amp;MATCH(VLOOKUP(B612,Inventory!E:E,1,0),Inventory!E:E,0))&lt;&gt;INDIRECT("'Full Inventory'!B"&amp;MATCH(VLOOKUP(B612,'Full Inventory'!F:F,1,0),'Full Inventory'!F:F,0))),"X","_"),"_")</f>
        <v>_</v>
      </c>
      <c r="L612" t="str">
        <f t="shared" ca="1" si="38"/>
        <v>__X_</v>
      </c>
      <c r="M612" t="str">
        <f t="shared" ca="1" si="39"/>
        <v/>
      </c>
    </row>
    <row r="613" spans="1:13" x14ac:dyDescent="0.25">
      <c r="A613" s="5"/>
      <c r="B613" s="4" t="str">
        <f t="shared" si="37"/>
        <v/>
      </c>
      <c r="C613" t="str">
        <f>IF(AND(TRIM(A613)&lt;&gt;"",IFERROR(VLOOKUP(TRIM(B613),Inventory!E:E,1,0),0)=0),"X","_")</f>
        <v>_</v>
      </c>
      <c r="D613" t="str">
        <f>IF(AND(TRIM(A613)&lt;&gt;"",IFERROR(VLOOKUP(TRIM(B613),'Full Inventory'!F:F,1,0),0)=0),"X","_")</f>
        <v>_</v>
      </c>
      <c r="E613" t="str">
        <f t="shared" si="40"/>
        <v>X</v>
      </c>
      <c r="F613" t="str">
        <f ca="1">IFERROR(IF(AND(C613&amp;D613&amp;E613="___",INDIRECT("Inventory!A"&amp;MATCH(VLOOKUP(B613,Inventory!E:E,1,0),Inventory!E:E,0))&lt;&gt;INDIRECT("'Full Inventory'!B"&amp;MATCH(VLOOKUP(B613,'Full Inventory'!F:F,1,0),'Full Inventory'!F:F,0))),"X","_"),"_")</f>
        <v>_</v>
      </c>
      <c r="L613" t="str">
        <f t="shared" ca="1" si="38"/>
        <v>__X_</v>
      </c>
      <c r="M613" t="str">
        <f t="shared" ca="1" si="39"/>
        <v/>
      </c>
    </row>
    <row r="614" spans="1:13" x14ac:dyDescent="0.25">
      <c r="A614" s="5"/>
      <c r="B614" s="4" t="str">
        <f t="shared" si="37"/>
        <v/>
      </c>
      <c r="C614" t="str">
        <f>IF(AND(TRIM(A614)&lt;&gt;"",IFERROR(VLOOKUP(TRIM(B614),Inventory!E:E,1,0),0)=0),"X","_")</f>
        <v>_</v>
      </c>
      <c r="D614" t="str">
        <f>IF(AND(TRIM(A614)&lt;&gt;"",IFERROR(VLOOKUP(TRIM(B614),'Full Inventory'!F:F,1,0),0)=0),"X","_")</f>
        <v>_</v>
      </c>
      <c r="E614" t="str">
        <f t="shared" si="40"/>
        <v>X</v>
      </c>
      <c r="F614" t="str">
        <f ca="1">IFERROR(IF(AND(C614&amp;D614&amp;E614="___",INDIRECT("Inventory!A"&amp;MATCH(VLOOKUP(B614,Inventory!E:E,1,0),Inventory!E:E,0))&lt;&gt;INDIRECT("'Full Inventory'!B"&amp;MATCH(VLOOKUP(B614,'Full Inventory'!F:F,1,0),'Full Inventory'!F:F,0))),"X","_"),"_")</f>
        <v>_</v>
      </c>
      <c r="L614" t="str">
        <f t="shared" ca="1" si="38"/>
        <v>__X_</v>
      </c>
      <c r="M614" t="str">
        <f t="shared" ca="1" si="39"/>
        <v/>
      </c>
    </row>
    <row r="615" spans="1:13" x14ac:dyDescent="0.25">
      <c r="A615" s="5"/>
      <c r="B615" s="4" t="str">
        <f t="shared" si="37"/>
        <v/>
      </c>
      <c r="C615" t="str">
        <f>IF(AND(TRIM(A615)&lt;&gt;"",IFERROR(VLOOKUP(TRIM(B615),Inventory!E:E,1,0),0)=0),"X","_")</f>
        <v>_</v>
      </c>
      <c r="D615" t="str">
        <f>IF(AND(TRIM(A615)&lt;&gt;"",IFERROR(VLOOKUP(TRIM(B615),'Full Inventory'!F:F,1,0),0)=0),"X","_")</f>
        <v>_</v>
      </c>
      <c r="E615" t="str">
        <f t="shared" si="40"/>
        <v>X</v>
      </c>
      <c r="F615" t="str">
        <f ca="1">IFERROR(IF(AND(C615&amp;D615&amp;E615="___",INDIRECT("Inventory!A"&amp;MATCH(VLOOKUP(B615,Inventory!E:E,1,0),Inventory!E:E,0))&lt;&gt;INDIRECT("'Full Inventory'!B"&amp;MATCH(VLOOKUP(B615,'Full Inventory'!F:F,1,0),'Full Inventory'!F:F,0))),"X","_"),"_")</f>
        <v>_</v>
      </c>
      <c r="L615" t="str">
        <f t="shared" ca="1" si="38"/>
        <v>__X_</v>
      </c>
      <c r="M615" t="str">
        <f t="shared" ca="1" si="39"/>
        <v/>
      </c>
    </row>
    <row r="616" spans="1:13" x14ac:dyDescent="0.25">
      <c r="A616" s="5"/>
      <c r="B616" s="4" t="str">
        <f t="shared" si="37"/>
        <v/>
      </c>
      <c r="C616" t="str">
        <f>IF(AND(TRIM(A616)&lt;&gt;"",IFERROR(VLOOKUP(TRIM(B616),Inventory!E:E,1,0),0)=0),"X","_")</f>
        <v>_</v>
      </c>
      <c r="D616" t="str">
        <f>IF(AND(TRIM(A616)&lt;&gt;"",IFERROR(VLOOKUP(TRIM(B616),'Full Inventory'!F:F,1,0),0)=0),"X","_")</f>
        <v>_</v>
      </c>
      <c r="E616" t="str">
        <f t="shared" si="40"/>
        <v>X</v>
      </c>
      <c r="F616" t="str">
        <f ca="1">IFERROR(IF(AND(C616&amp;D616&amp;E616="___",INDIRECT("Inventory!A"&amp;MATCH(VLOOKUP(B616,Inventory!E:E,1,0),Inventory!E:E,0))&lt;&gt;INDIRECT("'Full Inventory'!B"&amp;MATCH(VLOOKUP(B616,'Full Inventory'!F:F,1,0),'Full Inventory'!F:F,0))),"X","_"),"_")</f>
        <v>_</v>
      </c>
      <c r="L616" t="str">
        <f t="shared" ca="1" si="38"/>
        <v>__X_</v>
      </c>
      <c r="M616" t="str">
        <f t="shared" ca="1" si="39"/>
        <v/>
      </c>
    </row>
    <row r="617" spans="1:13" x14ac:dyDescent="0.25">
      <c r="A617" s="5"/>
      <c r="B617" s="4" t="str">
        <f t="shared" si="37"/>
        <v/>
      </c>
      <c r="C617" t="str">
        <f>IF(AND(TRIM(A617)&lt;&gt;"",IFERROR(VLOOKUP(TRIM(B617),Inventory!E:E,1,0),0)=0),"X","_")</f>
        <v>_</v>
      </c>
      <c r="D617" t="str">
        <f>IF(AND(TRIM(A617)&lt;&gt;"",IFERROR(VLOOKUP(TRIM(B617),'Full Inventory'!F:F,1,0),0)=0),"X","_")</f>
        <v>_</v>
      </c>
      <c r="E617" t="str">
        <f t="shared" si="40"/>
        <v>X</v>
      </c>
      <c r="F617" t="str">
        <f ca="1">IFERROR(IF(AND(C617&amp;D617&amp;E617="___",INDIRECT("Inventory!A"&amp;MATCH(VLOOKUP(B617,Inventory!E:E,1,0),Inventory!E:E,0))&lt;&gt;INDIRECT("'Full Inventory'!B"&amp;MATCH(VLOOKUP(B617,'Full Inventory'!F:F,1,0),'Full Inventory'!F:F,0))),"X","_"),"_")</f>
        <v>_</v>
      </c>
      <c r="L617" t="str">
        <f t="shared" ca="1" si="38"/>
        <v>__X_</v>
      </c>
      <c r="M617" t="str">
        <f t="shared" ca="1" si="39"/>
        <v/>
      </c>
    </row>
    <row r="618" spans="1:13" x14ac:dyDescent="0.25">
      <c r="A618" s="5"/>
      <c r="B618" s="4" t="str">
        <f t="shared" si="37"/>
        <v/>
      </c>
      <c r="C618" t="str">
        <f>IF(AND(TRIM(A618)&lt;&gt;"",IFERROR(VLOOKUP(TRIM(B618),Inventory!E:E,1,0),0)=0),"X","_")</f>
        <v>_</v>
      </c>
      <c r="D618" t="str">
        <f>IF(AND(TRIM(A618)&lt;&gt;"",IFERROR(VLOOKUP(TRIM(B618),'Full Inventory'!F:F,1,0),0)=0),"X","_")</f>
        <v>_</v>
      </c>
      <c r="E618" t="str">
        <f t="shared" si="40"/>
        <v>X</v>
      </c>
      <c r="F618" t="str">
        <f ca="1">IFERROR(IF(AND(C618&amp;D618&amp;E618="___",INDIRECT("Inventory!A"&amp;MATCH(VLOOKUP(B618,Inventory!E:E,1,0),Inventory!E:E,0))&lt;&gt;INDIRECT("'Full Inventory'!B"&amp;MATCH(VLOOKUP(B618,'Full Inventory'!F:F,1,0),'Full Inventory'!F:F,0))),"X","_"),"_")</f>
        <v>_</v>
      </c>
      <c r="L618" t="str">
        <f t="shared" ca="1" si="38"/>
        <v>__X_</v>
      </c>
      <c r="M618" t="str">
        <f t="shared" ca="1" si="39"/>
        <v/>
      </c>
    </row>
    <row r="619" spans="1:13" x14ac:dyDescent="0.25">
      <c r="A619" s="5"/>
      <c r="B619" s="4" t="str">
        <f t="shared" si="37"/>
        <v/>
      </c>
      <c r="C619" t="str">
        <f>IF(AND(TRIM(A619)&lt;&gt;"",IFERROR(VLOOKUP(TRIM(B619),Inventory!E:E,1,0),0)=0),"X","_")</f>
        <v>_</v>
      </c>
      <c r="D619" t="str">
        <f>IF(AND(TRIM(A619)&lt;&gt;"",IFERROR(VLOOKUP(TRIM(B619),'Full Inventory'!F:F,1,0),0)=0),"X","_")</f>
        <v>_</v>
      </c>
      <c r="E619" t="str">
        <f t="shared" si="40"/>
        <v>X</v>
      </c>
      <c r="F619" t="str">
        <f ca="1">IFERROR(IF(AND(C619&amp;D619&amp;E619="___",INDIRECT("Inventory!A"&amp;MATCH(VLOOKUP(B619,Inventory!E:E,1,0),Inventory!E:E,0))&lt;&gt;INDIRECT("'Full Inventory'!B"&amp;MATCH(VLOOKUP(B619,'Full Inventory'!F:F,1,0),'Full Inventory'!F:F,0))),"X","_"),"_")</f>
        <v>_</v>
      </c>
      <c r="L619" t="str">
        <f t="shared" ca="1" si="38"/>
        <v>__X_</v>
      </c>
      <c r="M619" t="str">
        <f t="shared" ca="1" si="39"/>
        <v/>
      </c>
    </row>
    <row r="620" spans="1:13" x14ac:dyDescent="0.25">
      <c r="A620" s="5"/>
      <c r="B620" s="4" t="str">
        <f t="shared" si="37"/>
        <v/>
      </c>
      <c r="C620" t="str">
        <f>IF(AND(TRIM(A620)&lt;&gt;"",IFERROR(VLOOKUP(TRIM(B620),Inventory!E:E,1,0),0)=0),"X","_")</f>
        <v>_</v>
      </c>
      <c r="D620" t="str">
        <f>IF(AND(TRIM(A620)&lt;&gt;"",IFERROR(VLOOKUP(TRIM(B620),'Full Inventory'!F:F,1,0),0)=0),"X","_")</f>
        <v>_</v>
      </c>
      <c r="E620" t="str">
        <f t="shared" si="40"/>
        <v>X</v>
      </c>
      <c r="F620" t="str">
        <f ca="1">IFERROR(IF(AND(C620&amp;D620&amp;E620="___",INDIRECT("Inventory!A"&amp;MATCH(VLOOKUP(B620,Inventory!E:E,1,0),Inventory!E:E,0))&lt;&gt;INDIRECT("'Full Inventory'!B"&amp;MATCH(VLOOKUP(B620,'Full Inventory'!F:F,1,0),'Full Inventory'!F:F,0))),"X","_"),"_")</f>
        <v>_</v>
      </c>
      <c r="L620" t="str">
        <f t="shared" ca="1" si="38"/>
        <v>__X_</v>
      </c>
      <c r="M620" t="str">
        <f t="shared" ca="1" si="39"/>
        <v/>
      </c>
    </row>
    <row r="621" spans="1:13" x14ac:dyDescent="0.25">
      <c r="A621" s="5"/>
      <c r="B621" s="4" t="str">
        <f t="shared" si="37"/>
        <v/>
      </c>
      <c r="C621" t="str">
        <f>IF(AND(TRIM(A621)&lt;&gt;"",IFERROR(VLOOKUP(TRIM(B621),Inventory!E:E,1,0),0)=0),"X","_")</f>
        <v>_</v>
      </c>
      <c r="D621" t="str">
        <f>IF(AND(TRIM(A621)&lt;&gt;"",IFERROR(VLOOKUP(TRIM(B621),'Full Inventory'!F:F,1,0),0)=0),"X","_")</f>
        <v>_</v>
      </c>
      <c r="E621" t="str">
        <f t="shared" si="40"/>
        <v>X</v>
      </c>
      <c r="F621" t="str">
        <f ca="1">IFERROR(IF(AND(C621&amp;D621&amp;E621="___",INDIRECT("Inventory!A"&amp;MATCH(VLOOKUP(B621,Inventory!E:E,1,0),Inventory!E:E,0))&lt;&gt;INDIRECT("'Full Inventory'!B"&amp;MATCH(VLOOKUP(B621,'Full Inventory'!F:F,1,0),'Full Inventory'!F:F,0))),"X","_"),"_")</f>
        <v>_</v>
      </c>
      <c r="L621" t="str">
        <f t="shared" ca="1" si="38"/>
        <v>__X_</v>
      </c>
      <c r="M621" t="str">
        <f t="shared" ca="1" si="39"/>
        <v/>
      </c>
    </row>
    <row r="622" spans="1:13" x14ac:dyDescent="0.25">
      <c r="A622" s="5"/>
      <c r="B622" s="4" t="str">
        <f t="shared" si="37"/>
        <v/>
      </c>
      <c r="C622" t="str">
        <f>IF(AND(TRIM(A622)&lt;&gt;"",IFERROR(VLOOKUP(TRIM(B622),Inventory!E:E,1,0),0)=0),"X","_")</f>
        <v>_</v>
      </c>
      <c r="D622" t="str">
        <f>IF(AND(TRIM(A622)&lt;&gt;"",IFERROR(VLOOKUP(TRIM(B622),'Full Inventory'!F:F,1,0),0)=0),"X","_")</f>
        <v>_</v>
      </c>
      <c r="E622" t="str">
        <f t="shared" si="40"/>
        <v>X</v>
      </c>
      <c r="F622" t="str">
        <f ca="1">IFERROR(IF(AND(C622&amp;D622&amp;E622="___",INDIRECT("Inventory!A"&amp;MATCH(VLOOKUP(B622,Inventory!E:E,1,0),Inventory!E:E,0))&lt;&gt;INDIRECT("'Full Inventory'!B"&amp;MATCH(VLOOKUP(B622,'Full Inventory'!F:F,1,0),'Full Inventory'!F:F,0))),"X","_"),"_")</f>
        <v>_</v>
      </c>
      <c r="L622" t="str">
        <f t="shared" ca="1" si="38"/>
        <v>__X_</v>
      </c>
      <c r="M622" t="str">
        <f t="shared" ca="1" si="39"/>
        <v/>
      </c>
    </row>
    <row r="623" spans="1:13" x14ac:dyDescent="0.25">
      <c r="A623" s="5"/>
      <c r="B623" s="4" t="str">
        <f t="shared" si="37"/>
        <v/>
      </c>
      <c r="C623" t="str">
        <f>IF(AND(TRIM(A623)&lt;&gt;"",IFERROR(VLOOKUP(TRIM(B623),Inventory!E:E,1,0),0)=0),"X","_")</f>
        <v>_</v>
      </c>
      <c r="D623" t="str">
        <f>IF(AND(TRIM(A623)&lt;&gt;"",IFERROR(VLOOKUP(TRIM(B623),'Full Inventory'!F:F,1,0),0)=0),"X","_")</f>
        <v>_</v>
      </c>
      <c r="E623" t="str">
        <f t="shared" si="40"/>
        <v>X</v>
      </c>
      <c r="F623" t="str">
        <f ca="1">IFERROR(IF(AND(C623&amp;D623&amp;E623="___",INDIRECT("Inventory!A"&amp;MATCH(VLOOKUP(B623,Inventory!E:E,1,0),Inventory!E:E,0))&lt;&gt;INDIRECT("'Full Inventory'!B"&amp;MATCH(VLOOKUP(B623,'Full Inventory'!F:F,1,0),'Full Inventory'!F:F,0))),"X","_"),"_")</f>
        <v>_</v>
      </c>
      <c r="L623" t="str">
        <f t="shared" ca="1" si="38"/>
        <v>__X_</v>
      </c>
      <c r="M623" t="str">
        <f t="shared" ca="1" si="39"/>
        <v/>
      </c>
    </row>
    <row r="624" spans="1:13" x14ac:dyDescent="0.25">
      <c r="A624" s="5"/>
      <c r="B624" s="4" t="str">
        <f t="shared" si="37"/>
        <v/>
      </c>
      <c r="C624" t="str">
        <f>IF(AND(TRIM(A624)&lt;&gt;"",IFERROR(VLOOKUP(TRIM(B624),Inventory!E:E,1,0),0)=0),"X","_")</f>
        <v>_</v>
      </c>
      <c r="D624" t="str">
        <f>IF(AND(TRIM(A624)&lt;&gt;"",IFERROR(VLOOKUP(TRIM(B624),'Full Inventory'!F:F,1,0),0)=0),"X","_")</f>
        <v>_</v>
      </c>
      <c r="E624" t="str">
        <f t="shared" si="40"/>
        <v>X</v>
      </c>
      <c r="F624" t="str">
        <f ca="1">IFERROR(IF(AND(C624&amp;D624&amp;E624="___",INDIRECT("Inventory!A"&amp;MATCH(VLOOKUP(B624,Inventory!E:E,1,0),Inventory!E:E,0))&lt;&gt;INDIRECT("'Full Inventory'!B"&amp;MATCH(VLOOKUP(B624,'Full Inventory'!F:F,1,0),'Full Inventory'!F:F,0))),"X","_"),"_")</f>
        <v>_</v>
      </c>
      <c r="L624" t="str">
        <f t="shared" ca="1" si="38"/>
        <v>__X_</v>
      </c>
      <c r="M624" t="str">
        <f t="shared" ca="1" si="39"/>
        <v/>
      </c>
    </row>
    <row r="625" spans="1:13" x14ac:dyDescent="0.25">
      <c r="A625" s="5"/>
      <c r="B625" s="4" t="str">
        <f t="shared" si="37"/>
        <v/>
      </c>
      <c r="C625" t="str">
        <f>IF(AND(TRIM(A625)&lt;&gt;"",IFERROR(VLOOKUP(TRIM(B625),Inventory!E:E,1,0),0)=0),"X","_")</f>
        <v>_</v>
      </c>
      <c r="D625" t="str">
        <f>IF(AND(TRIM(A625)&lt;&gt;"",IFERROR(VLOOKUP(TRIM(B625),'Full Inventory'!F:F,1,0),0)=0),"X","_")</f>
        <v>_</v>
      </c>
      <c r="E625" t="str">
        <f t="shared" si="40"/>
        <v>X</v>
      </c>
      <c r="F625" t="str">
        <f ca="1">IFERROR(IF(AND(C625&amp;D625&amp;E625="___",INDIRECT("Inventory!A"&amp;MATCH(VLOOKUP(B625,Inventory!E:E,1,0),Inventory!E:E,0))&lt;&gt;INDIRECT("'Full Inventory'!B"&amp;MATCH(VLOOKUP(B625,'Full Inventory'!F:F,1,0),'Full Inventory'!F:F,0))),"X","_"),"_")</f>
        <v>_</v>
      </c>
      <c r="L625" t="str">
        <f t="shared" ca="1" si="38"/>
        <v>__X_</v>
      </c>
      <c r="M625" t="str">
        <f t="shared" ca="1" si="39"/>
        <v/>
      </c>
    </row>
    <row r="626" spans="1:13" x14ac:dyDescent="0.25">
      <c r="A626" s="5"/>
      <c r="B626" s="4" t="str">
        <f t="shared" si="37"/>
        <v/>
      </c>
      <c r="C626" t="str">
        <f>IF(AND(TRIM(A626)&lt;&gt;"",IFERROR(VLOOKUP(TRIM(B626),Inventory!E:E,1,0),0)=0),"X","_")</f>
        <v>_</v>
      </c>
      <c r="D626" t="str">
        <f>IF(AND(TRIM(A626)&lt;&gt;"",IFERROR(VLOOKUP(TRIM(B626),'Full Inventory'!F:F,1,0),0)=0),"X","_")</f>
        <v>_</v>
      </c>
      <c r="E626" t="str">
        <f t="shared" si="40"/>
        <v>X</v>
      </c>
      <c r="F626" t="str">
        <f ca="1">IFERROR(IF(AND(C626&amp;D626&amp;E626="___",INDIRECT("Inventory!A"&amp;MATCH(VLOOKUP(B626,Inventory!E:E,1,0),Inventory!E:E,0))&lt;&gt;INDIRECT("'Full Inventory'!B"&amp;MATCH(VLOOKUP(B626,'Full Inventory'!F:F,1,0),'Full Inventory'!F:F,0))),"X","_"),"_")</f>
        <v>_</v>
      </c>
      <c r="L626" t="str">
        <f t="shared" ca="1" si="38"/>
        <v>__X_</v>
      </c>
      <c r="M626" t="str">
        <f t="shared" ca="1" si="39"/>
        <v/>
      </c>
    </row>
    <row r="627" spans="1:13" x14ac:dyDescent="0.25">
      <c r="A627" s="5"/>
      <c r="B627" s="4" t="str">
        <f t="shared" si="37"/>
        <v/>
      </c>
      <c r="C627" t="str">
        <f>IF(AND(TRIM(A627)&lt;&gt;"",IFERROR(VLOOKUP(TRIM(B627),Inventory!E:E,1,0),0)=0),"X","_")</f>
        <v>_</v>
      </c>
      <c r="D627" t="str">
        <f>IF(AND(TRIM(A627)&lt;&gt;"",IFERROR(VLOOKUP(TRIM(B627),'Full Inventory'!F:F,1,0),0)=0),"X","_")</f>
        <v>_</v>
      </c>
      <c r="E627" t="str">
        <f t="shared" si="40"/>
        <v>X</v>
      </c>
      <c r="F627" t="str">
        <f ca="1">IFERROR(IF(AND(C627&amp;D627&amp;E627="___",INDIRECT("Inventory!A"&amp;MATCH(VLOOKUP(B627,Inventory!E:E,1,0),Inventory!E:E,0))&lt;&gt;INDIRECT("'Full Inventory'!B"&amp;MATCH(VLOOKUP(B627,'Full Inventory'!F:F,1,0),'Full Inventory'!F:F,0))),"X","_"),"_")</f>
        <v>_</v>
      </c>
      <c r="L627" t="str">
        <f t="shared" ca="1" si="38"/>
        <v>__X_</v>
      </c>
      <c r="M627" t="str">
        <f t="shared" ca="1" si="39"/>
        <v/>
      </c>
    </row>
    <row r="628" spans="1:13" x14ac:dyDescent="0.25">
      <c r="A628" s="5"/>
      <c r="B628" s="4" t="str">
        <f t="shared" si="37"/>
        <v/>
      </c>
      <c r="C628" t="str">
        <f>IF(AND(TRIM(A628)&lt;&gt;"",IFERROR(VLOOKUP(TRIM(B628),Inventory!E:E,1,0),0)=0),"X","_")</f>
        <v>_</v>
      </c>
      <c r="D628" t="str">
        <f>IF(AND(TRIM(A628)&lt;&gt;"",IFERROR(VLOOKUP(TRIM(B628),'Full Inventory'!F:F,1,0),0)=0),"X","_")</f>
        <v>_</v>
      </c>
      <c r="E628" t="str">
        <f t="shared" si="40"/>
        <v>X</v>
      </c>
      <c r="F628" t="str">
        <f ca="1">IFERROR(IF(AND(C628&amp;D628&amp;E628="___",INDIRECT("Inventory!A"&amp;MATCH(VLOOKUP(B628,Inventory!E:E,1,0),Inventory!E:E,0))&lt;&gt;INDIRECT("'Full Inventory'!B"&amp;MATCH(VLOOKUP(B628,'Full Inventory'!F:F,1,0),'Full Inventory'!F:F,0))),"X","_"),"_")</f>
        <v>_</v>
      </c>
      <c r="L628" t="str">
        <f t="shared" ca="1" si="38"/>
        <v>__X_</v>
      </c>
      <c r="M628" t="str">
        <f t="shared" ca="1" si="39"/>
        <v/>
      </c>
    </row>
    <row r="629" spans="1:13" x14ac:dyDescent="0.25">
      <c r="A629" s="5"/>
      <c r="B629" s="4" t="str">
        <f t="shared" si="37"/>
        <v/>
      </c>
      <c r="C629" t="str">
        <f>IF(AND(TRIM(A629)&lt;&gt;"",IFERROR(VLOOKUP(TRIM(B629),Inventory!E:E,1,0),0)=0),"X","_")</f>
        <v>_</v>
      </c>
      <c r="D629" t="str">
        <f>IF(AND(TRIM(A629)&lt;&gt;"",IFERROR(VLOOKUP(TRIM(B629),'Full Inventory'!F:F,1,0),0)=0),"X","_")</f>
        <v>_</v>
      </c>
      <c r="E629" t="str">
        <f t="shared" si="40"/>
        <v>X</v>
      </c>
      <c r="F629" t="str">
        <f ca="1">IFERROR(IF(AND(C629&amp;D629&amp;E629="___",INDIRECT("Inventory!A"&amp;MATCH(VLOOKUP(B629,Inventory!E:E,1,0),Inventory!E:E,0))&lt;&gt;INDIRECT("'Full Inventory'!B"&amp;MATCH(VLOOKUP(B629,'Full Inventory'!F:F,1,0),'Full Inventory'!F:F,0))),"X","_"),"_")</f>
        <v>_</v>
      </c>
      <c r="L629" t="str">
        <f t="shared" ca="1" si="38"/>
        <v>__X_</v>
      </c>
      <c r="M629" t="str">
        <f t="shared" ca="1" si="39"/>
        <v/>
      </c>
    </row>
    <row r="630" spans="1:13" x14ac:dyDescent="0.25">
      <c r="A630" s="5"/>
      <c r="B630" s="4" t="str">
        <f t="shared" si="37"/>
        <v/>
      </c>
      <c r="C630" t="str">
        <f>IF(AND(TRIM(A630)&lt;&gt;"",IFERROR(VLOOKUP(TRIM(B630),Inventory!E:E,1,0),0)=0),"X","_")</f>
        <v>_</v>
      </c>
      <c r="D630" t="str">
        <f>IF(AND(TRIM(A630)&lt;&gt;"",IFERROR(VLOOKUP(TRIM(B630),'Full Inventory'!F:F,1,0),0)=0),"X","_")</f>
        <v>_</v>
      </c>
      <c r="E630" t="str">
        <f t="shared" si="40"/>
        <v>X</v>
      </c>
      <c r="F630" t="str">
        <f ca="1">IFERROR(IF(AND(C630&amp;D630&amp;E630="___",INDIRECT("Inventory!A"&amp;MATCH(VLOOKUP(B630,Inventory!E:E,1,0),Inventory!E:E,0))&lt;&gt;INDIRECT("'Full Inventory'!B"&amp;MATCH(VLOOKUP(B630,'Full Inventory'!F:F,1,0),'Full Inventory'!F:F,0))),"X","_"),"_")</f>
        <v>_</v>
      </c>
      <c r="L630" t="str">
        <f t="shared" ca="1" si="38"/>
        <v>__X_</v>
      </c>
      <c r="M630" t="str">
        <f t="shared" ca="1" si="39"/>
        <v/>
      </c>
    </row>
    <row r="631" spans="1:13" x14ac:dyDescent="0.25">
      <c r="A631" s="5"/>
      <c r="B631" s="4" t="str">
        <f t="shared" si="37"/>
        <v/>
      </c>
      <c r="C631" t="str">
        <f>IF(AND(TRIM(A631)&lt;&gt;"",IFERROR(VLOOKUP(TRIM(B631),Inventory!E:E,1,0),0)=0),"X","_")</f>
        <v>_</v>
      </c>
      <c r="D631" t="str">
        <f>IF(AND(TRIM(A631)&lt;&gt;"",IFERROR(VLOOKUP(TRIM(B631),'Full Inventory'!F:F,1,0),0)=0),"X","_")</f>
        <v>_</v>
      </c>
      <c r="E631" t="str">
        <f t="shared" si="40"/>
        <v>X</v>
      </c>
      <c r="F631" t="str">
        <f ca="1">IFERROR(IF(AND(C631&amp;D631&amp;E631="___",INDIRECT("Inventory!A"&amp;MATCH(VLOOKUP(B631,Inventory!E:E,1,0),Inventory!E:E,0))&lt;&gt;INDIRECT("'Full Inventory'!B"&amp;MATCH(VLOOKUP(B631,'Full Inventory'!F:F,1,0),'Full Inventory'!F:F,0))),"X","_"),"_")</f>
        <v>_</v>
      </c>
      <c r="L631" t="str">
        <f t="shared" ca="1" si="38"/>
        <v>__X_</v>
      </c>
      <c r="M631" t="str">
        <f t="shared" ca="1" si="39"/>
        <v/>
      </c>
    </row>
    <row r="632" spans="1:13" x14ac:dyDescent="0.25">
      <c r="A632" s="5"/>
      <c r="B632" s="4" t="str">
        <f t="shared" si="37"/>
        <v/>
      </c>
      <c r="C632" t="str">
        <f>IF(AND(TRIM(A632)&lt;&gt;"",IFERROR(VLOOKUP(TRIM(B632),Inventory!E:E,1,0),0)=0),"X","_")</f>
        <v>_</v>
      </c>
      <c r="D632" t="str">
        <f>IF(AND(TRIM(A632)&lt;&gt;"",IFERROR(VLOOKUP(TRIM(B632),'Full Inventory'!F:F,1,0),0)=0),"X","_")</f>
        <v>_</v>
      </c>
      <c r="E632" t="str">
        <f t="shared" si="40"/>
        <v>X</v>
      </c>
      <c r="F632" t="str">
        <f ca="1">IFERROR(IF(AND(C632&amp;D632&amp;E632="___",INDIRECT("Inventory!A"&amp;MATCH(VLOOKUP(B632,Inventory!E:E,1,0),Inventory!E:E,0))&lt;&gt;INDIRECT("'Full Inventory'!B"&amp;MATCH(VLOOKUP(B632,'Full Inventory'!F:F,1,0),'Full Inventory'!F:F,0))),"X","_"),"_")</f>
        <v>_</v>
      </c>
      <c r="L632" t="str">
        <f t="shared" ca="1" si="38"/>
        <v>__X_</v>
      </c>
      <c r="M632" t="str">
        <f t="shared" ca="1" si="39"/>
        <v/>
      </c>
    </row>
    <row r="633" spans="1:13" x14ac:dyDescent="0.25">
      <c r="A633" s="5"/>
      <c r="B633" s="4" t="str">
        <f t="shared" si="37"/>
        <v/>
      </c>
      <c r="C633" t="str">
        <f>IF(AND(TRIM(A633)&lt;&gt;"",IFERROR(VLOOKUP(TRIM(B633),Inventory!E:E,1,0),0)=0),"X","_")</f>
        <v>_</v>
      </c>
      <c r="D633" t="str">
        <f>IF(AND(TRIM(A633)&lt;&gt;"",IFERROR(VLOOKUP(TRIM(B633),'Full Inventory'!F:F,1,0),0)=0),"X","_")</f>
        <v>_</v>
      </c>
      <c r="E633" t="str">
        <f t="shared" si="40"/>
        <v>X</v>
      </c>
      <c r="F633" t="str">
        <f ca="1">IFERROR(IF(AND(C633&amp;D633&amp;E633="___",INDIRECT("Inventory!A"&amp;MATCH(VLOOKUP(B633,Inventory!E:E,1,0),Inventory!E:E,0))&lt;&gt;INDIRECT("'Full Inventory'!B"&amp;MATCH(VLOOKUP(B633,'Full Inventory'!F:F,1,0),'Full Inventory'!F:F,0))),"X","_"),"_")</f>
        <v>_</v>
      </c>
      <c r="L633" t="str">
        <f t="shared" ca="1" si="38"/>
        <v>__X_</v>
      </c>
      <c r="M633" t="str">
        <f t="shared" ca="1" si="39"/>
        <v/>
      </c>
    </row>
    <row r="634" spans="1:13" x14ac:dyDescent="0.25">
      <c r="A634" s="5"/>
      <c r="B634" s="4" t="str">
        <f t="shared" si="37"/>
        <v/>
      </c>
      <c r="C634" t="str">
        <f>IF(AND(TRIM(A634)&lt;&gt;"",IFERROR(VLOOKUP(TRIM(B634),Inventory!E:E,1,0),0)=0),"X","_")</f>
        <v>_</v>
      </c>
      <c r="D634" t="str">
        <f>IF(AND(TRIM(A634)&lt;&gt;"",IFERROR(VLOOKUP(TRIM(B634),'Full Inventory'!F:F,1,0),0)=0),"X","_")</f>
        <v>_</v>
      </c>
      <c r="E634" t="str">
        <f t="shared" si="40"/>
        <v>X</v>
      </c>
      <c r="F634" t="str">
        <f ca="1">IFERROR(IF(AND(C634&amp;D634&amp;E634="___",INDIRECT("Inventory!A"&amp;MATCH(VLOOKUP(B634,Inventory!E:E,1,0),Inventory!E:E,0))&lt;&gt;INDIRECT("'Full Inventory'!B"&amp;MATCH(VLOOKUP(B634,'Full Inventory'!F:F,1,0),'Full Inventory'!F:F,0))),"X","_"),"_")</f>
        <v>_</v>
      </c>
      <c r="L634" t="str">
        <f t="shared" ca="1" si="38"/>
        <v>__X_</v>
      </c>
      <c r="M634" t="str">
        <f t="shared" ca="1" si="39"/>
        <v/>
      </c>
    </row>
    <row r="635" spans="1:13" x14ac:dyDescent="0.25">
      <c r="A635" s="5"/>
      <c r="B635" s="4" t="str">
        <f t="shared" si="37"/>
        <v/>
      </c>
      <c r="C635" t="str">
        <f>IF(AND(TRIM(A635)&lt;&gt;"",IFERROR(VLOOKUP(TRIM(B635),Inventory!E:E,1,0),0)=0),"X","_")</f>
        <v>_</v>
      </c>
      <c r="D635" t="str">
        <f>IF(AND(TRIM(A635)&lt;&gt;"",IFERROR(VLOOKUP(TRIM(B635),'Full Inventory'!F:F,1,0),0)=0),"X","_")</f>
        <v>_</v>
      </c>
      <c r="E635" t="str">
        <f t="shared" si="40"/>
        <v>X</v>
      </c>
      <c r="F635" t="str">
        <f ca="1">IFERROR(IF(AND(C635&amp;D635&amp;E635="___",INDIRECT("Inventory!A"&amp;MATCH(VLOOKUP(B635,Inventory!E:E,1,0),Inventory!E:E,0))&lt;&gt;INDIRECT("'Full Inventory'!B"&amp;MATCH(VLOOKUP(B635,'Full Inventory'!F:F,1,0),'Full Inventory'!F:F,0))),"X","_"),"_")</f>
        <v>_</v>
      </c>
      <c r="L635" t="str">
        <f t="shared" ca="1" si="38"/>
        <v>__X_</v>
      </c>
      <c r="M635" t="str">
        <f t="shared" ca="1" si="39"/>
        <v/>
      </c>
    </row>
    <row r="636" spans="1:13" x14ac:dyDescent="0.25">
      <c r="A636" s="5"/>
      <c r="B636" s="4" t="str">
        <f t="shared" si="37"/>
        <v/>
      </c>
      <c r="C636" t="str">
        <f>IF(AND(TRIM(A636)&lt;&gt;"",IFERROR(VLOOKUP(TRIM(B636),Inventory!E:E,1,0),0)=0),"X","_")</f>
        <v>_</v>
      </c>
      <c r="D636" t="str">
        <f>IF(AND(TRIM(A636)&lt;&gt;"",IFERROR(VLOOKUP(TRIM(B636),'Full Inventory'!F:F,1,0),0)=0),"X","_")</f>
        <v>_</v>
      </c>
      <c r="E636" t="str">
        <f t="shared" si="40"/>
        <v>X</v>
      </c>
      <c r="F636" t="str">
        <f ca="1">IFERROR(IF(AND(C636&amp;D636&amp;E636="___",INDIRECT("Inventory!A"&amp;MATCH(VLOOKUP(B636,Inventory!E:E,1,0),Inventory!E:E,0))&lt;&gt;INDIRECT("'Full Inventory'!B"&amp;MATCH(VLOOKUP(B636,'Full Inventory'!F:F,1,0),'Full Inventory'!F:F,0))),"X","_"),"_")</f>
        <v>_</v>
      </c>
      <c r="L636" t="str">
        <f t="shared" ca="1" si="38"/>
        <v>__X_</v>
      </c>
      <c r="M636" t="str">
        <f t="shared" ca="1" si="39"/>
        <v/>
      </c>
    </row>
    <row r="637" spans="1:13" x14ac:dyDescent="0.25">
      <c r="A637" s="5"/>
      <c r="B637" s="4" t="str">
        <f t="shared" si="37"/>
        <v/>
      </c>
      <c r="C637" t="str">
        <f>IF(AND(TRIM(A637)&lt;&gt;"",IFERROR(VLOOKUP(TRIM(B637),Inventory!E:E,1,0),0)=0),"X","_")</f>
        <v>_</v>
      </c>
      <c r="D637" t="str">
        <f>IF(AND(TRIM(A637)&lt;&gt;"",IFERROR(VLOOKUP(TRIM(B637),'Full Inventory'!F:F,1,0),0)=0),"X","_")</f>
        <v>_</v>
      </c>
      <c r="E637" t="str">
        <f t="shared" si="40"/>
        <v>X</v>
      </c>
      <c r="F637" t="str">
        <f ca="1">IFERROR(IF(AND(C637&amp;D637&amp;E637="___",INDIRECT("Inventory!A"&amp;MATCH(VLOOKUP(B637,Inventory!E:E,1,0),Inventory!E:E,0))&lt;&gt;INDIRECT("'Full Inventory'!B"&amp;MATCH(VLOOKUP(B637,'Full Inventory'!F:F,1,0),'Full Inventory'!F:F,0))),"X","_"),"_")</f>
        <v>_</v>
      </c>
      <c r="L637" t="str">
        <f t="shared" ca="1" si="38"/>
        <v>__X_</v>
      </c>
      <c r="M637" t="str">
        <f t="shared" ca="1" si="39"/>
        <v/>
      </c>
    </row>
    <row r="638" spans="1:13" x14ac:dyDescent="0.25">
      <c r="A638" s="5"/>
      <c r="B638" s="4" t="str">
        <f t="shared" si="37"/>
        <v/>
      </c>
      <c r="C638" t="str">
        <f>IF(AND(TRIM(A638)&lt;&gt;"",IFERROR(VLOOKUP(TRIM(B638),Inventory!E:E,1,0),0)=0),"X","_")</f>
        <v>_</v>
      </c>
      <c r="D638" t="str">
        <f>IF(AND(TRIM(A638)&lt;&gt;"",IFERROR(VLOOKUP(TRIM(B638),'Full Inventory'!F:F,1,0),0)=0),"X","_")</f>
        <v>_</v>
      </c>
      <c r="E638" t="str">
        <f t="shared" si="40"/>
        <v>X</v>
      </c>
      <c r="F638" t="str">
        <f ca="1">IFERROR(IF(AND(C638&amp;D638&amp;E638="___",INDIRECT("Inventory!A"&amp;MATCH(VLOOKUP(B638,Inventory!E:E,1,0),Inventory!E:E,0))&lt;&gt;INDIRECT("'Full Inventory'!B"&amp;MATCH(VLOOKUP(B638,'Full Inventory'!F:F,1,0),'Full Inventory'!F:F,0))),"X","_"),"_")</f>
        <v>_</v>
      </c>
      <c r="L638" t="str">
        <f t="shared" ca="1" si="38"/>
        <v>__X_</v>
      </c>
      <c r="M638" t="str">
        <f t="shared" ca="1" si="39"/>
        <v/>
      </c>
    </row>
    <row r="639" spans="1:13" x14ac:dyDescent="0.25">
      <c r="A639" s="5"/>
      <c r="B639" s="4" t="str">
        <f t="shared" si="37"/>
        <v/>
      </c>
      <c r="C639" t="str">
        <f>IF(AND(TRIM(A639)&lt;&gt;"",IFERROR(VLOOKUP(TRIM(B639),Inventory!E:E,1,0),0)=0),"X","_")</f>
        <v>_</v>
      </c>
      <c r="D639" t="str">
        <f>IF(AND(TRIM(A639)&lt;&gt;"",IFERROR(VLOOKUP(TRIM(B639),'Full Inventory'!F:F,1,0),0)=0),"X","_")</f>
        <v>_</v>
      </c>
      <c r="E639" t="str">
        <f t="shared" si="40"/>
        <v>X</v>
      </c>
      <c r="F639" t="str">
        <f ca="1">IFERROR(IF(AND(C639&amp;D639&amp;E639="___",INDIRECT("Inventory!A"&amp;MATCH(VLOOKUP(B639,Inventory!E:E,1,0),Inventory!E:E,0))&lt;&gt;INDIRECT("'Full Inventory'!B"&amp;MATCH(VLOOKUP(B639,'Full Inventory'!F:F,1,0),'Full Inventory'!F:F,0))),"X","_"),"_")</f>
        <v>_</v>
      </c>
      <c r="L639" t="str">
        <f t="shared" ca="1" si="38"/>
        <v>__X_</v>
      </c>
      <c r="M639" t="str">
        <f t="shared" ca="1" si="39"/>
        <v/>
      </c>
    </row>
    <row r="640" spans="1:13" x14ac:dyDescent="0.25">
      <c r="A640" s="5"/>
      <c r="B640" s="4" t="str">
        <f t="shared" si="37"/>
        <v/>
      </c>
      <c r="C640" t="str">
        <f>IF(AND(TRIM(A640)&lt;&gt;"",IFERROR(VLOOKUP(TRIM(B640),Inventory!E:E,1,0),0)=0),"X","_")</f>
        <v>_</v>
      </c>
      <c r="D640" t="str">
        <f>IF(AND(TRIM(A640)&lt;&gt;"",IFERROR(VLOOKUP(TRIM(B640),'Full Inventory'!F:F,1,0),0)=0),"X","_")</f>
        <v>_</v>
      </c>
      <c r="E640" t="str">
        <f t="shared" si="40"/>
        <v>X</v>
      </c>
      <c r="F640" t="str">
        <f ca="1">IFERROR(IF(AND(C640&amp;D640&amp;E640="___",INDIRECT("Inventory!A"&amp;MATCH(VLOOKUP(B640,Inventory!E:E,1,0),Inventory!E:E,0))&lt;&gt;INDIRECT("'Full Inventory'!B"&amp;MATCH(VLOOKUP(B640,'Full Inventory'!F:F,1,0),'Full Inventory'!F:F,0))),"X","_"),"_")</f>
        <v>_</v>
      </c>
      <c r="L640" t="str">
        <f t="shared" ca="1" si="38"/>
        <v>__X_</v>
      </c>
      <c r="M640" t="str">
        <f t="shared" ca="1" si="39"/>
        <v/>
      </c>
    </row>
    <row r="641" spans="1:13" x14ac:dyDescent="0.25">
      <c r="A641" s="5"/>
      <c r="B641" s="4" t="str">
        <f t="shared" si="37"/>
        <v/>
      </c>
      <c r="C641" t="str">
        <f>IF(AND(TRIM(A641)&lt;&gt;"",IFERROR(VLOOKUP(TRIM(B641),Inventory!E:E,1,0),0)=0),"X","_")</f>
        <v>_</v>
      </c>
      <c r="D641" t="str">
        <f>IF(AND(TRIM(A641)&lt;&gt;"",IFERROR(VLOOKUP(TRIM(B641),'Full Inventory'!F:F,1,0),0)=0),"X","_")</f>
        <v>_</v>
      </c>
      <c r="E641" t="str">
        <f t="shared" si="40"/>
        <v>X</v>
      </c>
      <c r="F641" t="str">
        <f ca="1">IFERROR(IF(AND(C641&amp;D641&amp;E641="___",INDIRECT("Inventory!A"&amp;MATCH(VLOOKUP(B641,Inventory!E:E,1,0),Inventory!E:E,0))&lt;&gt;INDIRECT("'Full Inventory'!B"&amp;MATCH(VLOOKUP(B641,'Full Inventory'!F:F,1,0),'Full Inventory'!F:F,0))),"X","_"),"_")</f>
        <v>_</v>
      </c>
      <c r="L641" t="str">
        <f t="shared" ca="1" si="38"/>
        <v>__X_</v>
      </c>
      <c r="M641" t="str">
        <f t="shared" ca="1" si="39"/>
        <v/>
      </c>
    </row>
    <row r="642" spans="1:13" x14ac:dyDescent="0.25">
      <c r="A642" s="5"/>
      <c r="B642" s="4" t="str">
        <f t="shared" si="37"/>
        <v/>
      </c>
      <c r="C642" t="str">
        <f>IF(AND(TRIM(A642)&lt;&gt;"",IFERROR(VLOOKUP(TRIM(B642),Inventory!E:E,1,0),0)=0),"X","_")</f>
        <v>_</v>
      </c>
      <c r="D642" t="str">
        <f>IF(AND(TRIM(A642)&lt;&gt;"",IFERROR(VLOOKUP(TRIM(B642),'Full Inventory'!F:F,1,0),0)=0),"X","_")</f>
        <v>_</v>
      </c>
      <c r="E642" t="str">
        <f t="shared" si="40"/>
        <v>X</v>
      </c>
      <c r="F642" t="str">
        <f ca="1">IFERROR(IF(AND(C642&amp;D642&amp;E642="___",INDIRECT("Inventory!A"&amp;MATCH(VLOOKUP(B642,Inventory!E:E,1,0),Inventory!E:E,0))&lt;&gt;INDIRECT("'Full Inventory'!B"&amp;MATCH(VLOOKUP(B642,'Full Inventory'!F:F,1,0),'Full Inventory'!F:F,0))),"X","_"),"_")</f>
        <v>_</v>
      </c>
      <c r="L642" t="str">
        <f t="shared" ca="1" si="38"/>
        <v>__X_</v>
      </c>
      <c r="M642" t="str">
        <f t="shared" ca="1" si="39"/>
        <v/>
      </c>
    </row>
    <row r="643" spans="1:13" x14ac:dyDescent="0.25">
      <c r="A643" s="5"/>
      <c r="B643" s="4" t="str">
        <f t="shared" ref="B643:B706" si="41">SUBSTITUTE(SUBSTITUTE(A643,"ö","0"),"Ö","0")</f>
        <v/>
      </c>
      <c r="C643" t="str">
        <f>IF(AND(TRIM(A643)&lt;&gt;"",IFERROR(VLOOKUP(TRIM(B643),Inventory!E:E,1,0),0)=0),"X","_")</f>
        <v>_</v>
      </c>
      <c r="D643" t="str">
        <f>IF(AND(TRIM(A643)&lt;&gt;"",IFERROR(VLOOKUP(TRIM(B643),'Full Inventory'!F:F,1,0),0)=0),"X","_")</f>
        <v>_</v>
      </c>
      <c r="E643" t="str">
        <f t="shared" si="40"/>
        <v>X</v>
      </c>
      <c r="F643" t="str">
        <f ca="1">IFERROR(IF(AND(C643&amp;D643&amp;E643="___",INDIRECT("Inventory!A"&amp;MATCH(VLOOKUP(B643,Inventory!E:E,1,0),Inventory!E:E,0))&lt;&gt;INDIRECT("'Full Inventory'!B"&amp;MATCH(VLOOKUP(B643,'Full Inventory'!F:F,1,0),'Full Inventory'!F:F,0))),"X","_"),"_")</f>
        <v>_</v>
      </c>
      <c r="L643" t="str">
        <f t="shared" ref="L643:L706" ca="1" si="42">C643&amp;D643&amp;E643&amp;F643</f>
        <v>__X_</v>
      </c>
      <c r="M643" t="str">
        <f t="shared" ref="M643:M706" ca="1" si="43">IF(L643="____","OK",IF(L643="_X__","NOT IN FULL INVENTORY",IF(L643="XX__","NOT IN FULL INVENTORY AND INVENTORY",IF(L643="X___","NOT IN INVENTORY",IF(L643="___X","DIFFERENT NAMES IN FULL INVENTORY AND INVENTORY","")))))</f>
        <v/>
      </c>
    </row>
    <row r="644" spans="1:13" x14ac:dyDescent="0.25">
      <c r="A644" s="5"/>
      <c r="B644" s="4" t="str">
        <f t="shared" si="41"/>
        <v/>
      </c>
      <c r="C644" t="str">
        <f>IF(AND(TRIM(A644)&lt;&gt;"",IFERROR(VLOOKUP(TRIM(B644),Inventory!E:E,1,0),0)=0),"X","_")</f>
        <v>_</v>
      </c>
      <c r="D644" t="str">
        <f>IF(AND(TRIM(A644)&lt;&gt;"",IFERROR(VLOOKUP(TRIM(B644),'Full Inventory'!F:F,1,0),0)=0),"X","_")</f>
        <v>_</v>
      </c>
      <c r="E644" t="str">
        <f t="shared" si="40"/>
        <v>X</v>
      </c>
      <c r="F644" t="str">
        <f ca="1">IFERROR(IF(AND(C644&amp;D644&amp;E644="___",INDIRECT("Inventory!A"&amp;MATCH(VLOOKUP(B644,Inventory!E:E,1,0),Inventory!E:E,0))&lt;&gt;INDIRECT("'Full Inventory'!B"&amp;MATCH(VLOOKUP(B644,'Full Inventory'!F:F,1,0),'Full Inventory'!F:F,0))),"X","_"),"_")</f>
        <v>_</v>
      </c>
      <c r="L644" t="str">
        <f t="shared" ca="1" si="42"/>
        <v>__X_</v>
      </c>
      <c r="M644" t="str">
        <f t="shared" ca="1" si="43"/>
        <v/>
      </c>
    </row>
    <row r="645" spans="1:13" x14ac:dyDescent="0.25">
      <c r="A645" s="5"/>
      <c r="B645" s="4" t="str">
        <f t="shared" si="41"/>
        <v/>
      </c>
      <c r="C645" t="str">
        <f>IF(AND(TRIM(A645)&lt;&gt;"",IFERROR(VLOOKUP(TRIM(B645),Inventory!E:E,1,0),0)=0),"X","_")</f>
        <v>_</v>
      </c>
      <c r="D645" t="str">
        <f>IF(AND(TRIM(A645)&lt;&gt;"",IFERROR(VLOOKUP(TRIM(B645),'Full Inventory'!F:F,1,0),0)=0),"X","_")</f>
        <v>_</v>
      </c>
      <c r="E645" t="str">
        <f t="shared" si="40"/>
        <v>X</v>
      </c>
      <c r="F645" t="str">
        <f ca="1">IFERROR(IF(AND(C645&amp;D645&amp;E645="___",INDIRECT("Inventory!A"&amp;MATCH(VLOOKUP(B645,Inventory!E:E,1,0),Inventory!E:E,0))&lt;&gt;INDIRECT("'Full Inventory'!B"&amp;MATCH(VLOOKUP(B645,'Full Inventory'!F:F,1,0),'Full Inventory'!F:F,0))),"X","_"),"_")</f>
        <v>_</v>
      </c>
      <c r="L645" t="str">
        <f t="shared" ca="1" si="42"/>
        <v>__X_</v>
      </c>
      <c r="M645" t="str">
        <f t="shared" ca="1" si="43"/>
        <v/>
      </c>
    </row>
    <row r="646" spans="1:13" x14ac:dyDescent="0.25">
      <c r="A646" s="5"/>
      <c r="B646" s="4" t="str">
        <f t="shared" si="41"/>
        <v/>
      </c>
      <c r="C646" t="str">
        <f>IF(AND(TRIM(A646)&lt;&gt;"",IFERROR(VLOOKUP(TRIM(B646),Inventory!E:E,1,0),0)=0),"X","_")</f>
        <v>_</v>
      </c>
      <c r="D646" t="str">
        <f>IF(AND(TRIM(A646)&lt;&gt;"",IFERROR(VLOOKUP(TRIM(B646),'Full Inventory'!F:F,1,0),0)=0),"X","_")</f>
        <v>_</v>
      </c>
      <c r="E646" t="str">
        <f t="shared" si="40"/>
        <v>X</v>
      </c>
      <c r="F646" t="str">
        <f ca="1">IFERROR(IF(AND(C646&amp;D646&amp;E646="___",INDIRECT("Inventory!A"&amp;MATCH(VLOOKUP(B646,Inventory!E:E,1,0),Inventory!E:E,0))&lt;&gt;INDIRECT("'Full Inventory'!B"&amp;MATCH(VLOOKUP(B646,'Full Inventory'!F:F,1,0),'Full Inventory'!F:F,0))),"X","_"),"_")</f>
        <v>_</v>
      </c>
      <c r="L646" t="str">
        <f t="shared" ca="1" si="42"/>
        <v>__X_</v>
      </c>
      <c r="M646" t="str">
        <f t="shared" ca="1" si="43"/>
        <v/>
      </c>
    </row>
    <row r="647" spans="1:13" x14ac:dyDescent="0.25">
      <c r="A647" s="5"/>
      <c r="B647" s="4" t="str">
        <f t="shared" si="41"/>
        <v/>
      </c>
      <c r="C647" t="str">
        <f>IF(AND(TRIM(A647)&lt;&gt;"",IFERROR(VLOOKUP(TRIM(B647),Inventory!E:E,1,0),0)=0),"X","_")</f>
        <v>_</v>
      </c>
      <c r="D647" t="str">
        <f>IF(AND(TRIM(A647)&lt;&gt;"",IFERROR(VLOOKUP(TRIM(B647),'Full Inventory'!F:F,1,0),0)=0),"X","_")</f>
        <v>_</v>
      </c>
      <c r="E647" t="str">
        <f t="shared" si="40"/>
        <v>X</v>
      </c>
      <c r="F647" t="str">
        <f ca="1">IFERROR(IF(AND(C647&amp;D647&amp;E647="___",INDIRECT("Inventory!A"&amp;MATCH(VLOOKUP(B647,Inventory!E:E,1,0),Inventory!E:E,0))&lt;&gt;INDIRECT("'Full Inventory'!B"&amp;MATCH(VLOOKUP(B647,'Full Inventory'!F:F,1,0),'Full Inventory'!F:F,0))),"X","_"),"_")</f>
        <v>_</v>
      </c>
      <c r="L647" t="str">
        <f t="shared" ca="1" si="42"/>
        <v>__X_</v>
      </c>
      <c r="M647" t="str">
        <f t="shared" ca="1" si="43"/>
        <v/>
      </c>
    </row>
    <row r="648" spans="1:13" x14ac:dyDescent="0.25">
      <c r="A648" s="5"/>
      <c r="B648" s="4" t="str">
        <f t="shared" si="41"/>
        <v/>
      </c>
      <c r="C648" t="str">
        <f>IF(AND(TRIM(A648)&lt;&gt;"",IFERROR(VLOOKUP(TRIM(B648),Inventory!E:E,1,0),0)=0),"X","_")</f>
        <v>_</v>
      </c>
      <c r="D648" t="str">
        <f>IF(AND(TRIM(A648)&lt;&gt;"",IFERROR(VLOOKUP(TRIM(B648),'Full Inventory'!F:F,1,0),0)=0),"X","_")</f>
        <v>_</v>
      </c>
      <c r="E648" t="str">
        <f t="shared" si="40"/>
        <v>X</v>
      </c>
      <c r="F648" t="str">
        <f ca="1">IFERROR(IF(AND(C648&amp;D648&amp;E648="___",INDIRECT("Inventory!A"&amp;MATCH(VLOOKUP(B648,Inventory!E:E,1,0),Inventory!E:E,0))&lt;&gt;INDIRECT("'Full Inventory'!B"&amp;MATCH(VLOOKUP(B648,'Full Inventory'!F:F,1,0),'Full Inventory'!F:F,0))),"X","_"),"_")</f>
        <v>_</v>
      </c>
      <c r="L648" t="str">
        <f t="shared" ca="1" si="42"/>
        <v>__X_</v>
      </c>
      <c r="M648" t="str">
        <f t="shared" ca="1" si="43"/>
        <v/>
      </c>
    </row>
    <row r="649" spans="1:13" x14ac:dyDescent="0.25">
      <c r="A649" s="5"/>
      <c r="B649" s="4" t="str">
        <f t="shared" si="41"/>
        <v/>
      </c>
      <c r="C649" t="str">
        <f>IF(AND(TRIM(A649)&lt;&gt;"",IFERROR(VLOOKUP(TRIM(B649),Inventory!E:E,1,0),0)=0),"X","_")</f>
        <v>_</v>
      </c>
      <c r="D649" t="str">
        <f>IF(AND(TRIM(A649)&lt;&gt;"",IFERROR(VLOOKUP(TRIM(B649),'Full Inventory'!F:F,1,0),0)=0),"X","_")</f>
        <v>_</v>
      </c>
      <c r="E649" t="str">
        <f t="shared" si="40"/>
        <v>X</v>
      </c>
      <c r="F649" t="str">
        <f ca="1">IFERROR(IF(AND(C649&amp;D649&amp;E649="___",INDIRECT("Inventory!A"&amp;MATCH(VLOOKUP(B649,Inventory!E:E,1,0),Inventory!E:E,0))&lt;&gt;INDIRECT("'Full Inventory'!B"&amp;MATCH(VLOOKUP(B649,'Full Inventory'!F:F,1,0),'Full Inventory'!F:F,0))),"X","_"),"_")</f>
        <v>_</v>
      </c>
      <c r="L649" t="str">
        <f t="shared" ca="1" si="42"/>
        <v>__X_</v>
      </c>
      <c r="M649" t="str">
        <f t="shared" ca="1" si="43"/>
        <v/>
      </c>
    </row>
    <row r="650" spans="1:13" x14ac:dyDescent="0.25">
      <c r="A650" s="5"/>
      <c r="B650" s="4" t="str">
        <f t="shared" si="41"/>
        <v/>
      </c>
      <c r="C650" t="str">
        <f>IF(AND(TRIM(A650)&lt;&gt;"",IFERROR(VLOOKUP(TRIM(B650),Inventory!E:E,1,0),0)=0),"X","_")</f>
        <v>_</v>
      </c>
      <c r="D650" t="str">
        <f>IF(AND(TRIM(A650)&lt;&gt;"",IFERROR(VLOOKUP(TRIM(B650),'Full Inventory'!F:F,1,0),0)=0),"X","_")</f>
        <v>_</v>
      </c>
      <c r="E650" t="str">
        <f t="shared" si="40"/>
        <v>X</v>
      </c>
      <c r="F650" t="str">
        <f ca="1">IFERROR(IF(AND(C650&amp;D650&amp;E650="___",INDIRECT("Inventory!A"&amp;MATCH(VLOOKUP(B650,Inventory!E:E,1,0),Inventory!E:E,0))&lt;&gt;INDIRECT("'Full Inventory'!B"&amp;MATCH(VLOOKUP(B650,'Full Inventory'!F:F,1,0),'Full Inventory'!F:F,0))),"X","_"),"_")</f>
        <v>_</v>
      </c>
      <c r="L650" t="str">
        <f t="shared" ca="1" si="42"/>
        <v>__X_</v>
      </c>
      <c r="M650" t="str">
        <f t="shared" ca="1" si="43"/>
        <v/>
      </c>
    </row>
    <row r="651" spans="1:13" x14ac:dyDescent="0.25">
      <c r="A651" s="5"/>
      <c r="B651" s="4" t="str">
        <f t="shared" si="41"/>
        <v/>
      </c>
      <c r="C651" t="str">
        <f>IF(AND(TRIM(A651)&lt;&gt;"",IFERROR(VLOOKUP(TRIM(B651),Inventory!E:E,1,0),0)=0),"X","_")</f>
        <v>_</v>
      </c>
      <c r="D651" t="str">
        <f>IF(AND(TRIM(A651)&lt;&gt;"",IFERROR(VLOOKUP(TRIM(B651),'Full Inventory'!F:F,1,0),0)=0),"X","_")</f>
        <v>_</v>
      </c>
      <c r="E651" t="str">
        <f t="shared" si="40"/>
        <v>X</v>
      </c>
      <c r="F651" t="str">
        <f ca="1">IFERROR(IF(AND(C651&amp;D651&amp;E651="___",INDIRECT("Inventory!A"&amp;MATCH(VLOOKUP(B651,Inventory!E:E,1,0),Inventory!E:E,0))&lt;&gt;INDIRECT("'Full Inventory'!B"&amp;MATCH(VLOOKUP(B651,'Full Inventory'!F:F,1,0),'Full Inventory'!F:F,0))),"X","_"),"_")</f>
        <v>_</v>
      </c>
      <c r="L651" t="str">
        <f t="shared" ca="1" si="42"/>
        <v>__X_</v>
      </c>
      <c r="M651" t="str">
        <f t="shared" ca="1" si="43"/>
        <v/>
      </c>
    </row>
    <row r="652" spans="1:13" x14ac:dyDescent="0.25">
      <c r="A652" s="5"/>
      <c r="B652" s="4" t="str">
        <f t="shared" si="41"/>
        <v/>
      </c>
      <c r="C652" t="str">
        <f>IF(AND(TRIM(A652)&lt;&gt;"",IFERROR(VLOOKUP(TRIM(B652),Inventory!E:E,1,0),0)=0),"X","_")</f>
        <v>_</v>
      </c>
      <c r="D652" t="str">
        <f>IF(AND(TRIM(A652)&lt;&gt;"",IFERROR(VLOOKUP(TRIM(B652),'Full Inventory'!F:F,1,0),0)=0),"X","_")</f>
        <v>_</v>
      </c>
      <c r="E652" t="str">
        <f t="shared" si="40"/>
        <v>X</v>
      </c>
      <c r="F652" t="str">
        <f ca="1">IFERROR(IF(AND(C652&amp;D652&amp;E652="___",INDIRECT("Inventory!A"&amp;MATCH(VLOOKUP(B652,Inventory!E:E,1,0),Inventory!E:E,0))&lt;&gt;INDIRECT("'Full Inventory'!B"&amp;MATCH(VLOOKUP(B652,'Full Inventory'!F:F,1,0),'Full Inventory'!F:F,0))),"X","_"),"_")</f>
        <v>_</v>
      </c>
      <c r="L652" t="str">
        <f t="shared" ca="1" si="42"/>
        <v>__X_</v>
      </c>
      <c r="M652" t="str">
        <f t="shared" ca="1" si="43"/>
        <v/>
      </c>
    </row>
    <row r="653" spans="1:13" x14ac:dyDescent="0.25">
      <c r="A653" s="5"/>
      <c r="B653" s="4" t="str">
        <f t="shared" si="41"/>
        <v/>
      </c>
      <c r="C653" t="str">
        <f>IF(AND(TRIM(A653)&lt;&gt;"",IFERROR(VLOOKUP(TRIM(B653),Inventory!E:E,1,0),0)=0),"X","_")</f>
        <v>_</v>
      </c>
      <c r="D653" t="str">
        <f>IF(AND(TRIM(A653)&lt;&gt;"",IFERROR(VLOOKUP(TRIM(B653),'Full Inventory'!F:F,1,0),0)=0),"X","_")</f>
        <v>_</v>
      </c>
      <c r="E653" t="str">
        <f t="shared" si="40"/>
        <v>X</v>
      </c>
      <c r="F653" t="str">
        <f ca="1">IFERROR(IF(AND(C653&amp;D653&amp;E653="___",INDIRECT("Inventory!A"&amp;MATCH(VLOOKUP(B653,Inventory!E:E,1,0),Inventory!E:E,0))&lt;&gt;INDIRECT("'Full Inventory'!B"&amp;MATCH(VLOOKUP(B653,'Full Inventory'!F:F,1,0),'Full Inventory'!F:F,0))),"X","_"),"_")</f>
        <v>_</v>
      </c>
      <c r="L653" t="str">
        <f t="shared" ca="1" si="42"/>
        <v>__X_</v>
      </c>
      <c r="M653" t="str">
        <f t="shared" ca="1" si="43"/>
        <v/>
      </c>
    </row>
    <row r="654" spans="1:13" x14ac:dyDescent="0.25">
      <c r="A654" s="5"/>
      <c r="B654" s="4" t="str">
        <f t="shared" si="41"/>
        <v/>
      </c>
      <c r="C654" t="str">
        <f>IF(AND(TRIM(A654)&lt;&gt;"",IFERROR(VLOOKUP(TRIM(B654),Inventory!E:E,1,0),0)=0),"X","_")</f>
        <v>_</v>
      </c>
      <c r="D654" t="str">
        <f>IF(AND(TRIM(A654)&lt;&gt;"",IFERROR(VLOOKUP(TRIM(B654),'Full Inventory'!F:F,1,0),0)=0),"X","_")</f>
        <v>_</v>
      </c>
      <c r="E654" t="str">
        <f t="shared" si="40"/>
        <v>X</v>
      </c>
      <c r="F654" t="str">
        <f ca="1">IFERROR(IF(AND(C654&amp;D654&amp;E654="___",INDIRECT("Inventory!A"&amp;MATCH(VLOOKUP(B654,Inventory!E:E,1,0),Inventory!E:E,0))&lt;&gt;INDIRECT("'Full Inventory'!B"&amp;MATCH(VLOOKUP(B654,'Full Inventory'!F:F,1,0),'Full Inventory'!F:F,0))),"X","_"),"_")</f>
        <v>_</v>
      </c>
      <c r="L654" t="str">
        <f t="shared" ca="1" si="42"/>
        <v>__X_</v>
      </c>
      <c r="M654" t="str">
        <f t="shared" ca="1" si="43"/>
        <v/>
      </c>
    </row>
    <row r="655" spans="1:13" x14ac:dyDescent="0.25">
      <c r="A655" s="5"/>
      <c r="B655" s="4" t="str">
        <f t="shared" si="41"/>
        <v/>
      </c>
      <c r="C655" t="str">
        <f>IF(AND(TRIM(A655)&lt;&gt;"",IFERROR(VLOOKUP(TRIM(B655),Inventory!E:E,1,0),0)=0),"X","_")</f>
        <v>_</v>
      </c>
      <c r="D655" t="str">
        <f>IF(AND(TRIM(A655)&lt;&gt;"",IFERROR(VLOOKUP(TRIM(B655),'Full Inventory'!F:F,1,0),0)=0),"X","_")</f>
        <v>_</v>
      </c>
      <c r="E655" t="str">
        <f t="shared" si="40"/>
        <v>X</v>
      </c>
      <c r="F655" t="str">
        <f ca="1">IFERROR(IF(AND(C655&amp;D655&amp;E655="___",INDIRECT("Inventory!A"&amp;MATCH(VLOOKUP(B655,Inventory!E:E,1,0),Inventory!E:E,0))&lt;&gt;INDIRECT("'Full Inventory'!B"&amp;MATCH(VLOOKUP(B655,'Full Inventory'!F:F,1,0),'Full Inventory'!F:F,0))),"X","_"),"_")</f>
        <v>_</v>
      </c>
      <c r="L655" t="str">
        <f t="shared" ca="1" si="42"/>
        <v>__X_</v>
      </c>
      <c r="M655" t="str">
        <f t="shared" ca="1" si="43"/>
        <v/>
      </c>
    </row>
    <row r="656" spans="1:13" x14ac:dyDescent="0.25">
      <c r="A656" s="5"/>
      <c r="B656" s="4" t="str">
        <f t="shared" si="41"/>
        <v/>
      </c>
      <c r="C656" t="str">
        <f>IF(AND(TRIM(A656)&lt;&gt;"",IFERROR(VLOOKUP(TRIM(B656),Inventory!E:E,1,0),0)=0),"X","_")</f>
        <v>_</v>
      </c>
      <c r="D656" t="str">
        <f>IF(AND(TRIM(A656)&lt;&gt;"",IFERROR(VLOOKUP(TRIM(B656),'Full Inventory'!F:F,1,0),0)=0),"X","_")</f>
        <v>_</v>
      </c>
      <c r="E656" t="str">
        <f t="shared" si="40"/>
        <v>X</v>
      </c>
      <c r="F656" t="str">
        <f ca="1">IFERROR(IF(AND(C656&amp;D656&amp;E656="___",INDIRECT("Inventory!A"&amp;MATCH(VLOOKUP(B656,Inventory!E:E,1,0),Inventory!E:E,0))&lt;&gt;INDIRECT("'Full Inventory'!B"&amp;MATCH(VLOOKUP(B656,'Full Inventory'!F:F,1,0),'Full Inventory'!F:F,0))),"X","_"),"_")</f>
        <v>_</v>
      </c>
      <c r="L656" t="str">
        <f t="shared" ca="1" si="42"/>
        <v>__X_</v>
      </c>
      <c r="M656" t="str">
        <f t="shared" ca="1" si="43"/>
        <v/>
      </c>
    </row>
    <row r="657" spans="1:13" x14ac:dyDescent="0.25">
      <c r="A657" s="5"/>
      <c r="B657" s="4" t="str">
        <f t="shared" si="41"/>
        <v/>
      </c>
      <c r="C657" t="str">
        <f>IF(AND(TRIM(A657)&lt;&gt;"",IFERROR(VLOOKUP(TRIM(B657),Inventory!E:E,1,0),0)=0),"X","_")</f>
        <v>_</v>
      </c>
      <c r="D657" t="str">
        <f>IF(AND(TRIM(A657)&lt;&gt;"",IFERROR(VLOOKUP(TRIM(B657),'Full Inventory'!F:F,1,0),0)=0),"X","_")</f>
        <v>_</v>
      </c>
      <c r="E657" t="str">
        <f t="shared" si="40"/>
        <v>X</v>
      </c>
      <c r="F657" t="str">
        <f ca="1">IFERROR(IF(AND(C657&amp;D657&amp;E657="___",INDIRECT("Inventory!A"&amp;MATCH(VLOOKUP(B657,Inventory!E:E,1,0),Inventory!E:E,0))&lt;&gt;INDIRECT("'Full Inventory'!B"&amp;MATCH(VLOOKUP(B657,'Full Inventory'!F:F,1,0),'Full Inventory'!F:F,0))),"X","_"),"_")</f>
        <v>_</v>
      </c>
      <c r="L657" t="str">
        <f t="shared" ca="1" si="42"/>
        <v>__X_</v>
      </c>
      <c r="M657" t="str">
        <f t="shared" ca="1" si="43"/>
        <v/>
      </c>
    </row>
    <row r="658" spans="1:13" x14ac:dyDescent="0.25">
      <c r="A658" s="5"/>
      <c r="B658" s="4" t="str">
        <f t="shared" si="41"/>
        <v/>
      </c>
      <c r="C658" t="str">
        <f>IF(AND(TRIM(A658)&lt;&gt;"",IFERROR(VLOOKUP(TRIM(B658),Inventory!E:E,1,0),0)=0),"X","_")</f>
        <v>_</v>
      </c>
      <c r="D658" t="str">
        <f>IF(AND(TRIM(A658)&lt;&gt;"",IFERROR(VLOOKUP(TRIM(B658),'Full Inventory'!F:F,1,0),0)=0),"X","_")</f>
        <v>_</v>
      </c>
      <c r="E658" t="str">
        <f t="shared" si="40"/>
        <v>X</v>
      </c>
      <c r="F658" t="str">
        <f ca="1">IFERROR(IF(AND(C658&amp;D658&amp;E658="___",INDIRECT("Inventory!A"&amp;MATCH(VLOOKUP(B658,Inventory!E:E,1,0),Inventory!E:E,0))&lt;&gt;INDIRECT("'Full Inventory'!B"&amp;MATCH(VLOOKUP(B658,'Full Inventory'!F:F,1,0),'Full Inventory'!F:F,0))),"X","_"),"_")</f>
        <v>_</v>
      </c>
      <c r="L658" t="str">
        <f t="shared" ca="1" si="42"/>
        <v>__X_</v>
      </c>
      <c r="M658" t="str">
        <f t="shared" ca="1" si="43"/>
        <v/>
      </c>
    </row>
    <row r="659" spans="1:13" x14ac:dyDescent="0.25">
      <c r="A659" s="5"/>
      <c r="B659" s="4" t="str">
        <f t="shared" si="41"/>
        <v/>
      </c>
      <c r="C659" t="str">
        <f>IF(AND(TRIM(A659)&lt;&gt;"",IFERROR(VLOOKUP(TRIM(B659),Inventory!E:E,1,0),0)=0),"X","_")</f>
        <v>_</v>
      </c>
      <c r="D659" t="str">
        <f>IF(AND(TRIM(A659)&lt;&gt;"",IFERROR(VLOOKUP(TRIM(B659),'Full Inventory'!F:F,1,0),0)=0),"X","_")</f>
        <v>_</v>
      </c>
      <c r="E659" t="str">
        <f t="shared" si="40"/>
        <v>X</v>
      </c>
      <c r="F659" t="str">
        <f ca="1">IFERROR(IF(AND(C659&amp;D659&amp;E659="___",INDIRECT("Inventory!A"&amp;MATCH(VLOOKUP(B659,Inventory!E:E,1,0),Inventory!E:E,0))&lt;&gt;INDIRECT("'Full Inventory'!B"&amp;MATCH(VLOOKUP(B659,'Full Inventory'!F:F,1,0),'Full Inventory'!F:F,0))),"X","_"),"_")</f>
        <v>_</v>
      </c>
      <c r="L659" t="str">
        <f t="shared" ca="1" si="42"/>
        <v>__X_</v>
      </c>
      <c r="M659" t="str">
        <f t="shared" ca="1" si="43"/>
        <v/>
      </c>
    </row>
    <row r="660" spans="1:13" x14ac:dyDescent="0.25">
      <c r="A660" s="5"/>
      <c r="B660" s="4" t="str">
        <f t="shared" si="41"/>
        <v/>
      </c>
      <c r="C660" t="str">
        <f>IF(AND(TRIM(A660)&lt;&gt;"",IFERROR(VLOOKUP(TRIM(B660),Inventory!E:E,1,0),0)=0),"X","_")</f>
        <v>_</v>
      </c>
      <c r="D660" t="str">
        <f>IF(AND(TRIM(A660)&lt;&gt;"",IFERROR(VLOOKUP(TRIM(B660),'Full Inventory'!F:F,1,0),0)=0),"X","_")</f>
        <v>_</v>
      </c>
      <c r="E660" t="str">
        <f t="shared" ref="E660:E723" si="44">IF(TRIM(A660)&lt;&gt;"","_","X")</f>
        <v>X</v>
      </c>
      <c r="F660" t="str">
        <f ca="1">IFERROR(IF(AND(C660&amp;D660&amp;E660="___",INDIRECT("Inventory!A"&amp;MATCH(VLOOKUP(B660,Inventory!E:E,1,0),Inventory!E:E,0))&lt;&gt;INDIRECT("'Full Inventory'!B"&amp;MATCH(VLOOKUP(B660,'Full Inventory'!F:F,1,0),'Full Inventory'!F:F,0))),"X","_"),"_")</f>
        <v>_</v>
      </c>
      <c r="L660" t="str">
        <f t="shared" ca="1" si="42"/>
        <v>__X_</v>
      </c>
      <c r="M660" t="str">
        <f t="shared" ca="1" si="43"/>
        <v/>
      </c>
    </row>
    <row r="661" spans="1:13" x14ac:dyDescent="0.25">
      <c r="A661" s="5"/>
      <c r="B661" s="4" t="str">
        <f t="shared" si="41"/>
        <v/>
      </c>
      <c r="C661" t="str">
        <f>IF(AND(TRIM(A661)&lt;&gt;"",IFERROR(VLOOKUP(TRIM(B661),Inventory!E:E,1,0),0)=0),"X","_")</f>
        <v>_</v>
      </c>
      <c r="D661" t="str">
        <f>IF(AND(TRIM(A661)&lt;&gt;"",IFERROR(VLOOKUP(TRIM(B661),'Full Inventory'!F:F,1,0),0)=0),"X","_")</f>
        <v>_</v>
      </c>
      <c r="E661" t="str">
        <f t="shared" si="44"/>
        <v>X</v>
      </c>
      <c r="F661" t="str">
        <f ca="1">IFERROR(IF(AND(C661&amp;D661&amp;E661="___",INDIRECT("Inventory!A"&amp;MATCH(VLOOKUP(B661,Inventory!E:E,1,0),Inventory!E:E,0))&lt;&gt;INDIRECT("'Full Inventory'!B"&amp;MATCH(VLOOKUP(B661,'Full Inventory'!F:F,1,0),'Full Inventory'!F:F,0))),"X","_"),"_")</f>
        <v>_</v>
      </c>
      <c r="L661" t="str">
        <f t="shared" ca="1" si="42"/>
        <v>__X_</v>
      </c>
      <c r="M661" t="str">
        <f t="shared" ca="1" si="43"/>
        <v/>
      </c>
    </row>
    <row r="662" spans="1:13" x14ac:dyDescent="0.25">
      <c r="A662" s="5"/>
      <c r="B662" s="4" t="str">
        <f t="shared" si="41"/>
        <v/>
      </c>
      <c r="C662" t="str">
        <f>IF(AND(TRIM(A662)&lt;&gt;"",IFERROR(VLOOKUP(TRIM(B662),Inventory!E:E,1,0),0)=0),"X","_")</f>
        <v>_</v>
      </c>
      <c r="D662" t="str">
        <f>IF(AND(TRIM(A662)&lt;&gt;"",IFERROR(VLOOKUP(TRIM(B662),'Full Inventory'!F:F,1,0),0)=0),"X","_")</f>
        <v>_</v>
      </c>
      <c r="E662" t="str">
        <f t="shared" si="44"/>
        <v>X</v>
      </c>
      <c r="F662" t="str">
        <f ca="1">IFERROR(IF(AND(C662&amp;D662&amp;E662="___",INDIRECT("Inventory!A"&amp;MATCH(VLOOKUP(B662,Inventory!E:E,1,0),Inventory!E:E,0))&lt;&gt;INDIRECT("'Full Inventory'!B"&amp;MATCH(VLOOKUP(B662,'Full Inventory'!F:F,1,0),'Full Inventory'!F:F,0))),"X","_"),"_")</f>
        <v>_</v>
      </c>
      <c r="L662" t="str">
        <f t="shared" ca="1" si="42"/>
        <v>__X_</v>
      </c>
      <c r="M662" t="str">
        <f t="shared" ca="1" si="43"/>
        <v/>
      </c>
    </row>
    <row r="663" spans="1:13" x14ac:dyDescent="0.25">
      <c r="A663" s="5"/>
      <c r="B663" s="4" t="str">
        <f t="shared" si="41"/>
        <v/>
      </c>
      <c r="C663" t="str">
        <f>IF(AND(TRIM(A663)&lt;&gt;"",IFERROR(VLOOKUP(TRIM(B663),Inventory!E:E,1,0),0)=0),"X","_")</f>
        <v>_</v>
      </c>
      <c r="D663" t="str">
        <f>IF(AND(TRIM(A663)&lt;&gt;"",IFERROR(VLOOKUP(TRIM(B663),'Full Inventory'!F:F,1,0),0)=0),"X","_")</f>
        <v>_</v>
      </c>
      <c r="E663" t="str">
        <f t="shared" si="44"/>
        <v>X</v>
      </c>
      <c r="F663" t="str">
        <f ca="1">IFERROR(IF(AND(C663&amp;D663&amp;E663="___",INDIRECT("Inventory!A"&amp;MATCH(VLOOKUP(B663,Inventory!E:E,1,0),Inventory!E:E,0))&lt;&gt;INDIRECT("'Full Inventory'!B"&amp;MATCH(VLOOKUP(B663,'Full Inventory'!F:F,1,0),'Full Inventory'!F:F,0))),"X","_"),"_")</f>
        <v>_</v>
      </c>
      <c r="L663" t="str">
        <f t="shared" ca="1" si="42"/>
        <v>__X_</v>
      </c>
      <c r="M663" t="str">
        <f t="shared" ca="1" si="43"/>
        <v/>
      </c>
    </row>
    <row r="664" spans="1:13" x14ac:dyDescent="0.25">
      <c r="A664" s="5"/>
      <c r="B664" s="4" t="str">
        <f t="shared" si="41"/>
        <v/>
      </c>
      <c r="C664" t="str">
        <f>IF(AND(TRIM(A664)&lt;&gt;"",IFERROR(VLOOKUP(TRIM(B664),Inventory!E:E,1,0),0)=0),"X","_")</f>
        <v>_</v>
      </c>
      <c r="D664" t="str">
        <f>IF(AND(TRIM(A664)&lt;&gt;"",IFERROR(VLOOKUP(TRIM(B664),'Full Inventory'!F:F,1,0),0)=0),"X","_")</f>
        <v>_</v>
      </c>
      <c r="E664" t="str">
        <f t="shared" si="44"/>
        <v>X</v>
      </c>
      <c r="F664" t="str">
        <f ca="1">IFERROR(IF(AND(C664&amp;D664&amp;E664="___",INDIRECT("Inventory!A"&amp;MATCH(VLOOKUP(B664,Inventory!E:E,1,0),Inventory!E:E,0))&lt;&gt;INDIRECT("'Full Inventory'!B"&amp;MATCH(VLOOKUP(B664,'Full Inventory'!F:F,1,0),'Full Inventory'!F:F,0))),"X","_"),"_")</f>
        <v>_</v>
      </c>
      <c r="L664" t="str">
        <f t="shared" ca="1" si="42"/>
        <v>__X_</v>
      </c>
      <c r="M664" t="str">
        <f t="shared" ca="1" si="43"/>
        <v/>
      </c>
    </row>
    <row r="665" spans="1:13" x14ac:dyDescent="0.25">
      <c r="A665" s="5"/>
      <c r="B665" s="4" t="str">
        <f t="shared" si="41"/>
        <v/>
      </c>
      <c r="C665" t="str">
        <f>IF(AND(TRIM(A665)&lt;&gt;"",IFERROR(VLOOKUP(TRIM(B665),Inventory!E:E,1,0),0)=0),"X","_")</f>
        <v>_</v>
      </c>
      <c r="D665" t="str">
        <f>IF(AND(TRIM(A665)&lt;&gt;"",IFERROR(VLOOKUP(TRIM(B665),'Full Inventory'!F:F,1,0),0)=0),"X","_")</f>
        <v>_</v>
      </c>
      <c r="E665" t="str">
        <f t="shared" si="44"/>
        <v>X</v>
      </c>
      <c r="F665" t="str">
        <f ca="1">IFERROR(IF(AND(C665&amp;D665&amp;E665="___",INDIRECT("Inventory!A"&amp;MATCH(VLOOKUP(B665,Inventory!E:E,1,0),Inventory!E:E,0))&lt;&gt;INDIRECT("'Full Inventory'!B"&amp;MATCH(VLOOKUP(B665,'Full Inventory'!F:F,1,0),'Full Inventory'!F:F,0))),"X","_"),"_")</f>
        <v>_</v>
      </c>
      <c r="L665" t="str">
        <f t="shared" ca="1" si="42"/>
        <v>__X_</v>
      </c>
      <c r="M665" t="str">
        <f t="shared" ca="1" si="43"/>
        <v/>
      </c>
    </row>
    <row r="666" spans="1:13" x14ac:dyDescent="0.25">
      <c r="A666" s="5"/>
      <c r="B666" s="4" t="str">
        <f t="shared" si="41"/>
        <v/>
      </c>
      <c r="C666" t="str">
        <f>IF(AND(TRIM(A666)&lt;&gt;"",IFERROR(VLOOKUP(TRIM(B666),Inventory!E:E,1,0),0)=0),"X","_")</f>
        <v>_</v>
      </c>
      <c r="D666" t="str">
        <f>IF(AND(TRIM(A666)&lt;&gt;"",IFERROR(VLOOKUP(TRIM(B666),'Full Inventory'!F:F,1,0),0)=0),"X","_")</f>
        <v>_</v>
      </c>
      <c r="E666" t="str">
        <f t="shared" si="44"/>
        <v>X</v>
      </c>
      <c r="F666" t="str">
        <f ca="1">IFERROR(IF(AND(C666&amp;D666&amp;E666="___",INDIRECT("Inventory!A"&amp;MATCH(VLOOKUP(B666,Inventory!E:E,1,0),Inventory!E:E,0))&lt;&gt;INDIRECT("'Full Inventory'!B"&amp;MATCH(VLOOKUP(B666,'Full Inventory'!F:F,1,0),'Full Inventory'!F:F,0))),"X","_"),"_")</f>
        <v>_</v>
      </c>
      <c r="L666" t="str">
        <f t="shared" ca="1" si="42"/>
        <v>__X_</v>
      </c>
      <c r="M666" t="str">
        <f t="shared" ca="1" si="43"/>
        <v/>
      </c>
    </row>
    <row r="667" spans="1:13" x14ac:dyDescent="0.25">
      <c r="A667" s="5"/>
      <c r="B667" s="4" t="str">
        <f t="shared" si="41"/>
        <v/>
      </c>
      <c r="C667" t="str">
        <f>IF(AND(TRIM(A667)&lt;&gt;"",IFERROR(VLOOKUP(TRIM(B667),Inventory!E:E,1,0),0)=0),"X","_")</f>
        <v>_</v>
      </c>
      <c r="D667" t="str">
        <f>IF(AND(TRIM(A667)&lt;&gt;"",IFERROR(VLOOKUP(TRIM(B667),'Full Inventory'!F:F,1,0),0)=0),"X","_")</f>
        <v>_</v>
      </c>
      <c r="E667" t="str">
        <f t="shared" si="44"/>
        <v>X</v>
      </c>
      <c r="F667" t="str">
        <f ca="1">IFERROR(IF(AND(C667&amp;D667&amp;E667="___",INDIRECT("Inventory!A"&amp;MATCH(VLOOKUP(B667,Inventory!E:E,1,0),Inventory!E:E,0))&lt;&gt;INDIRECT("'Full Inventory'!B"&amp;MATCH(VLOOKUP(B667,'Full Inventory'!F:F,1,0),'Full Inventory'!F:F,0))),"X","_"),"_")</f>
        <v>_</v>
      </c>
      <c r="L667" t="str">
        <f t="shared" ca="1" si="42"/>
        <v>__X_</v>
      </c>
      <c r="M667" t="str">
        <f t="shared" ca="1" si="43"/>
        <v/>
      </c>
    </row>
    <row r="668" spans="1:13" x14ac:dyDescent="0.25">
      <c r="A668" s="5"/>
      <c r="B668" s="4" t="str">
        <f t="shared" si="41"/>
        <v/>
      </c>
      <c r="C668" t="str">
        <f>IF(AND(TRIM(A668)&lt;&gt;"",IFERROR(VLOOKUP(TRIM(B668),Inventory!E:E,1,0),0)=0),"X","_")</f>
        <v>_</v>
      </c>
      <c r="D668" t="str">
        <f>IF(AND(TRIM(A668)&lt;&gt;"",IFERROR(VLOOKUP(TRIM(B668),'Full Inventory'!F:F,1,0),0)=0),"X","_")</f>
        <v>_</v>
      </c>
      <c r="E668" t="str">
        <f t="shared" si="44"/>
        <v>X</v>
      </c>
      <c r="F668" t="str">
        <f ca="1">IFERROR(IF(AND(C668&amp;D668&amp;E668="___",INDIRECT("Inventory!A"&amp;MATCH(VLOOKUP(B668,Inventory!E:E,1,0),Inventory!E:E,0))&lt;&gt;INDIRECT("'Full Inventory'!B"&amp;MATCH(VLOOKUP(B668,'Full Inventory'!F:F,1,0),'Full Inventory'!F:F,0))),"X","_"),"_")</f>
        <v>_</v>
      </c>
      <c r="L668" t="str">
        <f t="shared" ca="1" si="42"/>
        <v>__X_</v>
      </c>
      <c r="M668" t="str">
        <f t="shared" ca="1" si="43"/>
        <v/>
      </c>
    </row>
    <row r="669" spans="1:13" x14ac:dyDescent="0.25">
      <c r="A669" s="5"/>
      <c r="B669" s="4" t="str">
        <f t="shared" si="41"/>
        <v/>
      </c>
      <c r="C669" t="str">
        <f>IF(AND(TRIM(A669)&lt;&gt;"",IFERROR(VLOOKUP(TRIM(B669),Inventory!E:E,1,0),0)=0),"X","_")</f>
        <v>_</v>
      </c>
      <c r="D669" t="str">
        <f>IF(AND(TRIM(A669)&lt;&gt;"",IFERROR(VLOOKUP(TRIM(B669),'Full Inventory'!F:F,1,0),0)=0),"X","_")</f>
        <v>_</v>
      </c>
      <c r="E669" t="str">
        <f t="shared" si="44"/>
        <v>X</v>
      </c>
      <c r="F669" t="str">
        <f ca="1">IFERROR(IF(AND(C669&amp;D669&amp;E669="___",INDIRECT("Inventory!A"&amp;MATCH(VLOOKUP(B669,Inventory!E:E,1,0),Inventory!E:E,0))&lt;&gt;INDIRECT("'Full Inventory'!B"&amp;MATCH(VLOOKUP(B669,'Full Inventory'!F:F,1,0),'Full Inventory'!F:F,0))),"X","_"),"_")</f>
        <v>_</v>
      </c>
      <c r="L669" t="str">
        <f t="shared" ca="1" si="42"/>
        <v>__X_</v>
      </c>
      <c r="M669" t="str">
        <f t="shared" ca="1" si="43"/>
        <v/>
      </c>
    </row>
    <row r="670" spans="1:13" x14ac:dyDescent="0.25">
      <c r="A670" s="5"/>
      <c r="B670" s="4" t="str">
        <f t="shared" si="41"/>
        <v/>
      </c>
      <c r="C670" t="str">
        <f>IF(AND(TRIM(A670)&lt;&gt;"",IFERROR(VLOOKUP(TRIM(B670),Inventory!E:E,1,0),0)=0),"X","_")</f>
        <v>_</v>
      </c>
      <c r="D670" t="str">
        <f>IF(AND(TRIM(A670)&lt;&gt;"",IFERROR(VLOOKUP(TRIM(B670),'Full Inventory'!F:F,1,0),0)=0),"X","_")</f>
        <v>_</v>
      </c>
      <c r="E670" t="str">
        <f t="shared" si="44"/>
        <v>X</v>
      </c>
      <c r="F670" t="str">
        <f ca="1">IFERROR(IF(AND(C670&amp;D670&amp;E670="___",INDIRECT("Inventory!A"&amp;MATCH(VLOOKUP(B670,Inventory!E:E,1,0),Inventory!E:E,0))&lt;&gt;INDIRECT("'Full Inventory'!B"&amp;MATCH(VLOOKUP(B670,'Full Inventory'!F:F,1,0),'Full Inventory'!F:F,0))),"X","_"),"_")</f>
        <v>_</v>
      </c>
      <c r="L670" t="str">
        <f t="shared" ca="1" si="42"/>
        <v>__X_</v>
      </c>
      <c r="M670" t="str">
        <f t="shared" ca="1" si="43"/>
        <v/>
      </c>
    </row>
    <row r="671" spans="1:13" x14ac:dyDescent="0.25">
      <c r="A671" s="5"/>
      <c r="B671" s="4" t="str">
        <f t="shared" si="41"/>
        <v/>
      </c>
      <c r="C671" t="str">
        <f>IF(AND(TRIM(A671)&lt;&gt;"",IFERROR(VLOOKUP(TRIM(B671),Inventory!E:E,1,0),0)=0),"X","_")</f>
        <v>_</v>
      </c>
      <c r="D671" t="str">
        <f>IF(AND(TRIM(A671)&lt;&gt;"",IFERROR(VLOOKUP(TRIM(B671),'Full Inventory'!F:F,1,0),0)=0),"X","_")</f>
        <v>_</v>
      </c>
      <c r="E671" t="str">
        <f t="shared" si="44"/>
        <v>X</v>
      </c>
      <c r="F671" t="str">
        <f ca="1">IFERROR(IF(AND(C671&amp;D671&amp;E671="___",INDIRECT("Inventory!A"&amp;MATCH(VLOOKUP(B671,Inventory!E:E,1,0),Inventory!E:E,0))&lt;&gt;INDIRECT("'Full Inventory'!B"&amp;MATCH(VLOOKUP(B671,'Full Inventory'!F:F,1,0),'Full Inventory'!F:F,0))),"X","_"),"_")</f>
        <v>_</v>
      </c>
      <c r="L671" t="str">
        <f t="shared" ca="1" si="42"/>
        <v>__X_</v>
      </c>
      <c r="M671" t="str">
        <f t="shared" ca="1" si="43"/>
        <v/>
      </c>
    </row>
    <row r="672" spans="1:13" x14ac:dyDescent="0.25">
      <c r="A672" s="5"/>
      <c r="B672" s="4" t="str">
        <f t="shared" si="41"/>
        <v/>
      </c>
      <c r="C672" t="str">
        <f>IF(AND(TRIM(A672)&lt;&gt;"",IFERROR(VLOOKUP(TRIM(B672),Inventory!E:E,1,0),0)=0),"X","_")</f>
        <v>_</v>
      </c>
      <c r="D672" t="str">
        <f>IF(AND(TRIM(A672)&lt;&gt;"",IFERROR(VLOOKUP(TRIM(B672),'Full Inventory'!F:F,1,0),0)=0),"X","_")</f>
        <v>_</v>
      </c>
      <c r="E672" t="str">
        <f t="shared" si="44"/>
        <v>X</v>
      </c>
      <c r="F672" t="str">
        <f ca="1">IFERROR(IF(AND(C672&amp;D672&amp;E672="___",INDIRECT("Inventory!A"&amp;MATCH(VLOOKUP(B672,Inventory!E:E,1,0),Inventory!E:E,0))&lt;&gt;INDIRECT("'Full Inventory'!B"&amp;MATCH(VLOOKUP(B672,'Full Inventory'!F:F,1,0),'Full Inventory'!F:F,0))),"X","_"),"_")</f>
        <v>_</v>
      </c>
      <c r="L672" t="str">
        <f t="shared" ca="1" si="42"/>
        <v>__X_</v>
      </c>
      <c r="M672" t="str">
        <f t="shared" ca="1" si="43"/>
        <v/>
      </c>
    </row>
    <row r="673" spans="1:13" x14ac:dyDescent="0.25">
      <c r="A673" s="5"/>
      <c r="B673" s="4" t="str">
        <f t="shared" si="41"/>
        <v/>
      </c>
      <c r="C673" t="str">
        <f>IF(AND(TRIM(A673)&lt;&gt;"",IFERROR(VLOOKUP(TRIM(B673),Inventory!E:E,1,0),0)=0),"X","_")</f>
        <v>_</v>
      </c>
      <c r="D673" t="str">
        <f>IF(AND(TRIM(A673)&lt;&gt;"",IFERROR(VLOOKUP(TRIM(B673),'Full Inventory'!F:F,1,0),0)=0),"X","_")</f>
        <v>_</v>
      </c>
      <c r="E673" t="str">
        <f t="shared" si="44"/>
        <v>X</v>
      </c>
      <c r="F673" t="str">
        <f ca="1">IFERROR(IF(AND(C673&amp;D673&amp;E673="___",INDIRECT("Inventory!A"&amp;MATCH(VLOOKUP(B673,Inventory!E:E,1,0),Inventory!E:E,0))&lt;&gt;INDIRECT("'Full Inventory'!B"&amp;MATCH(VLOOKUP(B673,'Full Inventory'!F:F,1,0),'Full Inventory'!F:F,0))),"X","_"),"_")</f>
        <v>_</v>
      </c>
      <c r="L673" t="str">
        <f t="shared" ca="1" si="42"/>
        <v>__X_</v>
      </c>
      <c r="M673" t="str">
        <f t="shared" ca="1" si="43"/>
        <v/>
      </c>
    </row>
    <row r="674" spans="1:13" x14ac:dyDescent="0.25">
      <c r="A674" s="5"/>
      <c r="B674" s="4" t="str">
        <f t="shared" si="41"/>
        <v/>
      </c>
      <c r="C674" t="str">
        <f>IF(AND(TRIM(A674)&lt;&gt;"",IFERROR(VLOOKUP(TRIM(B674),Inventory!E:E,1,0),0)=0),"X","_")</f>
        <v>_</v>
      </c>
      <c r="D674" t="str">
        <f>IF(AND(TRIM(A674)&lt;&gt;"",IFERROR(VLOOKUP(TRIM(B674),'Full Inventory'!F:F,1,0),0)=0),"X","_")</f>
        <v>_</v>
      </c>
      <c r="E674" t="str">
        <f t="shared" si="44"/>
        <v>X</v>
      </c>
      <c r="F674" t="str">
        <f ca="1">IFERROR(IF(AND(C674&amp;D674&amp;E674="___",INDIRECT("Inventory!A"&amp;MATCH(VLOOKUP(B674,Inventory!E:E,1,0),Inventory!E:E,0))&lt;&gt;INDIRECT("'Full Inventory'!B"&amp;MATCH(VLOOKUP(B674,'Full Inventory'!F:F,1,0),'Full Inventory'!F:F,0))),"X","_"),"_")</f>
        <v>_</v>
      </c>
      <c r="L674" t="str">
        <f t="shared" ca="1" si="42"/>
        <v>__X_</v>
      </c>
      <c r="M674" t="str">
        <f t="shared" ca="1" si="43"/>
        <v/>
      </c>
    </row>
    <row r="675" spans="1:13" x14ac:dyDescent="0.25">
      <c r="A675" s="5"/>
      <c r="B675" s="4" t="str">
        <f t="shared" si="41"/>
        <v/>
      </c>
      <c r="C675" t="str">
        <f>IF(AND(TRIM(A675)&lt;&gt;"",IFERROR(VLOOKUP(TRIM(B675),Inventory!E:E,1,0),0)=0),"X","_")</f>
        <v>_</v>
      </c>
      <c r="D675" t="str">
        <f>IF(AND(TRIM(A675)&lt;&gt;"",IFERROR(VLOOKUP(TRIM(B675),'Full Inventory'!F:F,1,0),0)=0),"X","_")</f>
        <v>_</v>
      </c>
      <c r="E675" t="str">
        <f t="shared" si="44"/>
        <v>X</v>
      </c>
      <c r="F675" t="str">
        <f ca="1">IFERROR(IF(AND(C675&amp;D675&amp;E675="___",INDIRECT("Inventory!A"&amp;MATCH(VLOOKUP(B675,Inventory!E:E,1,0),Inventory!E:E,0))&lt;&gt;INDIRECT("'Full Inventory'!B"&amp;MATCH(VLOOKUP(B675,'Full Inventory'!F:F,1,0),'Full Inventory'!F:F,0))),"X","_"),"_")</f>
        <v>_</v>
      </c>
      <c r="L675" t="str">
        <f t="shared" ca="1" si="42"/>
        <v>__X_</v>
      </c>
      <c r="M675" t="str">
        <f t="shared" ca="1" si="43"/>
        <v/>
      </c>
    </row>
    <row r="676" spans="1:13" x14ac:dyDescent="0.25">
      <c r="A676" s="5"/>
      <c r="B676" s="4" t="str">
        <f t="shared" si="41"/>
        <v/>
      </c>
      <c r="C676" t="str">
        <f>IF(AND(TRIM(A676)&lt;&gt;"",IFERROR(VLOOKUP(TRIM(B676),Inventory!E:E,1,0),0)=0),"X","_")</f>
        <v>_</v>
      </c>
      <c r="D676" t="str">
        <f>IF(AND(TRIM(A676)&lt;&gt;"",IFERROR(VLOOKUP(TRIM(B676),'Full Inventory'!F:F,1,0),0)=0),"X","_")</f>
        <v>_</v>
      </c>
      <c r="E676" t="str">
        <f t="shared" si="44"/>
        <v>X</v>
      </c>
      <c r="F676" t="str">
        <f ca="1">IFERROR(IF(AND(C676&amp;D676&amp;E676="___",INDIRECT("Inventory!A"&amp;MATCH(VLOOKUP(B676,Inventory!E:E,1,0),Inventory!E:E,0))&lt;&gt;INDIRECT("'Full Inventory'!B"&amp;MATCH(VLOOKUP(B676,'Full Inventory'!F:F,1,0),'Full Inventory'!F:F,0))),"X","_"),"_")</f>
        <v>_</v>
      </c>
      <c r="L676" t="str">
        <f t="shared" ca="1" si="42"/>
        <v>__X_</v>
      </c>
      <c r="M676" t="str">
        <f t="shared" ca="1" si="43"/>
        <v/>
      </c>
    </row>
    <row r="677" spans="1:13" x14ac:dyDescent="0.25">
      <c r="A677" s="5"/>
      <c r="B677" s="4" t="str">
        <f t="shared" si="41"/>
        <v/>
      </c>
      <c r="C677" t="str">
        <f>IF(AND(TRIM(A677)&lt;&gt;"",IFERROR(VLOOKUP(TRIM(B677),Inventory!E:E,1,0),0)=0),"X","_")</f>
        <v>_</v>
      </c>
      <c r="D677" t="str">
        <f>IF(AND(TRIM(A677)&lt;&gt;"",IFERROR(VLOOKUP(TRIM(B677),'Full Inventory'!F:F,1,0),0)=0),"X","_")</f>
        <v>_</v>
      </c>
      <c r="E677" t="str">
        <f t="shared" si="44"/>
        <v>X</v>
      </c>
      <c r="F677" t="str">
        <f ca="1">IFERROR(IF(AND(C677&amp;D677&amp;E677="___",INDIRECT("Inventory!A"&amp;MATCH(VLOOKUP(B677,Inventory!E:E,1,0),Inventory!E:E,0))&lt;&gt;INDIRECT("'Full Inventory'!B"&amp;MATCH(VLOOKUP(B677,'Full Inventory'!F:F,1,0),'Full Inventory'!F:F,0))),"X","_"),"_")</f>
        <v>_</v>
      </c>
      <c r="L677" t="str">
        <f t="shared" ca="1" si="42"/>
        <v>__X_</v>
      </c>
      <c r="M677" t="str">
        <f t="shared" ca="1" si="43"/>
        <v/>
      </c>
    </row>
    <row r="678" spans="1:13" x14ac:dyDescent="0.25">
      <c r="A678" s="5"/>
      <c r="B678" s="4" t="str">
        <f t="shared" si="41"/>
        <v/>
      </c>
      <c r="C678" t="str">
        <f>IF(AND(TRIM(A678)&lt;&gt;"",IFERROR(VLOOKUP(TRIM(B678),Inventory!E:E,1,0),0)=0),"X","_")</f>
        <v>_</v>
      </c>
      <c r="D678" t="str">
        <f>IF(AND(TRIM(A678)&lt;&gt;"",IFERROR(VLOOKUP(TRIM(B678),'Full Inventory'!F:F,1,0),0)=0),"X","_")</f>
        <v>_</v>
      </c>
      <c r="E678" t="str">
        <f t="shared" si="44"/>
        <v>X</v>
      </c>
      <c r="F678" t="str">
        <f ca="1">IFERROR(IF(AND(C678&amp;D678&amp;E678="___",INDIRECT("Inventory!A"&amp;MATCH(VLOOKUP(B678,Inventory!E:E,1,0),Inventory!E:E,0))&lt;&gt;INDIRECT("'Full Inventory'!B"&amp;MATCH(VLOOKUP(B678,'Full Inventory'!F:F,1,0),'Full Inventory'!F:F,0))),"X","_"),"_")</f>
        <v>_</v>
      </c>
      <c r="L678" t="str">
        <f t="shared" ca="1" si="42"/>
        <v>__X_</v>
      </c>
      <c r="M678" t="str">
        <f t="shared" ca="1" si="43"/>
        <v/>
      </c>
    </row>
    <row r="679" spans="1:13" x14ac:dyDescent="0.25">
      <c r="A679" s="5"/>
      <c r="B679" s="4" t="str">
        <f t="shared" si="41"/>
        <v/>
      </c>
      <c r="C679" t="str">
        <f>IF(AND(TRIM(A679)&lt;&gt;"",IFERROR(VLOOKUP(TRIM(B679),Inventory!E:E,1,0),0)=0),"X","_")</f>
        <v>_</v>
      </c>
      <c r="D679" t="str">
        <f>IF(AND(TRIM(A679)&lt;&gt;"",IFERROR(VLOOKUP(TRIM(B679),'Full Inventory'!F:F,1,0),0)=0),"X","_")</f>
        <v>_</v>
      </c>
      <c r="E679" t="str">
        <f t="shared" si="44"/>
        <v>X</v>
      </c>
      <c r="F679" t="str">
        <f ca="1">IFERROR(IF(AND(C679&amp;D679&amp;E679="___",INDIRECT("Inventory!A"&amp;MATCH(VLOOKUP(B679,Inventory!E:E,1,0),Inventory!E:E,0))&lt;&gt;INDIRECT("'Full Inventory'!B"&amp;MATCH(VLOOKUP(B679,'Full Inventory'!F:F,1,0),'Full Inventory'!F:F,0))),"X","_"),"_")</f>
        <v>_</v>
      </c>
      <c r="L679" t="str">
        <f t="shared" ca="1" si="42"/>
        <v>__X_</v>
      </c>
      <c r="M679" t="str">
        <f t="shared" ca="1" si="43"/>
        <v/>
      </c>
    </row>
    <row r="680" spans="1:13" x14ac:dyDescent="0.25">
      <c r="A680" s="5"/>
      <c r="B680" s="4" t="str">
        <f t="shared" si="41"/>
        <v/>
      </c>
      <c r="C680" t="str">
        <f>IF(AND(TRIM(A680)&lt;&gt;"",IFERROR(VLOOKUP(TRIM(B680),Inventory!E:E,1,0),0)=0),"X","_")</f>
        <v>_</v>
      </c>
      <c r="D680" t="str">
        <f>IF(AND(TRIM(A680)&lt;&gt;"",IFERROR(VLOOKUP(TRIM(B680),'Full Inventory'!F:F,1,0),0)=0),"X","_")</f>
        <v>_</v>
      </c>
      <c r="E680" t="str">
        <f t="shared" si="44"/>
        <v>X</v>
      </c>
      <c r="F680" t="str">
        <f ca="1">IFERROR(IF(AND(C680&amp;D680&amp;E680="___",INDIRECT("Inventory!A"&amp;MATCH(VLOOKUP(B680,Inventory!E:E,1,0),Inventory!E:E,0))&lt;&gt;INDIRECT("'Full Inventory'!B"&amp;MATCH(VLOOKUP(B680,'Full Inventory'!F:F,1,0),'Full Inventory'!F:F,0))),"X","_"),"_")</f>
        <v>_</v>
      </c>
      <c r="L680" t="str">
        <f t="shared" ca="1" si="42"/>
        <v>__X_</v>
      </c>
      <c r="M680" t="str">
        <f t="shared" ca="1" si="43"/>
        <v/>
      </c>
    </row>
    <row r="681" spans="1:13" x14ac:dyDescent="0.25">
      <c r="A681" s="5"/>
      <c r="B681" s="4" t="str">
        <f t="shared" si="41"/>
        <v/>
      </c>
      <c r="C681" t="str">
        <f>IF(AND(TRIM(A681)&lt;&gt;"",IFERROR(VLOOKUP(TRIM(B681),Inventory!E:E,1,0),0)=0),"X","_")</f>
        <v>_</v>
      </c>
      <c r="D681" t="str">
        <f>IF(AND(TRIM(A681)&lt;&gt;"",IFERROR(VLOOKUP(TRIM(B681),'Full Inventory'!F:F,1,0),0)=0),"X","_")</f>
        <v>_</v>
      </c>
      <c r="E681" t="str">
        <f t="shared" si="44"/>
        <v>X</v>
      </c>
      <c r="F681" t="str">
        <f ca="1">IFERROR(IF(AND(C681&amp;D681&amp;E681="___",INDIRECT("Inventory!A"&amp;MATCH(VLOOKUP(B681,Inventory!E:E,1,0),Inventory!E:E,0))&lt;&gt;INDIRECT("'Full Inventory'!B"&amp;MATCH(VLOOKUP(B681,'Full Inventory'!F:F,1,0),'Full Inventory'!F:F,0))),"X","_"),"_")</f>
        <v>_</v>
      </c>
      <c r="L681" t="str">
        <f t="shared" ca="1" si="42"/>
        <v>__X_</v>
      </c>
      <c r="M681" t="str">
        <f t="shared" ca="1" si="43"/>
        <v/>
      </c>
    </row>
    <row r="682" spans="1:13" x14ac:dyDescent="0.25">
      <c r="A682" s="5"/>
      <c r="B682" s="4" t="str">
        <f t="shared" si="41"/>
        <v/>
      </c>
      <c r="C682" t="str">
        <f>IF(AND(TRIM(A682)&lt;&gt;"",IFERROR(VLOOKUP(TRIM(B682),Inventory!E:E,1,0),0)=0),"X","_")</f>
        <v>_</v>
      </c>
      <c r="D682" t="str">
        <f>IF(AND(TRIM(A682)&lt;&gt;"",IFERROR(VLOOKUP(TRIM(B682),'Full Inventory'!F:F,1,0),0)=0),"X","_")</f>
        <v>_</v>
      </c>
      <c r="E682" t="str">
        <f t="shared" si="44"/>
        <v>X</v>
      </c>
      <c r="F682" t="str">
        <f ca="1">IFERROR(IF(AND(C682&amp;D682&amp;E682="___",INDIRECT("Inventory!A"&amp;MATCH(VLOOKUP(B682,Inventory!E:E,1,0),Inventory!E:E,0))&lt;&gt;INDIRECT("'Full Inventory'!B"&amp;MATCH(VLOOKUP(B682,'Full Inventory'!F:F,1,0),'Full Inventory'!F:F,0))),"X","_"),"_")</f>
        <v>_</v>
      </c>
      <c r="L682" t="str">
        <f t="shared" ca="1" si="42"/>
        <v>__X_</v>
      </c>
      <c r="M682" t="str">
        <f t="shared" ca="1" si="43"/>
        <v/>
      </c>
    </row>
    <row r="683" spans="1:13" x14ac:dyDescent="0.25">
      <c r="A683" s="5"/>
      <c r="B683" s="4" t="str">
        <f t="shared" si="41"/>
        <v/>
      </c>
      <c r="C683" t="str">
        <f>IF(AND(TRIM(A683)&lt;&gt;"",IFERROR(VLOOKUP(TRIM(B683),Inventory!E:E,1,0),0)=0),"X","_")</f>
        <v>_</v>
      </c>
      <c r="D683" t="str">
        <f>IF(AND(TRIM(A683)&lt;&gt;"",IFERROR(VLOOKUP(TRIM(B683),'Full Inventory'!F:F,1,0),0)=0),"X","_")</f>
        <v>_</v>
      </c>
      <c r="E683" t="str">
        <f t="shared" si="44"/>
        <v>X</v>
      </c>
      <c r="F683" t="str">
        <f ca="1">IFERROR(IF(AND(C683&amp;D683&amp;E683="___",INDIRECT("Inventory!A"&amp;MATCH(VLOOKUP(B683,Inventory!E:E,1,0),Inventory!E:E,0))&lt;&gt;INDIRECT("'Full Inventory'!B"&amp;MATCH(VLOOKUP(B683,'Full Inventory'!F:F,1,0),'Full Inventory'!F:F,0))),"X","_"),"_")</f>
        <v>_</v>
      </c>
      <c r="L683" t="str">
        <f t="shared" ca="1" si="42"/>
        <v>__X_</v>
      </c>
      <c r="M683" t="str">
        <f t="shared" ca="1" si="43"/>
        <v/>
      </c>
    </row>
    <row r="684" spans="1:13" x14ac:dyDescent="0.25">
      <c r="A684" s="5"/>
      <c r="B684" s="4" t="str">
        <f t="shared" si="41"/>
        <v/>
      </c>
      <c r="C684" t="str">
        <f>IF(AND(TRIM(A684)&lt;&gt;"",IFERROR(VLOOKUP(TRIM(B684),Inventory!E:E,1,0),0)=0),"X","_")</f>
        <v>_</v>
      </c>
      <c r="D684" t="str">
        <f>IF(AND(TRIM(A684)&lt;&gt;"",IFERROR(VLOOKUP(TRIM(B684),'Full Inventory'!F:F,1,0),0)=0),"X","_")</f>
        <v>_</v>
      </c>
      <c r="E684" t="str">
        <f t="shared" si="44"/>
        <v>X</v>
      </c>
      <c r="F684" t="str">
        <f ca="1">IFERROR(IF(AND(C684&amp;D684&amp;E684="___",INDIRECT("Inventory!A"&amp;MATCH(VLOOKUP(B684,Inventory!E:E,1,0),Inventory!E:E,0))&lt;&gt;INDIRECT("'Full Inventory'!B"&amp;MATCH(VLOOKUP(B684,'Full Inventory'!F:F,1,0),'Full Inventory'!F:F,0))),"X","_"),"_")</f>
        <v>_</v>
      </c>
      <c r="L684" t="str">
        <f t="shared" ca="1" si="42"/>
        <v>__X_</v>
      </c>
      <c r="M684" t="str">
        <f t="shared" ca="1" si="43"/>
        <v/>
      </c>
    </row>
    <row r="685" spans="1:13" x14ac:dyDescent="0.25">
      <c r="A685" s="5"/>
      <c r="B685" s="4" t="str">
        <f t="shared" si="41"/>
        <v/>
      </c>
      <c r="C685" t="str">
        <f>IF(AND(TRIM(A685)&lt;&gt;"",IFERROR(VLOOKUP(TRIM(B685),Inventory!E:E,1,0),0)=0),"X","_")</f>
        <v>_</v>
      </c>
      <c r="D685" t="str">
        <f>IF(AND(TRIM(A685)&lt;&gt;"",IFERROR(VLOOKUP(TRIM(B685),'Full Inventory'!F:F,1,0),0)=0),"X","_")</f>
        <v>_</v>
      </c>
      <c r="E685" t="str">
        <f t="shared" si="44"/>
        <v>X</v>
      </c>
      <c r="F685" t="str">
        <f ca="1">IFERROR(IF(AND(C685&amp;D685&amp;E685="___",INDIRECT("Inventory!A"&amp;MATCH(VLOOKUP(B685,Inventory!E:E,1,0),Inventory!E:E,0))&lt;&gt;INDIRECT("'Full Inventory'!B"&amp;MATCH(VLOOKUP(B685,'Full Inventory'!F:F,1,0),'Full Inventory'!F:F,0))),"X","_"),"_")</f>
        <v>_</v>
      </c>
      <c r="L685" t="str">
        <f t="shared" ca="1" si="42"/>
        <v>__X_</v>
      </c>
      <c r="M685" t="str">
        <f t="shared" ca="1" si="43"/>
        <v/>
      </c>
    </row>
    <row r="686" spans="1:13" x14ac:dyDescent="0.25">
      <c r="A686" s="5"/>
      <c r="B686" s="4" t="str">
        <f t="shared" si="41"/>
        <v/>
      </c>
      <c r="C686" t="str">
        <f>IF(AND(TRIM(A686)&lt;&gt;"",IFERROR(VLOOKUP(TRIM(B686),Inventory!E:E,1,0),0)=0),"X","_")</f>
        <v>_</v>
      </c>
      <c r="D686" t="str">
        <f>IF(AND(TRIM(A686)&lt;&gt;"",IFERROR(VLOOKUP(TRIM(B686),'Full Inventory'!F:F,1,0),0)=0),"X","_")</f>
        <v>_</v>
      </c>
      <c r="E686" t="str">
        <f t="shared" si="44"/>
        <v>X</v>
      </c>
      <c r="F686" t="str">
        <f ca="1">IFERROR(IF(AND(C686&amp;D686&amp;E686="___",INDIRECT("Inventory!A"&amp;MATCH(VLOOKUP(B686,Inventory!E:E,1,0),Inventory!E:E,0))&lt;&gt;INDIRECT("'Full Inventory'!B"&amp;MATCH(VLOOKUP(B686,'Full Inventory'!F:F,1,0),'Full Inventory'!F:F,0))),"X","_"),"_")</f>
        <v>_</v>
      </c>
      <c r="L686" t="str">
        <f t="shared" ca="1" si="42"/>
        <v>__X_</v>
      </c>
      <c r="M686" t="str">
        <f t="shared" ca="1" si="43"/>
        <v/>
      </c>
    </row>
    <row r="687" spans="1:13" x14ac:dyDescent="0.25">
      <c r="A687" s="5"/>
      <c r="B687" s="4" t="str">
        <f t="shared" si="41"/>
        <v/>
      </c>
      <c r="C687" t="str">
        <f>IF(AND(TRIM(A687)&lt;&gt;"",IFERROR(VLOOKUP(TRIM(B687),Inventory!E:E,1,0),0)=0),"X","_")</f>
        <v>_</v>
      </c>
      <c r="D687" t="str">
        <f>IF(AND(TRIM(A687)&lt;&gt;"",IFERROR(VLOOKUP(TRIM(B687),'Full Inventory'!F:F,1,0),0)=0),"X","_")</f>
        <v>_</v>
      </c>
      <c r="E687" t="str">
        <f t="shared" si="44"/>
        <v>X</v>
      </c>
      <c r="F687" t="str">
        <f ca="1">IFERROR(IF(AND(C687&amp;D687&amp;E687="___",INDIRECT("Inventory!A"&amp;MATCH(VLOOKUP(B687,Inventory!E:E,1,0),Inventory!E:E,0))&lt;&gt;INDIRECT("'Full Inventory'!B"&amp;MATCH(VLOOKUP(B687,'Full Inventory'!F:F,1,0),'Full Inventory'!F:F,0))),"X","_"),"_")</f>
        <v>_</v>
      </c>
      <c r="L687" t="str">
        <f t="shared" ca="1" si="42"/>
        <v>__X_</v>
      </c>
      <c r="M687" t="str">
        <f t="shared" ca="1" si="43"/>
        <v/>
      </c>
    </row>
    <row r="688" spans="1:13" x14ac:dyDescent="0.25">
      <c r="A688" s="5"/>
      <c r="B688" s="4" t="str">
        <f t="shared" si="41"/>
        <v/>
      </c>
      <c r="C688" t="str">
        <f>IF(AND(TRIM(A688)&lt;&gt;"",IFERROR(VLOOKUP(TRIM(B688),Inventory!E:E,1,0),0)=0),"X","_")</f>
        <v>_</v>
      </c>
      <c r="D688" t="str">
        <f>IF(AND(TRIM(A688)&lt;&gt;"",IFERROR(VLOOKUP(TRIM(B688),'Full Inventory'!F:F,1,0),0)=0),"X","_")</f>
        <v>_</v>
      </c>
      <c r="E688" t="str">
        <f t="shared" si="44"/>
        <v>X</v>
      </c>
      <c r="F688" t="str">
        <f ca="1">IFERROR(IF(AND(C688&amp;D688&amp;E688="___",INDIRECT("Inventory!A"&amp;MATCH(VLOOKUP(B688,Inventory!E:E,1,0),Inventory!E:E,0))&lt;&gt;INDIRECT("'Full Inventory'!B"&amp;MATCH(VLOOKUP(B688,'Full Inventory'!F:F,1,0),'Full Inventory'!F:F,0))),"X","_"),"_")</f>
        <v>_</v>
      </c>
      <c r="L688" t="str">
        <f t="shared" ca="1" si="42"/>
        <v>__X_</v>
      </c>
      <c r="M688" t="str">
        <f t="shared" ca="1" si="43"/>
        <v/>
      </c>
    </row>
    <row r="689" spans="1:13" x14ac:dyDescent="0.25">
      <c r="A689" s="5"/>
      <c r="B689" s="4" t="str">
        <f t="shared" si="41"/>
        <v/>
      </c>
      <c r="C689" t="str">
        <f>IF(AND(TRIM(A689)&lt;&gt;"",IFERROR(VLOOKUP(TRIM(B689),Inventory!E:E,1,0),0)=0),"X","_")</f>
        <v>_</v>
      </c>
      <c r="D689" t="str">
        <f>IF(AND(TRIM(A689)&lt;&gt;"",IFERROR(VLOOKUP(TRIM(B689),'Full Inventory'!F:F,1,0),0)=0),"X","_")</f>
        <v>_</v>
      </c>
      <c r="E689" t="str">
        <f t="shared" si="44"/>
        <v>X</v>
      </c>
      <c r="F689" t="str">
        <f ca="1">IFERROR(IF(AND(C689&amp;D689&amp;E689="___",INDIRECT("Inventory!A"&amp;MATCH(VLOOKUP(B689,Inventory!E:E,1,0),Inventory!E:E,0))&lt;&gt;INDIRECT("'Full Inventory'!B"&amp;MATCH(VLOOKUP(B689,'Full Inventory'!F:F,1,0),'Full Inventory'!F:F,0))),"X","_"),"_")</f>
        <v>_</v>
      </c>
      <c r="L689" t="str">
        <f t="shared" ca="1" si="42"/>
        <v>__X_</v>
      </c>
      <c r="M689" t="str">
        <f t="shared" ca="1" si="43"/>
        <v/>
      </c>
    </row>
    <row r="690" spans="1:13" x14ac:dyDescent="0.25">
      <c r="A690" s="5"/>
      <c r="B690" s="4" t="str">
        <f t="shared" si="41"/>
        <v/>
      </c>
      <c r="C690" t="str">
        <f>IF(AND(TRIM(A690)&lt;&gt;"",IFERROR(VLOOKUP(TRIM(B690),Inventory!E:E,1,0),0)=0),"X","_")</f>
        <v>_</v>
      </c>
      <c r="D690" t="str">
        <f>IF(AND(TRIM(A690)&lt;&gt;"",IFERROR(VLOOKUP(TRIM(B690),'Full Inventory'!F:F,1,0),0)=0),"X","_")</f>
        <v>_</v>
      </c>
      <c r="E690" t="str">
        <f t="shared" si="44"/>
        <v>X</v>
      </c>
      <c r="F690" t="str">
        <f ca="1">IFERROR(IF(AND(C690&amp;D690&amp;E690="___",INDIRECT("Inventory!A"&amp;MATCH(VLOOKUP(B690,Inventory!E:E,1,0),Inventory!E:E,0))&lt;&gt;INDIRECT("'Full Inventory'!B"&amp;MATCH(VLOOKUP(B690,'Full Inventory'!F:F,1,0),'Full Inventory'!F:F,0))),"X","_"),"_")</f>
        <v>_</v>
      </c>
      <c r="L690" t="str">
        <f t="shared" ca="1" si="42"/>
        <v>__X_</v>
      </c>
      <c r="M690" t="str">
        <f t="shared" ca="1" si="43"/>
        <v/>
      </c>
    </row>
    <row r="691" spans="1:13" x14ac:dyDescent="0.25">
      <c r="A691" s="5"/>
      <c r="B691" s="4" t="str">
        <f t="shared" si="41"/>
        <v/>
      </c>
      <c r="C691" t="str">
        <f>IF(AND(TRIM(A691)&lt;&gt;"",IFERROR(VLOOKUP(TRIM(B691),Inventory!E:E,1,0),0)=0),"X","_")</f>
        <v>_</v>
      </c>
      <c r="D691" t="str">
        <f>IF(AND(TRIM(A691)&lt;&gt;"",IFERROR(VLOOKUP(TRIM(B691),'Full Inventory'!F:F,1,0),0)=0),"X","_")</f>
        <v>_</v>
      </c>
      <c r="E691" t="str">
        <f t="shared" si="44"/>
        <v>X</v>
      </c>
      <c r="F691" t="str">
        <f ca="1">IFERROR(IF(AND(C691&amp;D691&amp;E691="___",INDIRECT("Inventory!A"&amp;MATCH(VLOOKUP(B691,Inventory!E:E,1,0),Inventory!E:E,0))&lt;&gt;INDIRECT("'Full Inventory'!B"&amp;MATCH(VLOOKUP(B691,'Full Inventory'!F:F,1,0),'Full Inventory'!F:F,0))),"X","_"),"_")</f>
        <v>_</v>
      </c>
      <c r="L691" t="str">
        <f t="shared" ca="1" si="42"/>
        <v>__X_</v>
      </c>
      <c r="M691" t="str">
        <f t="shared" ca="1" si="43"/>
        <v/>
      </c>
    </row>
    <row r="692" spans="1:13" x14ac:dyDescent="0.25">
      <c r="A692" s="5"/>
      <c r="B692" s="4" t="str">
        <f t="shared" si="41"/>
        <v/>
      </c>
      <c r="C692" t="str">
        <f>IF(AND(TRIM(A692)&lt;&gt;"",IFERROR(VLOOKUP(TRIM(B692),Inventory!E:E,1,0),0)=0),"X","_")</f>
        <v>_</v>
      </c>
      <c r="D692" t="str">
        <f>IF(AND(TRIM(A692)&lt;&gt;"",IFERROR(VLOOKUP(TRIM(B692),'Full Inventory'!F:F,1,0),0)=0),"X","_")</f>
        <v>_</v>
      </c>
      <c r="E692" t="str">
        <f t="shared" si="44"/>
        <v>X</v>
      </c>
      <c r="F692" t="str">
        <f ca="1">IFERROR(IF(AND(C692&amp;D692&amp;E692="___",INDIRECT("Inventory!A"&amp;MATCH(VLOOKUP(B692,Inventory!E:E,1,0),Inventory!E:E,0))&lt;&gt;INDIRECT("'Full Inventory'!B"&amp;MATCH(VLOOKUP(B692,'Full Inventory'!F:F,1,0),'Full Inventory'!F:F,0))),"X","_"),"_")</f>
        <v>_</v>
      </c>
      <c r="L692" t="str">
        <f t="shared" ca="1" si="42"/>
        <v>__X_</v>
      </c>
      <c r="M692" t="str">
        <f t="shared" ca="1" si="43"/>
        <v/>
      </c>
    </row>
    <row r="693" spans="1:13" x14ac:dyDescent="0.25">
      <c r="A693" s="5"/>
      <c r="B693" s="4" t="str">
        <f t="shared" si="41"/>
        <v/>
      </c>
      <c r="C693" t="str">
        <f>IF(AND(TRIM(A693)&lt;&gt;"",IFERROR(VLOOKUP(TRIM(B693),Inventory!E:E,1,0),0)=0),"X","_")</f>
        <v>_</v>
      </c>
      <c r="D693" t="str">
        <f>IF(AND(TRIM(A693)&lt;&gt;"",IFERROR(VLOOKUP(TRIM(B693),'Full Inventory'!F:F,1,0),0)=0),"X","_")</f>
        <v>_</v>
      </c>
      <c r="E693" t="str">
        <f t="shared" si="44"/>
        <v>X</v>
      </c>
      <c r="F693" t="str">
        <f ca="1">IFERROR(IF(AND(C693&amp;D693&amp;E693="___",INDIRECT("Inventory!A"&amp;MATCH(VLOOKUP(B693,Inventory!E:E,1,0),Inventory!E:E,0))&lt;&gt;INDIRECT("'Full Inventory'!B"&amp;MATCH(VLOOKUP(B693,'Full Inventory'!F:F,1,0),'Full Inventory'!F:F,0))),"X","_"),"_")</f>
        <v>_</v>
      </c>
      <c r="L693" t="str">
        <f t="shared" ca="1" si="42"/>
        <v>__X_</v>
      </c>
      <c r="M693" t="str">
        <f t="shared" ca="1" si="43"/>
        <v/>
      </c>
    </row>
    <row r="694" spans="1:13" x14ac:dyDescent="0.25">
      <c r="A694" s="5"/>
      <c r="B694" s="4" t="str">
        <f t="shared" si="41"/>
        <v/>
      </c>
      <c r="C694" t="str">
        <f>IF(AND(TRIM(A694)&lt;&gt;"",IFERROR(VLOOKUP(TRIM(B694),Inventory!E:E,1,0),0)=0),"X","_")</f>
        <v>_</v>
      </c>
      <c r="D694" t="str">
        <f>IF(AND(TRIM(A694)&lt;&gt;"",IFERROR(VLOOKUP(TRIM(B694),'Full Inventory'!F:F,1,0),0)=0),"X","_")</f>
        <v>_</v>
      </c>
      <c r="E694" t="str">
        <f t="shared" si="44"/>
        <v>X</v>
      </c>
      <c r="F694" t="str">
        <f ca="1">IFERROR(IF(AND(C694&amp;D694&amp;E694="___",INDIRECT("Inventory!A"&amp;MATCH(VLOOKUP(B694,Inventory!E:E,1,0),Inventory!E:E,0))&lt;&gt;INDIRECT("'Full Inventory'!B"&amp;MATCH(VLOOKUP(B694,'Full Inventory'!F:F,1,0),'Full Inventory'!F:F,0))),"X","_"),"_")</f>
        <v>_</v>
      </c>
      <c r="L694" t="str">
        <f t="shared" ca="1" si="42"/>
        <v>__X_</v>
      </c>
      <c r="M694" t="str">
        <f t="shared" ca="1" si="43"/>
        <v/>
      </c>
    </row>
    <row r="695" spans="1:13" x14ac:dyDescent="0.25">
      <c r="A695" s="5"/>
      <c r="B695" s="4" t="str">
        <f t="shared" si="41"/>
        <v/>
      </c>
      <c r="C695" t="str">
        <f>IF(AND(TRIM(A695)&lt;&gt;"",IFERROR(VLOOKUP(TRIM(B695),Inventory!E:E,1,0),0)=0),"X","_")</f>
        <v>_</v>
      </c>
      <c r="D695" t="str">
        <f>IF(AND(TRIM(A695)&lt;&gt;"",IFERROR(VLOOKUP(TRIM(B695),'Full Inventory'!F:F,1,0),0)=0),"X","_")</f>
        <v>_</v>
      </c>
      <c r="E695" t="str">
        <f t="shared" si="44"/>
        <v>X</v>
      </c>
      <c r="F695" t="str">
        <f ca="1">IFERROR(IF(AND(C695&amp;D695&amp;E695="___",INDIRECT("Inventory!A"&amp;MATCH(VLOOKUP(B695,Inventory!E:E,1,0),Inventory!E:E,0))&lt;&gt;INDIRECT("'Full Inventory'!B"&amp;MATCH(VLOOKUP(B695,'Full Inventory'!F:F,1,0),'Full Inventory'!F:F,0))),"X","_"),"_")</f>
        <v>_</v>
      </c>
      <c r="L695" t="str">
        <f t="shared" ca="1" si="42"/>
        <v>__X_</v>
      </c>
      <c r="M695" t="str">
        <f t="shared" ca="1" si="43"/>
        <v/>
      </c>
    </row>
    <row r="696" spans="1:13" x14ac:dyDescent="0.25">
      <c r="A696" s="5"/>
      <c r="B696" s="4" t="str">
        <f t="shared" si="41"/>
        <v/>
      </c>
      <c r="C696" t="str">
        <f>IF(AND(TRIM(A696)&lt;&gt;"",IFERROR(VLOOKUP(TRIM(B696),Inventory!E:E,1,0),0)=0),"X","_")</f>
        <v>_</v>
      </c>
      <c r="D696" t="str">
        <f>IF(AND(TRIM(A696)&lt;&gt;"",IFERROR(VLOOKUP(TRIM(B696),'Full Inventory'!F:F,1,0),0)=0),"X","_")</f>
        <v>_</v>
      </c>
      <c r="E696" t="str">
        <f t="shared" si="44"/>
        <v>X</v>
      </c>
      <c r="F696" t="str">
        <f ca="1">IFERROR(IF(AND(C696&amp;D696&amp;E696="___",INDIRECT("Inventory!A"&amp;MATCH(VLOOKUP(B696,Inventory!E:E,1,0),Inventory!E:E,0))&lt;&gt;INDIRECT("'Full Inventory'!B"&amp;MATCH(VLOOKUP(B696,'Full Inventory'!F:F,1,0),'Full Inventory'!F:F,0))),"X","_"),"_")</f>
        <v>_</v>
      </c>
      <c r="L696" t="str">
        <f t="shared" ca="1" si="42"/>
        <v>__X_</v>
      </c>
      <c r="M696" t="str">
        <f t="shared" ca="1" si="43"/>
        <v/>
      </c>
    </row>
    <row r="697" spans="1:13" x14ac:dyDescent="0.25">
      <c r="A697" s="5"/>
      <c r="B697" s="4" t="str">
        <f t="shared" si="41"/>
        <v/>
      </c>
      <c r="C697" t="str">
        <f>IF(AND(TRIM(A697)&lt;&gt;"",IFERROR(VLOOKUP(TRIM(B697),Inventory!E:E,1,0),0)=0),"X","_")</f>
        <v>_</v>
      </c>
      <c r="D697" t="str">
        <f>IF(AND(TRIM(A697)&lt;&gt;"",IFERROR(VLOOKUP(TRIM(B697),'Full Inventory'!F:F,1,0),0)=0),"X","_")</f>
        <v>_</v>
      </c>
      <c r="E697" t="str">
        <f t="shared" si="44"/>
        <v>X</v>
      </c>
      <c r="F697" t="str">
        <f ca="1">IFERROR(IF(AND(C697&amp;D697&amp;E697="___",INDIRECT("Inventory!A"&amp;MATCH(VLOOKUP(B697,Inventory!E:E,1,0),Inventory!E:E,0))&lt;&gt;INDIRECT("'Full Inventory'!B"&amp;MATCH(VLOOKUP(B697,'Full Inventory'!F:F,1,0),'Full Inventory'!F:F,0))),"X","_"),"_")</f>
        <v>_</v>
      </c>
      <c r="L697" t="str">
        <f t="shared" ca="1" si="42"/>
        <v>__X_</v>
      </c>
      <c r="M697" t="str">
        <f t="shared" ca="1" si="43"/>
        <v/>
      </c>
    </row>
    <row r="698" spans="1:13" x14ac:dyDescent="0.25">
      <c r="A698" s="5"/>
      <c r="B698" s="4" t="str">
        <f t="shared" si="41"/>
        <v/>
      </c>
      <c r="C698" t="str">
        <f>IF(AND(TRIM(A698)&lt;&gt;"",IFERROR(VLOOKUP(TRIM(B698),Inventory!E:E,1,0),0)=0),"X","_")</f>
        <v>_</v>
      </c>
      <c r="D698" t="str">
        <f>IF(AND(TRIM(A698)&lt;&gt;"",IFERROR(VLOOKUP(TRIM(B698),'Full Inventory'!F:F,1,0),0)=0),"X","_")</f>
        <v>_</v>
      </c>
      <c r="E698" t="str">
        <f t="shared" si="44"/>
        <v>X</v>
      </c>
      <c r="F698" t="str">
        <f ca="1">IFERROR(IF(AND(C698&amp;D698&amp;E698="___",INDIRECT("Inventory!A"&amp;MATCH(VLOOKUP(B698,Inventory!E:E,1,0),Inventory!E:E,0))&lt;&gt;INDIRECT("'Full Inventory'!B"&amp;MATCH(VLOOKUP(B698,'Full Inventory'!F:F,1,0),'Full Inventory'!F:F,0))),"X","_"),"_")</f>
        <v>_</v>
      </c>
      <c r="L698" t="str">
        <f t="shared" ca="1" si="42"/>
        <v>__X_</v>
      </c>
      <c r="M698" t="str">
        <f t="shared" ca="1" si="43"/>
        <v/>
      </c>
    </row>
    <row r="699" spans="1:13" x14ac:dyDescent="0.25">
      <c r="A699" s="5"/>
      <c r="B699" s="4" t="str">
        <f t="shared" si="41"/>
        <v/>
      </c>
      <c r="C699" t="str">
        <f>IF(AND(TRIM(A699)&lt;&gt;"",IFERROR(VLOOKUP(TRIM(B699),Inventory!E:E,1,0),0)=0),"X","_")</f>
        <v>_</v>
      </c>
      <c r="D699" t="str">
        <f>IF(AND(TRIM(A699)&lt;&gt;"",IFERROR(VLOOKUP(TRIM(B699),'Full Inventory'!F:F,1,0),0)=0),"X","_")</f>
        <v>_</v>
      </c>
      <c r="E699" t="str">
        <f t="shared" si="44"/>
        <v>X</v>
      </c>
      <c r="F699" t="str">
        <f ca="1">IFERROR(IF(AND(C699&amp;D699&amp;E699="___",INDIRECT("Inventory!A"&amp;MATCH(VLOOKUP(B699,Inventory!E:E,1,0),Inventory!E:E,0))&lt;&gt;INDIRECT("'Full Inventory'!B"&amp;MATCH(VLOOKUP(B699,'Full Inventory'!F:F,1,0),'Full Inventory'!F:F,0))),"X","_"),"_")</f>
        <v>_</v>
      </c>
      <c r="L699" t="str">
        <f t="shared" ca="1" si="42"/>
        <v>__X_</v>
      </c>
      <c r="M699" t="str">
        <f t="shared" ca="1" si="43"/>
        <v/>
      </c>
    </row>
    <row r="700" spans="1:13" x14ac:dyDescent="0.25">
      <c r="A700" s="5"/>
      <c r="B700" s="4" t="str">
        <f t="shared" si="41"/>
        <v/>
      </c>
      <c r="C700" t="str">
        <f>IF(AND(TRIM(A700)&lt;&gt;"",IFERROR(VLOOKUP(TRIM(B700),Inventory!E:E,1,0),0)=0),"X","_")</f>
        <v>_</v>
      </c>
      <c r="D700" t="str">
        <f>IF(AND(TRIM(A700)&lt;&gt;"",IFERROR(VLOOKUP(TRIM(B700),'Full Inventory'!F:F,1,0),0)=0),"X","_")</f>
        <v>_</v>
      </c>
      <c r="E700" t="str">
        <f t="shared" si="44"/>
        <v>X</v>
      </c>
      <c r="F700" t="str">
        <f ca="1">IFERROR(IF(AND(C700&amp;D700&amp;E700="___",INDIRECT("Inventory!A"&amp;MATCH(VLOOKUP(B700,Inventory!E:E,1,0),Inventory!E:E,0))&lt;&gt;INDIRECT("'Full Inventory'!B"&amp;MATCH(VLOOKUP(B700,'Full Inventory'!F:F,1,0),'Full Inventory'!F:F,0))),"X","_"),"_")</f>
        <v>_</v>
      </c>
      <c r="L700" t="str">
        <f t="shared" ca="1" si="42"/>
        <v>__X_</v>
      </c>
      <c r="M700" t="str">
        <f t="shared" ca="1" si="43"/>
        <v/>
      </c>
    </row>
    <row r="701" spans="1:13" x14ac:dyDescent="0.25">
      <c r="A701" s="5"/>
      <c r="B701" s="4" t="str">
        <f t="shared" si="41"/>
        <v/>
      </c>
      <c r="C701" t="str">
        <f>IF(AND(TRIM(A701)&lt;&gt;"",IFERROR(VLOOKUP(TRIM(B701),Inventory!E:E,1,0),0)=0),"X","_")</f>
        <v>_</v>
      </c>
      <c r="D701" t="str">
        <f>IF(AND(TRIM(A701)&lt;&gt;"",IFERROR(VLOOKUP(TRIM(B701),'Full Inventory'!F:F,1,0),0)=0),"X","_")</f>
        <v>_</v>
      </c>
      <c r="E701" t="str">
        <f t="shared" si="44"/>
        <v>X</v>
      </c>
      <c r="F701" t="str">
        <f ca="1">IFERROR(IF(AND(C701&amp;D701&amp;E701="___",INDIRECT("Inventory!A"&amp;MATCH(VLOOKUP(B701,Inventory!E:E,1,0),Inventory!E:E,0))&lt;&gt;INDIRECT("'Full Inventory'!B"&amp;MATCH(VLOOKUP(B701,'Full Inventory'!F:F,1,0),'Full Inventory'!F:F,0))),"X","_"),"_")</f>
        <v>_</v>
      </c>
      <c r="L701" t="str">
        <f t="shared" ca="1" si="42"/>
        <v>__X_</v>
      </c>
      <c r="M701" t="str">
        <f t="shared" ca="1" si="43"/>
        <v/>
      </c>
    </row>
    <row r="702" spans="1:13" x14ac:dyDescent="0.25">
      <c r="A702" s="5"/>
      <c r="B702" s="4" t="str">
        <f t="shared" si="41"/>
        <v/>
      </c>
      <c r="C702" t="str">
        <f>IF(AND(TRIM(A702)&lt;&gt;"",IFERROR(VLOOKUP(TRIM(B702),Inventory!E:E,1,0),0)=0),"X","_")</f>
        <v>_</v>
      </c>
      <c r="D702" t="str">
        <f>IF(AND(TRIM(A702)&lt;&gt;"",IFERROR(VLOOKUP(TRIM(B702),'Full Inventory'!F:F,1,0),0)=0),"X","_")</f>
        <v>_</v>
      </c>
      <c r="E702" t="str">
        <f t="shared" si="44"/>
        <v>X</v>
      </c>
      <c r="F702" t="str">
        <f ca="1">IFERROR(IF(AND(C702&amp;D702&amp;E702="___",INDIRECT("Inventory!A"&amp;MATCH(VLOOKUP(B702,Inventory!E:E,1,0),Inventory!E:E,0))&lt;&gt;INDIRECT("'Full Inventory'!B"&amp;MATCH(VLOOKUP(B702,'Full Inventory'!F:F,1,0),'Full Inventory'!F:F,0))),"X","_"),"_")</f>
        <v>_</v>
      </c>
      <c r="L702" t="str">
        <f t="shared" ca="1" si="42"/>
        <v>__X_</v>
      </c>
      <c r="M702" t="str">
        <f t="shared" ca="1" si="43"/>
        <v/>
      </c>
    </row>
    <row r="703" spans="1:13" x14ac:dyDescent="0.25">
      <c r="A703" s="5"/>
      <c r="B703" s="4" t="str">
        <f t="shared" si="41"/>
        <v/>
      </c>
      <c r="C703" t="str">
        <f>IF(AND(TRIM(A703)&lt;&gt;"",IFERROR(VLOOKUP(TRIM(B703),Inventory!E:E,1,0),0)=0),"X","_")</f>
        <v>_</v>
      </c>
      <c r="D703" t="str">
        <f>IF(AND(TRIM(A703)&lt;&gt;"",IFERROR(VLOOKUP(TRIM(B703),'Full Inventory'!F:F,1,0),0)=0),"X","_")</f>
        <v>_</v>
      </c>
      <c r="E703" t="str">
        <f t="shared" si="44"/>
        <v>X</v>
      </c>
      <c r="F703" t="str">
        <f ca="1">IFERROR(IF(AND(C703&amp;D703&amp;E703="___",INDIRECT("Inventory!A"&amp;MATCH(VLOOKUP(B703,Inventory!E:E,1,0),Inventory!E:E,0))&lt;&gt;INDIRECT("'Full Inventory'!B"&amp;MATCH(VLOOKUP(B703,'Full Inventory'!F:F,1,0),'Full Inventory'!F:F,0))),"X","_"),"_")</f>
        <v>_</v>
      </c>
      <c r="L703" t="str">
        <f t="shared" ca="1" si="42"/>
        <v>__X_</v>
      </c>
      <c r="M703" t="str">
        <f t="shared" ca="1" si="43"/>
        <v/>
      </c>
    </row>
    <row r="704" spans="1:13" x14ac:dyDescent="0.25">
      <c r="A704" s="5"/>
      <c r="B704" s="4" t="str">
        <f t="shared" si="41"/>
        <v/>
      </c>
      <c r="C704" t="str">
        <f>IF(AND(TRIM(A704)&lt;&gt;"",IFERROR(VLOOKUP(TRIM(B704),Inventory!E:E,1,0),0)=0),"X","_")</f>
        <v>_</v>
      </c>
      <c r="D704" t="str">
        <f>IF(AND(TRIM(A704)&lt;&gt;"",IFERROR(VLOOKUP(TRIM(B704),'Full Inventory'!F:F,1,0),0)=0),"X","_")</f>
        <v>_</v>
      </c>
      <c r="E704" t="str">
        <f t="shared" si="44"/>
        <v>X</v>
      </c>
      <c r="F704" t="str">
        <f ca="1">IFERROR(IF(AND(C704&amp;D704&amp;E704="___",INDIRECT("Inventory!A"&amp;MATCH(VLOOKUP(B704,Inventory!E:E,1,0),Inventory!E:E,0))&lt;&gt;INDIRECT("'Full Inventory'!B"&amp;MATCH(VLOOKUP(B704,'Full Inventory'!F:F,1,0),'Full Inventory'!F:F,0))),"X","_"),"_")</f>
        <v>_</v>
      </c>
      <c r="L704" t="str">
        <f t="shared" ca="1" si="42"/>
        <v>__X_</v>
      </c>
      <c r="M704" t="str">
        <f t="shared" ca="1" si="43"/>
        <v/>
      </c>
    </row>
    <row r="705" spans="1:13" x14ac:dyDescent="0.25">
      <c r="A705" s="5"/>
      <c r="B705" s="4" t="str">
        <f t="shared" si="41"/>
        <v/>
      </c>
      <c r="C705" t="str">
        <f>IF(AND(TRIM(A705)&lt;&gt;"",IFERROR(VLOOKUP(TRIM(B705),Inventory!E:E,1,0),0)=0),"X","_")</f>
        <v>_</v>
      </c>
      <c r="D705" t="str">
        <f>IF(AND(TRIM(A705)&lt;&gt;"",IFERROR(VLOOKUP(TRIM(B705),'Full Inventory'!F:F,1,0),0)=0),"X","_")</f>
        <v>_</v>
      </c>
      <c r="E705" t="str">
        <f t="shared" si="44"/>
        <v>X</v>
      </c>
      <c r="F705" t="str">
        <f ca="1">IFERROR(IF(AND(C705&amp;D705&amp;E705="___",INDIRECT("Inventory!A"&amp;MATCH(VLOOKUP(B705,Inventory!E:E,1,0),Inventory!E:E,0))&lt;&gt;INDIRECT("'Full Inventory'!B"&amp;MATCH(VLOOKUP(B705,'Full Inventory'!F:F,1,0),'Full Inventory'!F:F,0))),"X","_"),"_")</f>
        <v>_</v>
      </c>
      <c r="L705" t="str">
        <f t="shared" ca="1" si="42"/>
        <v>__X_</v>
      </c>
      <c r="M705" t="str">
        <f t="shared" ca="1" si="43"/>
        <v/>
      </c>
    </row>
    <row r="706" spans="1:13" x14ac:dyDescent="0.25">
      <c r="A706" s="5"/>
      <c r="B706" s="4" t="str">
        <f t="shared" si="41"/>
        <v/>
      </c>
      <c r="C706" t="str">
        <f>IF(AND(TRIM(A706)&lt;&gt;"",IFERROR(VLOOKUP(TRIM(B706),Inventory!E:E,1,0),0)=0),"X","_")</f>
        <v>_</v>
      </c>
      <c r="D706" t="str">
        <f>IF(AND(TRIM(A706)&lt;&gt;"",IFERROR(VLOOKUP(TRIM(B706),'Full Inventory'!F:F,1,0),0)=0),"X","_")</f>
        <v>_</v>
      </c>
      <c r="E706" t="str">
        <f t="shared" si="44"/>
        <v>X</v>
      </c>
      <c r="F706" t="str">
        <f ca="1">IFERROR(IF(AND(C706&amp;D706&amp;E706="___",INDIRECT("Inventory!A"&amp;MATCH(VLOOKUP(B706,Inventory!E:E,1,0),Inventory!E:E,0))&lt;&gt;INDIRECT("'Full Inventory'!B"&amp;MATCH(VLOOKUP(B706,'Full Inventory'!F:F,1,0),'Full Inventory'!F:F,0))),"X","_"),"_")</f>
        <v>_</v>
      </c>
      <c r="L706" t="str">
        <f t="shared" ca="1" si="42"/>
        <v>__X_</v>
      </c>
      <c r="M706" t="str">
        <f t="shared" ca="1" si="43"/>
        <v/>
      </c>
    </row>
    <row r="707" spans="1:13" x14ac:dyDescent="0.25">
      <c r="A707" s="5"/>
      <c r="B707" s="4" t="str">
        <f t="shared" ref="B707:B770" si="45">SUBSTITUTE(SUBSTITUTE(A707,"ö","0"),"Ö","0")</f>
        <v/>
      </c>
      <c r="C707" t="str">
        <f>IF(AND(TRIM(A707)&lt;&gt;"",IFERROR(VLOOKUP(TRIM(B707),Inventory!E:E,1,0),0)=0),"X","_")</f>
        <v>_</v>
      </c>
      <c r="D707" t="str">
        <f>IF(AND(TRIM(A707)&lt;&gt;"",IFERROR(VLOOKUP(TRIM(B707),'Full Inventory'!F:F,1,0),0)=0),"X","_")</f>
        <v>_</v>
      </c>
      <c r="E707" t="str">
        <f t="shared" si="44"/>
        <v>X</v>
      </c>
      <c r="F707" t="str">
        <f ca="1">IFERROR(IF(AND(C707&amp;D707&amp;E707="___",INDIRECT("Inventory!A"&amp;MATCH(VLOOKUP(B707,Inventory!E:E,1,0),Inventory!E:E,0))&lt;&gt;INDIRECT("'Full Inventory'!B"&amp;MATCH(VLOOKUP(B707,'Full Inventory'!F:F,1,0),'Full Inventory'!F:F,0))),"X","_"),"_")</f>
        <v>_</v>
      </c>
      <c r="L707" t="str">
        <f t="shared" ref="L707:L770" ca="1" si="46">C707&amp;D707&amp;E707&amp;F707</f>
        <v>__X_</v>
      </c>
      <c r="M707" t="str">
        <f t="shared" ref="M707:M770" ca="1" si="47">IF(L707="____","OK",IF(L707="_X__","NOT IN FULL INVENTORY",IF(L707="XX__","NOT IN FULL INVENTORY AND INVENTORY",IF(L707="X___","NOT IN INVENTORY",IF(L707="___X","DIFFERENT NAMES IN FULL INVENTORY AND INVENTORY","")))))</f>
        <v/>
      </c>
    </row>
    <row r="708" spans="1:13" x14ac:dyDescent="0.25">
      <c r="A708" s="5"/>
      <c r="B708" s="4" t="str">
        <f t="shared" si="45"/>
        <v/>
      </c>
      <c r="C708" t="str">
        <f>IF(AND(TRIM(A708)&lt;&gt;"",IFERROR(VLOOKUP(TRIM(B708),Inventory!E:E,1,0),0)=0),"X","_")</f>
        <v>_</v>
      </c>
      <c r="D708" t="str">
        <f>IF(AND(TRIM(A708)&lt;&gt;"",IFERROR(VLOOKUP(TRIM(B708),'Full Inventory'!F:F,1,0),0)=0),"X","_")</f>
        <v>_</v>
      </c>
      <c r="E708" t="str">
        <f t="shared" si="44"/>
        <v>X</v>
      </c>
      <c r="F708" t="str">
        <f ca="1">IFERROR(IF(AND(C708&amp;D708&amp;E708="___",INDIRECT("Inventory!A"&amp;MATCH(VLOOKUP(B708,Inventory!E:E,1,0),Inventory!E:E,0))&lt;&gt;INDIRECT("'Full Inventory'!B"&amp;MATCH(VLOOKUP(B708,'Full Inventory'!F:F,1,0),'Full Inventory'!F:F,0))),"X","_"),"_")</f>
        <v>_</v>
      </c>
      <c r="L708" t="str">
        <f t="shared" ca="1" si="46"/>
        <v>__X_</v>
      </c>
      <c r="M708" t="str">
        <f t="shared" ca="1" si="47"/>
        <v/>
      </c>
    </row>
    <row r="709" spans="1:13" x14ac:dyDescent="0.25">
      <c r="A709" s="5"/>
      <c r="B709" s="4" t="str">
        <f t="shared" si="45"/>
        <v/>
      </c>
      <c r="C709" t="str">
        <f>IF(AND(TRIM(A709)&lt;&gt;"",IFERROR(VLOOKUP(TRIM(B709),Inventory!E:E,1,0),0)=0),"X","_")</f>
        <v>_</v>
      </c>
      <c r="D709" t="str">
        <f>IF(AND(TRIM(A709)&lt;&gt;"",IFERROR(VLOOKUP(TRIM(B709),'Full Inventory'!F:F,1,0),0)=0),"X","_")</f>
        <v>_</v>
      </c>
      <c r="E709" t="str">
        <f t="shared" si="44"/>
        <v>X</v>
      </c>
      <c r="F709" t="str">
        <f ca="1">IFERROR(IF(AND(C709&amp;D709&amp;E709="___",INDIRECT("Inventory!A"&amp;MATCH(VLOOKUP(B709,Inventory!E:E,1,0),Inventory!E:E,0))&lt;&gt;INDIRECT("'Full Inventory'!B"&amp;MATCH(VLOOKUP(B709,'Full Inventory'!F:F,1,0),'Full Inventory'!F:F,0))),"X","_"),"_")</f>
        <v>_</v>
      </c>
      <c r="L709" t="str">
        <f t="shared" ca="1" si="46"/>
        <v>__X_</v>
      </c>
      <c r="M709" t="str">
        <f t="shared" ca="1" si="47"/>
        <v/>
      </c>
    </row>
    <row r="710" spans="1:13" x14ac:dyDescent="0.25">
      <c r="A710" s="5"/>
      <c r="B710" s="4" t="str">
        <f t="shared" si="45"/>
        <v/>
      </c>
      <c r="C710" t="str">
        <f>IF(AND(TRIM(A710)&lt;&gt;"",IFERROR(VLOOKUP(TRIM(B710),Inventory!E:E,1,0),0)=0),"X","_")</f>
        <v>_</v>
      </c>
      <c r="D710" t="str">
        <f>IF(AND(TRIM(A710)&lt;&gt;"",IFERROR(VLOOKUP(TRIM(B710),'Full Inventory'!F:F,1,0),0)=0),"X","_")</f>
        <v>_</v>
      </c>
      <c r="E710" t="str">
        <f t="shared" si="44"/>
        <v>X</v>
      </c>
      <c r="F710" t="str">
        <f ca="1">IFERROR(IF(AND(C710&amp;D710&amp;E710="___",INDIRECT("Inventory!A"&amp;MATCH(VLOOKUP(B710,Inventory!E:E,1,0),Inventory!E:E,0))&lt;&gt;INDIRECT("'Full Inventory'!B"&amp;MATCH(VLOOKUP(B710,'Full Inventory'!F:F,1,0),'Full Inventory'!F:F,0))),"X","_"),"_")</f>
        <v>_</v>
      </c>
      <c r="L710" t="str">
        <f t="shared" ca="1" si="46"/>
        <v>__X_</v>
      </c>
      <c r="M710" t="str">
        <f t="shared" ca="1" si="47"/>
        <v/>
      </c>
    </row>
    <row r="711" spans="1:13" x14ac:dyDescent="0.25">
      <c r="A711" s="5"/>
      <c r="B711" s="4" t="str">
        <f t="shared" si="45"/>
        <v/>
      </c>
      <c r="C711" t="str">
        <f>IF(AND(TRIM(A711)&lt;&gt;"",IFERROR(VLOOKUP(TRIM(B711),Inventory!E:E,1,0),0)=0),"X","_")</f>
        <v>_</v>
      </c>
      <c r="D711" t="str">
        <f>IF(AND(TRIM(A711)&lt;&gt;"",IFERROR(VLOOKUP(TRIM(B711),'Full Inventory'!F:F,1,0),0)=0),"X","_")</f>
        <v>_</v>
      </c>
      <c r="E711" t="str">
        <f t="shared" si="44"/>
        <v>X</v>
      </c>
      <c r="F711" t="str">
        <f ca="1">IFERROR(IF(AND(C711&amp;D711&amp;E711="___",INDIRECT("Inventory!A"&amp;MATCH(VLOOKUP(B711,Inventory!E:E,1,0),Inventory!E:E,0))&lt;&gt;INDIRECT("'Full Inventory'!B"&amp;MATCH(VLOOKUP(B711,'Full Inventory'!F:F,1,0),'Full Inventory'!F:F,0))),"X","_"),"_")</f>
        <v>_</v>
      </c>
      <c r="L711" t="str">
        <f t="shared" ca="1" si="46"/>
        <v>__X_</v>
      </c>
      <c r="M711" t="str">
        <f t="shared" ca="1" si="47"/>
        <v/>
      </c>
    </row>
    <row r="712" spans="1:13" x14ac:dyDescent="0.25">
      <c r="A712" s="5"/>
      <c r="B712" s="4" t="str">
        <f t="shared" si="45"/>
        <v/>
      </c>
      <c r="C712" t="str">
        <f>IF(AND(TRIM(A712)&lt;&gt;"",IFERROR(VLOOKUP(TRIM(B712),Inventory!E:E,1,0),0)=0),"X","_")</f>
        <v>_</v>
      </c>
      <c r="D712" t="str">
        <f>IF(AND(TRIM(A712)&lt;&gt;"",IFERROR(VLOOKUP(TRIM(B712),'Full Inventory'!F:F,1,0),0)=0),"X","_")</f>
        <v>_</v>
      </c>
      <c r="E712" t="str">
        <f t="shared" si="44"/>
        <v>X</v>
      </c>
      <c r="F712" t="str">
        <f ca="1">IFERROR(IF(AND(C712&amp;D712&amp;E712="___",INDIRECT("Inventory!A"&amp;MATCH(VLOOKUP(B712,Inventory!E:E,1,0),Inventory!E:E,0))&lt;&gt;INDIRECT("'Full Inventory'!B"&amp;MATCH(VLOOKUP(B712,'Full Inventory'!F:F,1,0),'Full Inventory'!F:F,0))),"X","_"),"_")</f>
        <v>_</v>
      </c>
      <c r="L712" t="str">
        <f t="shared" ca="1" si="46"/>
        <v>__X_</v>
      </c>
      <c r="M712" t="str">
        <f t="shared" ca="1" si="47"/>
        <v/>
      </c>
    </row>
    <row r="713" spans="1:13" x14ac:dyDescent="0.25">
      <c r="A713" s="5"/>
      <c r="B713" s="4" t="str">
        <f t="shared" si="45"/>
        <v/>
      </c>
      <c r="C713" t="str">
        <f>IF(AND(TRIM(A713)&lt;&gt;"",IFERROR(VLOOKUP(TRIM(B713),Inventory!E:E,1,0),0)=0),"X","_")</f>
        <v>_</v>
      </c>
      <c r="D713" t="str">
        <f>IF(AND(TRIM(A713)&lt;&gt;"",IFERROR(VLOOKUP(TRIM(B713),'Full Inventory'!F:F,1,0),0)=0),"X","_")</f>
        <v>_</v>
      </c>
      <c r="E713" t="str">
        <f t="shared" si="44"/>
        <v>X</v>
      </c>
      <c r="F713" t="str">
        <f ca="1">IFERROR(IF(AND(C713&amp;D713&amp;E713="___",INDIRECT("Inventory!A"&amp;MATCH(VLOOKUP(B713,Inventory!E:E,1,0),Inventory!E:E,0))&lt;&gt;INDIRECT("'Full Inventory'!B"&amp;MATCH(VLOOKUP(B713,'Full Inventory'!F:F,1,0),'Full Inventory'!F:F,0))),"X","_"),"_")</f>
        <v>_</v>
      </c>
      <c r="L713" t="str">
        <f t="shared" ca="1" si="46"/>
        <v>__X_</v>
      </c>
      <c r="M713" t="str">
        <f t="shared" ca="1" si="47"/>
        <v/>
      </c>
    </row>
    <row r="714" spans="1:13" x14ac:dyDescent="0.25">
      <c r="A714" s="5"/>
      <c r="B714" s="4" t="str">
        <f t="shared" si="45"/>
        <v/>
      </c>
      <c r="C714" t="str">
        <f>IF(AND(TRIM(A714)&lt;&gt;"",IFERROR(VLOOKUP(TRIM(B714),Inventory!E:E,1,0),0)=0),"X","_")</f>
        <v>_</v>
      </c>
      <c r="D714" t="str">
        <f>IF(AND(TRIM(A714)&lt;&gt;"",IFERROR(VLOOKUP(TRIM(B714),'Full Inventory'!F:F,1,0),0)=0),"X","_")</f>
        <v>_</v>
      </c>
      <c r="E714" t="str">
        <f t="shared" si="44"/>
        <v>X</v>
      </c>
      <c r="F714" t="str">
        <f ca="1">IFERROR(IF(AND(C714&amp;D714&amp;E714="___",INDIRECT("Inventory!A"&amp;MATCH(VLOOKUP(B714,Inventory!E:E,1,0),Inventory!E:E,0))&lt;&gt;INDIRECT("'Full Inventory'!B"&amp;MATCH(VLOOKUP(B714,'Full Inventory'!F:F,1,0),'Full Inventory'!F:F,0))),"X","_"),"_")</f>
        <v>_</v>
      </c>
      <c r="L714" t="str">
        <f t="shared" ca="1" si="46"/>
        <v>__X_</v>
      </c>
      <c r="M714" t="str">
        <f t="shared" ca="1" si="47"/>
        <v/>
      </c>
    </row>
    <row r="715" spans="1:13" x14ac:dyDescent="0.25">
      <c r="A715" s="5"/>
      <c r="B715" s="4" t="str">
        <f t="shared" si="45"/>
        <v/>
      </c>
      <c r="C715" t="str">
        <f>IF(AND(TRIM(A715)&lt;&gt;"",IFERROR(VLOOKUP(TRIM(B715),Inventory!E:E,1,0),0)=0),"X","_")</f>
        <v>_</v>
      </c>
      <c r="D715" t="str">
        <f>IF(AND(TRIM(A715)&lt;&gt;"",IFERROR(VLOOKUP(TRIM(B715),'Full Inventory'!F:F,1,0),0)=0),"X","_")</f>
        <v>_</v>
      </c>
      <c r="E715" t="str">
        <f t="shared" si="44"/>
        <v>X</v>
      </c>
      <c r="F715" t="str">
        <f ca="1">IFERROR(IF(AND(C715&amp;D715&amp;E715="___",INDIRECT("Inventory!A"&amp;MATCH(VLOOKUP(B715,Inventory!E:E,1,0),Inventory!E:E,0))&lt;&gt;INDIRECT("'Full Inventory'!B"&amp;MATCH(VLOOKUP(B715,'Full Inventory'!F:F,1,0),'Full Inventory'!F:F,0))),"X","_"),"_")</f>
        <v>_</v>
      </c>
      <c r="L715" t="str">
        <f t="shared" ca="1" si="46"/>
        <v>__X_</v>
      </c>
      <c r="M715" t="str">
        <f t="shared" ca="1" si="47"/>
        <v/>
      </c>
    </row>
    <row r="716" spans="1:13" x14ac:dyDescent="0.25">
      <c r="A716" s="5"/>
      <c r="B716" s="4" t="str">
        <f t="shared" si="45"/>
        <v/>
      </c>
      <c r="C716" t="str">
        <f>IF(AND(TRIM(A716)&lt;&gt;"",IFERROR(VLOOKUP(TRIM(B716),Inventory!E:E,1,0),0)=0),"X","_")</f>
        <v>_</v>
      </c>
      <c r="D716" t="str">
        <f>IF(AND(TRIM(A716)&lt;&gt;"",IFERROR(VLOOKUP(TRIM(B716),'Full Inventory'!F:F,1,0),0)=0),"X","_")</f>
        <v>_</v>
      </c>
      <c r="E716" t="str">
        <f t="shared" si="44"/>
        <v>X</v>
      </c>
      <c r="F716" t="str">
        <f ca="1">IFERROR(IF(AND(C716&amp;D716&amp;E716="___",INDIRECT("Inventory!A"&amp;MATCH(VLOOKUP(B716,Inventory!E:E,1,0),Inventory!E:E,0))&lt;&gt;INDIRECT("'Full Inventory'!B"&amp;MATCH(VLOOKUP(B716,'Full Inventory'!F:F,1,0),'Full Inventory'!F:F,0))),"X","_"),"_")</f>
        <v>_</v>
      </c>
      <c r="L716" t="str">
        <f t="shared" ca="1" si="46"/>
        <v>__X_</v>
      </c>
      <c r="M716" t="str">
        <f t="shared" ca="1" si="47"/>
        <v/>
      </c>
    </row>
    <row r="717" spans="1:13" x14ac:dyDescent="0.25">
      <c r="A717" s="5"/>
      <c r="B717" s="4" t="str">
        <f t="shared" si="45"/>
        <v/>
      </c>
      <c r="C717" t="str">
        <f>IF(AND(TRIM(A717)&lt;&gt;"",IFERROR(VLOOKUP(TRIM(B717),Inventory!E:E,1,0),0)=0),"X","_")</f>
        <v>_</v>
      </c>
      <c r="D717" t="str">
        <f>IF(AND(TRIM(A717)&lt;&gt;"",IFERROR(VLOOKUP(TRIM(B717),'Full Inventory'!F:F,1,0),0)=0),"X","_")</f>
        <v>_</v>
      </c>
      <c r="E717" t="str">
        <f t="shared" si="44"/>
        <v>X</v>
      </c>
      <c r="F717" t="str">
        <f ca="1">IFERROR(IF(AND(C717&amp;D717&amp;E717="___",INDIRECT("Inventory!A"&amp;MATCH(VLOOKUP(B717,Inventory!E:E,1,0),Inventory!E:E,0))&lt;&gt;INDIRECT("'Full Inventory'!B"&amp;MATCH(VLOOKUP(B717,'Full Inventory'!F:F,1,0),'Full Inventory'!F:F,0))),"X","_"),"_")</f>
        <v>_</v>
      </c>
      <c r="L717" t="str">
        <f t="shared" ca="1" si="46"/>
        <v>__X_</v>
      </c>
      <c r="M717" t="str">
        <f t="shared" ca="1" si="47"/>
        <v/>
      </c>
    </row>
    <row r="718" spans="1:13" x14ac:dyDescent="0.25">
      <c r="A718" s="5"/>
      <c r="B718" s="4" t="str">
        <f t="shared" si="45"/>
        <v/>
      </c>
      <c r="C718" t="str">
        <f>IF(AND(TRIM(A718)&lt;&gt;"",IFERROR(VLOOKUP(TRIM(B718),Inventory!E:E,1,0),0)=0),"X","_")</f>
        <v>_</v>
      </c>
      <c r="D718" t="str">
        <f>IF(AND(TRIM(A718)&lt;&gt;"",IFERROR(VLOOKUP(TRIM(B718),'Full Inventory'!F:F,1,0),0)=0),"X","_")</f>
        <v>_</v>
      </c>
      <c r="E718" t="str">
        <f t="shared" si="44"/>
        <v>X</v>
      </c>
      <c r="F718" t="str">
        <f ca="1">IFERROR(IF(AND(C718&amp;D718&amp;E718="___",INDIRECT("Inventory!A"&amp;MATCH(VLOOKUP(B718,Inventory!E:E,1,0),Inventory!E:E,0))&lt;&gt;INDIRECT("'Full Inventory'!B"&amp;MATCH(VLOOKUP(B718,'Full Inventory'!F:F,1,0),'Full Inventory'!F:F,0))),"X","_"),"_")</f>
        <v>_</v>
      </c>
      <c r="L718" t="str">
        <f t="shared" ca="1" si="46"/>
        <v>__X_</v>
      </c>
      <c r="M718" t="str">
        <f t="shared" ca="1" si="47"/>
        <v/>
      </c>
    </row>
    <row r="719" spans="1:13" x14ac:dyDescent="0.25">
      <c r="A719" s="5"/>
      <c r="B719" s="4" t="str">
        <f t="shared" si="45"/>
        <v/>
      </c>
      <c r="C719" t="str">
        <f>IF(AND(TRIM(A719)&lt;&gt;"",IFERROR(VLOOKUP(TRIM(B719),Inventory!E:E,1,0),0)=0),"X","_")</f>
        <v>_</v>
      </c>
      <c r="D719" t="str">
        <f>IF(AND(TRIM(A719)&lt;&gt;"",IFERROR(VLOOKUP(TRIM(B719),'Full Inventory'!F:F,1,0),0)=0),"X","_")</f>
        <v>_</v>
      </c>
      <c r="E719" t="str">
        <f t="shared" si="44"/>
        <v>X</v>
      </c>
      <c r="F719" t="str">
        <f ca="1">IFERROR(IF(AND(C719&amp;D719&amp;E719="___",INDIRECT("Inventory!A"&amp;MATCH(VLOOKUP(B719,Inventory!E:E,1,0),Inventory!E:E,0))&lt;&gt;INDIRECT("'Full Inventory'!B"&amp;MATCH(VLOOKUP(B719,'Full Inventory'!F:F,1,0),'Full Inventory'!F:F,0))),"X","_"),"_")</f>
        <v>_</v>
      </c>
      <c r="L719" t="str">
        <f t="shared" ca="1" si="46"/>
        <v>__X_</v>
      </c>
      <c r="M719" t="str">
        <f t="shared" ca="1" si="47"/>
        <v/>
      </c>
    </row>
    <row r="720" spans="1:13" x14ac:dyDescent="0.25">
      <c r="A720" s="5"/>
      <c r="B720" s="4" t="str">
        <f t="shared" si="45"/>
        <v/>
      </c>
      <c r="C720" t="str">
        <f>IF(AND(TRIM(A720)&lt;&gt;"",IFERROR(VLOOKUP(TRIM(B720),Inventory!E:E,1,0),0)=0),"X","_")</f>
        <v>_</v>
      </c>
      <c r="D720" t="str">
        <f>IF(AND(TRIM(A720)&lt;&gt;"",IFERROR(VLOOKUP(TRIM(B720),'Full Inventory'!F:F,1,0),0)=0),"X","_")</f>
        <v>_</v>
      </c>
      <c r="E720" t="str">
        <f t="shared" si="44"/>
        <v>X</v>
      </c>
      <c r="F720" t="str">
        <f ca="1">IFERROR(IF(AND(C720&amp;D720&amp;E720="___",INDIRECT("Inventory!A"&amp;MATCH(VLOOKUP(B720,Inventory!E:E,1,0),Inventory!E:E,0))&lt;&gt;INDIRECT("'Full Inventory'!B"&amp;MATCH(VLOOKUP(B720,'Full Inventory'!F:F,1,0),'Full Inventory'!F:F,0))),"X","_"),"_")</f>
        <v>_</v>
      </c>
      <c r="L720" t="str">
        <f t="shared" ca="1" si="46"/>
        <v>__X_</v>
      </c>
      <c r="M720" t="str">
        <f t="shared" ca="1" si="47"/>
        <v/>
      </c>
    </row>
    <row r="721" spans="1:13" x14ac:dyDescent="0.25">
      <c r="A721" s="5"/>
      <c r="B721" s="4" t="str">
        <f t="shared" si="45"/>
        <v/>
      </c>
      <c r="C721" t="str">
        <f>IF(AND(TRIM(A721)&lt;&gt;"",IFERROR(VLOOKUP(TRIM(B721),Inventory!E:E,1,0),0)=0),"X","_")</f>
        <v>_</v>
      </c>
      <c r="D721" t="str">
        <f>IF(AND(TRIM(A721)&lt;&gt;"",IFERROR(VLOOKUP(TRIM(B721),'Full Inventory'!F:F,1,0),0)=0),"X","_")</f>
        <v>_</v>
      </c>
      <c r="E721" t="str">
        <f t="shared" si="44"/>
        <v>X</v>
      </c>
      <c r="F721" t="str">
        <f ca="1">IFERROR(IF(AND(C721&amp;D721&amp;E721="___",INDIRECT("Inventory!A"&amp;MATCH(VLOOKUP(B721,Inventory!E:E,1,0),Inventory!E:E,0))&lt;&gt;INDIRECT("'Full Inventory'!B"&amp;MATCH(VLOOKUP(B721,'Full Inventory'!F:F,1,0),'Full Inventory'!F:F,0))),"X","_"),"_")</f>
        <v>_</v>
      </c>
      <c r="L721" t="str">
        <f t="shared" ca="1" si="46"/>
        <v>__X_</v>
      </c>
      <c r="M721" t="str">
        <f t="shared" ca="1" si="47"/>
        <v/>
      </c>
    </row>
    <row r="722" spans="1:13" x14ac:dyDescent="0.25">
      <c r="A722" s="5"/>
      <c r="B722" s="4" t="str">
        <f t="shared" si="45"/>
        <v/>
      </c>
      <c r="C722" t="str">
        <f>IF(AND(TRIM(A722)&lt;&gt;"",IFERROR(VLOOKUP(TRIM(B722),Inventory!E:E,1,0),0)=0),"X","_")</f>
        <v>_</v>
      </c>
      <c r="D722" t="str">
        <f>IF(AND(TRIM(A722)&lt;&gt;"",IFERROR(VLOOKUP(TRIM(B722),'Full Inventory'!F:F,1,0),0)=0),"X","_")</f>
        <v>_</v>
      </c>
      <c r="E722" t="str">
        <f t="shared" si="44"/>
        <v>X</v>
      </c>
      <c r="F722" t="str">
        <f ca="1">IFERROR(IF(AND(C722&amp;D722&amp;E722="___",INDIRECT("Inventory!A"&amp;MATCH(VLOOKUP(B722,Inventory!E:E,1,0),Inventory!E:E,0))&lt;&gt;INDIRECT("'Full Inventory'!B"&amp;MATCH(VLOOKUP(B722,'Full Inventory'!F:F,1,0),'Full Inventory'!F:F,0))),"X","_"),"_")</f>
        <v>_</v>
      </c>
      <c r="L722" t="str">
        <f t="shared" ca="1" si="46"/>
        <v>__X_</v>
      </c>
      <c r="M722" t="str">
        <f t="shared" ca="1" si="47"/>
        <v/>
      </c>
    </row>
    <row r="723" spans="1:13" x14ac:dyDescent="0.25">
      <c r="A723" s="5"/>
      <c r="B723" s="4" t="str">
        <f t="shared" si="45"/>
        <v/>
      </c>
      <c r="C723" t="str">
        <f>IF(AND(TRIM(A723)&lt;&gt;"",IFERROR(VLOOKUP(TRIM(B723),Inventory!E:E,1,0),0)=0),"X","_")</f>
        <v>_</v>
      </c>
      <c r="D723" t="str">
        <f>IF(AND(TRIM(A723)&lt;&gt;"",IFERROR(VLOOKUP(TRIM(B723),'Full Inventory'!F:F,1,0),0)=0),"X","_")</f>
        <v>_</v>
      </c>
      <c r="E723" t="str">
        <f t="shared" si="44"/>
        <v>X</v>
      </c>
      <c r="F723" t="str">
        <f ca="1">IFERROR(IF(AND(C723&amp;D723&amp;E723="___",INDIRECT("Inventory!A"&amp;MATCH(VLOOKUP(B723,Inventory!E:E,1,0),Inventory!E:E,0))&lt;&gt;INDIRECT("'Full Inventory'!B"&amp;MATCH(VLOOKUP(B723,'Full Inventory'!F:F,1,0),'Full Inventory'!F:F,0))),"X","_"),"_")</f>
        <v>_</v>
      </c>
      <c r="L723" t="str">
        <f t="shared" ca="1" si="46"/>
        <v>__X_</v>
      </c>
      <c r="M723" t="str">
        <f t="shared" ca="1" si="47"/>
        <v/>
      </c>
    </row>
    <row r="724" spans="1:13" x14ac:dyDescent="0.25">
      <c r="A724" s="5"/>
      <c r="B724" s="4" t="str">
        <f t="shared" si="45"/>
        <v/>
      </c>
      <c r="C724" t="str">
        <f>IF(AND(TRIM(A724)&lt;&gt;"",IFERROR(VLOOKUP(TRIM(B724),Inventory!E:E,1,0),0)=0),"X","_")</f>
        <v>_</v>
      </c>
      <c r="D724" t="str">
        <f>IF(AND(TRIM(A724)&lt;&gt;"",IFERROR(VLOOKUP(TRIM(B724),'Full Inventory'!F:F,1,0),0)=0),"X","_")</f>
        <v>_</v>
      </c>
      <c r="E724" t="str">
        <f t="shared" ref="E724:E787" si="48">IF(TRIM(A724)&lt;&gt;"","_","X")</f>
        <v>X</v>
      </c>
      <c r="F724" t="str">
        <f ca="1">IFERROR(IF(AND(C724&amp;D724&amp;E724="___",INDIRECT("Inventory!A"&amp;MATCH(VLOOKUP(B724,Inventory!E:E,1,0),Inventory!E:E,0))&lt;&gt;INDIRECT("'Full Inventory'!B"&amp;MATCH(VLOOKUP(B724,'Full Inventory'!F:F,1,0),'Full Inventory'!F:F,0))),"X","_"),"_")</f>
        <v>_</v>
      </c>
      <c r="L724" t="str">
        <f t="shared" ca="1" si="46"/>
        <v>__X_</v>
      </c>
      <c r="M724" t="str">
        <f t="shared" ca="1" si="47"/>
        <v/>
      </c>
    </row>
    <row r="725" spans="1:13" x14ac:dyDescent="0.25">
      <c r="A725" s="5"/>
      <c r="B725" s="4" t="str">
        <f t="shared" si="45"/>
        <v/>
      </c>
      <c r="C725" t="str">
        <f>IF(AND(TRIM(A725)&lt;&gt;"",IFERROR(VLOOKUP(TRIM(B725),Inventory!E:E,1,0),0)=0),"X","_")</f>
        <v>_</v>
      </c>
      <c r="D725" t="str">
        <f>IF(AND(TRIM(A725)&lt;&gt;"",IFERROR(VLOOKUP(TRIM(B725),'Full Inventory'!F:F,1,0),0)=0),"X","_")</f>
        <v>_</v>
      </c>
      <c r="E725" t="str">
        <f t="shared" si="48"/>
        <v>X</v>
      </c>
      <c r="F725" t="str">
        <f ca="1">IFERROR(IF(AND(C725&amp;D725&amp;E725="___",INDIRECT("Inventory!A"&amp;MATCH(VLOOKUP(B725,Inventory!E:E,1,0),Inventory!E:E,0))&lt;&gt;INDIRECT("'Full Inventory'!B"&amp;MATCH(VLOOKUP(B725,'Full Inventory'!F:F,1,0),'Full Inventory'!F:F,0))),"X","_"),"_")</f>
        <v>_</v>
      </c>
      <c r="L725" t="str">
        <f t="shared" ca="1" si="46"/>
        <v>__X_</v>
      </c>
      <c r="M725" t="str">
        <f t="shared" ca="1" si="47"/>
        <v/>
      </c>
    </row>
    <row r="726" spans="1:13" x14ac:dyDescent="0.25">
      <c r="A726" s="5"/>
      <c r="B726" s="4" t="str">
        <f t="shared" si="45"/>
        <v/>
      </c>
      <c r="C726" t="str">
        <f>IF(AND(TRIM(A726)&lt;&gt;"",IFERROR(VLOOKUP(TRIM(B726),Inventory!E:E,1,0),0)=0),"X","_")</f>
        <v>_</v>
      </c>
      <c r="D726" t="str">
        <f>IF(AND(TRIM(A726)&lt;&gt;"",IFERROR(VLOOKUP(TRIM(B726),'Full Inventory'!F:F,1,0),0)=0),"X","_")</f>
        <v>_</v>
      </c>
      <c r="E726" t="str">
        <f t="shared" si="48"/>
        <v>X</v>
      </c>
      <c r="F726" t="str">
        <f ca="1">IFERROR(IF(AND(C726&amp;D726&amp;E726="___",INDIRECT("Inventory!A"&amp;MATCH(VLOOKUP(B726,Inventory!E:E,1,0),Inventory!E:E,0))&lt;&gt;INDIRECT("'Full Inventory'!B"&amp;MATCH(VLOOKUP(B726,'Full Inventory'!F:F,1,0),'Full Inventory'!F:F,0))),"X","_"),"_")</f>
        <v>_</v>
      </c>
      <c r="L726" t="str">
        <f t="shared" ca="1" si="46"/>
        <v>__X_</v>
      </c>
      <c r="M726" t="str">
        <f t="shared" ca="1" si="47"/>
        <v/>
      </c>
    </row>
    <row r="727" spans="1:13" x14ac:dyDescent="0.25">
      <c r="A727" s="5"/>
      <c r="B727" s="4" t="str">
        <f t="shared" si="45"/>
        <v/>
      </c>
      <c r="C727" t="str">
        <f>IF(AND(TRIM(A727)&lt;&gt;"",IFERROR(VLOOKUP(TRIM(B727),Inventory!E:E,1,0),0)=0),"X","_")</f>
        <v>_</v>
      </c>
      <c r="D727" t="str">
        <f>IF(AND(TRIM(A727)&lt;&gt;"",IFERROR(VLOOKUP(TRIM(B727),'Full Inventory'!F:F,1,0),0)=0),"X","_")</f>
        <v>_</v>
      </c>
      <c r="E727" t="str">
        <f t="shared" si="48"/>
        <v>X</v>
      </c>
      <c r="F727" t="str">
        <f ca="1">IFERROR(IF(AND(C727&amp;D727&amp;E727="___",INDIRECT("Inventory!A"&amp;MATCH(VLOOKUP(B727,Inventory!E:E,1,0),Inventory!E:E,0))&lt;&gt;INDIRECT("'Full Inventory'!B"&amp;MATCH(VLOOKUP(B727,'Full Inventory'!F:F,1,0),'Full Inventory'!F:F,0))),"X","_"),"_")</f>
        <v>_</v>
      </c>
      <c r="L727" t="str">
        <f t="shared" ca="1" si="46"/>
        <v>__X_</v>
      </c>
      <c r="M727" t="str">
        <f t="shared" ca="1" si="47"/>
        <v/>
      </c>
    </row>
    <row r="728" spans="1:13" x14ac:dyDescent="0.25">
      <c r="A728" s="5"/>
      <c r="B728" s="4" t="str">
        <f t="shared" si="45"/>
        <v/>
      </c>
      <c r="C728" t="str">
        <f>IF(AND(TRIM(A728)&lt;&gt;"",IFERROR(VLOOKUP(TRIM(B728),Inventory!E:E,1,0),0)=0),"X","_")</f>
        <v>_</v>
      </c>
      <c r="D728" t="str">
        <f>IF(AND(TRIM(A728)&lt;&gt;"",IFERROR(VLOOKUP(TRIM(B728),'Full Inventory'!F:F,1,0),0)=0),"X","_")</f>
        <v>_</v>
      </c>
      <c r="E728" t="str">
        <f t="shared" si="48"/>
        <v>X</v>
      </c>
      <c r="F728" t="str">
        <f ca="1">IFERROR(IF(AND(C728&amp;D728&amp;E728="___",INDIRECT("Inventory!A"&amp;MATCH(VLOOKUP(B728,Inventory!E:E,1,0),Inventory!E:E,0))&lt;&gt;INDIRECT("'Full Inventory'!B"&amp;MATCH(VLOOKUP(B728,'Full Inventory'!F:F,1,0),'Full Inventory'!F:F,0))),"X","_"),"_")</f>
        <v>_</v>
      </c>
      <c r="L728" t="str">
        <f t="shared" ca="1" si="46"/>
        <v>__X_</v>
      </c>
      <c r="M728" t="str">
        <f t="shared" ca="1" si="47"/>
        <v/>
      </c>
    </row>
    <row r="729" spans="1:13" x14ac:dyDescent="0.25">
      <c r="A729" s="5"/>
      <c r="B729" s="4" t="str">
        <f t="shared" si="45"/>
        <v/>
      </c>
      <c r="C729" t="str">
        <f>IF(AND(TRIM(A729)&lt;&gt;"",IFERROR(VLOOKUP(TRIM(B729),Inventory!E:E,1,0),0)=0),"X","_")</f>
        <v>_</v>
      </c>
      <c r="D729" t="str">
        <f>IF(AND(TRIM(A729)&lt;&gt;"",IFERROR(VLOOKUP(TRIM(B729),'Full Inventory'!F:F,1,0),0)=0),"X","_")</f>
        <v>_</v>
      </c>
      <c r="E729" t="str">
        <f t="shared" si="48"/>
        <v>X</v>
      </c>
      <c r="F729" t="str">
        <f ca="1">IFERROR(IF(AND(C729&amp;D729&amp;E729="___",INDIRECT("Inventory!A"&amp;MATCH(VLOOKUP(B729,Inventory!E:E,1,0),Inventory!E:E,0))&lt;&gt;INDIRECT("'Full Inventory'!B"&amp;MATCH(VLOOKUP(B729,'Full Inventory'!F:F,1,0),'Full Inventory'!F:F,0))),"X","_"),"_")</f>
        <v>_</v>
      </c>
      <c r="L729" t="str">
        <f t="shared" ca="1" si="46"/>
        <v>__X_</v>
      </c>
      <c r="M729" t="str">
        <f t="shared" ca="1" si="47"/>
        <v/>
      </c>
    </row>
    <row r="730" spans="1:13" x14ac:dyDescent="0.25">
      <c r="A730" s="5"/>
      <c r="B730" s="4" t="str">
        <f t="shared" si="45"/>
        <v/>
      </c>
      <c r="C730" t="str">
        <f>IF(AND(TRIM(A730)&lt;&gt;"",IFERROR(VLOOKUP(TRIM(B730),Inventory!E:E,1,0),0)=0),"X","_")</f>
        <v>_</v>
      </c>
      <c r="D730" t="str">
        <f>IF(AND(TRIM(A730)&lt;&gt;"",IFERROR(VLOOKUP(TRIM(B730),'Full Inventory'!F:F,1,0),0)=0),"X","_")</f>
        <v>_</v>
      </c>
      <c r="E730" t="str">
        <f t="shared" si="48"/>
        <v>X</v>
      </c>
      <c r="F730" t="str">
        <f ca="1">IFERROR(IF(AND(C730&amp;D730&amp;E730="___",INDIRECT("Inventory!A"&amp;MATCH(VLOOKUP(B730,Inventory!E:E,1,0),Inventory!E:E,0))&lt;&gt;INDIRECT("'Full Inventory'!B"&amp;MATCH(VLOOKUP(B730,'Full Inventory'!F:F,1,0),'Full Inventory'!F:F,0))),"X","_"),"_")</f>
        <v>_</v>
      </c>
      <c r="L730" t="str">
        <f t="shared" ca="1" si="46"/>
        <v>__X_</v>
      </c>
      <c r="M730" t="str">
        <f t="shared" ca="1" si="47"/>
        <v/>
      </c>
    </row>
    <row r="731" spans="1:13" x14ac:dyDescent="0.25">
      <c r="A731" s="5"/>
      <c r="B731" s="4" t="str">
        <f t="shared" si="45"/>
        <v/>
      </c>
      <c r="C731" t="str">
        <f>IF(AND(TRIM(A731)&lt;&gt;"",IFERROR(VLOOKUP(TRIM(B731),Inventory!E:E,1,0),0)=0),"X","_")</f>
        <v>_</v>
      </c>
      <c r="D731" t="str">
        <f>IF(AND(TRIM(A731)&lt;&gt;"",IFERROR(VLOOKUP(TRIM(B731),'Full Inventory'!F:F,1,0),0)=0),"X","_")</f>
        <v>_</v>
      </c>
      <c r="E731" t="str">
        <f t="shared" si="48"/>
        <v>X</v>
      </c>
      <c r="F731" t="str">
        <f ca="1">IFERROR(IF(AND(C731&amp;D731&amp;E731="___",INDIRECT("Inventory!A"&amp;MATCH(VLOOKUP(B731,Inventory!E:E,1,0),Inventory!E:E,0))&lt;&gt;INDIRECT("'Full Inventory'!B"&amp;MATCH(VLOOKUP(B731,'Full Inventory'!F:F,1,0),'Full Inventory'!F:F,0))),"X","_"),"_")</f>
        <v>_</v>
      </c>
      <c r="L731" t="str">
        <f t="shared" ca="1" si="46"/>
        <v>__X_</v>
      </c>
      <c r="M731" t="str">
        <f t="shared" ca="1" si="47"/>
        <v/>
      </c>
    </row>
    <row r="732" spans="1:13" x14ac:dyDescent="0.25">
      <c r="A732" s="5"/>
      <c r="B732" s="4" t="str">
        <f t="shared" si="45"/>
        <v/>
      </c>
      <c r="C732" t="str">
        <f>IF(AND(TRIM(A732)&lt;&gt;"",IFERROR(VLOOKUP(TRIM(B732),Inventory!E:E,1,0),0)=0),"X","_")</f>
        <v>_</v>
      </c>
      <c r="D732" t="str">
        <f>IF(AND(TRIM(A732)&lt;&gt;"",IFERROR(VLOOKUP(TRIM(B732),'Full Inventory'!F:F,1,0),0)=0),"X","_")</f>
        <v>_</v>
      </c>
      <c r="E732" t="str">
        <f t="shared" si="48"/>
        <v>X</v>
      </c>
      <c r="F732" t="str">
        <f ca="1">IFERROR(IF(AND(C732&amp;D732&amp;E732="___",INDIRECT("Inventory!A"&amp;MATCH(VLOOKUP(B732,Inventory!E:E,1,0),Inventory!E:E,0))&lt;&gt;INDIRECT("'Full Inventory'!B"&amp;MATCH(VLOOKUP(B732,'Full Inventory'!F:F,1,0),'Full Inventory'!F:F,0))),"X","_"),"_")</f>
        <v>_</v>
      </c>
      <c r="L732" t="str">
        <f t="shared" ca="1" si="46"/>
        <v>__X_</v>
      </c>
      <c r="M732" t="str">
        <f t="shared" ca="1" si="47"/>
        <v/>
      </c>
    </row>
    <row r="733" spans="1:13" x14ac:dyDescent="0.25">
      <c r="A733" s="5"/>
      <c r="B733" s="4" t="str">
        <f t="shared" si="45"/>
        <v/>
      </c>
      <c r="C733" t="str">
        <f>IF(AND(TRIM(A733)&lt;&gt;"",IFERROR(VLOOKUP(TRIM(B733),Inventory!E:E,1,0),0)=0),"X","_")</f>
        <v>_</v>
      </c>
      <c r="D733" t="str">
        <f>IF(AND(TRIM(A733)&lt;&gt;"",IFERROR(VLOOKUP(TRIM(B733),'Full Inventory'!F:F,1,0),0)=0),"X","_")</f>
        <v>_</v>
      </c>
      <c r="E733" t="str">
        <f t="shared" si="48"/>
        <v>X</v>
      </c>
      <c r="F733" t="str">
        <f ca="1">IFERROR(IF(AND(C733&amp;D733&amp;E733="___",INDIRECT("Inventory!A"&amp;MATCH(VLOOKUP(B733,Inventory!E:E,1,0),Inventory!E:E,0))&lt;&gt;INDIRECT("'Full Inventory'!B"&amp;MATCH(VLOOKUP(B733,'Full Inventory'!F:F,1,0),'Full Inventory'!F:F,0))),"X","_"),"_")</f>
        <v>_</v>
      </c>
      <c r="L733" t="str">
        <f t="shared" ca="1" si="46"/>
        <v>__X_</v>
      </c>
      <c r="M733" t="str">
        <f t="shared" ca="1" si="47"/>
        <v/>
      </c>
    </row>
    <row r="734" spans="1:13" x14ac:dyDescent="0.25">
      <c r="A734" s="5"/>
      <c r="B734" s="4" t="str">
        <f t="shared" si="45"/>
        <v/>
      </c>
      <c r="C734" t="str">
        <f>IF(AND(TRIM(A734)&lt;&gt;"",IFERROR(VLOOKUP(TRIM(B734),Inventory!E:E,1,0),0)=0),"X","_")</f>
        <v>_</v>
      </c>
      <c r="D734" t="str">
        <f>IF(AND(TRIM(A734)&lt;&gt;"",IFERROR(VLOOKUP(TRIM(B734),'Full Inventory'!F:F,1,0),0)=0),"X","_")</f>
        <v>_</v>
      </c>
      <c r="E734" t="str">
        <f t="shared" si="48"/>
        <v>X</v>
      </c>
      <c r="F734" t="str">
        <f ca="1">IFERROR(IF(AND(C734&amp;D734&amp;E734="___",INDIRECT("Inventory!A"&amp;MATCH(VLOOKUP(B734,Inventory!E:E,1,0),Inventory!E:E,0))&lt;&gt;INDIRECT("'Full Inventory'!B"&amp;MATCH(VLOOKUP(B734,'Full Inventory'!F:F,1,0),'Full Inventory'!F:F,0))),"X","_"),"_")</f>
        <v>_</v>
      </c>
      <c r="L734" t="str">
        <f t="shared" ca="1" si="46"/>
        <v>__X_</v>
      </c>
      <c r="M734" t="str">
        <f t="shared" ca="1" si="47"/>
        <v/>
      </c>
    </row>
    <row r="735" spans="1:13" x14ac:dyDescent="0.25">
      <c r="A735" s="5"/>
      <c r="B735" s="4" t="str">
        <f t="shared" si="45"/>
        <v/>
      </c>
      <c r="C735" t="str">
        <f>IF(AND(TRIM(A735)&lt;&gt;"",IFERROR(VLOOKUP(TRIM(B735),Inventory!E:E,1,0),0)=0),"X","_")</f>
        <v>_</v>
      </c>
      <c r="D735" t="str">
        <f>IF(AND(TRIM(A735)&lt;&gt;"",IFERROR(VLOOKUP(TRIM(B735),'Full Inventory'!F:F,1,0),0)=0),"X","_")</f>
        <v>_</v>
      </c>
      <c r="E735" t="str">
        <f t="shared" si="48"/>
        <v>X</v>
      </c>
      <c r="F735" t="str">
        <f ca="1">IFERROR(IF(AND(C735&amp;D735&amp;E735="___",INDIRECT("Inventory!A"&amp;MATCH(VLOOKUP(B735,Inventory!E:E,1,0),Inventory!E:E,0))&lt;&gt;INDIRECT("'Full Inventory'!B"&amp;MATCH(VLOOKUP(B735,'Full Inventory'!F:F,1,0),'Full Inventory'!F:F,0))),"X","_"),"_")</f>
        <v>_</v>
      </c>
      <c r="L735" t="str">
        <f t="shared" ca="1" si="46"/>
        <v>__X_</v>
      </c>
      <c r="M735" t="str">
        <f t="shared" ca="1" si="47"/>
        <v/>
      </c>
    </row>
    <row r="736" spans="1:13" x14ac:dyDescent="0.25">
      <c r="A736" s="5"/>
      <c r="B736" s="4" t="str">
        <f t="shared" si="45"/>
        <v/>
      </c>
      <c r="C736" t="str">
        <f>IF(AND(TRIM(A736)&lt;&gt;"",IFERROR(VLOOKUP(TRIM(B736),Inventory!E:E,1,0),0)=0),"X","_")</f>
        <v>_</v>
      </c>
      <c r="D736" t="str">
        <f>IF(AND(TRIM(A736)&lt;&gt;"",IFERROR(VLOOKUP(TRIM(B736),'Full Inventory'!F:F,1,0),0)=0),"X","_")</f>
        <v>_</v>
      </c>
      <c r="E736" t="str">
        <f t="shared" si="48"/>
        <v>X</v>
      </c>
      <c r="F736" t="str">
        <f ca="1">IFERROR(IF(AND(C736&amp;D736&amp;E736="___",INDIRECT("Inventory!A"&amp;MATCH(VLOOKUP(B736,Inventory!E:E,1,0),Inventory!E:E,0))&lt;&gt;INDIRECT("'Full Inventory'!B"&amp;MATCH(VLOOKUP(B736,'Full Inventory'!F:F,1,0),'Full Inventory'!F:F,0))),"X","_"),"_")</f>
        <v>_</v>
      </c>
      <c r="L736" t="str">
        <f t="shared" ca="1" si="46"/>
        <v>__X_</v>
      </c>
      <c r="M736" t="str">
        <f t="shared" ca="1" si="47"/>
        <v/>
      </c>
    </row>
    <row r="737" spans="1:13" x14ac:dyDescent="0.25">
      <c r="A737" s="5"/>
      <c r="B737" s="4" t="str">
        <f t="shared" si="45"/>
        <v/>
      </c>
      <c r="C737" t="str">
        <f>IF(AND(TRIM(A737)&lt;&gt;"",IFERROR(VLOOKUP(TRIM(B737),Inventory!E:E,1,0),0)=0),"X","_")</f>
        <v>_</v>
      </c>
      <c r="D737" t="str">
        <f>IF(AND(TRIM(A737)&lt;&gt;"",IFERROR(VLOOKUP(TRIM(B737),'Full Inventory'!F:F,1,0),0)=0),"X","_")</f>
        <v>_</v>
      </c>
      <c r="E737" t="str">
        <f t="shared" si="48"/>
        <v>X</v>
      </c>
      <c r="F737" t="str">
        <f ca="1">IFERROR(IF(AND(C737&amp;D737&amp;E737="___",INDIRECT("Inventory!A"&amp;MATCH(VLOOKUP(B737,Inventory!E:E,1,0),Inventory!E:E,0))&lt;&gt;INDIRECT("'Full Inventory'!B"&amp;MATCH(VLOOKUP(B737,'Full Inventory'!F:F,1,0),'Full Inventory'!F:F,0))),"X","_"),"_")</f>
        <v>_</v>
      </c>
      <c r="L737" t="str">
        <f t="shared" ca="1" si="46"/>
        <v>__X_</v>
      </c>
      <c r="M737" t="str">
        <f t="shared" ca="1" si="47"/>
        <v/>
      </c>
    </row>
    <row r="738" spans="1:13" x14ac:dyDescent="0.25">
      <c r="A738" s="5"/>
      <c r="B738" s="4" t="str">
        <f t="shared" si="45"/>
        <v/>
      </c>
      <c r="C738" t="str">
        <f>IF(AND(TRIM(A738)&lt;&gt;"",IFERROR(VLOOKUP(TRIM(B738),Inventory!E:E,1,0),0)=0),"X","_")</f>
        <v>_</v>
      </c>
      <c r="D738" t="str">
        <f>IF(AND(TRIM(A738)&lt;&gt;"",IFERROR(VLOOKUP(TRIM(B738),'Full Inventory'!F:F,1,0),0)=0),"X","_")</f>
        <v>_</v>
      </c>
      <c r="E738" t="str">
        <f t="shared" si="48"/>
        <v>X</v>
      </c>
      <c r="F738" t="str">
        <f ca="1">IFERROR(IF(AND(C738&amp;D738&amp;E738="___",INDIRECT("Inventory!A"&amp;MATCH(VLOOKUP(B738,Inventory!E:E,1,0),Inventory!E:E,0))&lt;&gt;INDIRECT("'Full Inventory'!B"&amp;MATCH(VLOOKUP(B738,'Full Inventory'!F:F,1,0),'Full Inventory'!F:F,0))),"X","_"),"_")</f>
        <v>_</v>
      </c>
      <c r="L738" t="str">
        <f t="shared" ca="1" si="46"/>
        <v>__X_</v>
      </c>
      <c r="M738" t="str">
        <f t="shared" ca="1" si="47"/>
        <v/>
      </c>
    </row>
    <row r="739" spans="1:13" x14ac:dyDescent="0.25">
      <c r="A739" s="5"/>
      <c r="B739" s="4" t="str">
        <f t="shared" si="45"/>
        <v/>
      </c>
      <c r="C739" t="str">
        <f>IF(AND(TRIM(A739)&lt;&gt;"",IFERROR(VLOOKUP(TRIM(B739),Inventory!E:E,1,0),0)=0),"X","_")</f>
        <v>_</v>
      </c>
      <c r="D739" t="str">
        <f>IF(AND(TRIM(A739)&lt;&gt;"",IFERROR(VLOOKUP(TRIM(B739),'Full Inventory'!F:F,1,0),0)=0),"X","_")</f>
        <v>_</v>
      </c>
      <c r="E739" t="str">
        <f t="shared" si="48"/>
        <v>X</v>
      </c>
      <c r="F739" t="str">
        <f ca="1">IFERROR(IF(AND(C739&amp;D739&amp;E739="___",INDIRECT("Inventory!A"&amp;MATCH(VLOOKUP(B739,Inventory!E:E,1,0),Inventory!E:E,0))&lt;&gt;INDIRECT("'Full Inventory'!B"&amp;MATCH(VLOOKUP(B739,'Full Inventory'!F:F,1,0),'Full Inventory'!F:F,0))),"X","_"),"_")</f>
        <v>_</v>
      </c>
      <c r="L739" t="str">
        <f t="shared" ca="1" si="46"/>
        <v>__X_</v>
      </c>
      <c r="M739" t="str">
        <f t="shared" ca="1" si="47"/>
        <v/>
      </c>
    </row>
    <row r="740" spans="1:13" x14ac:dyDescent="0.25">
      <c r="A740" s="5"/>
      <c r="B740" s="4" t="str">
        <f t="shared" si="45"/>
        <v/>
      </c>
      <c r="C740" t="str">
        <f>IF(AND(TRIM(A740)&lt;&gt;"",IFERROR(VLOOKUP(TRIM(B740),Inventory!E:E,1,0),0)=0),"X","_")</f>
        <v>_</v>
      </c>
      <c r="D740" t="str">
        <f>IF(AND(TRIM(A740)&lt;&gt;"",IFERROR(VLOOKUP(TRIM(B740),'Full Inventory'!F:F,1,0),0)=0),"X","_")</f>
        <v>_</v>
      </c>
      <c r="E740" t="str">
        <f t="shared" si="48"/>
        <v>X</v>
      </c>
      <c r="F740" t="str">
        <f ca="1">IFERROR(IF(AND(C740&amp;D740&amp;E740="___",INDIRECT("Inventory!A"&amp;MATCH(VLOOKUP(B740,Inventory!E:E,1,0),Inventory!E:E,0))&lt;&gt;INDIRECT("'Full Inventory'!B"&amp;MATCH(VLOOKUP(B740,'Full Inventory'!F:F,1,0),'Full Inventory'!F:F,0))),"X","_"),"_")</f>
        <v>_</v>
      </c>
      <c r="L740" t="str">
        <f t="shared" ca="1" si="46"/>
        <v>__X_</v>
      </c>
      <c r="M740" t="str">
        <f t="shared" ca="1" si="47"/>
        <v/>
      </c>
    </row>
    <row r="741" spans="1:13" x14ac:dyDescent="0.25">
      <c r="A741" s="5"/>
      <c r="B741" s="4" t="str">
        <f t="shared" si="45"/>
        <v/>
      </c>
      <c r="C741" t="str">
        <f>IF(AND(TRIM(A741)&lt;&gt;"",IFERROR(VLOOKUP(TRIM(B741),Inventory!E:E,1,0),0)=0),"X","_")</f>
        <v>_</v>
      </c>
      <c r="D741" t="str">
        <f>IF(AND(TRIM(A741)&lt;&gt;"",IFERROR(VLOOKUP(TRIM(B741),'Full Inventory'!F:F,1,0),0)=0),"X","_")</f>
        <v>_</v>
      </c>
      <c r="E741" t="str">
        <f t="shared" si="48"/>
        <v>X</v>
      </c>
      <c r="F741" t="str">
        <f ca="1">IFERROR(IF(AND(C741&amp;D741&amp;E741="___",INDIRECT("Inventory!A"&amp;MATCH(VLOOKUP(B741,Inventory!E:E,1,0),Inventory!E:E,0))&lt;&gt;INDIRECT("'Full Inventory'!B"&amp;MATCH(VLOOKUP(B741,'Full Inventory'!F:F,1,0),'Full Inventory'!F:F,0))),"X","_"),"_")</f>
        <v>_</v>
      </c>
      <c r="L741" t="str">
        <f t="shared" ca="1" si="46"/>
        <v>__X_</v>
      </c>
      <c r="M741" t="str">
        <f t="shared" ca="1" si="47"/>
        <v/>
      </c>
    </row>
    <row r="742" spans="1:13" x14ac:dyDescent="0.25">
      <c r="A742" s="5"/>
      <c r="B742" s="4" t="str">
        <f t="shared" si="45"/>
        <v/>
      </c>
      <c r="C742" t="str">
        <f>IF(AND(TRIM(A742)&lt;&gt;"",IFERROR(VLOOKUP(TRIM(B742),Inventory!E:E,1,0),0)=0),"X","_")</f>
        <v>_</v>
      </c>
      <c r="D742" t="str">
        <f>IF(AND(TRIM(A742)&lt;&gt;"",IFERROR(VLOOKUP(TRIM(B742),'Full Inventory'!F:F,1,0),0)=0),"X","_")</f>
        <v>_</v>
      </c>
      <c r="E742" t="str">
        <f t="shared" si="48"/>
        <v>X</v>
      </c>
      <c r="F742" t="str">
        <f ca="1">IFERROR(IF(AND(C742&amp;D742&amp;E742="___",INDIRECT("Inventory!A"&amp;MATCH(VLOOKUP(B742,Inventory!E:E,1,0),Inventory!E:E,0))&lt;&gt;INDIRECT("'Full Inventory'!B"&amp;MATCH(VLOOKUP(B742,'Full Inventory'!F:F,1,0),'Full Inventory'!F:F,0))),"X","_"),"_")</f>
        <v>_</v>
      </c>
      <c r="L742" t="str">
        <f t="shared" ca="1" si="46"/>
        <v>__X_</v>
      </c>
      <c r="M742" t="str">
        <f t="shared" ca="1" si="47"/>
        <v/>
      </c>
    </row>
    <row r="743" spans="1:13" x14ac:dyDescent="0.25">
      <c r="A743" s="5"/>
      <c r="B743" s="4" t="str">
        <f t="shared" si="45"/>
        <v/>
      </c>
      <c r="C743" t="str">
        <f>IF(AND(TRIM(A743)&lt;&gt;"",IFERROR(VLOOKUP(TRIM(B743),Inventory!E:E,1,0),0)=0),"X","_")</f>
        <v>_</v>
      </c>
      <c r="D743" t="str">
        <f>IF(AND(TRIM(A743)&lt;&gt;"",IFERROR(VLOOKUP(TRIM(B743),'Full Inventory'!F:F,1,0),0)=0),"X","_")</f>
        <v>_</v>
      </c>
      <c r="E743" t="str">
        <f t="shared" si="48"/>
        <v>X</v>
      </c>
      <c r="F743" t="str">
        <f ca="1">IFERROR(IF(AND(C743&amp;D743&amp;E743="___",INDIRECT("Inventory!A"&amp;MATCH(VLOOKUP(B743,Inventory!E:E,1,0),Inventory!E:E,0))&lt;&gt;INDIRECT("'Full Inventory'!B"&amp;MATCH(VLOOKUP(B743,'Full Inventory'!F:F,1,0),'Full Inventory'!F:F,0))),"X","_"),"_")</f>
        <v>_</v>
      </c>
      <c r="L743" t="str">
        <f t="shared" ca="1" si="46"/>
        <v>__X_</v>
      </c>
      <c r="M743" t="str">
        <f t="shared" ca="1" si="47"/>
        <v/>
      </c>
    </row>
    <row r="744" spans="1:13" x14ac:dyDescent="0.25">
      <c r="A744" s="5"/>
      <c r="B744" s="4" t="str">
        <f t="shared" si="45"/>
        <v/>
      </c>
      <c r="C744" t="str">
        <f>IF(AND(TRIM(A744)&lt;&gt;"",IFERROR(VLOOKUP(TRIM(B744),Inventory!E:E,1,0),0)=0),"X","_")</f>
        <v>_</v>
      </c>
      <c r="D744" t="str">
        <f>IF(AND(TRIM(A744)&lt;&gt;"",IFERROR(VLOOKUP(TRIM(B744),'Full Inventory'!F:F,1,0),0)=0),"X","_")</f>
        <v>_</v>
      </c>
      <c r="E744" t="str">
        <f t="shared" si="48"/>
        <v>X</v>
      </c>
      <c r="F744" t="str">
        <f ca="1">IFERROR(IF(AND(C744&amp;D744&amp;E744="___",INDIRECT("Inventory!A"&amp;MATCH(VLOOKUP(B744,Inventory!E:E,1,0),Inventory!E:E,0))&lt;&gt;INDIRECT("'Full Inventory'!B"&amp;MATCH(VLOOKUP(B744,'Full Inventory'!F:F,1,0),'Full Inventory'!F:F,0))),"X","_"),"_")</f>
        <v>_</v>
      </c>
      <c r="L744" t="str">
        <f t="shared" ca="1" si="46"/>
        <v>__X_</v>
      </c>
      <c r="M744" t="str">
        <f t="shared" ca="1" si="47"/>
        <v/>
      </c>
    </row>
    <row r="745" spans="1:13" x14ac:dyDescent="0.25">
      <c r="A745" s="5"/>
      <c r="B745" s="4" t="str">
        <f t="shared" si="45"/>
        <v/>
      </c>
      <c r="C745" t="str">
        <f>IF(AND(TRIM(A745)&lt;&gt;"",IFERROR(VLOOKUP(TRIM(B745),Inventory!E:E,1,0),0)=0),"X","_")</f>
        <v>_</v>
      </c>
      <c r="D745" t="str">
        <f>IF(AND(TRIM(A745)&lt;&gt;"",IFERROR(VLOOKUP(TRIM(B745),'Full Inventory'!F:F,1,0),0)=0),"X","_")</f>
        <v>_</v>
      </c>
      <c r="E745" t="str">
        <f t="shared" si="48"/>
        <v>X</v>
      </c>
      <c r="F745" t="str">
        <f ca="1">IFERROR(IF(AND(C745&amp;D745&amp;E745="___",INDIRECT("Inventory!A"&amp;MATCH(VLOOKUP(B745,Inventory!E:E,1,0),Inventory!E:E,0))&lt;&gt;INDIRECT("'Full Inventory'!B"&amp;MATCH(VLOOKUP(B745,'Full Inventory'!F:F,1,0),'Full Inventory'!F:F,0))),"X","_"),"_")</f>
        <v>_</v>
      </c>
      <c r="L745" t="str">
        <f t="shared" ca="1" si="46"/>
        <v>__X_</v>
      </c>
      <c r="M745" t="str">
        <f t="shared" ca="1" si="47"/>
        <v/>
      </c>
    </row>
    <row r="746" spans="1:13" x14ac:dyDescent="0.25">
      <c r="A746" s="5"/>
      <c r="B746" s="4" t="str">
        <f t="shared" si="45"/>
        <v/>
      </c>
      <c r="C746" t="str">
        <f>IF(AND(TRIM(A746)&lt;&gt;"",IFERROR(VLOOKUP(TRIM(B746),Inventory!E:E,1,0),0)=0),"X","_")</f>
        <v>_</v>
      </c>
      <c r="D746" t="str">
        <f>IF(AND(TRIM(A746)&lt;&gt;"",IFERROR(VLOOKUP(TRIM(B746),'Full Inventory'!F:F,1,0),0)=0),"X","_")</f>
        <v>_</v>
      </c>
      <c r="E746" t="str">
        <f t="shared" si="48"/>
        <v>X</v>
      </c>
      <c r="F746" t="str">
        <f ca="1">IFERROR(IF(AND(C746&amp;D746&amp;E746="___",INDIRECT("Inventory!A"&amp;MATCH(VLOOKUP(B746,Inventory!E:E,1,0),Inventory!E:E,0))&lt;&gt;INDIRECT("'Full Inventory'!B"&amp;MATCH(VLOOKUP(B746,'Full Inventory'!F:F,1,0),'Full Inventory'!F:F,0))),"X","_"),"_")</f>
        <v>_</v>
      </c>
      <c r="L746" t="str">
        <f t="shared" ca="1" si="46"/>
        <v>__X_</v>
      </c>
      <c r="M746" t="str">
        <f t="shared" ca="1" si="47"/>
        <v/>
      </c>
    </row>
    <row r="747" spans="1:13" x14ac:dyDescent="0.25">
      <c r="A747" s="5"/>
      <c r="B747" s="4" t="str">
        <f t="shared" si="45"/>
        <v/>
      </c>
      <c r="C747" t="str">
        <f>IF(AND(TRIM(A747)&lt;&gt;"",IFERROR(VLOOKUP(TRIM(B747),Inventory!E:E,1,0),0)=0),"X","_")</f>
        <v>_</v>
      </c>
      <c r="D747" t="str">
        <f>IF(AND(TRIM(A747)&lt;&gt;"",IFERROR(VLOOKUP(TRIM(B747),'Full Inventory'!F:F,1,0),0)=0),"X","_")</f>
        <v>_</v>
      </c>
      <c r="E747" t="str">
        <f t="shared" si="48"/>
        <v>X</v>
      </c>
      <c r="F747" t="str">
        <f ca="1">IFERROR(IF(AND(C747&amp;D747&amp;E747="___",INDIRECT("Inventory!A"&amp;MATCH(VLOOKUP(B747,Inventory!E:E,1,0),Inventory!E:E,0))&lt;&gt;INDIRECT("'Full Inventory'!B"&amp;MATCH(VLOOKUP(B747,'Full Inventory'!F:F,1,0),'Full Inventory'!F:F,0))),"X","_"),"_")</f>
        <v>_</v>
      </c>
      <c r="L747" t="str">
        <f t="shared" ca="1" si="46"/>
        <v>__X_</v>
      </c>
      <c r="M747" t="str">
        <f t="shared" ca="1" si="47"/>
        <v/>
      </c>
    </row>
    <row r="748" spans="1:13" x14ac:dyDescent="0.25">
      <c r="A748" s="5"/>
      <c r="B748" s="4" t="str">
        <f t="shared" si="45"/>
        <v/>
      </c>
      <c r="C748" t="str">
        <f>IF(AND(TRIM(A748)&lt;&gt;"",IFERROR(VLOOKUP(TRIM(B748),Inventory!E:E,1,0),0)=0),"X","_")</f>
        <v>_</v>
      </c>
      <c r="D748" t="str">
        <f>IF(AND(TRIM(A748)&lt;&gt;"",IFERROR(VLOOKUP(TRIM(B748),'Full Inventory'!F:F,1,0),0)=0),"X","_")</f>
        <v>_</v>
      </c>
      <c r="E748" t="str">
        <f t="shared" si="48"/>
        <v>X</v>
      </c>
      <c r="F748" t="str">
        <f ca="1">IFERROR(IF(AND(C748&amp;D748&amp;E748="___",INDIRECT("Inventory!A"&amp;MATCH(VLOOKUP(B748,Inventory!E:E,1,0),Inventory!E:E,0))&lt;&gt;INDIRECT("'Full Inventory'!B"&amp;MATCH(VLOOKUP(B748,'Full Inventory'!F:F,1,0),'Full Inventory'!F:F,0))),"X","_"),"_")</f>
        <v>_</v>
      </c>
      <c r="L748" t="str">
        <f t="shared" ca="1" si="46"/>
        <v>__X_</v>
      </c>
      <c r="M748" t="str">
        <f t="shared" ca="1" si="47"/>
        <v/>
      </c>
    </row>
    <row r="749" spans="1:13" x14ac:dyDescent="0.25">
      <c r="A749" s="5"/>
      <c r="B749" s="4" t="str">
        <f t="shared" si="45"/>
        <v/>
      </c>
      <c r="C749" t="str">
        <f>IF(AND(TRIM(A749)&lt;&gt;"",IFERROR(VLOOKUP(TRIM(B749),Inventory!E:E,1,0),0)=0),"X","_")</f>
        <v>_</v>
      </c>
      <c r="D749" t="str">
        <f>IF(AND(TRIM(A749)&lt;&gt;"",IFERROR(VLOOKUP(TRIM(B749),'Full Inventory'!F:F,1,0),0)=0),"X","_")</f>
        <v>_</v>
      </c>
      <c r="E749" t="str">
        <f t="shared" si="48"/>
        <v>X</v>
      </c>
      <c r="F749" t="str">
        <f ca="1">IFERROR(IF(AND(C749&amp;D749&amp;E749="___",INDIRECT("Inventory!A"&amp;MATCH(VLOOKUP(B749,Inventory!E:E,1,0),Inventory!E:E,0))&lt;&gt;INDIRECT("'Full Inventory'!B"&amp;MATCH(VLOOKUP(B749,'Full Inventory'!F:F,1,0),'Full Inventory'!F:F,0))),"X","_"),"_")</f>
        <v>_</v>
      </c>
      <c r="L749" t="str">
        <f t="shared" ca="1" si="46"/>
        <v>__X_</v>
      </c>
      <c r="M749" t="str">
        <f t="shared" ca="1" si="47"/>
        <v/>
      </c>
    </row>
    <row r="750" spans="1:13" x14ac:dyDescent="0.25">
      <c r="A750" s="5"/>
      <c r="B750" s="4" t="str">
        <f t="shared" si="45"/>
        <v/>
      </c>
      <c r="C750" t="str">
        <f>IF(AND(TRIM(A750)&lt;&gt;"",IFERROR(VLOOKUP(TRIM(B750),Inventory!E:E,1,0),0)=0),"X","_")</f>
        <v>_</v>
      </c>
      <c r="D750" t="str">
        <f>IF(AND(TRIM(A750)&lt;&gt;"",IFERROR(VLOOKUP(TRIM(B750),'Full Inventory'!F:F,1,0),0)=0),"X","_")</f>
        <v>_</v>
      </c>
      <c r="E750" t="str">
        <f t="shared" si="48"/>
        <v>X</v>
      </c>
      <c r="F750" t="str">
        <f ca="1">IFERROR(IF(AND(C750&amp;D750&amp;E750="___",INDIRECT("Inventory!A"&amp;MATCH(VLOOKUP(B750,Inventory!E:E,1,0),Inventory!E:E,0))&lt;&gt;INDIRECT("'Full Inventory'!B"&amp;MATCH(VLOOKUP(B750,'Full Inventory'!F:F,1,0),'Full Inventory'!F:F,0))),"X","_"),"_")</f>
        <v>_</v>
      </c>
      <c r="L750" t="str">
        <f t="shared" ca="1" si="46"/>
        <v>__X_</v>
      </c>
      <c r="M750" t="str">
        <f t="shared" ca="1" si="47"/>
        <v/>
      </c>
    </row>
    <row r="751" spans="1:13" x14ac:dyDescent="0.25">
      <c r="A751" s="5"/>
      <c r="B751" s="4" t="str">
        <f t="shared" si="45"/>
        <v/>
      </c>
      <c r="C751" t="str">
        <f>IF(AND(TRIM(A751)&lt;&gt;"",IFERROR(VLOOKUP(TRIM(B751),Inventory!E:E,1,0),0)=0),"X","_")</f>
        <v>_</v>
      </c>
      <c r="D751" t="str">
        <f>IF(AND(TRIM(A751)&lt;&gt;"",IFERROR(VLOOKUP(TRIM(B751),'Full Inventory'!F:F,1,0),0)=0),"X","_")</f>
        <v>_</v>
      </c>
      <c r="E751" t="str">
        <f t="shared" si="48"/>
        <v>X</v>
      </c>
      <c r="F751" t="str">
        <f ca="1">IFERROR(IF(AND(C751&amp;D751&amp;E751="___",INDIRECT("Inventory!A"&amp;MATCH(VLOOKUP(B751,Inventory!E:E,1,0),Inventory!E:E,0))&lt;&gt;INDIRECT("'Full Inventory'!B"&amp;MATCH(VLOOKUP(B751,'Full Inventory'!F:F,1,0),'Full Inventory'!F:F,0))),"X","_"),"_")</f>
        <v>_</v>
      </c>
      <c r="L751" t="str">
        <f t="shared" ca="1" si="46"/>
        <v>__X_</v>
      </c>
      <c r="M751" t="str">
        <f t="shared" ca="1" si="47"/>
        <v/>
      </c>
    </row>
    <row r="752" spans="1:13" x14ac:dyDescent="0.25">
      <c r="A752" s="5"/>
      <c r="B752" s="4" t="str">
        <f t="shared" si="45"/>
        <v/>
      </c>
      <c r="C752" t="str">
        <f>IF(AND(TRIM(A752)&lt;&gt;"",IFERROR(VLOOKUP(TRIM(B752),Inventory!E:E,1,0),0)=0),"X","_")</f>
        <v>_</v>
      </c>
      <c r="D752" t="str">
        <f>IF(AND(TRIM(A752)&lt;&gt;"",IFERROR(VLOOKUP(TRIM(B752),'Full Inventory'!F:F,1,0),0)=0),"X","_")</f>
        <v>_</v>
      </c>
      <c r="E752" t="str">
        <f t="shared" si="48"/>
        <v>X</v>
      </c>
      <c r="F752" t="str">
        <f ca="1">IFERROR(IF(AND(C752&amp;D752&amp;E752="___",INDIRECT("Inventory!A"&amp;MATCH(VLOOKUP(B752,Inventory!E:E,1,0),Inventory!E:E,0))&lt;&gt;INDIRECT("'Full Inventory'!B"&amp;MATCH(VLOOKUP(B752,'Full Inventory'!F:F,1,0),'Full Inventory'!F:F,0))),"X","_"),"_")</f>
        <v>_</v>
      </c>
      <c r="L752" t="str">
        <f t="shared" ca="1" si="46"/>
        <v>__X_</v>
      </c>
      <c r="M752" t="str">
        <f t="shared" ca="1" si="47"/>
        <v/>
      </c>
    </row>
    <row r="753" spans="1:13" x14ac:dyDescent="0.25">
      <c r="A753" s="5"/>
      <c r="B753" s="4" t="str">
        <f t="shared" si="45"/>
        <v/>
      </c>
      <c r="C753" t="str">
        <f>IF(AND(TRIM(A753)&lt;&gt;"",IFERROR(VLOOKUP(TRIM(B753),Inventory!E:E,1,0),0)=0),"X","_")</f>
        <v>_</v>
      </c>
      <c r="D753" t="str">
        <f>IF(AND(TRIM(A753)&lt;&gt;"",IFERROR(VLOOKUP(TRIM(B753),'Full Inventory'!F:F,1,0),0)=0),"X","_")</f>
        <v>_</v>
      </c>
      <c r="E753" t="str">
        <f t="shared" si="48"/>
        <v>X</v>
      </c>
      <c r="F753" t="str">
        <f ca="1">IFERROR(IF(AND(C753&amp;D753&amp;E753="___",INDIRECT("Inventory!A"&amp;MATCH(VLOOKUP(B753,Inventory!E:E,1,0),Inventory!E:E,0))&lt;&gt;INDIRECT("'Full Inventory'!B"&amp;MATCH(VLOOKUP(B753,'Full Inventory'!F:F,1,0),'Full Inventory'!F:F,0))),"X","_"),"_")</f>
        <v>_</v>
      </c>
      <c r="L753" t="str">
        <f t="shared" ca="1" si="46"/>
        <v>__X_</v>
      </c>
      <c r="M753" t="str">
        <f t="shared" ca="1" si="47"/>
        <v/>
      </c>
    </row>
    <row r="754" spans="1:13" x14ac:dyDescent="0.25">
      <c r="A754" s="5"/>
      <c r="B754" s="4" t="str">
        <f t="shared" si="45"/>
        <v/>
      </c>
      <c r="C754" t="str">
        <f>IF(AND(TRIM(A754)&lt;&gt;"",IFERROR(VLOOKUP(TRIM(B754),Inventory!E:E,1,0),0)=0),"X","_")</f>
        <v>_</v>
      </c>
      <c r="D754" t="str">
        <f>IF(AND(TRIM(A754)&lt;&gt;"",IFERROR(VLOOKUP(TRIM(B754),'Full Inventory'!F:F,1,0),0)=0),"X","_")</f>
        <v>_</v>
      </c>
      <c r="E754" t="str">
        <f t="shared" si="48"/>
        <v>X</v>
      </c>
      <c r="F754" t="str">
        <f ca="1">IFERROR(IF(AND(C754&amp;D754&amp;E754="___",INDIRECT("Inventory!A"&amp;MATCH(VLOOKUP(B754,Inventory!E:E,1,0),Inventory!E:E,0))&lt;&gt;INDIRECT("'Full Inventory'!B"&amp;MATCH(VLOOKUP(B754,'Full Inventory'!F:F,1,0),'Full Inventory'!F:F,0))),"X","_"),"_")</f>
        <v>_</v>
      </c>
      <c r="L754" t="str">
        <f t="shared" ca="1" si="46"/>
        <v>__X_</v>
      </c>
      <c r="M754" t="str">
        <f t="shared" ca="1" si="47"/>
        <v/>
      </c>
    </row>
    <row r="755" spans="1:13" x14ac:dyDescent="0.25">
      <c r="A755" s="5"/>
      <c r="B755" s="4" t="str">
        <f t="shared" si="45"/>
        <v/>
      </c>
      <c r="C755" t="str">
        <f>IF(AND(TRIM(A755)&lt;&gt;"",IFERROR(VLOOKUP(TRIM(B755),Inventory!E:E,1,0),0)=0),"X","_")</f>
        <v>_</v>
      </c>
      <c r="D755" t="str">
        <f>IF(AND(TRIM(A755)&lt;&gt;"",IFERROR(VLOOKUP(TRIM(B755),'Full Inventory'!F:F,1,0),0)=0),"X","_")</f>
        <v>_</v>
      </c>
      <c r="E755" t="str">
        <f t="shared" si="48"/>
        <v>X</v>
      </c>
      <c r="F755" t="str">
        <f ca="1">IFERROR(IF(AND(C755&amp;D755&amp;E755="___",INDIRECT("Inventory!A"&amp;MATCH(VLOOKUP(B755,Inventory!E:E,1,0),Inventory!E:E,0))&lt;&gt;INDIRECT("'Full Inventory'!B"&amp;MATCH(VLOOKUP(B755,'Full Inventory'!F:F,1,0),'Full Inventory'!F:F,0))),"X","_"),"_")</f>
        <v>_</v>
      </c>
      <c r="L755" t="str">
        <f t="shared" ca="1" si="46"/>
        <v>__X_</v>
      </c>
      <c r="M755" t="str">
        <f t="shared" ca="1" si="47"/>
        <v/>
      </c>
    </row>
    <row r="756" spans="1:13" x14ac:dyDescent="0.25">
      <c r="A756" s="5"/>
      <c r="B756" s="4" t="str">
        <f t="shared" si="45"/>
        <v/>
      </c>
      <c r="C756" t="str">
        <f>IF(AND(TRIM(A756)&lt;&gt;"",IFERROR(VLOOKUP(TRIM(B756),Inventory!E:E,1,0),0)=0),"X","_")</f>
        <v>_</v>
      </c>
      <c r="D756" t="str">
        <f>IF(AND(TRIM(A756)&lt;&gt;"",IFERROR(VLOOKUP(TRIM(B756),'Full Inventory'!F:F,1,0),0)=0),"X","_")</f>
        <v>_</v>
      </c>
      <c r="E756" t="str">
        <f t="shared" si="48"/>
        <v>X</v>
      </c>
      <c r="F756" t="str">
        <f ca="1">IFERROR(IF(AND(C756&amp;D756&amp;E756="___",INDIRECT("Inventory!A"&amp;MATCH(VLOOKUP(B756,Inventory!E:E,1,0),Inventory!E:E,0))&lt;&gt;INDIRECT("'Full Inventory'!B"&amp;MATCH(VLOOKUP(B756,'Full Inventory'!F:F,1,0),'Full Inventory'!F:F,0))),"X","_"),"_")</f>
        <v>_</v>
      </c>
      <c r="L756" t="str">
        <f t="shared" ca="1" si="46"/>
        <v>__X_</v>
      </c>
      <c r="M756" t="str">
        <f t="shared" ca="1" si="47"/>
        <v/>
      </c>
    </row>
    <row r="757" spans="1:13" x14ac:dyDescent="0.25">
      <c r="A757" s="5"/>
      <c r="B757" s="4" t="str">
        <f t="shared" si="45"/>
        <v/>
      </c>
      <c r="C757" t="str">
        <f>IF(AND(TRIM(A757)&lt;&gt;"",IFERROR(VLOOKUP(TRIM(B757),Inventory!E:E,1,0),0)=0),"X","_")</f>
        <v>_</v>
      </c>
      <c r="D757" t="str">
        <f>IF(AND(TRIM(A757)&lt;&gt;"",IFERROR(VLOOKUP(TRIM(B757),'Full Inventory'!F:F,1,0),0)=0),"X","_")</f>
        <v>_</v>
      </c>
      <c r="E757" t="str">
        <f t="shared" si="48"/>
        <v>X</v>
      </c>
      <c r="F757" t="str">
        <f ca="1">IFERROR(IF(AND(C757&amp;D757&amp;E757="___",INDIRECT("Inventory!A"&amp;MATCH(VLOOKUP(B757,Inventory!E:E,1,0),Inventory!E:E,0))&lt;&gt;INDIRECT("'Full Inventory'!B"&amp;MATCH(VLOOKUP(B757,'Full Inventory'!F:F,1,0),'Full Inventory'!F:F,0))),"X","_"),"_")</f>
        <v>_</v>
      </c>
      <c r="L757" t="str">
        <f t="shared" ca="1" si="46"/>
        <v>__X_</v>
      </c>
      <c r="M757" t="str">
        <f t="shared" ca="1" si="47"/>
        <v/>
      </c>
    </row>
    <row r="758" spans="1:13" x14ac:dyDescent="0.25">
      <c r="A758" s="5"/>
      <c r="B758" s="4" t="str">
        <f t="shared" si="45"/>
        <v/>
      </c>
      <c r="C758" t="str">
        <f>IF(AND(TRIM(A758)&lt;&gt;"",IFERROR(VLOOKUP(TRIM(B758),Inventory!E:E,1,0),0)=0),"X","_")</f>
        <v>_</v>
      </c>
      <c r="D758" t="str">
        <f>IF(AND(TRIM(A758)&lt;&gt;"",IFERROR(VLOOKUP(TRIM(B758),'Full Inventory'!F:F,1,0),0)=0),"X","_")</f>
        <v>_</v>
      </c>
      <c r="E758" t="str">
        <f t="shared" si="48"/>
        <v>X</v>
      </c>
      <c r="F758" t="str">
        <f ca="1">IFERROR(IF(AND(C758&amp;D758&amp;E758="___",INDIRECT("Inventory!A"&amp;MATCH(VLOOKUP(B758,Inventory!E:E,1,0),Inventory!E:E,0))&lt;&gt;INDIRECT("'Full Inventory'!B"&amp;MATCH(VLOOKUP(B758,'Full Inventory'!F:F,1,0),'Full Inventory'!F:F,0))),"X","_"),"_")</f>
        <v>_</v>
      </c>
      <c r="L758" t="str">
        <f t="shared" ca="1" si="46"/>
        <v>__X_</v>
      </c>
      <c r="M758" t="str">
        <f t="shared" ca="1" si="47"/>
        <v/>
      </c>
    </row>
    <row r="759" spans="1:13" x14ac:dyDescent="0.25">
      <c r="A759" s="5"/>
      <c r="B759" s="4" t="str">
        <f t="shared" si="45"/>
        <v/>
      </c>
      <c r="C759" t="str">
        <f>IF(AND(TRIM(A759)&lt;&gt;"",IFERROR(VLOOKUP(TRIM(B759),Inventory!E:E,1,0),0)=0),"X","_")</f>
        <v>_</v>
      </c>
      <c r="D759" t="str">
        <f>IF(AND(TRIM(A759)&lt;&gt;"",IFERROR(VLOOKUP(TRIM(B759),'Full Inventory'!F:F,1,0),0)=0),"X","_")</f>
        <v>_</v>
      </c>
      <c r="E759" t="str">
        <f t="shared" si="48"/>
        <v>X</v>
      </c>
      <c r="F759" t="str">
        <f ca="1">IFERROR(IF(AND(C759&amp;D759&amp;E759="___",INDIRECT("Inventory!A"&amp;MATCH(VLOOKUP(B759,Inventory!E:E,1,0),Inventory!E:E,0))&lt;&gt;INDIRECT("'Full Inventory'!B"&amp;MATCH(VLOOKUP(B759,'Full Inventory'!F:F,1,0),'Full Inventory'!F:F,0))),"X","_"),"_")</f>
        <v>_</v>
      </c>
      <c r="L759" t="str">
        <f t="shared" ca="1" si="46"/>
        <v>__X_</v>
      </c>
      <c r="M759" t="str">
        <f t="shared" ca="1" si="47"/>
        <v/>
      </c>
    </row>
    <row r="760" spans="1:13" x14ac:dyDescent="0.25">
      <c r="A760" s="5"/>
      <c r="B760" s="4" t="str">
        <f t="shared" si="45"/>
        <v/>
      </c>
      <c r="C760" t="str">
        <f>IF(AND(TRIM(A760)&lt;&gt;"",IFERROR(VLOOKUP(TRIM(B760),Inventory!E:E,1,0),0)=0),"X","_")</f>
        <v>_</v>
      </c>
      <c r="D760" t="str">
        <f>IF(AND(TRIM(A760)&lt;&gt;"",IFERROR(VLOOKUP(TRIM(B760),'Full Inventory'!F:F,1,0),0)=0),"X","_")</f>
        <v>_</v>
      </c>
      <c r="E760" t="str">
        <f t="shared" si="48"/>
        <v>X</v>
      </c>
      <c r="F760" t="str">
        <f ca="1">IFERROR(IF(AND(C760&amp;D760&amp;E760="___",INDIRECT("Inventory!A"&amp;MATCH(VLOOKUP(B760,Inventory!E:E,1,0),Inventory!E:E,0))&lt;&gt;INDIRECT("'Full Inventory'!B"&amp;MATCH(VLOOKUP(B760,'Full Inventory'!F:F,1,0),'Full Inventory'!F:F,0))),"X","_"),"_")</f>
        <v>_</v>
      </c>
      <c r="L760" t="str">
        <f t="shared" ca="1" si="46"/>
        <v>__X_</v>
      </c>
      <c r="M760" t="str">
        <f t="shared" ca="1" si="47"/>
        <v/>
      </c>
    </row>
    <row r="761" spans="1:13" x14ac:dyDescent="0.25">
      <c r="A761" s="5"/>
      <c r="B761" s="4" t="str">
        <f t="shared" si="45"/>
        <v/>
      </c>
      <c r="C761" t="str">
        <f>IF(AND(TRIM(A761)&lt;&gt;"",IFERROR(VLOOKUP(TRIM(B761),Inventory!E:E,1,0),0)=0),"X","_")</f>
        <v>_</v>
      </c>
      <c r="D761" t="str">
        <f>IF(AND(TRIM(A761)&lt;&gt;"",IFERROR(VLOOKUP(TRIM(B761),'Full Inventory'!F:F,1,0),0)=0),"X","_")</f>
        <v>_</v>
      </c>
      <c r="E761" t="str">
        <f t="shared" si="48"/>
        <v>X</v>
      </c>
      <c r="F761" t="str">
        <f ca="1">IFERROR(IF(AND(C761&amp;D761&amp;E761="___",INDIRECT("Inventory!A"&amp;MATCH(VLOOKUP(B761,Inventory!E:E,1,0),Inventory!E:E,0))&lt;&gt;INDIRECT("'Full Inventory'!B"&amp;MATCH(VLOOKUP(B761,'Full Inventory'!F:F,1,0),'Full Inventory'!F:F,0))),"X","_"),"_")</f>
        <v>_</v>
      </c>
      <c r="L761" t="str">
        <f t="shared" ca="1" si="46"/>
        <v>__X_</v>
      </c>
      <c r="M761" t="str">
        <f t="shared" ca="1" si="47"/>
        <v/>
      </c>
    </row>
    <row r="762" spans="1:13" x14ac:dyDescent="0.25">
      <c r="A762" s="5"/>
      <c r="B762" s="4" t="str">
        <f t="shared" si="45"/>
        <v/>
      </c>
      <c r="C762" t="str">
        <f>IF(AND(TRIM(A762)&lt;&gt;"",IFERROR(VLOOKUP(TRIM(B762),Inventory!E:E,1,0),0)=0),"X","_")</f>
        <v>_</v>
      </c>
      <c r="D762" t="str">
        <f>IF(AND(TRIM(A762)&lt;&gt;"",IFERROR(VLOOKUP(TRIM(B762),'Full Inventory'!F:F,1,0),0)=0),"X","_")</f>
        <v>_</v>
      </c>
      <c r="E762" t="str">
        <f t="shared" si="48"/>
        <v>X</v>
      </c>
      <c r="F762" t="str">
        <f ca="1">IFERROR(IF(AND(C762&amp;D762&amp;E762="___",INDIRECT("Inventory!A"&amp;MATCH(VLOOKUP(B762,Inventory!E:E,1,0),Inventory!E:E,0))&lt;&gt;INDIRECT("'Full Inventory'!B"&amp;MATCH(VLOOKUP(B762,'Full Inventory'!F:F,1,0),'Full Inventory'!F:F,0))),"X","_"),"_")</f>
        <v>_</v>
      </c>
      <c r="L762" t="str">
        <f t="shared" ca="1" si="46"/>
        <v>__X_</v>
      </c>
      <c r="M762" t="str">
        <f t="shared" ca="1" si="47"/>
        <v/>
      </c>
    </row>
    <row r="763" spans="1:13" x14ac:dyDescent="0.25">
      <c r="A763" s="5"/>
      <c r="B763" s="4" t="str">
        <f t="shared" si="45"/>
        <v/>
      </c>
      <c r="C763" t="str">
        <f>IF(AND(TRIM(A763)&lt;&gt;"",IFERROR(VLOOKUP(TRIM(B763),Inventory!E:E,1,0),0)=0),"X","_")</f>
        <v>_</v>
      </c>
      <c r="D763" t="str">
        <f>IF(AND(TRIM(A763)&lt;&gt;"",IFERROR(VLOOKUP(TRIM(B763),'Full Inventory'!F:F,1,0),0)=0),"X","_")</f>
        <v>_</v>
      </c>
      <c r="E763" t="str">
        <f t="shared" si="48"/>
        <v>X</v>
      </c>
      <c r="F763" t="str">
        <f ca="1">IFERROR(IF(AND(C763&amp;D763&amp;E763="___",INDIRECT("Inventory!A"&amp;MATCH(VLOOKUP(B763,Inventory!E:E,1,0),Inventory!E:E,0))&lt;&gt;INDIRECT("'Full Inventory'!B"&amp;MATCH(VLOOKUP(B763,'Full Inventory'!F:F,1,0),'Full Inventory'!F:F,0))),"X","_"),"_")</f>
        <v>_</v>
      </c>
      <c r="L763" t="str">
        <f t="shared" ca="1" si="46"/>
        <v>__X_</v>
      </c>
      <c r="M763" t="str">
        <f t="shared" ca="1" si="47"/>
        <v/>
      </c>
    </row>
    <row r="764" spans="1:13" x14ac:dyDescent="0.25">
      <c r="A764" s="5"/>
      <c r="B764" s="4" t="str">
        <f t="shared" si="45"/>
        <v/>
      </c>
      <c r="C764" t="str">
        <f>IF(AND(TRIM(A764)&lt;&gt;"",IFERROR(VLOOKUP(TRIM(B764),Inventory!E:E,1,0),0)=0),"X","_")</f>
        <v>_</v>
      </c>
      <c r="D764" t="str">
        <f>IF(AND(TRIM(A764)&lt;&gt;"",IFERROR(VLOOKUP(TRIM(B764),'Full Inventory'!F:F,1,0),0)=0),"X","_")</f>
        <v>_</v>
      </c>
      <c r="E764" t="str">
        <f t="shared" si="48"/>
        <v>X</v>
      </c>
      <c r="F764" t="str">
        <f ca="1">IFERROR(IF(AND(C764&amp;D764&amp;E764="___",INDIRECT("Inventory!A"&amp;MATCH(VLOOKUP(B764,Inventory!E:E,1,0),Inventory!E:E,0))&lt;&gt;INDIRECT("'Full Inventory'!B"&amp;MATCH(VLOOKUP(B764,'Full Inventory'!F:F,1,0),'Full Inventory'!F:F,0))),"X","_"),"_")</f>
        <v>_</v>
      </c>
      <c r="L764" t="str">
        <f t="shared" ca="1" si="46"/>
        <v>__X_</v>
      </c>
      <c r="M764" t="str">
        <f t="shared" ca="1" si="47"/>
        <v/>
      </c>
    </row>
    <row r="765" spans="1:13" x14ac:dyDescent="0.25">
      <c r="A765" s="5"/>
      <c r="B765" s="4" t="str">
        <f t="shared" si="45"/>
        <v/>
      </c>
      <c r="C765" t="str">
        <f>IF(AND(TRIM(A765)&lt;&gt;"",IFERROR(VLOOKUP(TRIM(B765),Inventory!E:E,1,0),0)=0),"X","_")</f>
        <v>_</v>
      </c>
      <c r="D765" t="str">
        <f>IF(AND(TRIM(A765)&lt;&gt;"",IFERROR(VLOOKUP(TRIM(B765),'Full Inventory'!F:F,1,0),0)=0),"X","_")</f>
        <v>_</v>
      </c>
      <c r="E765" t="str">
        <f t="shared" si="48"/>
        <v>X</v>
      </c>
      <c r="F765" t="str">
        <f ca="1">IFERROR(IF(AND(C765&amp;D765&amp;E765="___",INDIRECT("Inventory!A"&amp;MATCH(VLOOKUP(B765,Inventory!E:E,1,0),Inventory!E:E,0))&lt;&gt;INDIRECT("'Full Inventory'!B"&amp;MATCH(VLOOKUP(B765,'Full Inventory'!F:F,1,0),'Full Inventory'!F:F,0))),"X","_"),"_")</f>
        <v>_</v>
      </c>
      <c r="L765" t="str">
        <f t="shared" ca="1" si="46"/>
        <v>__X_</v>
      </c>
      <c r="M765" t="str">
        <f t="shared" ca="1" si="47"/>
        <v/>
      </c>
    </row>
    <row r="766" spans="1:13" x14ac:dyDescent="0.25">
      <c r="A766" s="5"/>
      <c r="B766" s="4" t="str">
        <f t="shared" si="45"/>
        <v/>
      </c>
      <c r="C766" t="str">
        <f>IF(AND(TRIM(A766)&lt;&gt;"",IFERROR(VLOOKUP(TRIM(B766),Inventory!E:E,1,0),0)=0),"X","_")</f>
        <v>_</v>
      </c>
      <c r="D766" t="str">
        <f>IF(AND(TRIM(A766)&lt;&gt;"",IFERROR(VLOOKUP(TRIM(B766),'Full Inventory'!F:F,1,0),0)=0),"X","_")</f>
        <v>_</v>
      </c>
      <c r="E766" t="str">
        <f t="shared" si="48"/>
        <v>X</v>
      </c>
      <c r="F766" t="str">
        <f ca="1">IFERROR(IF(AND(C766&amp;D766&amp;E766="___",INDIRECT("Inventory!A"&amp;MATCH(VLOOKUP(B766,Inventory!E:E,1,0),Inventory!E:E,0))&lt;&gt;INDIRECT("'Full Inventory'!B"&amp;MATCH(VLOOKUP(B766,'Full Inventory'!F:F,1,0),'Full Inventory'!F:F,0))),"X","_"),"_")</f>
        <v>_</v>
      </c>
      <c r="L766" t="str">
        <f t="shared" ca="1" si="46"/>
        <v>__X_</v>
      </c>
      <c r="M766" t="str">
        <f t="shared" ca="1" si="47"/>
        <v/>
      </c>
    </row>
    <row r="767" spans="1:13" x14ac:dyDescent="0.25">
      <c r="A767" s="5"/>
      <c r="B767" s="4" t="str">
        <f t="shared" si="45"/>
        <v/>
      </c>
      <c r="C767" t="str">
        <f>IF(AND(TRIM(A767)&lt;&gt;"",IFERROR(VLOOKUP(TRIM(B767),Inventory!E:E,1,0),0)=0),"X","_")</f>
        <v>_</v>
      </c>
      <c r="D767" t="str">
        <f>IF(AND(TRIM(A767)&lt;&gt;"",IFERROR(VLOOKUP(TRIM(B767),'Full Inventory'!F:F,1,0),0)=0),"X","_")</f>
        <v>_</v>
      </c>
      <c r="E767" t="str">
        <f t="shared" si="48"/>
        <v>X</v>
      </c>
      <c r="F767" t="str">
        <f ca="1">IFERROR(IF(AND(C767&amp;D767&amp;E767="___",INDIRECT("Inventory!A"&amp;MATCH(VLOOKUP(B767,Inventory!E:E,1,0),Inventory!E:E,0))&lt;&gt;INDIRECT("'Full Inventory'!B"&amp;MATCH(VLOOKUP(B767,'Full Inventory'!F:F,1,0),'Full Inventory'!F:F,0))),"X","_"),"_")</f>
        <v>_</v>
      </c>
      <c r="L767" t="str">
        <f t="shared" ca="1" si="46"/>
        <v>__X_</v>
      </c>
      <c r="M767" t="str">
        <f t="shared" ca="1" si="47"/>
        <v/>
      </c>
    </row>
    <row r="768" spans="1:13" x14ac:dyDescent="0.25">
      <c r="A768" s="5"/>
      <c r="B768" s="4" t="str">
        <f t="shared" si="45"/>
        <v/>
      </c>
      <c r="C768" t="str">
        <f>IF(AND(TRIM(A768)&lt;&gt;"",IFERROR(VLOOKUP(TRIM(B768),Inventory!E:E,1,0),0)=0),"X","_")</f>
        <v>_</v>
      </c>
      <c r="D768" t="str">
        <f>IF(AND(TRIM(A768)&lt;&gt;"",IFERROR(VLOOKUP(TRIM(B768),'Full Inventory'!F:F,1,0),0)=0),"X","_")</f>
        <v>_</v>
      </c>
      <c r="E768" t="str">
        <f t="shared" si="48"/>
        <v>X</v>
      </c>
      <c r="F768" t="str">
        <f ca="1">IFERROR(IF(AND(C768&amp;D768&amp;E768="___",INDIRECT("Inventory!A"&amp;MATCH(VLOOKUP(B768,Inventory!E:E,1,0),Inventory!E:E,0))&lt;&gt;INDIRECT("'Full Inventory'!B"&amp;MATCH(VLOOKUP(B768,'Full Inventory'!F:F,1,0),'Full Inventory'!F:F,0))),"X","_"),"_")</f>
        <v>_</v>
      </c>
      <c r="L768" t="str">
        <f t="shared" ca="1" si="46"/>
        <v>__X_</v>
      </c>
      <c r="M768" t="str">
        <f t="shared" ca="1" si="47"/>
        <v/>
      </c>
    </row>
    <row r="769" spans="1:13" x14ac:dyDescent="0.25">
      <c r="A769" s="5"/>
      <c r="B769" s="4" t="str">
        <f t="shared" si="45"/>
        <v/>
      </c>
      <c r="C769" t="str">
        <f>IF(AND(TRIM(A769)&lt;&gt;"",IFERROR(VLOOKUP(TRIM(B769),Inventory!E:E,1,0),0)=0),"X","_")</f>
        <v>_</v>
      </c>
      <c r="D769" t="str">
        <f>IF(AND(TRIM(A769)&lt;&gt;"",IFERROR(VLOOKUP(TRIM(B769),'Full Inventory'!F:F,1,0),0)=0),"X","_")</f>
        <v>_</v>
      </c>
      <c r="E769" t="str">
        <f t="shared" si="48"/>
        <v>X</v>
      </c>
      <c r="F769" t="str">
        <f ca="1">IFERROR(IF(AND(C769&amp;D769&amp;E769="___",INDIRECT("Inventory!A"&amp;MATCH(VLOOKUP(B769,Inventory!E:E,1,0),Inventory!E:E,0))&lt;&gt;INDIRECT("'Full Inventory'!B"&amp;MATCH(VLOOKUP(B769,'Full Inventory'!F:F,1,0),'Full Inventory'!F:F,0))),"X","_"),"_")</f>
        <v>_</v>
      </c>
      <c r="L769" t="str">
        <f t="shared" ca="1" si="46"/>
        <v>__X_</v>
      </c>
      <c r="M769" t="str">
        <f t="shared" ca="1" si="47"/>
        <v/>
      </c>
    </row>
    <row r="770" spans="1:13" x14ac:dyDescent="0.25">
      <c r="A770" s="5"/>
      <c r="B770" s="4" t="str">
        <f t="shared" si="45"/>
        <v/>
      </c>
      <c r="C770" t="str">
        <f>IF(AND(TRIM(A770)&lt;&gt;"",IFERROR(VLOOKUP(TRIM(B770),Inventory!E:E,1,0),0)=0),"X","_")</f>
        <v>_</v>
      </c>
      <c r="D770" t="str">
        <f>IF(AND(TRIM(A770)&lt;&gt;"",IFERROR(VLOOKUP(TRIM(B770),'Full Inventory'!F:F,1,0),0)=0),"X","_")</f>
        <v>_</v>
      </c>
      <c r="E770" t="str">
        <f t="shared" si="48"/>
        <v>X</v>
      </c>
      <c r="F770" t="str">
        <f ca="1">IFERROR(IF(AND(C770&amp;D770&amp;E770="___",INDIRECT("Inventory!A"&amp;MATCH(VLOOKUP(B770,Inventory!E:E,1,0),Inventory!E:E,0))&lt;&gt;INDIRECT("'Full Inventory'!B"&amp;MATCH(VLOOKUP(B770,'Full Inventory'!F:F,1,0),'Full Inventory'!F:F,0))),"X","_"),"_")</f>
        <v>_</v>
      </c>
      <c r="L770" t="str">
        <f t="shared" ca="1" si="46"/>
        <v>__X_</v>
      </c>
      <c r="M770" t="str">
        <f t="shared" ca="1" si="47"/>
        <v/>
      </c>
    </row>
    <row r="771" spans="1:13" x14ac:dyDescent="0.25">
      <c r="A771" s="5"/>
      <c r="B771" s="4" t="str">
        <f t="shared" ref="B771:B834" si="49">SUBSTITUTE(SUBSTITUTE(A771,"ö","0"),"Ö","0")</f>
        <v/>
      </c>
      <c r="C771" t="str">
        <f>IF(AND(TRIM(A771)&lt;&gt;"",IFERROR(VLOOKUP(TRIM(B771),Inventory!E:E,1,0),0)=0),"X","_")</f>
        <v>_</v>
      </c>
      <c r="D771" t="str">
        <f>IF(AND(TRIM(A771)&lt;&gt;"",IFERROR(VLOOKUP(TRIM(B771),'Full Inventory'!F:F,1,0),0)=0),"X","_")</f>
        <v>_</v>
      </c>
      <c r="E771" t="str">
        <f t="shared" si="48"/>
        <v>X</v>
      </c>
      <c r="F771" t="str">
        <f ca="1">IFERROR(IF(AND(C771&amp;D771&amp;E771="___",INDIRECT("Inventory!A"&amp;MATCH(VLOOKUP(B771,Inventory!E:E,1,0),Inventory!E:E,0))&lt;&gt;INDIRECT("'Full Inventory'!B"&amp;MATCH(VLOOKUP(B771,'Full Inventory'!F:F,1,0),'Full Inventory'!F:F,0))),"X","_"),"_")</f>
        <v>_</v>
      </c>
      <c r="L771" t="str">
        <f t="shared" ref="L771:L834" ca="1" si="50">C771&amp;D771&amp;E771&amp;F771</f>
        <v>__X_</v>
      </c>
      <c r="M771" t="str">
        <f t="shared" ref="M771:M834" ca="1" si="51">IF(L771="____","OK",IF(L771="_X__","NOT IN FULL INVENTORY",IF(L771="XX__","NOT IN FULL INVENTORY AND INVENTORY",IF(L771="X___","NOT IN INVENTORY",IF(L771="___X","DIFFERENT NAMES IN FULL INVENTORY AND INVENTORY","")))))</f>
        <v/>
      </c>
    </row>
    <row r="772" spans="1:13" x14ac:dyDescent="0.25">
      <c r="A772" s="5"/>
      <c r="B772" s="4" t="str">
        <f t="shared" si="49"/>
        <v/>
      </c>
      <c r="C772" t="str">
        <f>IF(AND(TRIM(A772)&lt;&gt;"",IFERROR(VLOOKUP(TRIM(B772),Inventory!E:E,1,0),0)=0),"X","_")</f>
        <v>_</v>
      </c>
      <c r="D772" t="str">
        <f>IF(AND(TRIM(A772)&lt;&gt;"",IFERROR(VLOOKUP(TRIM(B772),'Full Inventory'!F:F,1,0),0)=0),"X","_")</f>
        <v>_</v>
      </c>
      <c r="E772" t="str">
        <f t="shared" si="48"/>
        <v>X</v>
      </c>
      <c r="F772" t="str">
        <f ca="1">IFERROR(IF(AND(C772&amp;D772&amp;E772="___",INDIRECT("Inventory!A"&amp;MATCH(VLOOKUP(B772,Inventory!E:E,1,0),Inventory!E:E,0))&lt;&gt;INDIRECT("'Full Inventory'!B"&amp;MATCH(VLOOKUP(B772,'Full Inventory'!F:F,1,0),'Full Inventory'!F:F,0))),"X","_"),"_")</f>
        <v>_</v>
      </c>
      <c r="L772" t="str">
        <f t="shared" ca="1" si="50"/>
        <v>__X_</v>
      </c>
      <c r="M772" t="str">
        <f t="shared" ca="1" si="51"/>
        <v/>
      </c>
    </row>
    <row r="773" spans="1:13" x14ac:dyDescent="0.25">
      <c r="A773" s="5"/>
      <c r="B773" s="4" t="str">
        <f t="shared" si="49"/>
        <v/>
      </c>
      <c r="C773" t="str">
        <f>IF(AND(TRIM(A773)&lt;&gt;"",IFERROR(VLOOKUP(TRIM(B773),Inventory!E:E,1,0),0)=0),"X","_")</f>
        <v>_</v>
      </c>
      <c r="D773" t="str">
        <f>IF(AND(TRIM(A773)&lt;&gt;"",IFERROR(VLOOKUP(TRIM(B773),'Full Inventory'!F:F,1,0),0)=0),"X","_")</f>
        <v>_</v>
      </c>
      <c r="E773" t="str">
        <f t="shared" si="48"/>
        <v>X</v>
      </c>
      <c r="F773" t="str">
        <f ca="1">IFERROR(IF(AND(C773&amp;D773&amp;E773="___",INDIRECT("Inventory!A"&amp;MATCH(VLOOKUP(B773,Inventory!E:E,1,0),Inventory!E:E,0))&lt;&gt;INDIRECT("'Full Inventory'!B"&amp;MATCH(VLOOKUP(B773,'Full Inventory'!F:F,1,0),'Full Inventory'!F:F,0))),"X","_"),"_")</f>
        <v>_</v>
      </c>
      <c r="L773" t="str">
        <f t="shared" ca="1" si="50"/>
        <v>__X_</v>
      </c>
      <c r="M773" t="str">
        <f t="shared" ca="1" si="51"/>
        <v/>
      </c>
    </row>
    <row r="774" spans="1:13" x14ac:dyDescent="0.25">
      <c r="A774" s="5"/>
      <c r="B774" s="4" t="str">
        <f t="shared" si="49"/>
        <v/>
      </c>
      <c r="C774" t="str">
        <f>IF(AND(TRIM(A774)&lt;&gt;"",IFERROR(VLOOKUP(TRIM(B774),Inventory!E:E,1,0),0)=0),"X","_")</f>
        <v>_</v>
      </c>
      <c r="D774" t="str">
        <f>IF(AND(TRIM(A774)&lt;&gt;"",IFERROR(VLOOKUP(TRIM(B774),'Full Inventory'!F:F,1,0),0)=0),"X","_")</f>
        <v>_</v>
      </c>
      <c r="E774" t="str">
        <f t="shared" si="48"/>
        <v>X</v>
      </c>
      <c r="F774" t="str">
        <f ca="1">IFERROR(IF(AND(C774&amp;D774&amp;E774="___",INDIRECT("Inventory!A"&amp;MATCH(VLOOKUP(B774,Inventory!E:E,1,0),Inventory!E:E,0))&lt;&gt;INDIRECT("'Full Inventory'!B"&amp;MATCH(VLOOKUP(B774,'Full Inventory'!F:F,1,0),'Full Inventory'!F:F,0))),"X","_"),"_")</f>
        <v>_</v>
      </c>
      <c r="L774" t="str">
        <f t="shared" ca="1" si="50"/>
        <v>__X_</v>
      </c>
      <c r="M774" t="str">
        <f t="shared" ca="1" si="51"/>
        <v/>
      </c>
    </row>
    <row r="775" spans="1:13" x14ac:dyDescent="0.25">
      <c r="A775" s="5"/>
      <c r="B775" s="4" t="str">
        <f t="shared" si="49"/>
        <v/>
      </c>
      <c r="C775" t="str">
        <f>IF(AND(TRIM(A775)&lt;&gt;"",IFERROR(VLOOKUP(TRIM(B775),Inventory!E:E,1,0),0)=0),"X","_")</f>
        <v>_</v>
      </c>
      <c r="D775" t="str">
        <f>IF(AND(TRIM(A775)&lt;&gt;"",IFERROR(VLOOKUP(TRIM(B775),'Full Inventory'!F:F,1,0),0)=0),"X","_")</f>
        <v>_</v>
      </c>
      <c r="E775" t="str">
        <f t="shared" si="48"/>
        <v>X</v>
      </c>
      <c r="F775" t="str">
        <f ca="1">IFERROR(IF(AND(C775&amp;D775&amp;E775="___",INDIRECT("Inventory!A"&amp;MATCH(VLOOKUP(B775,Inventory!E:E,1,0),Inventory!E:E,0))&lt;&gt;INDIRECT("'Full Inventory'!B"&amp;MATCH(VLOOKUP(B775,'Full Inventory'!F:F,1,0),'Full Inventory'!F:F,0))),"X","_"),"_")</f>
        <v>_</v>
      </c>
      <c r="L775" t="str">
        <f t="shared" ca="1" si="50"/>
        <v>__X_</v>
      </c>
      <c r="M775" t="str">
        <f t="shared" ca="1" si="51"/>
        <v/>
      </c>
    </row>
    <row r="776" spans="1:13" x14ac:dyDescent="0.25">
      <c r="A776" s="5"/>
      <c r="B776" s="4" t="str">
        <f t="shared" si="49"/>
        <v/>
      </c>
      <c r="C776" t="str">
        <f>IF(AND(TRIM(A776)&lt;&gt;"",IFERROR(VLOOKUP(TRIM(B776),Inventory!E:E,1,0),0)=0),"X","_")</f>
        <v>_</v>
      </c>
      <c r="D776" t="str">
        <f>IF(AND(TRIM(A776)&lt;&gt;"",IFERROR(VLOOKUP(TRIM(B776),'Full Inventory'!F:F,1,0),0)=0),"X","_")</f>
        <v>_</v>
      </c>
      <c r="E776" t="str">
        <f t="shared" si="48"/>
        <v>X</v>
      </c>
      <c r="F776" t="str">
        <f ca="1">IFERROR(IF(AND(C776&amp;D776&amp;E776="___",INDIRECT("Inventory!A"&amp;MATCH(VLOOKUP(B776,Inventory!E:E,1,0),Inventory!E:E,0))&lt;&gt;INDIRECT("'Full Inventory'!B"&amp;MATCH(VLOOKUP(B776,'Full Inventory'!F:F,1,0),'Full Inventory'!F:F,0))),"X","_"),"_")</f>
        <v>_</v>
      </c>
      <c r="L776" t="str">
        <f t="shared" ca="1" si="50"/>
        <v>__X_</v>
      </c>
      <c r="M776" t="str">
        <f t="shared" ca="1" si="51"/>
        <v/>
      </c>
    </row>
    <row r="777" spans="1:13" x14ac:dyDescent="0.25">
      <c r="A777" s="5"/>
      <c r="B777" s="4" t="str">
        <f t="shared" si="49"/>
        <v/>
      </c>
      <c r="C777" t="str">
        <f>IF(AND(TRIM(A777)&lt;&gt;"",IFERROR(VLOOKUP(TRIM(B777),Inventory!E:E,1,0),0)=0),"X","_")</f>
        <v>_</v>
      </c>
      <c r="D777" t="str">
        <f>IF(AND(TRIM(A777)&lt;&gt;"",IFERROR(VLOOKUP(TRIM(B777),'Full Inventory'!F:F,1,0),0)=0),"X","_")</f>
        <v>_</v>
      </c>
      <c r="E777" t="str">
        <f t="shared" si="48"/>
        <v>X</v>
      </c>
      <c r="F777" t="str">
        <f ca="1">IFERROR(IF(AND(C777&amp;D777&amp;E777="___",INDIRECT("Inventory!A"&amp;MATCH(VLOOKUP(B777,Inventory!E:E,1,0),Inventory!E:E,0))&lt;&gt;INDIRECT("'Full Inventory'!B"&amp;MATCH(VLOOKUP(B777,'Full Inventory'!F:F,1,0),'Full Inventory'!F:F,0))),"X","_"),"_")</f>
        <v>_</v>
      </c>
      <c r="L777" t="str">
        <f t="shared" ca="1" si="50"/>
        <v>__X_</v>
      </c>
      <c r="M777" t="str">
        <f t="shared" ca="1" si="51"/>
        <v/>
      </c>
    </row>
    <row r="778" spans="1:13" x14ac:dyDescent="0.25">
      <c r="A778" s="5"/>
      <c r="B778" s="4" t="str">
        <f t="shared" si="49"/>
        <v/>
      </c>
      <c r="C778" t="str">
        <f>IF(AND(TRIM(A778)&lt;&gt;"",IFERROR(VLOOKUP(TRIM(B778),Inventory!E:E,1,0),0)=0),"X","_")</f>
        <v>_</v>
      </c>
      <c r="D778" t="str">
        <f>IF(AND(TRIM(A778)&lt;&gt;"",IFERROR(VLOOKUP(TRIM(B778),'Full Inventory'!F:F,1,0),0)=0),"X","_")</f>
        <v>_</v>
      </c>
      <c r="E778" t="str">
        <f t="shared" si="48"/>
        <v>X</v>
      </c>
      <c r="F778" t="str">
        <f ca="1">IFERROR(IF(AND(C778&amp;D778&amp;E778="___",INDIRECT("Inventory!A"&amp;MATCH(VLOOKUP(B778,Inventory!E:E,1,0),Inventory!E:E,0))&lt;&gt;INDIRECT("'Full Inventory'!B"&amp;MATCH(VLOOKUP(B778,'Full Inventory'!F:F,1,0),'Full Inventory'!F:F,0))),"X","_"),"_")</f>
        <v>_</v>
      </c>
      <c r="L778" t="str">
        <f t="shared" ca="1" si="50"/>
        <v>__X_</v>
      </c>
      <c r="M778" t="str">
        <f t="shared" ca="1" si="51"/>
        <v/>
      </c>
    </row>
    <row r="779" spans="1:13" x14ac:dyDescent="0.25">
      <c r="A779" s="5"/>
      <c r="B779" s="4" t="str">
        <f t="shared" si="49"/>
        <v/>
      </c>
      <c r="C779" t="str">
        <f>IF(AND(TRIM(A779)&lt;&gt;"",IFERROR(VLOOKUP(TRIM(B779),Inventory!E:E,1,0),0)=0),"X","_")</f>
        <v>_</v>
      </c>
      <c r="D779" t="str">
        <f>IF(AND(TRIM(A779)&lt;&gt;"",IFERROR(VLOOKUP(TRIM(B779),'Full Inventory'!F:F,1,0),0)=0),"X","_")</f>
        <v>_</v>
      </c>
      <c r="E779" t="str">
        <f t="shared" si="48"/>
        <v>X</v>
      </c>
      <c r="F779" t="str">
        <f ca="1">IFERROR(IF(AND(C779&amp;D779&amp;E779="___",INDIRECT("Inventory!A"&amp;MATCH(VLOOKUP(B779,Inventory!E:E,1,0),Inventory!E:E,0))&lt;&gt;INDIRECT("'Full Inventory'!B"&amp;MATCH(VLOOKUP(B779,'Full Inventory'!F:F,1,0),'Full Inventory'!F:F,0))),"X","_"),"_")</f>
        <v>_</v>
      </c>
      <c r="L779" t="str">
        <f t="shared" ca="1" si="50"/>
        <v>__X_</v>
      </c>
      <c r="M779" t="str">
        <f t="shared" ca="1" si="51"/>
        <v/>
      </c>
    </row>
    <row r="780" spans="1:13" x14ac:dyDescent="0.25">
      <c r="A780" s="5"/>
      <c r="B780" s="4" t="str">
        <f t="shared" si="49"/>
        <v/>
      </c>
      <c r="C780" t="str">
        <f>IF(AND(TRIM(A780)&lt;&gt;"",IFERROR(VLOOKUP(TRIM(B780),Inventory!E:E,1,0),0)=0),"X","_")</f>
        <v>_</v>
      </c>
      <c r="D780" t="str">
        <f>IF(AND(TRIM(A780)&lt;&gt;"",IFERROR(VLOOKUP(TRIM(B780),'Full Inventory'!F:F,1,0),0)=0),"X","_")</f>
        <v>_</v>
      </c>
      <c r="E780" t="str">
        <f t="shared" si="48"/>
        <v>X</v>
      </c>
      <c r="F780" t="str">
        <f ca="1">IFERROR(IF(AND(C780&amp;D780&amp;E780="___",INDIRECT("Inventory!A"&amp;MATCH(VLOOKUP(B780,Inventory!E:E,1,0),Inventory!E:E,0))&lt;&gt;INDIRECT("'Full Inventory'!B"&amp;MATCH(VLOOKUP(B780,'Full Inventory'!F:F,1,0),'Full Inventory'!F:F,0))),"X","_"),"_")</f>
        <v>_</v>
      </c>
      <c r="L780" t="str">
        <f t="shared" ca="1" si="50"/>
        <v>__X_</v>
      </c>
      <c r="M780" t="str">
        <f t="shared" ca="1" si="51"/>
        <v/>
      </c>
    </row>
    <row r="781" spans="1:13" x14ac:dyDescent="0.25">
      <c r="A781" s="5"/>
      <c r="B781" s="4" t="str">
        <f t="shared" si="49"/>
        <v/>
      </c>
      <c r="C781" t="str">
        <f>IF(AND(TRIM(A781)&lt;&gt;"",IFERROR(VLOOKUP(TRIM(B781),Inventory!E:E,1,0),0)=0),"X","_")</f>
        <v>_</v>
      </c>
      <c r="D781" t="str">
        <f>IF(AND(TRIM(A781)&lt;&gt;"",IFERROR(VLOOKUP(TRIM(B781),'Full Inventory'!F:F,1,0),0)=0),"X","_")</f>
        <v>_</v>
      </c>
      <c r="E781" t="str">
        <f t="shared" si="48"/>
        <v>X</v>
      </c>
      <c r="F781" t="str">
        <f ca="1">IFERROR(IF(AND(C781&amp;D781&amp;E781="___",INDIRECT("Inventory!A"&amp;MATCH(VLOOKUP(B781,Inventory!E:E,1,0),Inventory!E:E,0))&lt;&gt;INDIRECT("'Full Inventory'!B"&amp;MATCH(VLOOKUP(B781,'Full Inventory'!F:F,1,0),'Full Inventory'!F:F,0))),"X","_"),"_")</f>
        <v>_</v>
      </c>
      <c r="L781" t="str">
        <f t="shared" ca="1" si="50"/>
        <v>__X_</v>
      </c>
      <c r="M781" t="str">
        <f t="shared" ca="1" si="51"/>
        <v/>
      </c>
    </row>
    <row r="782" spans="1:13" x14ac:dyDescent="0.25">
      <c r="A782" s="5"/>
      <c r="B782" s="4" t="str">
        <f t="shared" si="49"/>
        <v/>
      </c>
      <c r="C782" t="str">
        <f>IF(AND(TRIM(A782)&lt;&gt;"",IFERROR(VLOOKUP(TRIM(B782),Inventory!E:E,1,0),0)=0),"X","_")</f>
        <v>_</v>
      </c>
      <c r="D782" t="str">
        <f>IF(AND(TRIM(A782)&lt;&gt;"",IFERROR(VLOOKUP(TRIM(B782),'Full Inventory'!F:F,1,0),0)=0),"X","_")</f>
        <v>_</v>
      </c>
      <c r="E782" t="str">
        <f t="shared" si="48"/>
        <v>X</v>
      </c>
      <c r="F782" t="str">
        <f ca="1">IFERROR(IF(AND(C782&amp;D782&amp;E782="___",INDIRECT("Inventory!A"&amp;MATCH(VLOOKUP(B782,Inventory!E:E,1,0),Inventory!E:E,0))&lt;&gt;INDIRECT("'Full Inventory'!B"&amp;MATCH(VLOOKUP(B782,'Full Inventory'!F:F,1,0),'Full Inventory'!F:F,0))),"X","_"),"_")</f>
        <v>_</v>
      </c>
      <c r="L782" t="str">
        <f t="shared" ca="1" si="50"/>
        <v>__X_</v>
      </c>
      <c r="M782" t="str">
        <f t="shared" ca="1" si="51"/>
        <v/>
      </c>
    </row>
    <row r="783" spans="1:13" x14ac:dyDescent="0.25">
      <c r="A783" s="5"/>
      <c r="B783" s="4" t="str">
        <f t="shared" si="49"/>
        <v/>
      </c>
      <c r="C783" t="str">
        <f>IF(AND(TRIM(A783)&lt;&gt;"",IFERROR(VLOOKUP(TRIM(B783),Inventory!E:E,1,0),0)=0),"X","_")</f>
        <v>_</v>
      </c>
      <c r="D783" t="str">
        <f>IF(AND(TRIM(A783)&lt;&gt;"",IFERROR(VLOOKUP(TRIM(B783),'Full Inventory'!F:F,1,0),0)=0),"X","_")</f>
        <v>_</v>
      </c>
      <c r="E783" t="str">
        <f t="shared" si="48"/>
        <v>X</v>
      </c>
      <c r="F783" t="str">
        <f ca="1">IFERROR(IF(AND(C783&amp;D783&amp;E783="___",INDIRECT("Inventory!A"&amp;MATCH(VLOOKUP(B783,Inventory!E:E,1,0),Inventory!E:E,0))&lt;&gt;INDIRECT("'Full Inventory'!B"&amp;MATCH(VLOOKUP(B783,'Full Inventory'!F:F,1,0),'Full Inventory'!F:F,0))),"X","_"),"_")</f>
        <v>_</v>
      </c>
      <c r="L783" t="str">
        <f t="shared" ca="1" si="50"/>
        <v>__X_</v>
      </c>
      <c r="M783" t="str">
        <f t="shared" ca="1" si="51"/>
        <v/>
      </c>
    </row>
    <row r="784" spans="1:13" x14ac:dyDescent="0.25">
      <c r="A784" s="5"/>
      <c r="B784" s="4" t="str">
        <f t="shared" si="49"/>
        <v/>
      </c>
      <c r="C784" t="str">
        <f>IF(AND(TRIM(A784)&lt;&gt;"",IFERROR(VLOOKUP(TRIM(B784),Inventory!E:E,1,0),0)=0),"X","_")</f>
        <v>_</v>
      </c>
      <c r="D784" t="str">
        <f>IF(AND(TRIM(A784)&lt;&gt;"",IFERROR(VLOOKUP(TRIM(B784),'Full Inventory'!F:F,1,0),0)=0),"X","_")</f>
        <v>_</v>
      </c>
      <c r="E784" t="str">
        <f t="shared" si="48"/>
        <v>X</v>
      </c>
      <c r="F784" t="str">
        <f ca="1">IFERROR(IF(AND(C784&amp;D784&amp;E784="___",INDIRECT("Inventory!A"&amp;MATCH(VLOOKUP(B784,Inventory!E:E,1,0),Inventory!E:E,0))&lt;&gt;INDIRECT("'Full Inventory'!B"&amp;MATCH(VLOOKUP(B784,'Full Inventory'!F:F,1,0),'Full Inventory'!F:F,0))),"X","_"),"_")</f>
        <v>_</v>
      </c>
      <c r="L784" t="str">
        <f t="shared" ca="1" si="50"/>
        <v>__X_</v>
      </c>
      <c r="M784" t="str">
        <f t="shared" ca="1" si="51"/>
        <v/>
      </c>
    </row>
    <row r="785" spans="1:13" x14ac:dyDescent="0.25">
      <c r="A785" s="5"/>
      <c r="B785" s="4" t="str">
        <f t="shared" si="49"/>
        <v/>
      </c>
      <c r="C785" t="str">
        <f>IF(AND(TRIM(A785)&lt;&gt;"",IFERROR(VLOOKUP(TRIM(B785),Inventory!E:E,1,0),0)=0),"X","_")</f>
        <v>_</v>
      </c>
      <c r="D785" t="str">
        <f>IF(AND(TRIM(A785)&lt;&gt;"",IFERROR(VLOOKUP(TRIM(B785),'Full Inventory'!F:F,1,0),0)=0),"X","_")</f>
        <v>_</v>
      </c>
      <c r="E785" t="str">
        <f t="shared" si="48"/>
        <v>X</v>
      </c>
      <c r="F785" t="str">
        <f ca="1">IFERROR(IF(AND(C785&amp;D785&amp;E785="___",INDIRECT("Inventory!A"&amp;MATCH(VLOOKUP(B785,Inventory!E:E,1,0),Inventory!E:E,0))&lt;&gt;INDIRECT("'Full Inventory'!B"&amp;MATCH(VLOOKUP(B785,'Full Inventory'!F:F,1,0),'Full Inventory'!F:F,0))),"X","_"),"_")</f>
        <v>_</v>
      </c>
      <c r="L785" t="str">
        <f t="shared" ca="1" si="50"/>
        <v>__X_</v>
      </c>
      <c r="M785" t="str">
        <f t="shared" ca="1" si="51"/>
        <v/>
      </c>
    </row>
    <row r="786" spans="1:13" x14ac:dyDescent="0.25">
      <c r="A786" s="5"/>
      <c r="B786" s="4" t="str">
        <f t="shared" si="49"/>
        <v/>
      </c>
      <c r="C786" t="str">
        <f>IF(AND(TRIM(A786)&lt;&gt;"",IFERROR(VLOOKUP(TRIM(B786),Inventory!E:E,1,0),0)=0),"X","_")</f>
        <v>_</v>
      </c>
      <c r="D786" t="str">
        <f>IF(AND(TRIM(A786)&lt;&gt;"",IFERROR(VLOOKUP(TRIM(B786),'Full Inventory'!F:F,1,0),0)=0),"X","_")</f>
        <v>_</v>
      </c>
      <c r="E786" t="str">
        <f t="shared" si="48"/>
        <v>X</v>
      </c>
      <c r="F786" t="str">
        <f ca="1">IFERROR(IF(AND(C786&amp;D786&amp;E786="___",INDIRECT("Inventory!A"&amp;MATCH(VLOOKUP(B786,Inventory!E:E,1,0),Inventory!E:E,0))&lt;&gt;INDIRECT("'Full Inventory'!B"&amp;MATCH(VLOOKUP(B786,'Full Inventory'!F:F,1,0),'Full Inventory'!F:F,0))),"X","_"),"_")</f>
        <v>_</v>
      </c>
      <c r="L786" t="str">
        <f t="shared" ca="1" si="50"/>
        <v>__X_</v>
      </c>
      <c r="M786" t="str">
        <f t="shared" ca="1" si="51"/>
        <v/>
      </c>
    </row>
    <row r="787" spans="1:13" x14ac:dyDescent="0.25">
      <c r="A787" s="5"/>
      <c r="B787" s="4" t="str">
        <f t="shared" si="49"/>
        <v/>
      </c>
      <c r="C787" t="str">
        <f>IF(AND(TRIM(A787)&lt;&gt;"",IFERROR(VLOOKUP(TRIM(B787),Inventory!E:E,1,0),0)=0),"X","_")</f>
        <v>_</v>
      </c>
      <c r="D787" t="str">
        <f>IF(AND(TRIM(A787)&lt;&gt;"",IFERROR(VLOOKUP(TRIM(B787),'Full Inventory'!F:F,1,0),0)=0),"X","_")</f>
        <v>_</v>
      </c>
      <c r="E787" t="str">
        <f t="shared" si="48"/>
        <v>X</v>
      </c>
      <c r="F787" t="str">
        <f ca="1">IFERROR(IF(AND(C787&amp;D787&amp;E787="___",INDIRECT("Inventory!A"&amp;MATCH(VLOOKUP(B787,Inventory!E:E,1,0),Inventory!E:E,0))&lt;&gt;INDIRECT("'Full Inventory'!B"&amp;MATCH(VLOOKUP(B787,'Full Inventory'!F:F,1,0),'Full Inventory'!F:F,0))),"X","_"),"_")</f>
        <v>_</v>
      </c>
      <c r="L787" t="str">
        <f t="shared" ca="1" si="50"/>
        <v>__X_</v>
      </c>
      <c r="M787" t="str">
        <f t="shared" ca="1" si="51"/>
        <v/>
      </c>
    </row>
    <row r="788" spans="1:13" x14ac:dyDescent="0.25">
      <c r="A788" s="5"/>
      <c r="B788" s="4" t="str">
        <f t="shared" si="49"/>
        <v/>
      </c>
      <c r="C788" t="str">
        <f>IF(AND(TRIM(A788)&lt;&gt;"",IFERROR(VLOOKUP(TRIM(B788),Inventory!E:E,1,0),0)=0),"X","_")</f>
        <v>_</v>
      </c>
      <c r="D788" t="str">
        <f>IF(AND(TRIM(A788)&lt;&gt;"",IFERROR(VLOOKUP(TRIM(B788),'Full Inventory'!F:F,1,0),0)=0),"X","_")</f>
        <v>_</v>
      </c>
      <c r="E788" t="str">
        <f t="shared" ref="E788:E851" si="52">IF(TRIM(A788)&lt;&gt;"","_","X")</f>
        <v>X</v>
      </c>
      <c r="F788" t="str">
        <f ca="1">IFERROR(IF(AND(C788&amp;D788&amp;E788="___",INDIRECT("Inventory!A"&amp;MATCH(VLOOKUP(B788,Inventory!E:E,1,0),Inventory!E:E,0))&lt;&gt;INDIRECT("'Full Inventory'!B"&amp;MATCH(VLOOKUP(B788,'Full Inventory'!F:F,1,0),'Full Inventory'!F:F,0))),"X","_"),"_")</f>
        <v>_</v>
      </c>
      <c r="L788" t="str">
        <f t="shared" ca="1" si="50"/>
        <v>__X_</v>
      </c>
      <c r="M788" t="str">
        <f t="shared" ca="1" si="51"/>
        <v/>
      </c>
    </row>
    <row r="789" spans="1:13" x14ac:dyDescent="0.25">
      <c r="A789" s="5"/>
      <c r="B789" s="4" t="str">
        <f t="shared" si="49"/>
        <v/>
      </c>
      <c r="C789" t="str">
        <f>IF(AND(TRIM(A789)&lt;&gt;"",IFERROR(VLOOKUP(TRIM(B789),Inventory!E:E,1,0),0)=0),"X","_")</f>
        <v>_</v>
      </c>
      <c r="D789" t="str">
        <f>IF(AND(TRIM(A789)&lt;&gt;"",IFERROR(VLOOKUP(TRIM(B789),'Full Inventory'!F:F,1,0),0)=0),"X","_")</f>
        <v>_</v>
      </c>
      <c r="E789" t="str">
        <f t="shared" si="52"/>
        <v>X</v>
      </c>
      <c r="F789" t="str">
        <f ca="1">IFERROR(IF(AND(C789&amp;D789&amp;E789="___",INDIRECT("Inventory!A"&amp;MATCH(VLOOKUP(B789,Inventory!E:E,1,0),Inventory!E:E,0))&lt;&gt;INDIRECT("'Full Inventory'!B"&amp;MATCH(VLOOKUP(B789,'Full Inventory'!F:F,1,0),'Full Inventory'!F:F,0))),"X","_"),"_")</f>
        <v>_</v>
      </c>
      <c r="L789" t="str">
        <f t="shared" ca="1" si="50"/>
        <v>__X_</v>
      </c>
      <c r="M789" t="str">
        <f t="shared" ca="1" si="51"/>
        <v/>
      </c>
    </row>
    <row r="790" spans="1:13" x14ac:dyDescent="0.25">
      <c r="A790" s="5"/>
      <c r="B790" s="4" t="str">
        <f t="shared" si="49"/>
        <v/>
      </c>
      <c r="C790" t="str">
        <f>IF(AND(TRIM(A790)&lt;&gt;"",IFERROR(VLOOKUP(TRIM(B790),Inventory!E:E,1,0),0)=0),"X","_")</f>
        <v>_</v>
      </c>
      <c r="D790" t="str">
        <f>IF(AND(TRIM(A790)&lt;&gt;"",IFERROR(VLOOKUP(TRIM(B790),'Full Inventory'!F:F,1,0),0)=0),"X","_")</f>
        <v>_</v>
      </c>
      <c r="E790" t="str">
        <f t="shared" si="52"/>
        <v>X</v>
      </c>
      <c r="F790" t="str">
        <f ca="1">IFERROR(IF(AND(C790&amp;D790&amp;E790="___",INDIRECT("Inventory!A"&amp;MATCH(VLOOKUP(B790,Inventory!E:E,1,0),Inventory!E:E,0))&lt;&gt;INDIRECT("'Full Inventory'!B"&amp;MATCH(VLOOKUP(B790,'Full Inventory'!F:F,1,0),'Full Inventory'!F:F,0))),"X","_"),"_")</f>
        <v>_</v>
      </c>
      <c r="L790" t="str">
        <f t="shared" ca="1" si="50"/>
        <v>__X_</v>
      </c>
      <c r="M790" t="str">
        <f t="shared" ca="1" si="51"/>
        <v/>
      </c>
    </row>
    <row r="791" spans="1:13" x14ac:dyDescent="0.25">
      <c r="A791" s="5"/>
      <c r="B791" s="4" t="str">
        <f t="shared" si="49"/>
        <v/>
      </c>
      <c r="C791" t="str">
        <f>IF(AND(TRIM(A791)&lt;&gt;"",IFERROR(VLOOKUP(TRIM(B791),Inventory!E:E,1,0),0)=0),"X","_")</f>
        <v>_</v>
      </c>
      <c r="D791" t="str">
        <f>IF(AND(TRIM(A791)&lt;&gt;"",IFERROR(VLOOKUP(TRIM(B791),'Full Inventory'!F:F,1,0),0)=0),"X","_")</f>
        <v>_</v>
      </c>
      <c r="E791" t="str">
        <f t="shared" si="52"/>
        <v>X</v>
      </c>
      <c r="F791" t="str">
        <f ca="1">IFERROR(IF(AND(C791&amp;D791&amp;E791="___",INDIRECT("Inventory!A"&amp;MATCH(VLOOKUP(B791,Inventory!E:E,1,0),Inventory!E:E,0))&lt;&gt;INDIRECT("'Full Inventory'!B"&amp;MATCH(VLOOKUP(B791,'Full Inventory'!F:F,1,0),'Full Inventory'!F:F,0))),"X","_"),"_")</f>
        <v>_</v>
      </c>
      <c r="L791" t="str">
        <f t="shared" ca="1" si="50"/>
        <v>__X_</v>
      </c>
      <c r="M791" t="str">
        <f t="shared" ca="1" si="51"/>
        <v/>
      </c>
    </row>
    <row r="792" spans="1:13" x14ac:dyDescent="0.25">
      <c r="A792" s="5"/>
      <c r="B792" s="4" t="str">
        <f t="shared" si="49"/>
        <v/>
      </c>
      <c r="C792" t="str">
        <f>IF(AND(TRIM(A792)&lt;&gt;"",IFERROR(VLOOKUP(TRIM(B792),Inventory!E:E,1,0),0)=0),"X","_")</f>
        <v>_</v>
      </c>
      <c r="D792" t="str">
        <f>IF(AND(TRIM(A792)&lt;&gt;"",IFERROR(VLOOKUP(TRIM(B792),'Full Inventory'!F:F,1,0),0)=0),"X","_")</f>
        <v>_</v>
      </c>
      <c r="E792" t="str">
        <f t="shared" si="52"/>
        <v>X</v>
      </c>
      <c r="F792" t="str">
        <f ca="1">IFERROR(IF(AND(C792&amp;D792&amp;E792="___",INDIRECT("Inventory!A"&amp;MATCH(VLOOKUP(B792,Inventory!E:E,1,0),Inventory!E:E,0))&lt;&gt;INDIRECT("'Full Inventory'!B"&amp;MATCH(VLOOKUP(B792,'Full Inventory'!F:F,1,0),'Full Inventory'!F:F,0))),"X","_"),"_")</f>
        <v>_</v>
      </c>
      <c r="L792" t="str">
        <f t="shared" ca="1" si="50"/>
        <v>__X_</v>
      </c>
      <c r="M792" t="str">
        <f t="shared" ca="1" si="51"/>
        <v/>
      </c>
    </row>
    <row r="793" spans="1:13" x14ac:dyDescent="0.25">
      <c r="A793" s="5"/>
      <c r="B793" s="4" t="str">
        <f t="shared" si="49"/>
        <v/>
      </c>
      <c r="C793" t="str">
        <f>IF(AND(TRIM(A793)&lt;&gt;"",IFERROR(VLOOKUP(TRIM(B793),Inventory!E:E,1,0),0)=0),"X","_")</f>
        <v>_</v>
      </c>
      <c r="D793" t="str">
        <f>IF(AND(TRIM(A793)&lt;&gt;"",IFERROR(VLOOKUP(TRIM(B793),'Full Inventory'!F:F,1,0),0)=0),"X","_")</f>
        <v>_</v>
      </c>
      <c r="E793" t="str">
        <f t="shared" si="52"/>
        <v>X</v>
      </c>
      <c r="F793" t="str">
        <f ca="1">IFERROR(IF(AND(C793&amp;D793&amp;E793="___",INDIRECT("Inventory!A"&amp;MATCH(VLOOKUP(B793,Inventory!E:E,1,0),Inventory!E:E,0))&lt;&gt;INDIRECT("'Full Inventory'!B"&amp;MATCH(VLOOKUP(B793,'Full Inventory'!F:F,1,0),'Full Inventory'!F:F,0))),"X","_"),"_")</f>
        <v>_</v>
      </c>
      <c r="L793" t="str">
        <f t="shared" ca="1" si="50"/>
        <v>__X_</v>
      </c>
      <c r="M793" t="str">
        <f t="shared" ca="1" si="51"/>
        <v/>
      </c>
    </row>
    <row r="794" spans="1:13" x14ac:dyDescent="0.25">
      <c r="A794" s="5"/>
      <c r="B794" s="4" t="str">
        <f t="shared" si="49"/>
        <v/>
      </c>
      <c r="C794" t="str">
        <f>IF(AND(TRIM(A794)&lt;&gt;"",IFERROR(VLOOKUP(TRIM(B794),Inventory!E:E,1,0),0)=0),"X","_")</f>
        <v>_</v>
      </c>
      <c r="D794" t="str">
        <f>IF(AND(TRIM(A794)&lt;&gt;"",IFERROR(VLOOKUP(TRIM(B794),'Full Inventory'!F:F,1,0),0)=0),"X","_")</f>
        <v>_</v>
      </c>
      <c r="E794" t="str">
        <f t="shared" si="52"/>
        <v>X</v>
      </c>
      <c r="F794" t="str">
        <f ca="1">IFERROR(IF(AND(C794&amp;D794&amp;E794="___",INDIRECT("Inventory!A"&amp;MATCH(VLOOKUP(B794,Inventory!E:E,1,0),Inventory!E:E,0))&lt;&gt;INDIRECT("'Full Inventory'!B"&amp;MATCH(VLOOKUP(B794,'Full Inventory'!F:F,1,0),'Full Inventory'!F:F,0))),"X","_"),"_")</f>
        <v>_</v>
      </c>
      <c r="L794" t="str">
        <f t="shared" ca="1" si="50"/>
        <v>__X_</v>
      </c>
      <c r="M794" t="str">
        <f t="shared" ca="1" si="51"/>
        <v/>
      </c>
    </row>
    <row r="795" spans="1:13" x14ac:dyDescent="0.25">
      <c r="A795" s="5"/>
      <c r="B795" s="4" t="str">
        <f t="shared" si="49"/>
        <v/>
      </c>
      <c r="C795" t="str">
        <f>IF(AND(TRIM(A795)&lt;&gt;"",IFERROR(VLOOKUP(TRIM(B795),Inventory!E:E,1,0),0)=0),"X","_")</f>
        <v>_</v>
      </c>
      <c r="D795" t="str">
        <f>IF(AND(TRIM(A795)&lt;&gt;"",IFERROR(VLOOKUP(TRIM(B795),'Full Inventory'!F:F,1,0),0)=0),"X","_")</f>
        <v>_</v>
      </c>
      <c r="E795" t="str">
        <f t="shared" si="52"/>
        <v>X</v>
      </c>
      <c r="F795" t="str">
        <f ca="1">IFERROR(IF(AND(C795&amp;D795&amp;E795="___",INDIRECT("Inventory!A"&amp;MATCH(VLOOKUP(B795,Inventory!E:E,1,0),Inventory!E:E,0))&lt;&gt;INDIRECT("'Full Inventory'!B"&amp;MATCH(VLOOKUP(B795,'Full Inventory'!F:F,1,0),'Full Inventory'!F:F,0))),"X","_"),"_")</f>
        <v>_</v>
      </c>
      <c r="L795" t="str">
        <f t="shared" ca="1" si="50"/>
        <v>__X_</v>
      </c>
      <c r="M795" t="str">
        <f t="shared" ca="1" si="51"/>
        <v/>
      </c>
    </row>
    <row r="796" spans="1:13" x14ac:dyDescent="0.25">
      <c r="A796" s="5"/>
      <c r="B796" s="4" t="str">
        <f t="shared" si="49"/>
        <v/>
      </c>
      <c r="C796" t="str">
        <f>IF(AND(TRIM(A796)&lt;&gt;"",IFERROR(VLOOKUP(TRIM(B796),Inventory!E:E,1,0),0)=0),"X","_")</f>
        <v>_</v>
      </c>
      <c r="D796" t="str">
        <f>IF(AND(TRIM(A796)&lt;&gt;"",IFERROR(VLOOKUP(TRIM(B796),'Full Inventory'!F:F,1,0),0)=0),"X","_")</f>
        <v>_</v>
      </c>
      <c r="E796" t="str">
        <f t="shared" si="52"/>
        <v>X</v>
      </c>
      <c r="F796" t="str">
        <f ca="1">IFERROR(IF(AND(C796&amp;D796&amp;E796="___",INDIRECT("Inventory!A"&amp;MATCH(VLOOKUP(B796,Inventory!E:E,1,0),Inventory!E:E,0))&lt;&gt;INDIRECT("'Full Inventory'!B"&amp;MATCH(VLOOKUP(B796,'Full Inventory'!F:F,1,0),'Full Inventory'!F:F,0))),"X","_"),"_")</f>
        <v>_</v>
      </c>
      <c r="L796" t="str">
        <f t="shared" ca="1" si="50"/>
        <v>__X_</v>
      </c>
      <c r="M796" t="str">
        <f t="shared" ca="1" si="51"/>
        <v/>
      </c>
    </row>
    <row r="797" spans="1:13" x14ac:dyDescent="0.25">
      <c r="A797" s="5"/>
      <c r="B797" s="4" t="str">
        <f t="shared" si="49"/>
        <v/>
      </c>
      <c r="C797" t="str">
        <f>IF(AND(TRIM(A797)&lt;&gt;"",IFERROR(VLOOKUP(TRIM(B797),Inventory!E:E,1,0),0)=0),"X","_")</f>
        <v>_</v>
      </c>
      <c r="D797" t="str">
        <f>IF(AND(TRIM(A797)&lt;&gt;"",IFERROR(VLOOKUP(TRIM(B797),'Full Inventory'!F:F,1,0),0)=0),"X","_")</f>
        <v>_</v>
      </c>
      <c r="E797" t="str">
        <f t="shared" si="52"/>
        <v>X</v>
      </c>
      <c r="F797" t="str">
        <f ca="1">IFERROR(IF(AND(C797&amp;D797&amp;E797="___",INDIRECT("Inventory!A"&amp;MATCH(VLOOKUP(B797,Inventory!E:E,1,0),Inventory!E:E,0))&lt;&gt;INDIRECT("'Full Inventory'!B"&amp;MATCH(VLOOKUP(B797,'Full Inventory'!F:F,1,0),'Full Inventory'!F:F,0))),"X","_"),"_")</f>
        <v>_</v>
      </c>
      <c r="L797" t="str">
        <f t="shared" ca="1" si="50"/>
        <v>__X_</v>
      </c>
      <c r="M797" t="str">
        <f t="shared" ca="1" si="51"/>
        <v/>
      </c>
    </row>
    <row r="798" spans="1:13" x14ac:dyDescent="0.25">
      <c r="A798" s="5"/>
      <c r="B798" s="4" t="str">
        <f t="shared" si="49"/>
        <v/>
      </c>
      <c r="C798" t="str">
        <f>IF(AND(TRIM(A798)&lt;&gt;"",IFERROR(VLOOKUP(TRIM(B798),Inventory!E:E,1,0),0)=0),"X","_")</f>
        <v>_</v>
      </c>
      <c r="D798" t="str">
        <f>IF(AND(TRIM(A798)&lt;&gt;"",IFERROR(VLOOKUP(TRIM(B798),'Full Inventory'!F:F,1,0),0)=0),"X","_")</f>
        <v>_</v>
      </c>
      <c r="E798" t="str">
        <f t="shared" si="52"/>
        <v>X</v>
      </c>
      <c r="F798" t="str">
        <f ca="1">IFERROR(IF(AND(C798&amp;D798&amp;E798="___",INDIRECT("Inventory!A"&amp;MATCH(VLOOKUP(B798,Inventory!E:E,1,0),Inventory!E:E,0))&lt;&gt;INDIRECT("'Full Inventory'!B"&amp;MATCH(VLOOKUP(B798,'Full Inventory'!F:F,1,0),'Full Inventory'!F:F,0))),"X","_"),"_")</f>
        <v>_</v>
      </c>
      <c r="L798" t="str">
        <f t="shared" ca="1" si="50"/>
        <v>__X_</v>
      </c>
      <c r="M798" t="str">
        <f t="shared" ca="1" si="51"/>
        <v/>
      </c>
    </row>
    <row r="799" spans="1:13" x14ac:dyDescent="0.25">
      <c r="A799" s="5"/>
      <c r="B799" s="4" t="str">
        <f t="shared" si="49"/>
        <v/>
      </c>
      <c r="C799" t="str">
        <f>IF(AND(TRIM(A799)&lt;&gt;"",IFERROR(VLOOKUP(TRIM(B799),Inventory!E:E,1,0),0)=0),"X","_")</f>
        <v>_</v>
      </c>
      <c r="D799" t="str">
        <f>IF(AND(TRIM(A799)&lt;&gt;"",IFERROR(VLOOKUP(TRIM(B799),'Full Inventory'!F:F,1,0),0)=0),"X","_")</f>
        <v>_</v>
      </c>
      <c r="E799" t="str">
        <f t="shared" si="52"/>
        <v>X</v>
      </c>
      <c r="F799" t="str">
        <f ca="1">IFERROR(IF(AND(C799&amp;D799&amp;E799="___",INDIRECT("Inventory!A"&amp;MATCH(VLOOKUP(B799,Inventory!E:E,1,0),Inventory!E:E,0))&lt;&gt;INDIRECT("'Full Inventory'!B"&amp;MATCH(VLOOKUP(B799,'Full Inventory'!F:F,1,0),'Full Inventory'!F:F,0))),"X","_"),"_")</f>
        <v>_</v>
      </c>
      <c r="L799" t="str">
        <f t="shared" ca="1" si="50"/>
        <v>__X_</v>
      </c>
      <c r="M799" t="str">
        <f t="shared" ca="1" si="51"/>
        <v/>
      </c>
    </row>
    <row r="800" spans="1:13" x14ac:dyDescent="0.25">
      <c r="A800" s="5"/>
      <c r="B800" s="4" t="str">
        <f t="shared" si="49"/>
        <v/>
      </c>
      <c r="C800" t="str">
        <f>IF(AND(TRIM(A800)&lt;&gt;"",IFERROR(VLOOKUP(TRIM(B800),Inventory!E:E,1,0),0)=0),"X","_")</f>
        <v>_</v>
      </c>
      <c r="D800" t="str">
        <f>IF(AND(TRIM(A800)&lt;&gt;"",IFERROR(VLOOKUP(TRIM(B800),'Full Inventory'!F:F,1,0),0)=0),"X","_")</f>
        <v>_</v>
      </c>
      <c r="E800" t="str">
        <f t="shared" si="52"/>
        <v>X</v>
      </c>
      <c r="F800" t="str">
        <f ca="1">IFERROR(IF(AND(C800&amp;D800&amp;E800="___",INDIRECT("Inventory!A"&amp;MATCH(VLOOKUP(B800,Inventory!E:E,1,0),Inventory!E:E,0))&lt;&gt;INDIRECT("'Full Inventory'!B"&amp;MATCH(VLOOKUP(B800,'Full Inventory'!F:F,1,0),'Full Inventory'!F:F,0))),"X","_"),"_")</f>
        <v>_</v>
      </c>
      <c r="L800" t="str">
        <f t="shared" ca="1" si="50"/>
        <v>__X_</v>
      </c>
      <c r="M800" t="str">
        <f t="shared" ca="1" si="51"/>
        <v/>
      </c>
    </row>
    <row r="801" spans="1:13" x14ac:dyDescent="0.25">
      <c r="A801" s="5"/>
      <c r="B801" s="4" t="str">
        <f t="shared" si="49"/>
        <v/>
      </c>
      <c r="C801" t="str">
        <f>IF(AND(TRIM(A801)&lt;&gt;"",IFERROR(VLOOKUP(TRIM(B801),Inventory!E:E,1,0),0)=0),"X","_")</f>
        <v>_</v>
      </c>
      <c r="D801" t="str">
        <f>IF(AND(TRIM(A801)&lt;&gt;"",IFERROR(VLOOKUP(TRIM(B801),'Full Inventory'!F:F,1,0),0)=0),"X","_")</f>
        <v>_</v>
      </c>
      <c r="E801" t="str">
        <f t="shared" si="52"/>
        <v>X</v>
      </c>
      <c r="F801" t="str">
        <f ca="1">IFERROR(IF(AND(C801&amp;D801&amp;E801="___",INDIRECT("Inventory!A"&amp;MATCH(VLOOKUP(B801,Inventory!E:E,1,0),Inventory!E:E,0))&lt;&gt;INDIRECT("'Full Inventory'!B"&amp;MATCH(VLOOKUP(B801,'Full Inventory'!F:F,1,0),'Full Inventory'!F:F,0))),"X","_"),"_")</f>
        <v>_</v>
      </c>
      <c r="L801" t="str">
        <f t="shared" ca="1" si="50"/>
        <v>__X_</v>
      </c>
      <c r="M801" t="str">
        <f t="shared" ca="1" si="51"/>
        <v/>
      </c>
    </row>
    <row r="802" spans="1:13" x14ac:dyDescent="0.25">
      <c r="A802" s="5"/>
      <c r="B802" s="4" t="str">
        <f t="shared" si="49"/>
        <v/>
      </c>
      <c r="C802" t="str">
        <f>IF(AND(TRIM(A802)&lt;&gt;"",IFERROR(VLOOKUP(TRIM(B802),Inventory!E:E,1,0),0)=0),"X","_")</f>
        <v>_</v>
      </c>
      <c r="D802" t="str">
        <f>IF(AND(TRIM(A802)&lt;&gt;"",IFERROR(VLOOKUP(TRIM(B802),'Full Inventory'!F:F,1,0),0)=0),"X","_")</f>
        <v>_</v>
      </c>
      <c r="E802" t="str">
        <f t="shared" si="52"/>
        <v>X</v>
      </c>
      <c r="F802" t="str">
        <f ca="1">IFERROR(IF(AND(C802&amp;D802&amp;E802="___",INDIRECT("Inventory!A"&amp;MATCH(VLOOKUP(B802,Inventory!E:E,1,0),Inventory!E:E,0))&lt;&gt;INDIRECT("'Full Inventory'!B"&amp;MATCH(VLOOKUP(B802,'Full Inventory'!F:F,1,0),'Full Inventory'!F:F,0))),"X","_"),"_")</f>
        <v>_</v>
      </c>
      <c r="L802" t="str">
        <f t="shared" ca="1" si="50"/>
        <v>__X_</v>
      </c>
      <c r="M802" t="str">
        <f t="shared" ca="1" si="51"/>
        <v/>
      </c>
    </row>
    <row r="803" spans="1:13" x14ac:dyDescent="0.25">
      <c r="A803" s="5"/>
      <c r="B803" s="4" t="str">
        <f t="shared" si="49"/>
        <v/>
      </c>
      <c r="C803" t="str">
        <f>IF(AND(TRIM(A803)&lt;&gt;"",IFERROR(VLOOKUP(TRIM(B803),Inventory!E:E,1,0),0)=0),"X","_")</f>
        <v>_</v>
      </c>
      <c r="D803" t="str">
        <f>IF(AND(TRIM(A803)&lt;&gt;"",IFERROR(VLOOKUP(TRIM(B803),'Full Inventory'!F:F,1,0),0)=0),"X","_")</f>
        <v>_</v>
      </c>
      <c r="E803" t="str">
        <f t="shared" si="52"/>
        <v>X</v>
      </c>
      <c r="F803" t="str">
        <f ca="1">IFERROR(IF(AND(C803&amp;D803&amp;E803="___",INDIRECT("Inventory!A"&amp;MATCH(VLOOKUP(B803,Inventory!E:E,1,0),Inventory!E:E,0))&lt;&gt;INDIRECT("'Full Inventory'!B"&amp;MATCH(VLOOKUP(B803,'Full Inventory'!F:F,1,0),'Full Inventory'!F:F,0))),"X","_"),"_")</f>
        <v>_</v>
      </c>
      <c r="L803" t="str">
        <f t="shared" ca="1" si="50"/>
        <v>__X_</v>
      </c>
      <c r="M803" t="str">
        <f t="shared" ca="1" si="51"/>
        <v/>
      </c>
    </row>
    <row r="804" spans="1:13" x14ac:dyDescent="0.25">
      <c r="A804" s="5"/>
      <c r="B804" s="4" t="str">
        <f t="shared" si="49"/>
        <v/>
      </c>
      <c r="C804" t="str">
        <f>IF(AND(TRIM(A804)&lt;&gt;"",IFERROR(VLOOKUP(TRIM(B804),Inventory!E:E,1,0),0)=0),"X","_")</f>
        <v>_</v>
      </c>
      <c r="D804" t="str">
        <f>IF(AND(TRIM(A804)&lt;&gt;"",IFERROR(VLOOKUP(TRIM(B804),'Full Inventory'!F:F,1,0),0)=0),"X","_")</f>
        <v>_</v>
      </c>
      <c r="E804" t="str">
        <f t="shared" si="52"/>
        <v>X</v>
      </c>
      <c r="F804" t="str">
        <f ca="1">IFERROR(IF(AND(C804&amp;D804&amp;E804="___",INDIRECT("Inventory!A"&amp;MATCH(VLOOKUP(B804,Inventory!E:E,1,0),Inventory!E:E,0))&lt;&gt;INDIRECT("'Full Inventory'!B"&amp;MATCH(VLOOKUP(B804,'Full Inventory'!F:F,1,0),'Full Inventory'!F:F,0))),"X","_"),"_")</f>
        <v>_</v>
      </c>
      <c r="L804" t="str">
        <f t="shared" ca="1" si="50"/>
        <v>__X_</v>
      </c>
      <c r="M804" t="str">
        <f t="shared" ca="1" si="51"/>
        <v/>
      </c>
    </row>
    <row r="805" spans="1:13" x14ac:dyDescent="0.25">
      <c r="A805" s="5"/>
      <c r="B805" s="4" t="str">
        <f t="shared" si="49"/>
        <v/>
      </c>
      <c r="C805" t="str">
        <f>IF(AND(TRIM(A805)&lt;&gt;"",IFERROR(VLOOKUP(TRIM(B805),Inventory!E:E,1,0),0)=0),"X","_")</f>
        <v>_</v>
      </c>
      <c r="D805" t="str">
        <f>IF(AND(TRIM(A805)&lt;&gt;"",IFERROR(VLOOKUP(TRIM(B805),'Full Inventory'!F:F,1,0),0)=0),"X","_")</f>
        <v>_</v>
      </c>
      <c r="E805" t="str">
        <f t="shared" si="52"/>
        <v>X</v>
      </c>
      <c r="F805" t="str">
        <f ca="1">IFERROR(IF(AND(C805&amp;D805&amp;E805="___",INDIRECT("Inventory!A"&amp;MATCH(VLOOKUP(B805,Inventory!E:E,1,0),Inventory!E:E,0))&lt;&gt;INDIRECT("'Full Inventory'!B"&amp;MATCH(VLOOKUP(B805,'Full Inventory'!F:F,1,0),'Full Inventory'!F:F,0))),"X","_"),"_")</f>
        <v>_</v>
      </c>
      <c r="L805" t="str">
        <f t="shared" ca="1" si="50"/>
        <v>__X_</v>
      </c>
      <c r="M805" t="str">
        <f t="shared" ca="1" si="51"/>
        <v/>
      </c>
    </row>
    <row r="806" spans="1:13" x14ac:dyDescent="0.25">
      <c r="A806" s="5"/>
      <c r="B806" s="4" t="str">
        <f t="shared" si="49"/>
        <v/>
      </c>
      <c r="C806" t="str">
        <f>IF(AND(TRIM(A806)&lt;&gt;"",IFERROR(VLOOKUP(TRIM(B806),Inventory!E:E,1,0),0)=0),"X","_")</f>
        <v>_</v>
      </c>
      <c r="D806" t="str">
        <f>IF(AND(TRIM(A806)&lt;&gt;"",IFERROR(VLOOKUP(TRIM(B806),'Full Inventory'!F:F,1,0),0)=0),"X","_")</f>
        <v>_</v>
      </c>
      <c r="E806" t="str">
        <f t="shared" si="52"/>
        <v>X</v>
      </c>
      <c r="F806" t="str">
        <f ca="1">IFERROR(IF(AND(C806&amp;D806&amp;E806="___",INDIRECT("Inventory!A"&amp;MATCH(VLOOKUP(B806,Inventory!E:E,1,0),Inventory!E:E,0))&lt;&gt;INDIRECT("'Full Inventory'!B"&amp;MATCH(VLOOKUP(B806,'Full Inventory'!F:F,1,0),'Full Inventory'!F:F,0))),"X","_"),"_")</f>
        <v>_</v>
      </c>
      <c r="L806" t="str">
        <f t="shared" ca="1" si="50"/>
        <v>__X_</v>
      </c>
      <c r="M806" t="str">
        <f t="shared" ca="1" si="51"/>
        <v/>
      </c>
    </row>
    <row r="807" spans="1:13" x14ac:dyDescent="0.25">
      <c r="A807" s="5"/>
      <c r="B807" s="4" t="str">
        <f t="shared" si="49"/>
        <v/>
      </c>
      <c r="C807" t="str">
        <f>IF(AND(TRIM(A807)&lt;&gt;"",IFERROR(VLOOKUP(TRIM(B807),Inventory!E:E,1,0),0)=0),"X","_")</f>
        <v>_</v>
      </c>
      <c r="D807" t="str">
        <f>IF(AND(TRIM(A807)&lt;&gt;"",IFERROR(VLOOKUP(TRIM(B807),'Full Inventory'!F:F,1,0),0)=0),"X","_")</f>
        <v>_</v>
      </c>
      <c r="E807" t="str">
        <f t="shared" si="52"/>
        <v>X</v>
      </c>
      <c r="F807" t="str">
        <f ca="1">IFERROR(IF(AND(C807&amp;D807&amp;E807="___",INDIRECT("Inventory!A"&amp;MATCH(VLOOKUP(B807,Inventory!E:E,1,0),Inventory!E:E,0))&lt;&gt;INDIRECT("'Full Inventory'!B"&amp;MATCH(VLOOKUP(B807,'Full Inventory'!F:F,1,0),'Full Inventory'!F:F,0))),"X","_"),"_")</f>
        <v>_</v>
      </c>
      <c r="L807" t="str">
        <f t="shared" ca="1" si="50"/>
        <v>__X_</v>
      </c>
      <c r="M807" t="str">
        <f t="shared" ca="1" si="51"/>
        <v/>
      </c>
    </row>
    <row r="808" spans="1:13" x14ac:dyDescent="0.25">
      <c r="A808" s="5"/>
      <c r="B808" s="4" t="str">
        <f t="shared" si="49"/>
        <v/>
      </c>
      <c r="C808" t="str">
        <f>IF(AND(TRIM(A808)&lt;&gt;"",IFERROR(VLOOKUP(TRIM(B808),Inventory!E:E,1,0),0)=0),"X","_")</f>
        <v>_</v>
      </c>
      <c r="D808" t="str">
        <f>IF(AND(TRIM(A808)&lt;&gt;"",IFERROR(VLOOKUP(TRIM(B808),'Full Inventory'!F:F,1,0),0)=0),"X","_")</f>
        <v>_</v>
      </c>
      <c r="E808" t="str">
        <f t="shared" si="52"/>
        <v>X</v>
      </c>
      <c r="F808" t="str">
        <f ca="1">IFERROR(IF(AND(C808&amp;D808&amp;E808="___",INDIRECT("Inventory!A"&amp;MATCH(VLOOKUP(B808,Inventory!E:E,1,0),Inventory!E:E,0))&lt;&gt;INDIRECT("'Full Inventory'!B"&amp;MATCH(VLOOKUP(B808,'Full Inventory'!F:F,1,0),'Full Inventory'!F:F,0))),"X","_"),"_")</f>
        <v>_</v>
      </c>
      <c r="L808" t="str">
        <f t="shared" ca="1" si="50"/>
        <v>__X_</v>
      </c>
      <c r="M808" t="str">
        <f t="shared" ca="1" si="51"/>
        <v/>
      </c>
    </row>
    <row r="809" spans="1:13" x14ac:dyDescent="0.25">
      <c r="A809" s="5"/>
      <c r="B809" s="4" t="str">
        <f t="shared" si="49"/>
        <v/>
      </c>
      <c r="C809" t="str">
        <f>IF(AND(TRIM(A809)&lt;&gt;"",IFERROR(VLOOKUP(TRIM(B809),Inventory!E:E,1,0),0)=0),"X","_")</f>
        <v>_</v>
      </c>
      <c r="D809" t="str">
        <f>IF(AND(TRIM(A809)&lt;&gt;"",IFERROR(VLOOKUP(TRIM(B809),'Full Inventory'!F:F,1,0),0)=0),"X","_")</f>
        <v>_</v>
      </c>
      <c r="E809" t="str">
        <f t="shared" si="52"/>
        <v>X</v>
      </c>
      <c r="F809" t="str">
        <f ca="1">IFERROR(IF(AND(C809&amp;D809&amp;E809="___",INDIRECT("Inventory!A"&amp;MATCH(VLOOKUP(B809,Inventory!E:E,1,0),Inventory!E:E,0))&lt;&gt;INDIRECT("'Full Inventory'!B"&amp;MATCH(VLOOKUP(B809,'Full Inventory'!F:F,1,0),'Full Inventory'!F:F,0))),"X","_"),"_")</f>
        <v>_</v>
      </c>
      <c r="L809" t="str">
        <f t="shared" ca="1" si="50"/>
        <v>__X_</v>
      </c>
      <c r="M809" t="str">
        <f t="shared" ca="1" si="51"/>
        <v/>
      </c>
    </row>
    <row r="810" spans="1:13" x14ac:dyDescent="0.25">
      <c r="A810" s="5"/>
      <c r="B810" s="4" t="str">
        <f t="shared" si="49"/>
        <v/>
      </c>
      <c r="C810" t="str">
        <f>IF(AND(TRIM(A810)&lt;&gt;"",IFERROR(VLOOKUP(TRIM(B810),Inventory!E:E,1,0),0)=0),"X","_")</f>
        <v>_</v>
      </c>
      <c r="D810" t="str">
        <f>IF(AND(TRIM(A810)&lt;&gt;"",IFERROR(VLOOKUP(TRIM(B810),'Full Inventory'!F:F,1,0),0)=0),"X","_")</f>
        <v>_</v>
      </c>
      <c r="E810" t="str">
        <f t="shared" si="52"/>
        <v>X</v>
      </c>
      <c r="F810" t="str">
        <f ca="1">IFERROR(IF(AND(C810&amp;D810&amp;E810="___",INDIRECT("Inventory!A"&amp;MATCH(VLOOKUP(B810,Inventory!E:E,1,0),Inventory!E:E,0))&lt;&gt;INDIRECT("'Full Inventory'!B"&amp;MATCH(VLOOKUP(B810,'Full Inventory'!F:F,1,0),'Full Inventory'!F:F,0))),"X","_"),"_")</f>
        <v>_</v>
      </c>
      <c r="L810" t="str">
        <f t="shared" ca="1" si="50"/>
        <v>__X_</v>
      </c>
      <c r="M810" t="str">
        <f t="shared" ca="1" si="51"/>
        <v/>
      </c>
    </row>
    <row r="811" spans="1:13" x14ac:dyDescent="0.25">
      <c r="A811" s="5"/>
      <c r="B811" s="4" t="str">
        <f t="shared" si="49"/>
        <v/>
      </c>
      <c r="C811" t="str">
        <f>IF(AND(TRIM(A811)&lt;&gt;"",IFERROR(VLOOKUP(TRIM(B811),Inventory!E:E,1,0),0)=0),"X","_")</f>
        <v>_</v>
      </c>
      <c r="D811" t="str">
        <f>IF(AND(TRIM(A811)&lt;&gt;"",IFERROR(VLOOKUP(TRIM(B811),'Full Inventory'!F:F,1,0),0)=0),"X","_")</f>
        <v>_</v>
      </c>
      <c r="E811" t="str">
        <f t="shared" si="52"/>
        <v>X</v>
      </c>
      <c r="F811" t="str">
        <f ca="1">IFERROR(IF(AND(C811&amp;D811&amp;E811="___",INDIRECT("Inventory!A"&amp;MATCH(VLOOKUP(B811,Inventory!E:E,1,0),Inventory!E:E,0))&lt;&gt;INDIRECT("'Full Inventory'!B"&amp;MATCH(VLOOKUP(B811,'Full Inventory'!F:F,1,0),'Full Inventory'!F:F,0))),"X","_"),"_")</f>
        <v>_</v>
      </c>
      <c r="L811" t="str">
        <f t="shared" ca="1" si="50"/>
        <v>__X_</v>
      </c>
      <c r="M811" t="str">
        <f t="shared" ca="1" si="51"/>
        <v/>
      </c>
    </row>
    <row r="812" spans="1:13" x14ac:dyDescent="0.25">
      <c r="A812" s="5"/>
      <c r="B812" s="4" t="str">
        <f t="shared" si="49"/>
        <v/>
      </c>
      <c r="C812" t="str">
        <f>IF(AND(TRIM(A812)&lt;&gt;"",IFERROR(VLOOKUP(TRIM(B812),Inventory!E:E,1,0),0)=0),"X","_")</f>
        <v>_</v>
      </c>
      <c r="D812" t="str">
        <f>IF(AND(TRIM(A812)&lt;&gt;"",IFERROR(VLOOKUP(TRIM(B812),'Full Inventory'!F:F,1,0),0)=0),"X","_")</f>
        <v>_</v>
      </c>
      <c r="E812" t="str">
        <f t="shared" si="52"/>
        <v>X</v>
      </c>
      <c r="F812" t="str">
        <f ca="1">IFERROR(IF(AND(C812&amp;D812&amp;E812="___",INDIRECT("Inventory!A"&amp;MATCH(VLOOKUP(B812,Inventory!E:E,1,0),Inventory!E:E,0))&lt;&gt;INDIRECT("'Full Inventory'!B"&amp;MATCH(VLOOKUP(B812,'Full Inventory'!F:F,1,0),'Full Inventory'!F:F,0))),"X","_"),"_")</f>
        <v>_</v>
      </c>
      <c r="L812" t="str">
        <f t="shared" ca="1" si="50"/>
        <v>__X_</v>
      </c>
      <c r="M812" t="str">
        <f t="shared" ca="1" si="51"/>
        <v/>
      </c>
    </row>
    <row r="813" spans="1:13" x14ac:dyDescent="0.25">
      <c r="A813" s="5"/>
      <c r="B813" s="4" t="str">
        <f t="shared" si="49"/>
        <v/>
      </c>
      <c r="C813" t="str">
        <f>IF(AND(TRIM(A813)&lt;&gt;"",IFERROR(VLOOKUP(TRIM(B813),Inventory!E:E,1,0),0)=0),"X","_")</f>
        <v>_</v>
      </c>
      <c r="D813" t="str">
        <f>IF(AND(TRIM(A813)&lt;&gt;"",IFERROR(VLOOKUP(TRIM(B813),'Full Inventory'!F:F,1,0),0)=0),"X","_")</f>
        <v>_</v>
      </c>
      <c r="E813" t="str">
        <f t="shared" si="52"/>
        <v>X</v>
      </c>
      <c r="F813" t="str">
        <f ca="1">IFERROR(IF(AND(C813&amp;D813&amp;E813="___",INDIRECT("Inventory!A"&amp;MATCH(VLOOKUP(B813,Inventory!E:E,1,0),Inventory!E:E,0))&lt;&gt;INDIRECT("'Full Inventory'!B"&amp;MATCH(VLOOKUP(B813,'Full Inventory'!F:F,1,0),'Full Inventory'!F:F,0))),"X","_"),"_")</f>
        <v>_</v>
      </c>
      <c r="L813" t="str">
        <f t="shared" ca="1" si="50"/>
        <v>__X_</v>
      </c>
      <c r="M813" t="str">
        <f t="shared" ca="1" si="51"/>
        <v/>
      </c>
    </row>
    <row r="814" spans="1:13" x14ac:dyDescent="0.25">
      <c r="A814" s="5"/>
      <c r="B814" s="4" t="str">
        <f t="shared" si="49"/>
        <v/>
      </c>
      <c r="C814" t="str">
        <f>IF(AND(TRIM(A814)&lt;&gt;"",IFERROR(VLOOKUP(TRIM(B814),Inventory!E:E,1,0),0)=0),"X","_")</f>
        <v>_</v>
      </c>
      <c r="D814" t="str">
        <f>IF(AND(TRIM(A814)&lt;&gt;"",IFERROR(VLOOKUP(TRIM(B814),'Full Inventory'!F:F,1,0),0)=0),"X","_")</f>
        <v>_</v>
      </c>
      <c r="E814" t="str">
        <f t="shared" si="52"/>
        <v>X</v>
      </c>
      <c r="F814" t="str">
        <f ca="1">IFERROR(IF(AND(C814&amp;D814&amp;E814="___",INDIRECT("Inventory!A"&amp;MATCH(VLOOKUP(B814,Inventory!E:E,1,0),Inventory!E:E,0))&lt;&gt;INDIRECT("'Full Inventory'!B"&amp;MATCH(VLOOKUP(B814,'Full Inventory'!F:F,1,0),'Full Inventory'!F:F,0))),"X","_"),"_")</f>
        <v>_</v>
      </c>
      <c r="L814" t="str">
        <f t="shared" ca="1" si="50"/>
        <v>__X_</v>
      </c>
      <c r="M814" t="str">
        <f t="shared" ca="1" si="51"/>
        <v/>
      </c>
    </row>
    <row r="815" spans="1:13" x14ac:dyDescent="0.25">
      <c r="A815" s="5"/>
      <c r="B815" s="4" t="str">
        <f t="shared" si="49"/>
        <v/>
      </c>
      <c r="C815" t="str">
        <f>IF(AND(TRIM(A815)&lt;&gt;"",IFERROR(VLOOKUP(TRIM(B815),Inventory!E:E,1,0),0)=0),"X","_")</f>
        <v>_</v>
      </c>
      <c r="D815" t="str">
        <f>IF(AND(TRIM(A815)&lt;&gt;"",IFERROR(VLOOKUP(TRIM(B815),'Full Inventory'!F:F,1,0),0)=0),"X","_")</f>
        <v>_</v>
      </c>
      <c r="E815" t="str">
        <f t="shared" si="52"/>
        <v>X</v>
      </c>
      <c r="F815" t="str">
        <f ca="1">IFERROR(IF(AND(C815&amp;D815&amp;E815="___",INDIRECT("Inventory!A"&amp;MATCH(VLOOKUP(B815,Inventory!E:E,1,0),Inventory!E:E,0))&lt;&gt;INDIRECT("'Full Inventory'!B"&amp;MATCH(VLOOKUP(B815,'Full Inventory'!F:F,1,0),'Full Inventory'!F:F,0))),"X","_"),"_")</f>
        <v>_</v>
      </c>
      <c r="L815" t="str">
        <f t="shared" ca="1" si="50"/>
        <v>__X_</v>
      </c>
      <c r="M815" t="str">
        <f t="shared" ca="1" si="51"/>
        <v/>
      </c>
    </row>
    <row r="816" spans="1:13" x14ac:dyDescent="0.25">
      <c r="A816" s="5"/>
      <c r="B816" s="4" t="str">
        <f t="shared" si="49"/>
        <v/>
      </c>
      <c r="C816" t="str">
        <f>IF(AND(TRIM(A816)&lt;&gt;"",IFERROR(VLOOKUP(TRIM(B816),Inventory!E:E,1,0),0)=0),"X","_")</f>
        <v>_</v>
      </c>
      <c r="D816" t="str">
        <f>IF(AND(TRIM(A816)&lt;&gt;"",IFERROR(VLOOKUP(TRIM(B816),'Full Inventory'!F:F,1,0),0)=0),"X","_")</f>
        <v>_</v>
      </c>
      <c r="E816" t="str">
        <f t="shared" si="52"/>
        <v>X</v>
      </c>
      <c r="F816" t="str">
        <f ca="1">IFERROR(IF(AND(C816&amp;D816&amp;E816="___",INDIRECT("Inventory!A"&amp;MATCH(VLOOKUP(B816,Inventory!E:E,1,0),Inventory!E:E,0))&lt;&gt;INDIRECT("'Full Inventory'!B"&amp;MATCH(VLOOKUP(B816,'Full Inventory'!F:F,1,0),'Full Inventory'!F:F,0))),"X","_"),"_")</f>
        <v>_</v>
      </c>
      <c r="L816" t="str">
        <f t="shared" ca="1" si="50"/>
        <v>__X_</v>
      </c>
      <c r="M816" t="str">
        <f t="shared" ca="1" si="51"/>
        <v/>
      </c>
    </row>
    <row r="817" spans="1:13" x14ac:dyDescent="0.25">
      <c r="A817" s="5"/>
      <c r="B817" s="4" t="str">
        <f t="shared" si="49"/>
        <v/>
      </c>
      <c r="C817" t="str">
        <f>IF(AND(TRIM(A817)&lt;&gt;"",IFERROR(VLOOKUP(TRIM(B817),Inventory!E:E,1,0),0)=0),"X","_")</f>
        <v>_</v>
      </c>
      <c r="D817" t="str">
        <f>IF(AND(TRIM(A817)&lt;&gt;"",IFERROR(VLOOKUP(TRIM(B817),'Full Inventory'!F:F,1,0),0)=0),"X","_")</f>
        <v>_</v>
      </c>
      <c r="E817" t="str">
        <f t="shared" si="52"/>
        <v>X</v>
      </c>
      <c r="F817" t="str">
        <f ca="1">IFERROR(IF(AND(C817&amp;D817&amp;E817="___",INDIRECT("Inventory!A"&amp;MATCH(VLOOKUP(B817,Inventory!E:E,1,0),Inventory!E:E,0))&lt;&gt;INDIRECT("'Full Inventory'!B"&amp;MATCH(VLOOKUP(B817,'Full Inventory'!F:F,1,0),'Full Inventory'!F:F,0))),"X","_"),"_")</f>
        <v>_</v>
      </c>
      <c r="L817" t="str">
        <f t="shared" ca="1" si="50"/>
        <v>__X_</v>
      </c>
      <c r="M817" t="str">
        <f t="shared" ca="1" si="51"/>
        <v/>
      </c>
    </row>
    <row r="818" spans="1:13" x14ac:dyDescent="0.25">
      <c r="A818" s="5"/>
      <c r="B818" s="4" t="str">
        <f t="shared" si="49"/>
        <v/>
      </c>
      <c r="C818" t="str">
        <f>IF(AND(TRIM(A818)&lt;&gt;"",IFERROR(VLOOKUP(TRIM(B818),Inventory!E:E,1,0),0)=0),"X","_")</f>
        <v>_</v>
      </c>
      <c r="D818" t="str">
        <f>IF(AND(TRIM(A818)&lt;&gt;"",IFERROR(VLOOKUP(TRIM(B818),'Full Inventory'!F:F,1,0),0)=0),"X","_")</f>
        <v>_</v>
      </c>
      <c r="E818" t="str">
        <f t="shared" si="52"/>
        <v>X</v>
      </c>
      <c r="F818" t="str">
        <f ca="1">IFERROR(IF(AND(C818&amp;D818&amp;E818="___",INDIRECT("Inventory!A"&amp;MATCH(VLOOKUP(B818,Inventory!E:E,1,0),Inventory!E:E,0))&lt;&gt;INDIRECT("'Full Inventory'!B"&amp;MATCH(VLOOKUP(B818,'Full Inventory'!F:F,1,0),'Full Inventory'!F:F,0))),"X","_"),"_")</f>
        <v>_</v>
      </c>
      <c r="L818" t="str">
        <f t="shared" ca="1" si="50"/>
        <v>__X_</v>
      </c>
      <c r="M818" t="str">
        <f t="shared" ca="1" si="51"/>
        <v/>
      </c>
    </row>
    <row r="819" spans="1:13" x14ac:dyDescent="0.25">
      <c r="A819" s="5"/>
      <c r="B819" s="4" t="str">
        <f t="shared" si="49"/>
        <v/>
      </c>
      <c r="C819" t="str">
        <f>IF(AND(TRIM(A819)&lt;&gt;"",IFERROR(VLOOKUP(TRIM(B819),Inventory!E:E,1,0),0)=0),"X","_")</f>
        <v>_</v>
      </c>
      <c r="D819" t="str">
        <f>IF(AND(TRIM(A819)&lt;&gt;"",IFERROR(VLOOKUP(TRIM(B819),'Full Inventory'!F:F,1,0),0)=0),"X","_")</f>
        <v>_</v>
      </c>
      <c r="E819" t="str">
        <f t="shared" si="52"/>
        <v>X</v>
      </c>
      <c r="F819" t="str">
        <f ca="1">IFERROR(IF(AND(C819&amp;D819&amp;E819="___",INDIRECT("Inventory!A"&amp;MATCH(VLOOKUP(B819,Inventory!E:E,1,0),Inventory!E:E,0))&lt;&gt;INDIRECT("'Full Inventory'!B"&amp;MATCH(VLOOKUP(B819,'Full Inventory'!F:F,1,0),'Full Inventory'!F:F,0))),"X","_"),"_")</f>
        <v>_</v>
      </c>
      <c r="L819" t="str">
        <f t="shared" ca="1" si="50"/>
        <v>__X_</v>
      </c>
      <c r="M819" t="str">
        <f t="shared" ca="1" si="51"/>
        <v/>
      </c>
    </row>
    <row r="820" spans="1:13" x14ac:dyDescent="0.25">
      <c r="A820" s="5"/>
      <c r="B820" s="4" t="str">
        <f t="shared" si="49"/>
        <v/>
      </c>
      <c r="C820" t="str">
        <f>IF(AND(TRIM(A820)&lt;&gt;"",IFERROR(VLOOKUP(TRIM(B820),Inventory!E:E,1,0),0)=0),"X","_")</f>
        <v>_</v>
      </c>
      <c r="D820" t="str">
        <f>IF(AND(TRIM(A820)&lt;&gt;"",IFERROR(VLOOKUP(TRIM(B820),'Full Inventory'!F:F,1,0),0)=0),"X","_")</f>
        <v>_</v>
      </c>
      <c r="E820" t="str">
        <f t="shared" si="52"/>
        <v>X</v>
      </c>
      <c r="F820" t="str">
        <f ca="1">IFERROR(IF(AND(C820&amp;D820&amp;E820="___",INDIRECT("Inventory!A"&amp;MATCH(VLOOKUP(B820,Inventory!E:E,1,0),Inventory!E:E,0))&lt;&gt;INDIRECT("'Full Inventory'!B"&amp;MATCH(VLOOKUP(B820,'Full Inventory'!F:F,1,0),'Full Inventory'!F:F,0))),"X","_"),"_")</f>
        <v>_</v>
      </c>
      <c r="L820" t="str">
        <f t="shared" ca="1" si="50"/>
        <v>__X_</v>
      </c>
      <c r="M820" t="str">
        <f t="shared" ca="1" si="51"/>
        <v/>
      </c>
    </row>
    <row r="821" spans="1:13" x14ac:dyDescent="0.25">
      <c r="A821" s="5"/>
      <c r="B821" s="4" t="str">
        <f t="shared" si="49"/>
        <v/>
      </c>
      <c r="C821" t="str">
        <f>IF(AND(TRIM(A821)&lt;&gt;"",IFERROR(VLOOKUP(TRIM(B821),Inventory!E:E,1,0),0)=0),"X","_")</f>
        <v>_</v>
      </c>
      <c r="D821" t="str">
        <f>IF(AND(TRIM(A821)&lt;&gt;"",IFERROR(VLOOKUP(TRIM(B821),'Full Inventory'!F:F,1,0),0)=0),"X","_")</f>
        <v>_</v>
      </c>
      <c r="E821" t="str">
        <f t="shared" si="52"/>
        <v>X</v>
      </c>
      <c r="F821" t="str">
        <f ca="1">IFERROR(IF(AND(C821&amp;D821&amp;E821="___",INDIRECT("Inventory!A"&amp;MATCH(VLOOKUP(B821,Inventory!E:E,1,0),Inventory!E:E,0))&lt;&gt;INDIRECT("'Full Inventory'!B"&amp;MATCH(VLOOKUP(B821,'Full Inventory'!F:F,1,0),'Full Inventory'!F:F,0))),"X","_"),"_")</f>
        <v>_</v>
      </c>
      <c r="L821" t="str">
        <f t="shared" ca="1" si="50"/>
        <v>__X_</v>
      </c>
      <c r="M821" t="str">
        <f t="shared" ca="1" si="51"/>
        <v/>
      </c>
    </row>
    <row r="822" spans="1:13" x14ac:dyDescent="0.25">
      <c r="A822" s="5"/>
      <c r="B822" s="4" t="str">
        <f t="shared" si="49"/>
        <v/>
      </c>
      <c r="C822" t="str">
        <f>IF(AND(TRIM(A822)&lt;&gt;"",IFERROR(VLOOKUP(TRIM(B822),Inventory!E:E,1,0),0)=0),"X","_")</f>
        <v>_</v>
      </c>
      <c r="D822" t="str">
        <f>IF(AND(TRIM(A822)&lt;&gt;"",IFERROR(VLOOKUP(TRIM(B822),'Full Inventory'!F:F,1,0),0)=0),"X","_")</f>
        <v>_</v>
      </c>
      <c r="E822" t="str">
        <f t="shared" si="52"/>
        <v>X</v>
      </c>
      <c r="F822" t="str">
        <f ca="1">IFERROR(IF(AND(C822&amp;D822&amp;E822="___",INDIRECT("Inventory!A"&amp;MATCH(VLOOKUP(B822,Inventory!E:E,1,0),Inventory!E:E,0))&lt;&gt;INDIRECT("'Full Inventory'!B"&amp;MATCH(VLOOKUP(B822,'Full Inventory'!F:F,1,0),'Full Inventory'!F:F,0))),"X","_"),"_")</f>
        <v>_</v>
      </c>
      <c r="L822" t="str">
        <f t="shared" ca="1" si="50"/>
        <v>__X_</v>
      </c>
      <c r="M822" t="str">
        <f t="shared" ca="1" si="51"/>
        <v/>
      </c>
    </row>
    <row r="823" spans="1:13" x14ac:dyDescent="0.25">
      <c r="A823" s="5"/>
      <c r="B823" s="4" t="str">
        <f t="shared" si="49"/>
        <v/>
      </c>
      <c r="C823" t="str">
        <f>IF(AND(TRIM(A823)&lt;&gt;"",IFERROR(VLOOKUP(TRIM(B823),Inventory!E:E,1,0),0)=0),"X","_")</f>
        <v>_</v>
      </c>
      <c r="D823" t="str">
        <f>IF(AND(TRIM(A823)&lt;&gt;"",IFERROR(VLOOKUP(TRIM(B823),'Full Inventory'!F:F,1,0),0)=0),"X","_")</f>
        <v>_</v>
      </c>
      <c r="E823" t="str">
        <f t="shared" si="52"/>
        <v>X</v>
      </c>
      <c r="F823" t="str">
        <f ca="1">IFERROR(IF(AND(C823&amp;D823&amp;E823="___",INDIRECT("Inventory!A"&amp;MATCH(VLOOKUP(B823,Inventory!E:E,1,0),Inventory!E:E,0))&lt;&gt;INDIRECT("'Full Inventory'!B"&amp;MATCH(VLOOKUP(B823,'Full Inventory'!F:F,1,0),'Full Inventory'!F:F,0))),"X","_"),"_")</f>
        <v>_</v>
      </c>
      <c r="L823" t="str">
        <f t="shared" ca="1" si="50"/>
        <v>__X_</v>
      </c>
      <c r="M823" t="str">
        <f t="shared" ca="1" si="51"/>
        <v/>
      </c>
    </row>
    <row r="824" spans="1:13" x14ac:dyDescent="0.25">
      <c r="A824" s="5"/>
      <c r="B824" s="4" t="str">
        <f t="shared" si="49"/>
        <v/>
      </c>
      <c r="C824" t="str">
        <f>IF(AND(TRIM(A824)&lt;&gt;"",IFERROR(VLOOKUP(TRIM(B824),Inventory!E:E,1,0),0)=0),"X","_")</f>
        <v>_</v>
      </c>
      <c r="D824" t="str">
        <f>IF(AND(TRIM(A824)&lt;&gt;"",IFERROR(VLOOKUP(TRIM(B824),'Full Inventory'!F:F,1,0),0)=0),"X","_")</f>
        <v>_</v>
      </c>
      <c r="E824" t="str">
        <f t="shared" si="52"/>
        <v>X</v>
      </c>
      <c r="F824" t="str">
        <f ca="1">IFERROR(IF(AND(C824&amp;D824&amp;E824="___",INDIRECT("Inventory!A"&amp;MATCH(VLOOKUP(B824,Inventory!E:E,1,0),Inventory!E:E,0))&lt;&gt;INDIRECT("'Full Inventory'!B"&amp;MATCH(VLOOKUP(B824,'Full Inventory'!F:F,1,0),'Full Inventory'!F:F,0))),"X","_"),"_")</f>
        <v>_</v>
      </c>
      <c r="L824" t="str">
        <f t="shared" ca="1" si="50"/>
        <v>__X_</v>
      </c>
      <c r="M824" t="str">
        <f t="shared" ca="1" si="51"/>
        <v/>
      </c>
    </row>
    <row r="825" spans="1:13" x14ac:dyDescent="0.25">
      <c r="A825" s="5"/>
      <c r="B825" s="4" t="str">
        <f t="shared" si="49"/>
        <v/>
      </c>
      <c r="C825" t="str">
        <f>IF(AND(TRIM(A825)&lt;&gt;"",IFERROR(VLOOKUP(TRIM(B825),Inventory!E:E,1,0),0)=0),"X","_")</f>
        <v>_</v>
      </c>
      <c r="D825" t="str">
        <f>IF(AND(TRIM(A825)&lt;&gt;"",IFERROR(VLOOKUP(TRIM(B825),'Full Inventory'!F:F,1,0),0)=0),"X","_")</f>
        <v>_</v>
      </c>
      <c r="E825" t="str">
        <f t="shared" si="52"/>
        <v>X</v>
      </c>
      <c r="F825" t="str">
        <f ca="1">IFERROR(IF(AND(C825&amp;D825&amp;E825="___",INDIRECT("Inventory!A"&amp;MATCH(VLOOKUP(B825,Inventory!E:E,1,0),Inventory!E:E,0))&lt;&gt;INDIRECT("'Full Inventory'!B"&amp;MATCH(VLOOKUP(B825,'Full Inventory'!F:F,1,0),'Full Inventory'!F:F,0))),"X","_"),"_")</f>
        <v>_</v>
      </c>
      <c r="L825" t="str">
        <f t="shared" ca="1" si="50"/>
        <v>__X_</v>
      </c>
      <c r="M825" t="str">
        <f t="shared" ca="1" si="51"/>
        <v/>
      </c>
    </row>
    <row r="826" spans="1:13" x14ac:dyDescent="0.25">
      <c r="A826" s="5"/>
      <c r="B826" s="4" t="str">
        <f t="shared" si="49"/>
        <v/>
      </c>
      <c r="C826" t="str">
        <f>IF(AND(TRIM(A826)&lt;&gt;"",IFERROR(VLOOKUP(TRIM(B826),Inventory!E:E,1,0),0)=0),"X","_")</f>
        <v>_</v>
      </c>
      <c r="D826" t="str">
        <f>IF(AND(TRIM(A826)&lt;&gt;"",IFERROR(VLOOKUP(TRIM(B826),'Full Inventory'!F:F,1,0),0)=0),"X","_")</f>
        <v>_</v>
      </c>
      <c r="E826" t="str">
        <f t="shared" si="52"/>
        <v>X</v>
      </c>
      <c r="F826" t="str">
        <f ca="1">IFERROR(IF(AND(C826&amp;D826&amp;E826="___",INDIRECT("Inventory!A"&amp;MATCH(VLOOKUP(B826,Inventory!E:E,1,0),Inventory!E:E,0))&lt;&gt;INDIRECT("'Full Inventory'!B"&amp;MATCH(VLOOKUP(B826,'Full Inventory'!F:F,1,0),'Full Inventory'!F:F,0))),"X","_"),"_")</f>
        <v>_</v>
      </c>
      <c r="L826" t="str">
        <f t="shared" ca="1" si="50"/>
        <v>__X_</v>
      </c>
      <c r="M826" t="str">
        <f t="shared" ca="1" si="51"/>
        <v/>
      </c>
    </row>
    <row r="827" spans="1:13" x14ac:dyDescent="0.25">
      <c r="A827" s="5"/>
      <c r="B827" s="4" t="str">
        <f t="shared" si="49"/>
        <v/>
      </c>
      <c r="C827" t="str">
        <f>IF(AND(TRIM(A827)&lt;&gt;"",IFERROR(VLOOKUP(TRIM(B827),Inventory!E:E,1,0),0)=0),"X","_")</f>
        <v>_</v>
      </c>
      <c r="D827" t="str">
        <f>IF(AND(TRIM(A827)&lt;&gt;"",IFERROR(VLOOKUP(TRIM(B827),'Full Inventory'!F:F,1,0),0)=0),"X","_")</f>
        <v>_</v>
      </c>
      <c r="E827" t="str">
        <f t="shared" si="52"/>
        <v>X</v>
      </c>
      <c r="F827" t="str">
        <f ca="1">IFERROR(IF(AND(C827&amp;D827&amp;E827="___",INDIRECT("Inventory!A"&amp;MATCH(VLOOKUP(B827,Inventory!E:E,1,0),Inventory!E:E,0))&lt;&gt;INDIRECT("'Full Inventory'!B"&amp;MATCH(VLOOKUP(B827,'Full Inventory'!F:F,1,0),'Full Inventory'!F:F,0))),"X","_"),"_")</f>
        <v>_</v>
      </c>
      <c r="L827" t="str">
        <f t="shared" ca="1" si="50"/>
        <v>__X_</v>
      </c>
      <c r="M827" t="str">
        <f t="shared" ca="1" si="51"/>
        <v/>
      </c>
    </row>
    <row r="828" spans="1:13" x14ac:dyDescent="0.25">
      <c r="A828" s="5"/>
      <c r="B828" s="4" t="str">
        <f t="shared" si="49"/>
        <v/>
      </c>
      <c r="C828" t="str">
        <f>IF(AND(TRIM(A828)&lt;&gt;"",IFERROR(VLOOKUP(TRIM(B828),Inventory!E:E,1,0),0)=0),"X","_")</f>
        <v>_</v>
      </c>
      <c r="D828" t="str">
        <f>IF(AND(TRIM(A828)&lt;&gt;"",IFERROR(VLOOKUP(TRIM(B828),'Full Inventory'!F:F,1,0),0)=0),"X","_")</f>
        <v>_</v>
      </c>
      <c r="E828" t="str">
        <f t="shared" si="52"/>
        <v>X</v>
      </c>
      <c r="F828" t="str">
        <f ca="1">IFERROR(IF(AND(C828&amp;D828&amp;E828="___",INDIRECT("Inventory!A"&amp;MATCH(VLOOKUP(B828,Inventory!E:E,1,0),Inventory!E:E,0))&lt;&gt;INDIRECT("'Full Inventory'!B"&amp;MATCH(VLOOKUP(B828,'Full Inventory'!F:F,1,0),'Full Inventory'!F:F,0))),"X","_"),"_")</f>
        <v>_</v>
      </c>
      <c r="L828" t="str">
        <f t="shared" ca="1" si="50"/>
        <v>__X_</v>
      </c>
      <c r="M828" t="str">
        <f t="shared" ca="1" si="51"/>
        <v/>
      </c>
    </row>
    <row r="829" spans="1:13" x14ac:dyDescent="0.25">
      <c r="A829" s="5"/>
      <c r="B829" s="4" t="str">
        <f t="shared" si="49"/>
        <v/>
      </c>
      <c r="C829" t="str">
        <f>IF(AND(TRIM(A829)&lt;&gt;"",IFERROR(VLOOKUP(TRIM(B829),Inventory!E:E,1,0),0)=0),"X","_")</f>
        <v>_</v>
      </c>
      <c r="D829" t="str">
        <f>IF(AND(TRIM(A829)&lt;&gt;"",IFERROR(VLOOKUP(TRIM(B829),'Full Inventory'!F:F,1,0),0)=0),"X","_")</f>
        <v>_</v>
      </c>
      <c r="E829" t="str">
        <f t="shared" si="52"/>
        <v>X</v>
      </c>
      <c r="F829" t="str">
        <f ca="1">IFERROR(IF(AND(C829&amp;D829&amp;E829="___",INDIRECT("Inventory!A"&amp;MATCH(VLOOKUP(B829,Inventory!E:E,1,0),Inventory!E:E,0))&lt;&gt;INDIRECT("'Full Inventory'!B"&amp;MATCH(VLOOKUP(B829,'Full Inventory'!F:F,1,0),'Full Inventory'!F:F,0))),"X","_"),"_")</f>
        <v>_</v>
      </c>
      <c r="L829" t="str">
        <f t="shared" ca="1" si="50"/>
        <v>__X_</v>
      </c>
      <c r="M829" t="str">
        <f t="shared" ca="1" si="51"/>
        <v/>
      </c>
    </row>
    <row r="830" spans="1:13" x14ac:dyDescent="0.25">
      <c r="A830" s="5"/>
      <c r="B830" s="4" t="str">
        <f t="shared" si="49"/>
        <v/>
      </c>
      <c r="C830" t="str">
        <f>IF(AND(TRIM(A830)&lt;&gt;"",IFERROR(VLOOKUP(TRIM(B830),Inventory!E:E,1,0),0)=0),"X","_")</f>
        <v>_</v>
      </c>
      <c r="D830" t="str">
        <f>IF(AND(TRIM(A830)&lt;&gt;"",IFERROR(VLOOKUP(TRIM(B830),'Full Inventory'!F:F,1,0),0)=0),"X","_")</f>
        <v>_</v>
      </c>
      <c r="E830" t="str">
        <f t="shared" si="52"/>
        <v>X</v>
      </c>
      <c r="F830" t="str">
        <f ca="1">IFERROR(IF(AND(C830&amp;D830&amp;E830="___",INDIRECT("Inventory!A"&amp;MATCH(VLOOKUP(B830,Inventory!E:E,1,0),Inventory!E:E,0))&lt;&gt;INDIRECT("'Full Inventory'!B"&amp;MATCH(VLOOKUP(B830,'Full Inventory'!F:F,1,0),'Full Inventory'!F:F,0))),"X","_"),"_")</f>
        <v>_</v>
      </c>
      <c r="L830" t="str">
        <f t="shared" ca="1" si="50"/>
        <v>__X_</v>
      </c>
      <c r="M830" t="str">
        <f t="shared" ca="1" si="51"/>
        <v/>
      </c>
    </row>
    <row r="831" spans="1:13" x14ac:dyDescent="0.25">
      <c r="A831" s="5"/>
      <c r="B831" s="4" t="str">
        <f t="shared" si="49"/>
        <v/>
      </c>
      <c r="C831" t="str">
        <f>IF(AND(TRIM(A831)&lt;&gt;"",IFERROR(VLOOKUP(TRIM(B831),Inventory!E:E,1,0),0)=0),"X","_")</f>
        <v>_</v>
      </c>
      <c r="D831" t="str">
        <f>IF(AND(TRIM(A831)&lt;&gt;"",IFERROR(VLOOKUP(TRIM(B831),'Full Inventory'!F:F,1,0),0)=0),"X","_")</f>
        <v>_</v>
      </c>
      <c r="E831" t="str">
        <f t="shared" si="52"/>
        <v>X</v>
      </c>
      <c r="F831" t="str">
        <f ca="1">IFERROR(IF(AND(C831&amp;D831&amp;E831="___",INDIRECT("Inventory!A"&amp;MATCH(VLOOKUP(B831,Inventory!E:E,1,0),Inventory!E:E,0))&lt;&gt;INDIRECT("'Full Inventory'!B"&amp;MATCH(VLOOKUP(B831,'Full Inventory'!F:F,1,0),'Full Inventory'!F:F,0))),"X","_"),"_")</f>
        <v>_</v>
      </c>
      <c r="L831" t="str">
        <f t="shared" ca="1" si="50"/>
        <v>__X_</v>
      </c>
      <c r="M831" t="str">
        <f t="shared" ca="1" si="51"/>
        <v/>
      </c>
    </row>
    <row r="832" spans="1:13" x14ac:dyDescent="0.25">
      <c r="A832" s="5"/>
      <c r="B832" s="4" t="str">
        <f t="shared" si="49"/>
        <v/>
      </c>
      <c r="C832" t="str">
        <f>IF(AND(TRIM(A832)&lt;&gt;"",IFERROR(VLOOKUP(TRIM(B832),Inventory!E:E,1,0),0)=0),"X","_")</f>
        <v>_</v>
      </c>
      <c r="D832" t="str">
        <f>IF(AND(TRIM(A832)&lt;&gt;"",IFERROR(VLOOKUP(TRIM(B832),'Full Inventory'!F:F,1,0),0)=0),"X","_")</f>
        <v>_</v>
      </c>
      <c r="E832" t="str">
        <f t="shared" si="52"/>
        <v>X</v>
      </c>
      <c r="F832" t="str">
        <f ca="1">IFERROR(IF(AND(C832&amp;D832&amp;E832="___",INDIRECT("Inventory!A"&amp;MATCH(VLOOKUP(B832,Inventory!E:E,1,0),Inventory!E:E,0))&lt;&gt;INDIRECT("'Full Inventory'!B"&amp;MATCH(VLOOKUP(B832,'Full Inventory'!F:F,1,0),'Full Inventory'!F:F,0))),"X","_"),"_")</f>
        <v>_</v>
      </c>
      <c r="L832" t="str">
        <f t="shared" ca="1" si="50"/>
        <v>__X_</v>
      </c>
      <c r="M832" t="str">
        <f t="shared" ca="1" si="51"/>
        <v/>
      </c>
    </row>
    <row r="833" spans="1:13" x14ac:dyDescent="0.25">
      <c r="A833" s="5"/>
      <c r="B833" s="4" t="str">
        <f t="shared" si="49"/>
        <v/>
      </c>
      <c r="C833" t="str">
        <f>IF(AND(TRIM(A833)&lt;&gt;"",IFERROR(VLOOKUP(TRIM(B833),Inventory!E:E,1,0),0)=0),"X","_")</f>
        <v>_</v>
      </c>
      <c r="D833" t="str">
        <f>IF(AND(TRIM(A833)&lt;&gt;"",IFERROR(VLOOKUP(TRIM(B833),'Full Inventory'!F:F,1,0),0)=0),"X","_")</f>
        <v>_</v>
      </c>
      <c r="E833" t="str">
        <f t="shared" si="52"/>
        <v>X</v>
      </c>
      <c r="F833" t="str">
        <f ca="1">IFERROR(IF(AND(C833&amp;D833&amp;E833="___",INDIRECT("Inventory!A"&amp;MATCH(VLOOKUP(B833,Inventory!E:E,1,0),Inventory!E:E,0))&lt;&gt;INDIRECT("'Full Inventory'!B"&amp;MATCH(VLOOKUP(B833,'Full Inventory'!F:F,1,0),'Full Inventory'!F:F,0))),"X","_"),"_")</f>
        <v>_</v>
      </c>
      <c r="L833" t="str">
        <f t="shared" ca="1" si="50"/>
        <v>__X_</v>
      </c>
      <c r="M833" t="str">
        <f t="shared" ca="1" si="51"/>
        <v/>
      </c>
    </row>
    <row r="834" spans="1:13" x14ac:dyDescent="0.25">
      <c r="A834" s="5"/>
      <c r="B834" s="4" t="str">
        <f t="shared" si="49"/>
        <v/>
      </c>
      <c r="C834" t="str">
        <f>IF(AND(TRIM(A834)&lt;&gt;"",IFERROR(VLOOKUP(TRIM(B834),Inventory!E:E,1,0),0)=0),"X","_")</f>
        <v>_</v>
      </c>
      <c r="D834" t="str">
        <f>IF(AND(TRIM(A834)&lt;&gt;"",IFERROR(VLOOKUP(TRIM(B834),'Full Inventory'!F:F,1,0),0)=0),"X","_")</f>
        <v>_</v>
      </c>
      <c r="E834" t="str">
        <f t="shared" si="52"/>
        <v>X</v>
      </c>
      <c r="F834" t="str">
        <f ca="1">IFERROR(IF(AND(C834&amp;D834&amp;E834="___",INDIRECT("Inventory!A"&amp;MATCH(VLOOKUP(B834,Inventory!E:E,1,0),Inventory!E:E,0))&lt;&gt;INDIRECT("'Full Inventory'!B"&amp;MATCH(VLOOKUP(B834,'Full Inventory'!F:F,1,0),'Full Inventory'!F:F,0))),"X","_"),"_")</f>
        <v>_</v>
      </c>
      <c r="L834" t="str">
        <f t="shared" ca="1" si="50"/>
        <v>__X_</v>
      </c>
      <c r="M834" t="str">
        <f t="shared" ca="1" si="51"/>
        <v/>
      </c>
    </row>
    <row r="835" spans="1:13" x14ac:dyDescent="0.25">
      <c r="A835" s="5"/>
      <c r="B835" s="4" t="str">
        <f t="shared" ref="B835:B898" si="53">SUBSTITUTE(SUBSTITUTE(A835,"ö","0"),"Ö","0")</f>
        <v/>
      </c>
      <c r="C835" t="str">
        <f>IF(AND(TRIM(A835)&lt;&gt;"",IFERROR(VLOOKUP(TRIM(B835),Inventory!E:E,1,0),0)=0),"X","_")</f>
        <v>_</v>
      </c>
      <c r="D835" t="str">
        <f>IF(AND(TRIM(A835)&lt;&gt;"",IFERROR(VLOOKUP(TRIM(B835),'Full Inventory'!F:F,1,0),0)=0),"X","_")</f>
        <v>_</v>
      </c>
      <c r="E835" t="str">
        <f t="shared" si="52"/>
        <v>X</v>
      </c>
      <c r="F835" t="str">
        <f ca="1">IFERROR(IF(AND(C835&amp;D835&amp;E835="___",INDIRECT("Inventory!A"&amp;MATCH(VLOOKUP(B835,Inventory!E:E,1,0),Inventory!E:E,0))&lt;&gt;INDIRECT("'Full Inventory'!B"&amp;MATCH(VLOOKUP(B835,'Full Inventory'!F:F,1,0),'Full Inventory'!F:F,0))),"X","_"),"_")</f>
        <v>_</v>
      </c>
      <c r="L835" t="str">
        <f t="shared" ref="L835:L898" ca="1" si="54">C835&amp;D835&amp;E835&amp;F835</f>
        <v>__X_</v>
      </c>
      <c r="M835" t="str">
        <f t="shared" ref="M835:M898" ca="1" si="55">IF(L835="____","OK",IF(L835="_X__","NOT IN FULL INVENTORY",IF(L835="XX__","NOT IN FULL INVENTORY AND INVENTORY",IF(L835="X___","NOT IN INVENTORY",IF(L835="___X","DIFFERENT NAMES IN FULL INVENTORY AND INVENTORY","")))))</f>
        <v/>
      </c>
    </row>
    <row r="836" spans="1:13" x14ac:dyDescent="0.25">
      <c r="A836" s="5"/>
      <c r="B836" s="4" t="str">
        <f t="shared" si="53"/>
        <v/>
      </c>
      <c r="C836" t="str">
        <f>IF(AND(TRIM(A836)&lt;&gt;"",IFERROR(VLOOKUP(TRIM(B836),Inventory!E:E,1,0),0)=0),"X","_")</f>
        <v>_</v>
      </c>
      <c r="D836" t="str">
        <f>IF(AND(TRIM(A836)&lt;&gt;"",IFERROR(VLOOKUP(TRIM(B836),'Full Inventory'!F:F,1,0),0)=0),"X","_")</f>
        <v>_</v>
      </c>
      <c r="E836" t="str">
        <f t="shared" si="52"/>
        <v>X</v>
      </c>
      <c r="F836" t="str">
        <f ca="1">IFERROR(IF(AND(C836&amp;D836&amp;E836="___",INDIRECT("Inventory!A"&amp;MATCH(VLOOKUP(B836,Inventory!E:E,1,0),Inventory!E:E,0))&lt;&gt;INDIRECT("'Full Inventory'!B"&amp;MATCH(VLOOKUP(B836,'Full Inventory'!F:F,1,0),'Full Inventory'!F:F,0))),"X","_"),"_")</f>
        <v>_</v>
      </c>
      <c r="L836" t="str">
        <f t="shared" ca="1" si="54"/>
        <v>__X_</v>
      </c>
      <c r="M836" t="str">
        <f t="shared" ca="1" si="55"/>
        <v/>
      </c>
    </row>
    <row r="837" spans="1:13" x14ac:dyDescent="0.25">
      <c r="A837" s="5"/>
      <c r="B837" s="4" t="str">
        <f t="shared" si="53"/>
        <v/>
      </c>
      <c r="C837" t="str">
        <f>IF(AND(TRIM(A837)&lt;&gt;"",IFERROR(VLOOKUP(TRIM(B837),Inventory!E:E,1,0),0)=0),"X","_")</f>
        <v>_</v>
      </c>
      <c r="D837" t="str">
        <f>IF(AND(TRIM(A837)&lt;&gt;"",IFERROR(VLOOKUP(TRIM(B837),'Full Inventory'!F:F,1,0),0)=0),"X","_")</f>
        <v>_</v>
      </c>
      <c r="E837" t="str">
        <f t="shared" si="52"/>
        <v>X</v>
      </c>
      <c r="F837" t="str">
        <f ca="1">IFERROR(IF(AND(C837&amp;D837&amp;E837="___",INDIRECT("Inventory!A"&amp;MATCH(VLOOKUP(B837,Inventory!E:E,1,0),Inventory!E:E,0))&lt;&gt;INDIRECT("'Full Inventory'!B"&amp;MATCH(VLOOKUP(B837,'Full Inventory'!F:F,1,0),'Full Inventory'!F:F,0))),"X","_"),"_")</f>
        <v>_</v>
      </c>
      <c r="L837" t="str">
        <f t="shared" ca="1" si="54"/>
        <v>__X_</v>
      </c>
      <c r="M837" t="str">
        <f t="shared" ca="1" si="55"/>
        <v/>
      </c>
    </row>
    <row r="838" spans="1:13" x14ac:dyDescent="0.25">
      <c r="A838" s="5"/>
      <c r="B838" s="4" t="str">
        <f t="shared" si="53"/>
        <v/>
      </c>
      <c r="C838" t="str">
        <f>IF(AND(TRIM(A838)&lt;&gt;"",IFERROR(VLOOKUP(TRIM(B838),Inventory!E:E,1,0),0)=0),"X","_")</f>
        <v>_</v>
      </c>
      <c r="D838" t="str">
        <f>IF(AND(TRIM(A838)&lt;&gt;"",IFERROR(VLOOKUP(TRIM(B838),'Full Inventory'!F:F,1,0),0)=0),"X","_")</f>
        <v>_</v>
      </c>
      <c r="E838" t="str">
        <f t="shared" si="52"/>
        <v>X</v>
      </c>
      <c r="F838" t="str">
        <f ca="1">IFERROR(IF(AND(C838&amp;D838&amp;E838="___",INDIRECT("Inventory!A"&amp;MATCH(VLOOKUP(B838,Inventory!E:E,1,0),Inventory!E:E,0))&lt;&gt;INDIRECT("'Full Inventory'!B"&amp;MATCH(VLOOKUP(B838,'Full Inventory'!F:F,1,0),'Full Inventory'!F:F,0))),"X","_"),"_")</f>
        <v>_</v>
      </c>
      <c r="L838" t="str">
        <f t="shared" ca="1" si="54"/>
        <v>__X_</v>
      </c>
      <c r="M838" t="str">
        <f t="shared" ca="1" si="55"/>
        <v/>
      </c>
    </row>
    <row r="839" spans="1:13" x14ac:dyDescent="0.25">
      <c r="A839" s="5"/>
      <c r="B839" s="4" t="str">
        <f t="shared" si="53"/>
        <v/>
      </c>
      <c r="C839" t="str">
        <f>IF(AND(TRIM(A839)&lt;&gt;"",IFERROR(VLOOKUP(TRIM(B839),Inventory!E:E,1,0),0)=0),"X","_")</f>
        <v>_</v>
      </c>
      <c r="D839" t="str">
        <f>IF(AND(TRIM(A839)&lt;&gt;"",IFERROR(VLOOKUP(TRIM(B839),'Full Inventory'!F:F,1,0),0)=0),"X","_")</f>
        <v>_</v>
      </c>
      <c r="E839" t="str">
        <f t="shared" si="52"/>
        <v>X</v>
      </c>
      <c r="F839" t="str">
        <f ca="1">IFERROR(IF(AND(C839&amp;D839&amp;E839="___",INDIRECT("Inventory!A"&amp;MATCH(VLOOKUP(B839,Inventory!E:E,1,0),Inventory!E:E,0))&lt;&gt;INDIRECT("'Full Inventory'!B"&amp;MATCH(VLOOKUP(B839,'Full Inventory'!F:F,1,0),'Full Inventory'!F:F,0))),"X","_"),"_")</f>
        <v>_</v>
      </c>
      <c r="L839" t="str">
        <f t="shared" ca="1" si="54"/>
        <v>__X_</v>
      </c>
      <c r="M839" t="str">
        <f t="shared" ca="1" si="55"/>
        <v/>
      </c>
    </row>
    <row r="840" spans="1:13" x14ac:dyDescent="0.25">
      <c r="A840" s="5"/>
      <c r="B840" s="4" t="str">
        <f t="shared" si="53"/>
        <v/>
      </c>
      <c r="C840" t="str">
        <f>IF(AND(TRIM(A840)&lt;&gt;"",IFERROR(VLOOKUP(TRIM(B840),Inventory!E:E,1,0),0)=0),"X","_")</f>
        <v>_</v>
      </c>
      <c r="D840" t="str">
        <f>IF(AND(TRIM(A840)&lt;&gt;"",IFERROR(VLOOKUP(TRIM(B840),'Full Inventory'!F:F,1,0),0)=0),"X","_")</f>
        <v>_</v>
      </c>
      <c r="E840" t="str">
        <f t="shared" si="52"/>
        <v>X</v>
      </c>
      <c r="F840" t="str">
        <f ca="1">IFERROR(IF(AND(C840&amp;D840&amp;E840="___",INDIRECT("Inventory!A"&amp;MATCH(VLOOKUP(B840,Inventory!E:E,1,0),Inventory!E:E,0))&lt;&gt;INDIRECT("'Full Inventory'!B"&amp;MATCH(VLOOKUP(B840,'Full Inventory'!F:F,1,0),'Full Inventory'!F:F,0))),"X","_"),"_")</f>
        <v>_</v>
      </c>
      <c r="L840" t="str">
        <f t="shared" ca="1" si="54"/>
        <v>__X_</v>
      </c>
      <c r="M840" t="str">
        <f t="shared" ca="1" si="55"/>
        <v/>
      </c>
    </row>
    <row r="841" spans="1:13" x14ac:dyDescent="0.25">
      <c r="A841" s="5"/>
      <c r="B841" s="4" t="str">
        <f t="shared" si="53"/>
        <v/>
      </c>
      <c r="C841" t="str">
        <f>IF(AND(TRIM(A841)&lt;&gt;"",IFERROR(VLOOKUP(TRIM(B841),Inventory!E:E,1,0),0)=0),"X","_")</f>
        <v>_</v>
      </c>
      <c r="D841" t="str">
        <f>IF(AND(TRIM(A841)&lt;&gt;"",IFERROR(VLOOKUP(TRIM(B841),'Full Inventory'!F:F,1,0),0)=0),"X","_")</f>
        <v>_</v>
      </c>
      <c r="E841" t="str">
        <f t="shared" si="52"/>
        <v>X</v>
      </c>
      <c r="F841" t="str">
        <f ca="1">IFERROR(IF(AND(C841&amp;D841&amp;E841="___",INDIRECT("Inventory!A"&amp;MATCH(VLOOKUP(B841,Inventory!E:E,1,0),Inventory!E:E,0))&lt;&gt;INDIRECT("'Full Inventory'!B"&amp;MATCH(VLOOKUP(B841,'Full Inventory'!F:F,1,0),'Full Inventory'!F:F,0))),"X","_"),"_")</f>
        <v>_</v>
      </c>
      <c r="L841" t="str">
        <f t="shared" ca="1" si="54"/>
        <v>__X_</v>
      </c>
      <c r="M841" t="str">
        <f t="shared" ca="1" si="55"/>
        <v/>
      </c>
    </row>
    <row r="842" spans="1:13" x14ac:dyDescent="0.25">
      <c r="A842" s="5"/>
      <c r="B842" s="4" t="str">
        <f t="shared" si="53"/>
        <v/>
      </c>
      <c r="C842" t="str">
        <f>IF(AND(TRIM(A842)&lt;&gt;"",IFERROR(VLOOKUP(TRIM(B842),Inventory!E:E,1,0),0)=0),"X","_")</f>
        <v>_</v>
      </c>
      <c r="D842" t="str">
        <f>IF(AND(TRIM(A842)&lt;&gt;"",IFERROR(VLOOKUP(TRIM(B842),'Full Inventory'!F:F,1,0),0)=0),"X","_")</f>
        <v>_</v>
      </c>
      <c r="E842" t="str">
        <f t="shared" si="52"/>
        <v>X</v>
      </c>
      <c r="F842" t="str">
        <f ca="1">IFERROR(IF(AND(C842&amp;D842&amp;E842="___",INDIRECT("Inventory!A"&amp;MATCH(VLOOKUP(B842,Inventory!E:E,1,0),Inventory!E:E,0))&lt;&gt;INDIRECT("'Full Inventory'!B"&amp;MATCH(VLOOKUP(B842,'Full Inventory'!F:F,1,0),'Full Inventory'!F:F,0))),"X","_"),"_")</f>
        <v>_</v>
      </c>
      <c r="L842" t="str">
        <f t="shared" ca="1" si="54"/>
        <v>__X_</v>
      </c>
      <c r="M842" t="str">
        <f t="shared" ca="1" si="55"/>
        <v/>
      </c>
    </row>
    <row r="843" spans="1:13" x14ac:dyDescent="0.25">
      <c r="A843" s="5"/>
      <c r="B843" s="4" t="str">
        <f t="shared" si="53"/>
        <v/>
      </c>
      <c r="C843" t="str">
        <f>IF(AND(TRIM(A843)&lt;&gt;"",IFERROR(VLOOKUP(TRIM(B843),Inventory!E:E,1,0),0)=0),"X","_")</f>
        <v>_</v>
      </c>
      <c r="D843" t="str">
        <f>IF(AND(TRIM(A843)&lt;&gt;"",IFERROR(VLOOKUP(TRIM(B843),'Full Inventory'!F:F,1,0),0)=0),"X","_")</f>
        <v>_</v>
      </c>
      <c r="E843" t="str">
        <f t="shared" si="52"/>
        <v>X</v>
      </c>
      <c r="F843" t="str">
        <f ca="1">IFERROR(IF(AND(C843&amp;D843&amp;E843="___",INDIRECT("Inventory!A"&amp;MATCH(VLOOKUP(B843,Inventory!E:E,1,0),Inventory!E:E,0))&lt;&gt;INDIRECT("'Full Inventory'!B"&amp;MATCH(VLOOKUP(B843,'Full Inventory'!F:F,1,0),'Full Inventory'!F:F,0))),"X","_"),"_")</f>
        <v>_</v>
      </c>
      <c r="L843" t="str">
        <f t="shared" ca="1" si="54"/>
        <v>__X_</v>
      </c>
      <c r="M843" t="str">
        <f t="shared" ca="1" si="55"/>
        <v/>
      </c>
    </row>
    <row r="844" spans="1:13" x14ac:dyDescent="0.25">
      <c r="A844" s="5"/>
      <c r="B844" s="4" t="str">
        <f t="shared" si="53"/>
        <v/>
      </c>
      <c r="C844" t="str">
        <f>IF(AND(TRIM(A844)&lt;&gt;"",IFERROR(VLOOKUP(TRIM(B844),Inventory!E:E,1,0),0)=0),"X","_")</f>
        <v>_</v>
      </c>
      <c r="D844" t="str">
        <f>IF(AND(TRIM(A844)&lt;&gt;"",IFERROR(VLOOKUP(TRIM(B844),'Full Inventory'!F:F,1,0),0)=0),"X","_")</f>
        <v>_</v>
      </c>
      <c r="E844" t="str">
        <f t="shared" si="52"/>
        <v>X</v>
      </c>
      <c r="F844" t="str">
        <f ca="1">IFERROR(IF(AND(C844&amp;D844&amp;E844="___",INDIRECT("Inventory!A"&amp;MATCH(VLOOKUP(B844,Inventory!E:E,1,0),Inventory!E:E,0))&lt;&gt;INDIRECT("'Full Inventory'!B"&amp;MATCH(VLOOKUP(B844,'Full Inventory'!F:F,1,0),'Full Inventory'!F:F,0))),"X","_"),"_")</f>
        <v>_</v>
      </c>
      <c r="L844" t="str">
        <f t="shared" ca="1" si="54"/>
        <v>__X_</v>
      </c>
      <c r="M844" t="str">
        <f t="shared" ca="1" si="55"/>
        <v/>
      </c>
    </row>
    <row r="845" spans="1:13" x14ac:dyDescent="0.25">
      <c r="A845" s="5"/>
      <c r="B845" s="4" t="str">
        <f t="shared" si="53"/>
        <v/>
      </c>
      <c r="C845" t="str">
        <f>IF(AND(TRIM(A845)&lt;&gt;"",IFERROR(VLOOKUP(TRIM(B845),Inventory!E:E,1,0),0)=0),"X","_")</f>
        <v>_</v>
      </c>
      <c r="D845" t="str">
        <f>IF(AND(TRIM(A845)&lt;&gt;"",IFERROR(VLOOKUP(TRIM(B845),'Full Inventory'!F:F,1,0),0)=0),"X","_")</f>
        <v>_</v>
      </c>
      <c r="E845" t="str">
        <f t="shared" si="52"/>
        <v>X</v>
      </c>
      <c r="F845" t="str">
        <f ca="1">IFERROR(IF(AND(C845&amp;D845&amp;E845="___",INDIRECT("Inventory!A"&amp;MATCH(VLOOKUP(B845,Inventory!E:E,1,0),Inventory!E:E,0))&lt;&gt;INDIRECT("'Full Inventory'!B"&amp;MATCH(VLOOKUP(B845,'Full Inventory'!F:F,1,0),'Full Inventory'!F:F,0))),"X","_"),"_")</f>
        <v>_</v>
      </c>
      <c r="L845" t="str">
        <f t="shared" ca="1" si="54"/>
        <v>__X_</v>
      </c>
      <c r="M845" t="str">
        <f t="shared" ca="1" si="55"/>
        <v/>
      </c>
    </row>
    <row r="846" spans="1:13" x14ac:dyDescent="0.25">
      <c r="A846" s="5"/>
      <c r="B846" s="4" t="str">
        <f t="shared" si="53"/>
        <v/>
      </c>
      <c r="C846" t="str">
        <f>IF(AND(TRIM(A846)&lt;&gt;"",IFERROR(VLOOKUP(TRIM(B846),Inventory!E:E,1,0),0)=0),"X","_")</f>
        <v>_</v>
      </c>
      <c r="D846" t="str">
        <f>IF(AND(TRIM(A846)&lt;&gt;"",IFERROR(VLOOKUP(TRIM(B846),'Full Inventory'!F:F,1,0),0)=0),"X","_")</f>
        <v>_</v>
      </c>
      <c r="E846" t="str">
        <f t="shared" si="52"/>
        <v>X</v>
      </c>
      <c r="F846" t="str">
        <f ca="1">IFERROR(IF(AND(C846&amp;D846&amp;E846="___",INDIRECT("Inventory!A"&amp;MATCH(VLOOKUP(B846,Inventory!E:E,1,0),Inventory!E:E,0))&lt;&gt;INDIRECT("'Full Inventory'!B"&amp;MATCH(VLOOKUP(B846,'Full Inventory'!F:F,1,0),'Full Inventory'!F:F,0))),"X","_"),"_")</f>
        <v>_</v>
      </c>
      <c r="L846" t="str">
        <f t="shared" ca="1" si="54"/>
        <v>__X_</v>
      </c>
      <c r="M846" t="str">
        <f t="shared" ca="1" si="55"/>
        <v/>
      </c>
    </row>
    <row r="847" spans="1:13" x14ac:dyDescent="0.25">
      <c r="A847" s="5"/>
      <c r="B847" s="4" t="str">
        <f t="shared" si="53"/>
        <v/>
      </c>
      <c r="C847" t="str">
        <f>IF(AND(TRIM(A847)&lt;&gt;"",IFERROR(VLOOKUP(TRIM(B847),Inventory!E:E,1,0),0)=0),"X","_")</f>
        <v>_</v>
      </c>
      <c r="D847" t="str">
        <f>IF(AND(TRIM(A847)&lt;&gt;"",IFERROR(VLOOKUP(TRIM(B847),'Full Inventory'!F:F,1,0),0)=0),"X","_")</f>
        <v>_</v>
      </c>
      <c r="E847" t="str">
        <f t="shared" si="52"/>
        <v>X</v>
      </c>
      <c r="F847" t="str">
        <f ca="1">IFERROR(IF(AND(C847&amp;D847&amp;E847="___",INDIRECT("Inventory!A"&amp;MATCH(VLOOKUP(B847,Inventory!E:E,1,0),Inventory!E:E,0))&lt;&gt;INDIRECT("'Full Inventory'!B"&amp;MATCH(VLOOKUP(B847,'Full Inventory'!F:F,1,0),'Full Inventory'!F:F,0))),"X","_"),"_")</f>
        <v>_</v>
      </c>
      <c r="L847" t="str">
        <f t="shared" ca="1" si="54"/>
        <v>__X_</v>
      </c>
      <c r="M847" t="str">
        <f t="shared" ca="1" si="55"/>
        <v/>
      </c>
    </row>
    <row r="848" spans="1:13" x14ac:dyDescent="0.25">
      <c r="A848" s="5"/>
      <c r="B848" s="4" t="str">
        <f t="shared" si="53"/>
        <v/>
      </c>
      <c r="C848" t="str">
        <f>IF(AND(TRIM(A848)&lt;&gt;"",IFERROR(VLOOKUP(TRIM(B848),Inventory!E:E,1,0),0)=0),"X","_")</f>
        <v>_</v>
      </c>
      <c r="D848" t="str">
        <f>IF(AND(TRIM(A848)&lt;&gt;"",IFERROR(VLOOKUP(TRIM(B848),'Full Inventory'!F:F,1,0),0)=0),"X","_")</f>
        <v>_</v>
      </c>
      <c r="E848" t="str">
        <f t="shared" si="52"/>
        <v>X</v>
      </c>
      <c r="F848" t="str">
        <f ca="1">IFERROR(IF(AND(C848&amp;D848&amp;E848="___",INDIRECT("Inventory!A"&amp;MATCH(VLOOKUP(B848,Inventory!E:E,1,0),Inventory!E:E,0))&lt;&gt;INDIRECT("'Full Inventory'!B"&amp;MATCH(VLOOKUP(B848,'Full Inventory'!F:F,1,0),'Full Inventory'!F:F,0))),"X","_"),"_")</f>
        <v>_</v>
      </c>
      <c r="L848" t="str">
        <f t="shared" ca="1" si="54"/>
        <v>__X_</v>
      </c>
      <c r="M848" t="str">
        <f t="shared" ca="1" si="55"/>
        <v/>
      </c>
    </row>
    <row r="849" spans="1:13" x14ac:dyDescent="0.25">
      <c r="A849" s="5"/>
      <c r="B849" s="4" t="str">
        <f t="shared" si="53"/>
        <v/>
      </c>
      <c r="C849" t="str">
        <f>IF(AND(TRIM(A849)&lt;&gt;"",IFERROR(VLOOKUP(TRIM(B849),Inventory!E:E,1,0),0)=0),"X","_")</f>
        <v>_</v>
      </c>
      <c r="D849" t="str">
        <f>IF(AND(TRIM(A849)&lt;&gt;"",IFERROR(VLOOKUP(TRIM(B849),'Full Inventory'!F:F,1,0),0)=0),"X","_")</f>
        <v>_</v>
      </c>
      <c r="E849" t="str">
        <f t="shared" si="52"/>
        <v>X</v>
      </c>
      <c r="F849" t="str">
        <f ca="1">IFERROR(IF(AND(C849&amp;D849&amp;E849="___",INDIRECT("Inventory!A"&amp;MATCH(VLOOKUP(B849,Inventory!E:E,1,0),Inventory!E:E,0))&lt;&gt;INDIRECT("'Full Inventory'!B"&amp;MATCH(VLOOKUP(B849,'Full Inventory'!F:F,1,0),'Full Inventory'!F:F,0))),"X","_"),"_")</f>
        <v>_</v>
      </c>
      <c r="L849" t="str">
        <f t="shared" ca="1" si="54"/>
        <v>__X_</v>
      </c>
      <c r="M849" t="str">
        <f t="shared" ca="1" si="55"/>
        <v/>
      </c>
    </row>
    <row r="850" spans="1:13" x14ac:dyDescent="0.25">
      <c r="A850" s="5"/>
      <c r="B850" s="4" t="str">
        <f t="shared" si="53"/>
        <v/>
      </c>
      <c r="C850" t="str">
        <f>IF(AND(TRIM(A850)&lt;&gt;"",IFERROR(VLOOKUP(TRIM(B850),Inventory!E:E,1,0),0)=0),"X","_")</f>
        <v>_</v>
      </c>
      <c r="D850" t="str">
        <f>IF(AND(TRIM(A850)&lt;&gt;"",IFERROR(VLOOKUP(TRIM(B850),'Full Inventory'!F:F,1,0),0)=0),"X","_")</f>
        <v>_</v>
      </c>
      <c r="E850" t="str">
        <f t="shared" si="52"/>
        <v>X</v>
      </c>
      <c r="F850" t="str">
        <f ca="1">IFERROR(IF(AND(C850&amp;D850&amp;E850="___",INDIRECT("Inventory!A"&amp;MATCH(VLOOKUP(B850,Inventory!E:E,1,0),Inventory!E:E,0))&lt;&gt;INDIRECT("'Full Inventory'!B"&amp;MATCH(VLOOKUP(B850,'Full Inventory'!F:F,1,0),'Full Inventory'!F:F,0))),"X","_"),"_")</f>
        <v>_</v>
      </c>
      <c r="L850" t="str">
        <f t="shared" ca="1" si="54"/>
        <v>__X_</v>
      </c>
      <c r="M850" t="str">
        <f t="shared" ca="1" si="55"/>
        <v/>
      </c>
    </row>
    <row r="851" spans="1:13" x14ac:dyDescent="0.25">
      <c r="A851" s="5"/>
      <c r="B851" s="4" t="str">
        <f t="shared" si="53"/>
        <v/>
      </c>
      <c r="C851" t="str">
        <f>IF(AND(TRIM(A851)&lt;&gt;"",IFERROR(VLOOKUP(TRIM(B851),Inventory!E:E,1,0),0)=0),"X","_")</f>
        <v>_</v>
      </c>
      <c r="D851" t="str">
        <f>IF(AND(TRIM(A851)&lt;&gt;"",IFERROR(VLOOKUP(TRIM(B851),'Full Inventory'!F:F,1,0),0)=0),"X","_")</f>
        <v>_</v>
      </c>
      <c r="E851" t="str">
        <f t="shared" si="52"/>
        <v>X</v>
      </c>
      <c r="F851" t="str">
        <f ca="1">IFERROR(IF(AND(C851&amp;D851&amp;E851="___",INDIRECT("Inventory!A"&amp;MATCH(VLOOKUP(B851,Inventory!E:E,1,0),Inventory!E:E,0))&lt;&gt;INDIRECT("'Full Inventory'!B"&amp;MATCH(VLOOKUP(B851,'Full Inventory'!F:F,1,0),'Full Inventory'!F:F,0))),"X","_"),"_")</f>
        <v>_</v>
      </c>
      <c r="L851" t="str">
        <f t="shared" ca="1" si="54"/>
        <v>__X_</v>
      </c>
      <c r="M851" t="str">
        <f t="shared" ca="1" si="55"/>
        <v/>
      </c>
    </row>
    <row r="852" spans="1:13" x14ac:dyDescent="0.25">
      <c r="A852" s="5"/>
      <c r="B852" s="4" t="str">
        <f t="shared" si="53"/>
        <v/>
      </c>
      <c r="C852" t="str">
        <f>IF(AND(TRIM(A852)&lt;&gt;"",IFERROR(VLOOKUP(TRIM(B852),Inventory!E:E,1,0),0)=0),"X","_")</f>
        <v>_</v>
      </c>
      <c r="D852" t="str">
        <f>IF(AND(TRIM(A852)&lt;&gt;"",IFERROR(VLOOKUP(TRIM(B852),'Full Inventory'!F:F,1,0),0)=0),"X","_")</f>
        <v>_</v>
      </c>
      <c r="E852" t="str">
        <f t="shared" ref="E852:E915" si="56">IF(TRIM(A852)&lt;&gt;"","_","X")</f>
        <v>X</v>
      </c>
      <c r="F852" t="str">
        <f ca="1">IFERROR(IF(AND(C852&amp;D852&amp;E852="___",INDIRECT("Inventory!A"&amp;MATCH(VLOOKUP(B852,Inventory!E:E,1,0),Inventory!E:E,0))&lt;&gt;INDIRECT("'Full Inventory'!B"&amp;MATCH(VLOOKUP(B852,'Full Inventory'!F:F,1,0),'Full Inventory'!F:F,0))),"X","_"),"_")</f>
        <v>_</v>
      </c>
      <c r="L852" t="str">
        <f t="shared" ca="1" si="54"/>
        <v>__X_</v>
      </c>
      <c r="M852" t="str">
        <f t="shared" ca="1" si="55"/>
        <v/>
      </c>
    </row>
    <row r="853" spans="1:13" x14ac:dyDescent="0.25">
      <c r="A853" s="5"/>
      <c r="B853" s="4" t="str">
        <f t="shared" si="53"/>
        <v/>
      </c>
      <c r="C853" t="str">
        <f>IF(AND(TRIM(A853)&lt;&gt;"",IFERROR(VLOOKUP(TRIM(B853),Inventory!E:E,1,0),0)=0),"X","_")</f>
        <v>_</v>
      </c>
      <c r="D853" t="str">
        <f>IF(AND(TRIM(A853)&lt;&gt;"",IFERROR(VLOOKUP(TRIM(B853),'Full Inventory'!F:F,1,0),0)=0),"X","_")</f>
        <v>_</v>
      </c>
      <c r="E853" t="str">
        <f t="shared" si="56"/>
        <v>X</v>
      </c>
      <c r="F853" t="str">
        <f ca="1">IFERROR(IF(AND(C853&amp;D853&amp;E853="___",INDIRECT("Inventory!A"&amp;MATCH(VLOOKUP(B853,Inventory!E:E,1,0),Inventory!E:E,0))&lt;&gt;INDIRECT("'Full Inventory'!B"&amp;MATCH(VLOOKUP(B853,'Full Inventory'!F:F,1,0),'Full Inventory'!F:F,0))),"X","_"),"_")</f>
        <v>_</v>
      </c>
      <c r="L853" t="str">
        <f t="shared" ca="1" si="54"/>
        <v>__X_</v>
      </c>
      <c r="M853" t="str">
        <f t="shared" ca="1" si="55"/>
        <v/>
      </c>
    </row>
    <row r="854" spans="1:13" x14ac:dyDescent="0.25">
      <c r="A854" s="5"/>
      <c r="B854" s="4" t="str">
        <f t="shared" si="53"/>
        <v/>
      </c>
      <c r="C854" t="str">
        <f>IF(AND(TRIM(A854)&lt;&gt;"",IFERROR(VLOOKUP(TRIM(B854),Inventory!E:E,1,0),0)=0),"X","_")</f>
        <v>_</v>
      </c>
      <c r="D854" t="str">
        <f>IF(AND(TRIM(A854)&lt;&gt;"",IFERROR(VLOOKUP(TRIM(B854),'Full Inventory'!F:F,1,0),0)=0),"X","_")</f>
        <v>_</v>
      </c>
      <c r="E854" t="str">
        <f t="shared" si="56"/>
        <v>X</v>
      </c>
      <c r="F854" t="str">
        <f ca="1">IFERROR(IF(AND(C854&amp;D854&amp;E854="___",INDIRECT("Inventory!A"&amp;MATCH(VLOOKUP(B854,Inventory!E:E,1,0),Inventory!E:E,0))&lt;&gt;INDIRECT("'Full Inventory'!B"&amp;MATCH(VLOOKUP(B854,'Full Inventory'!F:F,1,0),'Full Inventory'!F:F,0))),"X","_"),"_")</f>
        <v>_</v>
      </c>
      <c r="L854" t="str">
        <f t="shared" ca="1" si="54"/>
        <v>__X_</v>
      </c>
      <c r="M854" t="str">
        <f t="shared" ca="1" si="55"/>
        <v/>
      </c>
    </row>
    <row r="855" spans="1:13" x14ac:dyDescent="0.25">
      <c r="A855" s="5"/>
      <c r="B855" s="4" t="str">
        <f t="shared" si="53"/>
        <v/>
      </c>
      <c r="C855" t="str">
        <f>IF(AND(TRIM(A855)&lt;&gt;"",IFERROR(VLOOKUP(TRIM(B855),Inventory!E:E,1,0),0)=0),"X","_")</f>
        <v>_</v>
      </c>
      <c r="D855" t="str">
        <f>IF(AND(TRIM(A855)&lt;&gt;"",IFERROR(VLOOKUP(TRIM(B855),'Full Inventory'!F:F,1,0),0)=0),"X","_")</f>
        <v>_</v>
      </c>
      <c r="E855" t="str">
        <f t="shared" si="56"/>
        <v>X</v>
      </c>
      <c r="F855" t="str">
        <f ca="1">IFERROR(IF(AND(C855&amp;D855&amp;E855="___",INDIRECT("Inventory!A"&amp;MATCH(VLOOKUP(B855,Inventory!E:E,1,0),Inventory!E:E,0))&lt;&gt;INDIRECT("'Full Inventory'!B"&amp;MATCH(VLOOKUP(B855,'Full Inventory'!F:F,1,0),'Full Inventory'!F:F,0))),"X","_"),"_")</f>
        <v>_</v>
      </c>
      <c r="L855" t="str">
        <f t="shared" ca="1" si="54"/>
        <v>__X_</v>
      </c>
      <c r="M855" t="str">
        <f t="shared" ca="1" si="55"/>
        <v/>
      </c>
    </row>
    <row r="856" spans="1:13" x14ac:dyDescent="0.25">
      <c r="A856" s="5"/>
      <c r="B856" s="4" t="str">
        <f t="shared" si="53"/>
        <v/>
      </c>
      <c r="C856" t="str">
        <f>IF(AND(TRIM(A856)&lt;&gt;"",IFERROR(VLOOKUP(TRIM(B856),Inventory!E:E,1,0),0)=0),"X","_")</f>
        <v>_</v>
      </c>
      <c r="D856" t="str">
        <f>IF(AND(TRIM(A856)&lt;&gt;"",IFERROR(VLOOKUP(TRIM(B856),'Full Inventory'!F:F,1,0),0)=0),"X","_")</f>
        <v>_</v>
      </c>
      <c r="E856" t="str">
        <f t="shared" si="56"/>
        <v>X</v>
      </c>
      <c r="F856" t="str">
        <f ca="1">IFERROR(IF(AND(C856&amp;D856&amp;E856="___",INDIRECT("Inventory!A"&amp;MATCH(VLOOKUP(B856,Inventory!E:E,1,0),Inventory!E:E,0))&lt;&gt;INDIRECT("'Full Inventory'!B"&amp;MATCH(VLOOKUP(B856,'Full Inventory'!F:F,1,0),'Full Inventory'!F:F,0))),"X","_"),"_")</f>
        <v>_</v>
      </c>
      <c r="L856" t="str">
        <f t="shared" ca="1" si="54"/>
        <v>__X_</v>
      </c>
      <c r="M856" t="str">
        <f t="shared" ca="1" si="55"/>
        <v/>
      </c>
    </row>
    <row r="857" spans="1:13" x14ac:dyDescent="0.25">
      <c r="A857" s="5"/>
      <c r="B857" s="4" t="str">
        <f t="shared" si="53"/>
        <v/>
      </c>
      <c r="C857" t="str">
        <f>IF(AND(TRIM(A857)&lt;&gt;"",IFERROR(VLOOKUP(TRIM(B857),Inventory!E:E,1,0),0)=0),"X","_")</f>
        <v>_</v>
      </c>
      <c r="D857" t="str">
        <f>IF(AND(TRIM(A857)&lt;&gt;"",IFERROR(VLOOKUP(TRIM(B857),'Full Inventory'!F:F,1,0),0)=0),"X","_")</f>
        <v>_</v>
      </c>
      <c r="E857" t="str">
        <f t="shared" si="56"/>
        <v>X</v>
      </c>
      <c r="F857" t="str">
        <f ca="1">IFERROR(IF(AND(C857&amp;D857&amp;E857="___",INDIRECT("Inventory!A"&amp;MATCH(VLOOKUP(B857,Inventory!E:E,1,0),Inventory!E:E,0))&lt;&gt;INDIRECT("'Full Inventory'!B"&amp;MATCH(VLOOKUP(B857,'Full Inventory'!F:F,1,0),'Full Inventory'!F:F,0))),"X","_"),"_")</f>
        <v>_</v>
      </c>
      <c r="L857" t="str">
        <f t="shared" ca="1" si="54"/>
        <v>__X_</v>
      </c>
      <c r="M857" t="str">
        <f t="shared" ca="1" si="55"/>
        <v/>
      </c>
    </row>
    <row r="858" spans="1:13" x14ac:dyDescent="0.25">
      <c r="A858" s="5"/>
      <c r="B858" s="4" t="str">
        <f t="shared" si="53"/>
        <v/>
      </c>
      <c r="C858" t="str">
        <f>IF(AND(TRIM(A858)&lt;&gt;"",IFERROR(VLOOKUP(TRIM(B858),Inventory!E:E,1,0),0)=0),"X","_")</f>
        <v>_</v>
      </c>
      <c r="D858" t="str">
        <f>IF(AND(TRIM(A858)&lt;&gt;"",IFERROR(VLOOKUP(TRIM(B858),'Full Inventory'!F:F,1,0),0)=0),"X","_")</f>
        <v>_</v>
      </c>
      <c r="E858" t="str">
        <f t="shared" si="56"/>
        <v>X</v>
      </c>
      <c r="F858" t="str">
        <f ca="1">IFERROR(IF(AND(C858&amp;D858&amp;E858="___",INDIRECT("Inventory!A"&amp;MATCH(VLOOKUP(B858,Inventory!E:E,1,0),Inventory!E:E,0))&lt;&gt;INDIRECT("'Full Inventory'!B"&amp;MATCH(VLOOKUP(B858,'Full Inventory'!F:F,1,0),'Full Inventory'!F:F,0))),"X","_"),"_")</f>
        <v>_</v>
      </c>
      <c r="L858" t="str">
        <f t="shared" ca="1" si="54"/>
        <v>__X_</v>
      </c>
      <c r="M858" t="str">
        <f t="shared" ca="1" si="55"/>
        <v/>
      </c>
    </row>
    <row r="859" spans="1:13" x14ac:dyDescent="0.25">
      <c r="A859" s="5"/>
      <c r="B859" s="4" t="str">
        <f t="shared" si="53"/>
        <v/>
      </c>
      <c r="C859" t="str">
        <f>IF(AND(TRIM(A859)&lt;&gt;"",IFERROR(VLOOKUP(TRIM(B859),Inventory!E:E,1,0),0)=0),"X","_")</f>
        <v>_</v>
      </c>
      <c r="D859" t="str">
        <f>IF(AND(TRIM(A859)&lt;&gt;"",IFERROR(VLOOKUP(TRIM(B859),'Full Inventory'!F:F,1,0),0)=0),"X","_")</f>
        <v>_</v>
      </c>
      <c r="E859" t="str">
        <f t="shared" si="56"/>
        <v>X</v>
      </c>
      <c r="F859" t="str">
        <f ca="1">IFERROR(IF(AND(C859&amp;D859&amp;E859="___",INDIRECT("Inventory!A"&amp;MATCH(VLOOKUP(B859,Inventory!E:E,1,0),Inventory!E:E,0))&lt;&gt;INDIRECT("'Full Inventory'!B"&amp;MATCH(VLOOKUP(B859,'Full Inventory'!F:F,1,0),'Full Inventory'!F:F,0))),"X","_"),"_")</f>
        <v>_</v>
      </c>
      <c r="L859" t="str">
        <f t="shared" ca="1" si="54"/>
        <v>__X_</v>
      </c>
      <c r="M859" t="str">
        <f t="shared" ca="1" si="55"/>
        <v/>
      </c>
    </row>
    <row r="860" spans="1:13" x14ac:dyDescent="0.25">
      <c r="A860" s="5"/>
      <c r="B860" s="4" t="str">
        <f t="shared" si="53"/>
        <v/>
      </c>
      <c r="C860" t="str">
        <f>IF(AND(TRIM(A860)&lt;&gt;"",IFERROR(VLOOKUP(TRIM(B860),Inventory!E:E,1,0),0)=0),"X","_")</f>
        <v>_</v>
      </c>
      <c r="D860" t="str">
        <f>IF(AND(TRIM(A860)&lt;&gt;"",IFERROR(VLOOKUP(TRIM(B860),'Full Inventory'!F:F,1,0),0)=0),"X","_")</f>
        <v>_</v>
      </c>
      <c r="E860" t="str">
        <f t="shared" si="56"/>
        <v>X</v>
      </c>
      <c r="F860" t="str">
        <f ca="1">IFERROR(IF(AND(C860&amp;D860&amp;E860="___",INDIRECT("Inventory!A"&amp;MATCH(VLOOKUP(B860,Inventory!E:E,1,0),Inventory!E:E,0))&lt;&gt;INDIRECT("'Full Inventory'!B"&amp;MATCH(VLOOKUP(B860,'Full Inventory'!F:F,1,0),'Full Inventory'!F:F,0))),"X","_"),"_")</f>
        <v>_</v>
      </c>
      <c r="L860" t="str">
        <f t="shared" ca="1" si="54"/>
        <v>__X_</v>
      </c>
      <c r="M860" t="str">
        <f t="shared" ca="1" si="55"/>
        <v/>
      </c>
    </row>
    <row r="861" spans="1:13" x14ac:dyDescent="0.25">
      <c r="A861" s="5"/>
      <c r="B861" s="4" t="str">
        <f t="shared" si="53"/>
        <v/>
      </c>
      <c r="C861" t="str">
        <f>IF(AND(TRIM(A861)&lt;&gt;"",IFERROR(VLOOKUP(TRIM(B861),Inventory!E:E,1,0),0)=0),"X","_")</f>
        <v>_</v>
      </c>
      <c r="D861" t="str">
        <f>IF(AND(TRIM(A861)&lt;&gt;"",IFERROR(VLOOKUP(TRIM(B861),'Full Inventory'!F:F,1,0),0)=0),"X","_")</f>
        <v>_</v>
      </c>
      <c r="E861" t="str">
        <f t="shared" si="56"/>
        <v>X</v>
      </c>
      <c r="F861" t="str">
        <f ca="1">IFERROR(IF(AND(C861&amp;D861&amp;E861="___",INDIRECT("Inventory!A"&amp;MATCH(VLOOKUP(B861,Inventory!E:E,1,0),Inventory!E:E,0))&lt;&gt;INDIRECT("'Full Inventory'!B"&amp;MATCH(VLOOKUP(B861,'Full Inventory'!F:F,1,0),'Full Inventory'!F:F,0))),"X","_"),"_")</f>
        <v>_</v>
      </c>
      <c r="L861" t="str">
        <f t="shared" ca="1" si="54"/>
        <v>__X_</v>
      </c>
      <c r="M861" t="str">
        <f t="shared" ca="1" si="55"/>
        <v/>
      </c>
    </row>
    <row r="862" spans="1:13" x14ac:dyDescent="0.25">
      <c r="A862" s="5"/>
      <c r="B862" s="4" t="str">
        <f t="shared" si="53"/>
        <v/>
      </c>
      <c r="C862" t="str">
        <f>IF(AND(TRIM(A862)&lt;&gt;"",IFERROR(VLOOKUP(TRIM(B862),Inventory!E:E,1,0),0)=0),"X","_")</f>
        <v>_</v>
      </c>
      <c r="D862" t="str">
        <f>IF(AND(TRIM(A862)&lt;&gt;"",IFERROR(VLOOKUP(TRIM(B862),'Full Inventory'!F:F,1,0),0)=0),"X","_")</f>
        <v>_</v>
      </c>
      <c r="E862" t="str">
        <f t="shared" si="56"/>
        <v>X</v>
      </c>
      <c r="F862" t="str">
        <f ca="1">IFERROR(IF(AND(C862&amp;D862&amp;E862="___",INDIRECT("Inventory!A"&amp;MATCH(VLOOKUP(B862,Inventory!E:E,1,0),Inventory!E:E,0))&lt;&gt;INDIRECT("'Full Inventory'!B"&amp;MATCH(VLOOKUP(B862,'Full Inventory'!F:F,1,0),'Full Inventory'!F:F,0))),"X","_"),"_")</f>
        <v>_</v>
      </c>
      <c r="L862" t="str">
        <f t="shared" ca="1" si="54"/>
        <v>__X_</v>
      </c>
      <c r="M862" t="str">
        <f t="shared" ca="1" si="55"/>
        <v/>
      </c>
    </row>
    <row r="863" spans="1:13" x14ac:dyDescent="0.25">
      <c r="A863" s="5"/>
      <c r="B863" s="4" t="str">
        <f t="shared" si="53"/>
        <v/>
      </c>
      <c r="C863" t="str">
        <f>IF(AND(TRIM(A863)&lt;&gt;"",IFERROR(VLOOKUP(TRIM(B863),Inventory!E:E,1,0),0)=0),"X","_")</f>
        <v>_</v>
      </c>
      <c r="D863" t="str">
        <f>IF(AND(TRIM(A863)&lt;&gt;"",IFERROR(VLOOKUP(TRIM(B863),'Full Inventory'!F:F,1,0),0)=0),"X","_")</f>
        <v>_</v>
      </c>
      <c r="E863" t="str">
        <f t="shared" si="56"/>
        <v>X</v>
      </c>
      <c r="F863" t="str">
        <f ca="1">IFERROR(IF(AND(C863&amp;D863&amp;E863="___",INDIRECT("Inventory!A"&amp;MATCH(VLOOKUP(B863,Inventory!E:E,1,0),Inventory!E:E,0))&lt;&gt;INDIRECT("'Full Inventory'!B"&amp;MATCH(VLOOKUP(B863,'Full Inventory'!F:F,1,0),'Full Inventory'!F:F,0))),"X","_"),"_")</f>
        <v>_</v>
      </c>
      <c r="L863" t="str">
        <f t="shared" ca="1" si="54"/>
        <v>__X_</v>
      </c>
      <c r="M863" t="str">
        <f t="shared" ca="1" si="55"/>
        <v/>
      </c>
    </row>
    <row r="864" spans="1:13" x14ac:dyDescent="0.25">
      <c r="A864" s="5"/>
      <c r="B864" s="4" t="str">
        <f t="shared" si="53"/>
        <v/>
      </c>
      <c r="C864" t="str">
        <f>IF(AND(TRIM(A864)&lt;&gt;"",IFERROR(VLOOKUP(TRIM(B864),Inventory!E:E,1,0),0)=0),"X","_")</f>
        <v>_</v>
      </c>
      <c r="D864" t="str">
        <f>IF(AND(TRIM(A864)&lt;&gt;"",IFERROR(VLOOKUP(TRIM(B864),'Full Inventory'!F:F,1,0),0)=0),"X","_")</f>
        <v>_</v>
      </c>
      <c r="E864" t="str">
        <f t="shared" si="56"/>
        <v>X</v>
      </c>
      <c r="F864" t="str">
        <f ca="1">IFERROR(IF(AND(C864&amp;D864&amp;E864="___",INDIRECT("Inventory!A"&amp;MATCH(VLOOKUP(B864,Inventory!E:E,1,0),Inventory!E:E,0))&lt;&gt;INDIRECT("'Full Inventory'!B"&amp;MATCH(VLOOKUP(B864,'Full Inventory'!F:F,1,0),'Full Inventory'!F:F,0))),"X","_"),"_")</f>
        <v>_</v>
      </c>
      <c r="L864" t="str">
        <f t="shared" ca="1" si="54"/>
        <v>__X_</v>
      </c>
      <c r="M864" t="str">
        <f t="shared" ca="1" si="55"/>
        <v/>
      </c>
    </row>
    <row r="865" spans="1:13" x14ac:dyDescent="0.25">
      <c r="A865" s="5"/>
      <c r="B865" s="4" t="str">
        <f t="shared" si="53"/>
        <v/>
      </c>
      <c r="C865" t="str">
        <f>IF(AND(TRIM(A865)&lt;&gt;"",IFERROR(VLOOKUP(TRIM(B865),Inventory!E:E,1,0),0)=0),"X","_")</f>
        <v>_</v>
      </c>
      <c r="D865" t="str">
        <f>IF(AND(TRIM(A865)&lt;&gt;"",IFERROR(VLOOKUP(TRIM(B865),'Full Inventory'!F:F,1,0),0)=0),"X","_")</f>
        <v>_</v>
      </c>
      <c r="E865" t="str">
        <f t="shared" si="56"/>
        <v>X</v>
      </c>
      <c r="F865" t="str">
        <f ca="1">IFERROR(IF(AND(C865&amp;D865&amp;E865="___",INDIRECT("Inventory!A"&amp;MATCH(VLOOKUP(B865,Inventory!E:E,1,0),Inventory!E:E,0))&lt;&gt;INDIRECT("'Full Inventory'!B"&amp;MATCH(VLOOKUP(B865,'Full Inventory'!F:F,1,0),'Full Inventory'!F:F,0))),"X","_"),"_")</f>
        <v>_</v>
      </c>
      <c r="L865" t="str">
        <f t="shared" ca="1" si="54"/>
        <v>__X_</v>
      </c>
      <c r="M865" t="str">
        <f t="shared" ca="1" si="55"/>
        <v/>
      </c>
    </row>
    <row r="866" spans="1:13" x14ac:dyDescent="0.25">
      <c r="A866" s="5"/>
      <c r="B866" s="4" t="str">
        <f t="shared" si="53"/>
        <v/>
      </c>
      <c r="C866" t="str">
        <f>IF(AND(TRIM(A866)&lt;&gt;"",IFERROR(VLOOKUP(TRIM(B866),Inventory!E:E,1,0),0)=0),"X","_")</f>
        <v>_</v>
      </c>
      <c r="D866" t="str">
        <f>IF(AND(TRIM(A866)&lt;&gt;"",IFERROR(VLOOKUP(TRIM(B866),'Full Inventory'!F:F,1,0),0)=0),"X","_")</f>
        <v>_</v>
      </c>
      <c r="E866" t="str">
        <f t="shared" si="56"/>
        <v>X</v>
      </c>
      <c r="F866" t="str">
        <f ca="1">IFERROR(IF(AND(C866&amp;D866&amp;E866="___",INDIRECT("Inventory!A"&amp;MATCH(VLOOKUP(B866,Inventory!E:E,1,0),Inventory!E:E,0))&lt;&gt;INDIRECT("'Full Inventory'!B"&amp;MATCH(VLOOKUP(B866,'Full Inventory'!F:F,1,0),'Full Inventory'!F:F,0))),"X","_"),"_")</f>
        <v>_</v>
      </c>
      <c r="L866" t="str">
        <f t="shared" ca="1" si="54"/>
        <v>__X_</v>
      </c>
      <c r="M866" t="str">
        <f t="shared" ca="1" si="55"/>
        <v/>
      </c>
    </row>
    <row r="867" spans="1:13" x14ac:dyDescent="0.25">
      <c r="A867" s="5"/>
      <c r="B867" s="4" t="str">
        <f t="shared" si="53"/>
        <v/>
      </c>
      <c r="C867" t="str">
        <f>IF(AND(TRIM(A867)&lt;&gt;"",IFERROR(VLOOKUP(TRIM(B867),Inventory!E:E,1,0),0)=0),"X","_")</f>
        <v>_</v>
      </c>
      <c r="D867" t="str">
        <f>IF(AND(TRIM(A867)&lt;&gt;"",IFERROR(VLOOKUP(TRIM(B867),'Full Inventory'!F:F,1,0),0)=0),"X","_")</f>
        <v>_</v>
      </c>
      <c r="E867" t="str">
        <f t="shared" si="56"/>
        <v>X</v>
      </c>
      <c r="F867" t="str">
        <f ca="1">IFERROR(IF(AND(C867&amp;D867&amp;E867="___",INDIRECT("Inventory!A"&amp;MATCH(VLOOKUP(B867,Inventory!E:E,1,0),Inventory!E:E,0))&lt;&gt;INDIRECT("'Full Inventory'!B"&amp;MATCH(VLOOKUP(B867,'Full Inventory'!F:F,1,0),'Full Inventory'!F:F,0))),"X","_"),"_")</f>
        <v>_</v>
      </c>
      <c r="L867" t="str">
        <f t="shared" ca="1" si="54"/>
        <v>__X_</v>
      </c>
      <c r="M867" t="str">
        <f t="shared" ca="1" si="55"/>
        <v/>
      </c>
    </row>
    <row r="868" spans="1:13" x14ac:dyDescent="0.25">
      <c r="A868" s="5"/>
      <c r="B868" s="4" t="str">
        <f t="shared" si="53"/>
        <v/>
      </c>
      <c r="C868" t="str">
        <f>IF(AND(TRIM(A868)&lt;&gt;"",IFERROR(VLOOKUP(TRIM(B868),Inventory!E:E,1,0),0)=0),"X","_")</f>
        <v>_</v>
      </c>
      <c r="D868" t="str">
        <f>IF(AND(TRIM(A868)&lt;&gt;"",IFERROR(VLOOKUP(TRIM(B868),'Full Inventory'!F:F,1,0),0)=0),"X","_")</f>
        <v>_</v>
      </c>
      <c r="E868" t="str">
        <f t="shared" si="56"/>
        <v>X</v>
      </c>
      <c r="F868" t="str">
        <f ca="1">IFERROR(IF(AND(C868&amp;D868&amp;E868="___",INDIRECT("Inventory!A"&amp;MATCH(VLOOKUP(B868,Inventory!E:E,1,0),Inventory!E:E,0))&lt;&gt;INDIRECT("'Full Inventory'!B"&amp;MATCH(VLOOKUP(B868,'Full Inventory'!F:F,1,0),'Full Inventory'!F:F,0))),"X","_"),"_")</f>
        <v>_</v>
      </c>
      <c r="L868" t="str">
        <f t="shared" ca="1" si="54"/>
        <v>__X_</v>
      </c>
      <c r="M868" t="str">
        <f t="shared" ca="1" si="55"/>
        <v/>
      </c>
    </row>
    <row r="869" spans="1:13" x14ac:dyDescent="0.25">
      <c r="A869" s="5"/>
      <c r="B869" s="4" t="str">
        <f t="shared" si="53"/>
        <v/>
      </c>
      <c r="C869" t="str">
        <f>IF(AND(TRIM(A869)&lt;&gt;"",IFERROR(VLOOKUP(TRIM(B869),Inventory!E:E,1,0),0)=0),"X","_")</f>
        <v>_</v>
      </c>
      <c r="D869" t="str">
        <f>IF(AND(TRIM(A869)&lt;&gt;"",IFERROR(VLOOKUP(TRIM(B869),'Full Inventory'!F:F,1,0),0)=0),"X","_")</f>
        <v>_</v>
      </c>
      <c r="E869" t="str">
        <f t="shared" si="56"/>
        <v>X</v>
      </c>
      <c r="F869" t="str">
        <f ca="1">IFERROR(IF(AND(C869&amp;D869&amp;E869="___",INDIRECT("Inventory!A"&amp;MATCH(VLOOKUP(B869,Inventory!E:E,1,0),Inventory!E:E,0))&lt;&gt;INDIRECT("'Full Inventory'!B"&amp;MATCH(VLOOKUP(B869,'Full Inventory'!F:F,1,0),'Full Inventory'!F:F,0))),"X","_"),"_")</f>
        <v>_</v>
      </c>
      <c r="L869" t="str">
        <f t="shared" ca="1" si="54"/>
        <v>__X_</v>
      </c>
      <c r="M869" t="str">
        <f t="shared" ca="1" si="55"/>
        <v/>
      </c>
    </row>
    <row r="870" spans="1:13" x14ac:dyDescent="0.25">
      <c r="A870" s="5"/>
      <c r="B870" s="4" t="str">
        <f t="shared" si="53"/>
        <v/>
      </c>
      <c r="C870" t="str">
        <f>IF(AND(TRIM(A870)&lt;&gt;"",IFERROR(VLOOKUP(TRIM(B870),Inventory!E:E,1,0),0)=0),"X","_")</f>
        <v>_</v>
      </c>
      <c r="D870" t="str">
        <f>IF(AND(TRIM(A870)&lt;&gt;"",IFERROR(VLOOKUP(TRIM(B870),'Full Inventory'!F:F,1,0),0)=0),"X","_")</f>
        <v>_</v>
      </c>
      <c r="E870" t="str">
        <f t="shared" si="56"/>
        <v>X</v>
      </c>
      <c r="F870" t="str">
        <f ca="1">IFERROR(IF(AND(C870&amp;D870&amp;E870="___",INDIRECT("Inventory!A"&amp;MATCH(VLOOKUP(B870,Inventory!E:E,1,0),Inventory!E:E,0))&lt;&gt;INDIRECT("'Full Inventory'!B"&amp;MATCH(VLOOKUP(B870,'Full Inventory'!F:F,1,0),'Full Inventory'!F:F,0))),"X","_"),"_")</f>
        <v>_</v>
      </c>
      <c r="L870" t="str">
        <f t="shared" ca="1" si="54"/>
        <v>__X_</v>
      </c>
      <c r="M870" t="str">
        <f t="shared" ca="1" si="55"/>
        <v/>
      </c>
    </row>
    <row r="871" spans="1:13" x14ac:dyDescent="0.25">
      <c r="A871" s="5"/>
      <c r="B871" s="4" t="str">
        <f t="shared" si="53"/>
        <v/>
      </c>
      <c r="C871" t="str">
        <f>IF(AND(TRIM(A871)&lt;&gt;"",IFERROR(VLOOKUP(TRIM(B871),Inventory!E:E,1,0),0)=0),"X","_")</f>
        <v>_</v>
      </c>
      <c r="D871" t="str">
        <f>IF(AND(TRIM(A871)&lt;&gt;"",IFERROR(VLOOKUP(TRIM(B871),'Full Inventory'!F:F,1,0),0)=0),"X","_")</f>
        <v>_</v>
      </c>
      <c r="E871" t="str">
        <f t="shared" si="56"/>
        <v>X</v>
      </c>
      <c r="F871" t="str">
        <f ca="1">IFERROR(IF(AND(C871&amp;D871&amp;E871="___",INDIRECT("Inventory!A"&amp;MATCH(VLOOKUP(B871,Inventory!E:E,1,0),Inventory!E:E,0))&lt;&gt;INDIRECT("'Full Inventory'!B"&amp;MATCH(VLOOKUP(B871,'Full Inventory'!F:F,1,0),'Full Inventory'!F:F,0))),"X","_"),"_")</f>
        <v>_</v>
      </c>
      <c r="L871" t="str">
        <f t="shared" ca="1" si="54"/>
        <v>__X_</v>
      </c>
      <c r="M871" t="str">
        <f t="shared" ca="1" si="55"/>
        <v/>
      </c>
    </row>
    <row r="872" spans="1:13" x14ac:dyDescent="0.25">
      <c r="A872" s="5"/>
      <c r="B872" s="4" t="str">
        <f t="shared" si="53"/>
        <v/>
      </c>
      <c r="C872" t="str">
        <f>IF(AND(TRIM(A872)&lt;&gt;"",IFERROR(VLOOKUP(TRIM(B872),Inventory!E:E,1,0),0)=0),"X","_")</f>
        <v>_</v>
      </c>
      <c r="D872" t="str">
        <f>IF(AND(TRIM(A872)&lt;&gt;"",IFERROR(VLOOKUP(TRIM(B872),'Full Inventory'!F:F,1,0),0)=0),"X","_")</f>
        <v>_</v>
      </c>
      <c r="E872" t="str">
        <f t="shared" si="56"/>
        <v>X</v>
      </c>
      <c r="F872" t="str">
        <f ca="1">IFERROR(IF(AND(C872&amp;D872&amp;E872="___",INDIRECT("Inventory!A"&amp;MATCH(VLOOKUP(B872,Inventory!E:E,1,0),Inventory!E:E,0))&lt;&gt;INDIRECT("'Full Inventory'!B"&amp;MATCH(VLOOKUP(B872,'Full Inventory'!F:F,1,0),'Full Inventory'!F:F,0))),"X","_"),"_")</f>
        <v>_</v>
      </c>
      <c r="L872" t="str">
        <f t="shared" ca="1" si="54"/>
        <v>__X_</v>
      </c>
      <c r="M872" t="str">
        <f t="shared" ca="1" si="55"/>
        <v/>
      </c>
    </row>
    <row r="873" spans="1:13" x14ac:dyDescent="0.25">
      <c r="A873" s="5"/>
      <c r="B873" s="4" t="str">
        <f t="shared" si="53"/>
        <v/>
      </c>
      <c r="C873" t="str">
        <f>IF(AND(TRIM(A873)&lt;&gt;"",IFERROR(VLOOKUP(TRIM(B873),Inventory!E:E,1,0),0)=0),"X","_")</f>
        <v>_</v>
      </c>
      <c r="D873" t="str">
        <f>IF(AND(TRIM(A873)&lt;&gt;"",IFERROR(VLOOKUP(TRIM(B873),'Full Inventory'!F:F,1,0),0)=0),"X","_")</f>
        <v>_</v>
      </c>
      <c r="E873" t="str">
        <f t="shared" si="56"/>
        <v>X</v>
      </c>
      <c r="F873" t="str">
        <f ca="1">IFERROR(IF(AND(C873&amp;D873&amp;E873="___",INDIRECT("Inventory!A"&amp;MATCH(VLOOKUP(B873,Inventory!E:E,1,0),Inventory!E:E,0))&lt;&gt;INDIRECT("'Full Inventory'!B"&amp;MATCH(VLOOKUP(B873,'Full Inventory'!F:F,1,0),'Full Inventory'!F:F,0))),"X","_"),"_")</f>
        <v>_</v>
      </c>
      <c r="L873" t="str">
        <f t="shared" ca="1" si="54"/>
        <v>__X_</v>
      </c>
      <c r="M873" t="str">
        <f t="shared" ca="1" si="55"/>
        <v/>
      </c>
    </row>
    <row r="874" spans="1:13" x14ac:dyDescent="0.25">
      <c r="A874" s="5"/>
      <c r="B874" s="4" t="str">
        <f t="shared" si="53"/>
        <v/>
      </c>
      <c r="C874" t="str">
        <f>IF(AND(TRIM(A874)&lt;&gt;"",IFERROR(VLOOKUP(TRIM(B874),Inventory!E:E,1,0),0)=0),"X","_")</f>
        <v>_</v>
      </c>
      <c r="D874" t="str">
        <f>IF(AND(TRIM(A874)&lt;&gt;"",IFERROR(VLOOKUP(TRIM(B874),'Full Inventory'!F:F,1,0),0)=0),"X","_")</f>
        <v>_</v>
      </c>
      <c r="E874" t="str">
        <f t="shared" si="56"/>
        <v>X</v>
      </c>
      <c r="F874" t="str">
        <f ca="1">IFERROR(IF(AND(C874&amp;D874&amp;E874="___",INDIRECT("Inventory!A"&amp;MATCH(VLOOKUP(B874,Inventory!E:E,1,0),Inventory!E:E,0))&lt;&gt;INDIRECT("'Full Inventory'!B"&amp;MATCH(VLOOKUP(B874,'Full Inventory'!F:F,1,0),'Full Inventory'!F:F,0))),"X","_"),"_")</f>
        <v>_</v>
      </c>
      <c r="L874" t="str">
        <f t="shared" ca="1" si="54"/>
        <v>__X_</v>
      </c>
      <c r="M874" t="str">
        <f t="shared" ca="1" si="55"/>
        <v/>
      </c>
    </row>
    <row r="875" spans="1:13" x14ac:dyDescent="0.25">
      <c r="A875" s="5"/>
      <c r="B875" s="4" t="str">
        <f t="shared" si="53"/>
        <v/>
      </c>
      <c r="C875" t="str">
        <f>IF(AND(TRIM(A875)&lt;&gt;"",IFERROR(VLOOKUP(TRIM(B875),Inventory!E:E,1,0),0)=0),"X","_")</f>
        <v>_</v>
      </c>
      <c r="D875" t="str">
        <f>IF(AND(TRIM(A875)&lt;&gt;"",IFERROR(VLOOKUP(TRIM(B875),'Full Inventory'!F:F,1,0),0)=0),"X","_")</f>
        <v>_</v>
      </c>
      <c r="E875" t="str">
        <f t="shared" si="56"/>
        <v>X</v>
      </c>
      <c r="F875" t="str">
        <f ca="1">IFERROR(IF(AND(C875&amp;D875&amp;E875="___",INDIRECT("Inventory!A"&amp;MATCH(VLOOKUP(B875,Inventory!E:E,1,0),Inventory!E:E,0))&lt;&gt;INDIRECT("'Full Inventory'!B"&amp;MATCH(VLOOKUP(B875,'Full Inventory'!F:F,1,0),'Full Inventory'!F:F,0))),"X","_"),"_")</f>
        <v>_</v>
      </c>
      <c r="L875" t="str">
        <f t="shared" ca="1" si="54"/>
        <v>__X_</v>
      </c>
      <c r="M875" t="str">
        <f t="shared" ca="1" si="55"/>
        <v/>
      </c>
    </row>
    <row r="876" spans="1:13" x14ac:dyDescent="0.25">
      <c r="A876" s="5"/>
      <c r="B876" s="4" t="str">
        <f t="shared" si="53"/>
        <v/>
      </c>
      <c r="C876" t="str">
        <f>IF(AND(TRIM(A876)&lt;&gt;"",IFERROR(VLOOKUP(TRIM(B876),Inventory!E:E,1,0),0)=0),"X","_")</f>
        <v>_</v>
      </c>
      <c r="D876" t="str">
        <f>IF(AND(TRIM(A876)&lt;&gt;"",IFERROR(VLOOKUP(TRIM(B876),'Full Inventory'!F:F,1,0),0)=0),"X","_")</f>
        <v>_</v>
      </c>
      <c r="E876" t="str">
        <f t="shared" si="56"/>
        <v>X</v>
      </c>
      <c r="F876" t="str">
        <f ca="1">IFERROR(IF(AND(C876&amp;D876&amp;E876="___",INDIRECT("Inventory!A"&amp;MATCH(VLOOKUP(B876,Inventory!E:E,1,0),Inventory!E:E,0))&lt;&gt;INDIRECT("'Full Inventory'!B"&amp;MATCH(VLOOKUP(B876,'Full Inventory'!F:F,1,0),'Full Inventory'!F:F,0))),"X","_"),"_")</f>
        <v>_</v>
      </c>
      <c r="L876" t="str">
        <f t="shared" ca="1" si="54"/>
        <v>__X_</v>
      </c>
      <c r="M876" t="str">
        <f t="shared" ca="1" si="55"/>
        <v/>
      </c>
    </row>
    <row r="877" spans="1:13" x14ac:dyDescent="0.25">
      <c r="A877" s="5"/>
      <c r="B877" s="4" t="str">
        <f t="shared" si="53"/>
        <v/>
      </c>
      <c r="C877" t="str">
        <f>IF(AND(TRIM(A877)&lt;&gt;"",IFERROR(VLOOKUP(TRIM(B877),Inventory!E:E,1,0),0)=0),"X","_")</f>
        <v>_</v>
      </c>
      <c r="D877" t="str">
        <f>IF(AND(TRIM(A877)&lt;&gt;"",IFERROR(VLOOKUP(TRIM(B877),'Full Inventory'!F:F,1,0),0)=0),"X","_")</f>
        <v>_</v>
      </c>
      <c r="E877" t="str">
        <f t="shared" si="56"/>
        <v>X</v>
      </c>
      <c r="F877" t="str">
        <f ca="1">IFERROR(IF(AND(C877&amp;D877&amp;E877="___",INDIRECT("Inventory!A"&amp;MATCH(VLOOKUP(B877,Inventory!E:E,1,0),Inventory!E:E,0))&lt;&gt;INDIRECT("'Full Inventory'!B"&amp;MATCH(VLOOKUP(B877,'Full Inventory'!F:F,1,0),'Full Inventory'!F:F,0))),"X","_"),"_")</f>
        <v>_</v>
      </c>
      <c r="L877" t="str">
        <f t="shared" ca="1" si="54"/>
        <v>__X_</v>
      </c>
      <c r="M877" t="str">
        <f t="shared" ca="1" si="55"/>
        <v/>
      </c>
    </row>
    <row r="878" spans="1:13" x14ac:dyDescent="0.25">
      <c r="A878" s="5"/>
      <c r="B878" s="4" t="str">
        <f t="shared" si="53"/>
        <v/>
      </c>
      <c r="C878" t="str">
        <f>IF(AND(TRIM(A878)&lt;&gt;"",IFERROR(VLOOKUP(TRIM(B878),Inventory!E:E,1,0),0)=0),"X","_")</f>
        <v>_</v>
      </c>
      <c r="D878" t="str">
        <f>IF(AND(TRIM(A878)&lt;&gt;"",IFERROR(VLOOKUP(TRIM(B878),'Full Inventory'!F:F,1,0),0)=0),"X","_")</f>
        <v>_</v>
      </c>
      <c r="E878" t="str">
        <f t="shared" si="56"/>
        <v>X</v>
      </c>
      <c r="F878" t="str">
        <f ca="1">IFERROR(IF(AND(C878&amp;D878&amp;E878="___",INDIRECT("Inventory!A"&amp;MATCH(VLOOKUP(B878,Inventory!E:E,1,0),Inventory!E:E,0))&lt;&gt;INDIRECT("'Full Inventory'!B"&amp;MATCH(VLOOKUP(B878,'Full Inventory'!F:F,1,0),'Full Inventory'!F:F,0))),"X","_"),"_")</f>
        <v>_</v>
      </c>
      <c r="L878" t="str">
        <f t="shared" ca="1" si="54"/>
        <v>__X_</v>
      </c>
      <c r="M878" t="str">
        <f t="shared" ca="1" si="55"/>
        <v/>
      </c>
    </row>
    <row r="879" spans="1:13" x14ac:dyDescent="0.25">
      <c r="A879" s="5"/>
      <c r="B879" s="4" t="str">
        <f t="shared" si="53"/>
        <v/>
      </c>
      <c r="C879" t="str">
        <f>IF(AND(TRIM(A879)&lt;&gt;"",IFERROR(VLOOKUP(TRIM(B879),Inventory!E:E,1,0),0)=0),"X","_")</f>
        <v>_</v>
      </c>
      <c r="D879" t="str">
        <f>IF(AND(TRIM(A879)&lt;&gt;"",IFERROR(VLOOKUP(TRIM(B879),'Full Inventory'!F:F,1,0),0)=0),"X","_")</f>
        <v>_</v>
      </c>
      <c r="E879" t="str">
        <f t="shared" si="56"/>
        <v>X</v>
      </c>
      <c r="F879" t="str">
        <f ca="1">IFERROR(IF(AND(C879&amp;D879&amp;E879="___",INDIRECT("Inventory!A"&amp;MATCH(VLOOKUP(B879,Inventory!E:E,1,0),Inventory!E:E,0))&lt;&gt;INDIRECT("'Full Inventory'!B"&amp;MATCH(VLOOKUP(B879,'Full Inventory'!F:F,1,0),'Full Inventory'!F:F,0))),"X","_"),"_")</f>
        <v>_</v>
      </c>
      <c r="L879" t="str">
        <f t="shared" ca="1" si="54"/>
        <v>__X_</v>
      </c>
      <c r="M879" t="str">
        <f t="shared" ca="1" si="55"/>
        <v/>
      </c>
    </row>
    <row r="880" spans="1:13" x14ac:dyDescent="0.25">
      <c r="A880" s="5"/>
      <c r="B880" s="4" t="str">
        <f t="shared" si="53"/>
        <v/>
      </c>
      <c r="C880" t="str">
        <f>IF(AND(TRIM(A880)&lt;&gt;"",IFERROR(VLOOKUP(TRIM(B880),Inventory!E:E,1,0),0)=0),"X","_")</f>
        <v>_</v>
      </c>
      <c r="D880" t="str">
        <f>IF(AND(TRIM(A880)&lt;&gt;"",IFERROR(VLOOKUP(TRIM(B880),'Full Inventory'!F:F,1,0),0)=0),"X","_")</f>
        <v>_</v>
      </c>
      <c r="E880" t="str">
        <f t="shared" si="56"/>
        <v>X</v>
      </c>
      <c r="F880" t="str">
        <f ca="1">IFERROR(IF(AND(C880&amp;D880&amp;E880="___",INDIRECT("Inventory!A"&amp;MATCH(VLOOKUP(B880,Inventory!E:E,1,0),Inventory!E:E,0))&lt;&gt;INDIRECT("'Full Inventory'!B"&amp;MATCH(VLOOKUP(B880,'Full Inventory'!F:F,1,0),'Full Inventory'!F:F,0))),"X","_"),"_")</f>
        <v>_</v>
      </c>
      <c r="L880" t="str">
        <f t="shared" ca="1" si="54"/>
        <v>__X_</v>
      </c>
      <c r="M880" t="str">
        <f t="shared" ca="1" si="55"/>
        <v/>
      </c>
    </row>
    <row r="881" spans="1:13" x14ac:dyDescent="0.25">
      <c r="A881" s="5"/>
      <c r="B881" s="4" t="str">
        <f t="shared" si="53"/>
        <v/>
      </c>
      <c r="C881" t="str">
        <f>IF(AND(TRIM(A881)&lt;&gt;"",IFERROR(VLOOKUP(TRIM(B881),Inventory!E:E,1,0),0)=0),"X","_")</f>
        <v>_</v>
      </c>
      <c r="D881" t="str">
        <f>IF(AND(TRIM(A881)&lt;&gt;"",IFERROR(VLOOKUP(TRIM(B881),'Full Inventory'!F:F,1,0),0)=0),"X","_")</f>
        <v>_</v>
      </c>
      <c r="E881" t="str">
        <f t="shared" si="56"/>
        <v>X</v>
      </c>
      <c r="F881" t="str">
        <f ca="1">IFERROR(IF(AND(C881&amp;D881&amp;E881="___",INDIRECT("Inventory!A"&amp;MATCH(VLOOKUP(B881,Inventory!E:E,1,0),Inventory!E:E,0))&lt;&gt;INDIRECT("'Full Inventory'!B"&amp;MATCH(VLOOKUP(B881,'Full Inventory'!F:F,1,0),'Full Inventory'!F:F,0))),"X","_"),"_")</f>
        <v>_</v>
      </c>
      <c r="L881" t="str">
        <f t="shared" ca="1" si="54"/>
        <v>__X_</v>
      </c>
      <c r="M881" t="str">
        <f t="shared" ca="1" si="55"/>
        <v/>
      </c>
    </row>
    <row r="882" spans="1:13" x14ac:dyDescent="0.25">
      <c r="A882" s="5"/>
      <c r="B882" s="4" t="str">
        <f t="shared" si="53"/>
        <v/>
      </c>
      <c r="C882" t="str">
        <f>IF(AND(TRIM(A882)&lt;&gt;"",IFERROR(VLOOKUP(TRIM(B882),Inventory!E:E,1,0),0)=0),"X","_")</f>
        <v>_</v>
      </c>
      <c r="D882" t="str">
        <f>IF(AND(TRIM(A882)&lt;&gt;"",IFERROR(VLOOKUP(TRIM(B882),'Full Inventory'!F:F,1,0),0)=0),"X","_")</f>
        <v>_</v>
      </c>
      <c r="E882" t="str">
        <f t="shared" si="56"/>
        <v>X</v>
      </c>
      <c r="F882" t="str">
        <f ca="1">IFERROR(IF(AND(C882&amp;D882&amp;E882="___",INDIRECT("Inventory!A"&amp;MATCH(VLOOKUP(B882,Inventory!E:E,1,0),Inventory!E:E,0))&lt;&gt;INDIRECT("'Full Inventory'!B"&amp;MATCH(VLOOKUP(B882,'Full Inventory'!F:F,1,0),'Full Inventory'!F:F,0))),"X","_"),"_")</f>
        <v>_</v>
      </c>
      <c r="L882" t="str">
        <f t="shared" ca="1" si="54"/>
        <v>__X_</v>
      </c>
      <c r="M882" t="str">
        <f t="shared" ca="1" si="55"/>
        <v/>
      </c>
    </row>
    <row r="883" spans="1:13" x14ac:dyDescent="0.25">
      <c r="A883" s="5"/>
      <c r="B883" s="4" t="str">
        <f t="shared" si="53"/>
        <v/>
      </c>
      <c r="C883" t="str">
        <f>IF(AND(TRIM(A883)&lt;&gt;"",IFERROR(VLOOKUP(TRIM(B883),Inventory!E:E,1,0),0)=0),"X","_")</f>
        <v>_</v>
      </c>
      <c r="D883" t="str">
        <f>IF(AND(TRIM(A883)&lt;&gt;"",IFERROR(VLOOKUP(TRIM(B883),'Full Inventory'!F:F,1,0),0)=0),"X","_")</f>
        <v>_</v>
      </c>
      <c r="E883" t="str">
        <f t="shared" si="56"/>
        <v>X</v>
      </c>
      <c r="F883" t="str">
        <f ca="1">IFERROR(IF(AND(C883&amp;D883&amp;E883="___",INDIRECT("Inventory!A"&amp;MATCH(VLOOKUP(B883,Inventory!E:E,1,0),Inventory!E:E,0))&lt;&gt;INDIRECT("'Full Inventory'!B"&amp;MATCH(VLOOKUP(B883,'Full Inventory'!F:F,1,0),'Full Inventory'!F:F,0))),"X","_"),"_")</f>
        <v>_</v>
      </c>
      <c r="L883" t="str">
        <f t="shared" ca="1" si="54"/>
        <v>__X_</v>
      </c>
      <c r="M883" t="str">
        <f t="shared" ca="1" si="55"/>
        <v/>
      </c>
    </row>
    <row r="884" spans="1:13" x14ac:dyDescent="0.25">
      <c r="A884" s="5"/>
      <c r="B884" s="4" t="str">
        <f t="shared" si="53"/>
        <v/>
      </c>
      <c r="C884" t="str">
        <f>IF(AND(TRIM(A884)&lt;&gt;"",IFERROR(VLOOKUP(TRIM(B884),Inventory!E:E,1,0),0)=0),"X","_")</f>
        <v>_</v>
      </c>
      <c r="D884" t="str">
        <f>IF(AND(TRIM(A884)&lt;&gt;"",IFERROR(VLOOKUP(TRIM(B884),'Full Inventory'!F:F,1,0),0)=0),"X","_")</f>
        <v>_</v>
      </c>
      <c r="E884" t="str">
        <f t="shared" si="56"/>
        <v>X</v>
      </c>
      <c r="F884" t="str">
        <f ca="1">IFERROR(IF(AND(C884&amp;D884&amp;E884="___",INDIRECT("Inventory!A"&amp;MATCH(VLOOKUP(B884,Inventory!E:E,1,0),Inventory!E:E,0))&lt;&gt;INDIRECT("'Full Inventory'!B"&amp;MATCH(VLOOKUP(B884,'Full Inventory'!F:F,1,0),'Full Inventory'!F:F,0))),"X","_"),"_")</f>
        <v>_</v>
      </c>
      <c r="L884" t="str">
        <f t="shared" ca="1" si="54"/>
        <v>__X_</v>
      </c>
      <c r="M884" t="str">
        <f t="shared" ca="1" si="55"/>
        <v/>
      </c>
    </row>
    <row r="885" spans="1:13" x14ac:dyDescent="0.25">
      <c r="A885" s="5"/>
      <c r="B885" s="4" t="str">
        <f t="shared" si="53"/>
        <v/>
      </c>
      <c r="C885" t="str">
        <f>IF(AND(TRIM(A885)&lt;&gt;"",IFERROR(VLOOKUP(TRIM(B885),Inventory!E:E,1,0),0)=0),"X","_")</f>
        <v>_</v>
      </c>
      <c r="D885" t="str">
        <f>IF(AND(TRIM(A885)&lt;&gt;"",IFERROR(VLOOKUP(TRIM(B885),'Full Inventory'!F:F,1,0),0)=0),"X","_")</f>
        <v>_</v>
      </c>
      <c r="E885" t="str">
        <f t="shared" si="56"/>
        <v>X</v>
      </c>
      <c r="F885" t="str">
        <f ca="1">IFERROR(IF(AND(C885&amp;D885&amp;E885="___",INDIRECT("Inventory!A"&amp;MATCH(VLOOKUP(B885,Inventory!E:E,1,0),Inventory!E:E,0))&lt;&gt;INDIRECT("'Full Inventory'!B"&amp;MATCH(VLOOKUP(B885,'Full Inventory'!F:F,1,0),'Full Inventory'!F:F,0))),"X","_"),"_")</f>
        <v>_</v>
      </c>
      <c r="L885" t="str">
        <f t="shared" ca="1" si="54"/>
        <v>__X_</v>
      </c>
      <c r="M885" t="str">
        <f t="shared" ca="1" si="55"/>
        <v/>
      </c>
    </row>
    <row r="886" spans="1:13" x14ac:dyDescent="0.25">
      <c r="A886" s="5"/>
      <c r="B886" s="4" t="str">
        <f t="shared" si="53"/>
        <v/>
      </c>
      <c r="C886" t="str">
        <f>IF(AND(TRIM(A886)&lt;&gt;"",IFERROR(VLOOKUP(TRIM(B886),Inventory!E:E,1,0),0)=0),"X","_")</f>
        <v>_</v>
      </c>
      <c r="D886" t="str">
        <f>IF(AND(TRIM(A886)&lt;&gt;"",IFERROR(VLOOKUP(TRIM(B886),'Full Inventory'!F:F,1,0),0)=0),"X","_")</f>
        <v>_</v>
      </c>
      <c r="E886" t="str">
        <f t="shared" si="56"/>
        <v>X</v>
      </c>
      <c r="F886" t="str">
        <f ca="1">IFERROR(IF(AND(C886&amp;D886&amp;E886="___",INDIRECT("Inventory!A"&amp;MATCH(VLOOKUP(B886,Inventory!E:E,1,0),Inventory!E:E,0))&lt;&gt;INDIRECT("'Full Inventory'!B"&amp;MATCH(VLOOKUP(B886,'Full Inventory'!F:F,1,0),'Full Inventory'!F:F,0))),"X","_"),"_")</f>
        <v>_</v>
      </c>
      <c r="L886" t="str">
        <f t="shared" ca="1" si="54"/>
        <v>__X_</v>
      </c>
      <c r="M886" t="str">
        <f t="shared" ca="1" si="55"/>
        <v/>
      </c>
    </row>
    <row r="887" spans="1:13" x14ac:dyDescent="0.25">
      <c r="A887" s="5"/>
      <c r="B887" s="4" t="str">
        <f t="shared" si="53"/>
        <v/>
      </c>
      <c r="C887" t="str">
        <f>IF(AND(TRIM(A887)&lt;&gt;"",IFERROR(VLOOKUP(TRIM(B887),Inventory!E:E,1,0),0)=0),"X","_")</f>
        <v>_</v>
      </c>
      <c r="D887" t="str">
        <f>IF(AND(TRIM(A887)&lt;&gt;"",IFERROR(VLOOKUP(TRIM(B887),'Full Inventory'!F:F,1,0),0)=0),"X","_")</f>
        <v>_</v>
      </c>
      <c r="E887" t="str">
        <f t="shared" si="56"/>
        <v>X</v>
      </c>
      <c r="F887" t="str">
        <f ca="1">IFERROR(IF(AND(C887&amp;D887&amp;E887="___",INDIRECT("Inventory!A"&amp;MATCH(VLOOKUP(B887,Inventory!E:E,1,0),Inventory!E:E,0))&lt;&gt;INDIRECT("'Full Inventory'!B"&amp;MATCH(VLOOKUP(B887,'Full Inventory'!F:F,1,0),'Full Inventory'!F:F,0))),"X","_"),"_")</f>
        <v>_</v>
      </c>
      <c r="L887" t="str">
        <f t="shared" ca="1" si="54"/>
        <v>__X_</v>
      </c>
      <c r="M887" t="str">
        <f t="shared" ca="1" si="55"/>
        <v/>
      </c>
    </row>
    <row r="888" spans="1:13" x14ac:dyDescent="0.25">
      <c r="A888" s="5"/>
      <c r="B888" s="4" t="str">
        <f t="shared" si="53"/>
        <v/>
      </c>
      <c r="C888" t="str">
        <f>IF(AND(TRIM(A888)&lt;&gt;"",IFERROR(VLOOKUP(TRIM(B888),Inventory!E:E,1,0),0)=0),"X","_")</f>
        <v>_</v>
      </c>
      <c r="D888" t="str">
        <f>IF(AND(TRIM(A888)&lt;&gt;"",IFERROR(VLOOKUP(TRIM(B888),'Full Inventory'!F:F,1,0),0)=0),"X","_")</f>
        <v>_</v>
      </c>
      <c r="E888" t="str">
        <f t="shared" si="56"/>
        <v>X</v>
      </c>
      <c r="F888" t="str">
        <f ca="1">IFERROR(IF(AND(C888&amp;D888&amp;E888="___",INDIRECT("Inventory!A"&amp;MATCH(VLOOKUP(B888,Inventory!E:E,1,0),Inventory!E:E,0))&lt;&gt;INDIRECT("'Full Inventory'!B"&amp;MATCH(VLOOKUP(B888,'Full Inventory'!F:F,1,0),'Full Inventory'!F:F,0))),"X","_"),"_")</f>
        <v>_</v>
      </c>
      <c r="L888" t="str">
        <f t="shared" ca="1" si="54"/>
        <v>__X_</v>
      </c>
      <c r="M888" t="str">
        <f t="shared" ca="1" si="55"/>
        <v/>
      </c>
    </row>
    <row r="889" spans="1:13" x14ac:dyDescent="0.25">
      <c r="A889" s="5"/>
      <c r="B889" s="4" t="str">
        <f t="shared" si="53"/>
        <v/>
      </c>
      <c r="C889" t="str">
        <f>IF(AND(TRIM(A889)&lt;&gt;"",IFERROR(VLOOKUP(TRIM(B889),Inventory!E:E,1,0),0)=0),"X","_")</f>
        <v>_</v>
      </c>
      <c r="D889" t="str">
        <f>IF(AND(TRIM(A889)&lt;&gt;"",IFERROR(VLOOKUP(TRIM(B889),'Full Inventory'!F:F,1,0),0)=0),"X","_")</f>
        <v>_</v>
      </c>
      <c r="E889" t="str">
        <f t="shared" si="56"/>
        <v>X</v>
      </c>
      <c r="F889" t="str">
        <f ca="1">IFERROR(IF(AND(C889&amp;D889&amp;E889="___",INDIRECT("Inventory!A"&amp;MATCH(VLOOKUP(B889,Inventory!E:E,1,0),Inventory!E:E,0))&lt;&gt;INDIRECT("'Full Inventory'!B"&amp;MATCH(VLOOKUP(B889,'Full Inventory'!F:F,1,0),'Full Inventory'!F:F,0))),"X","_"),"_")</f>
        <v>_</v>
      </c>
      <c r="L889" t="str">
        <f t="shared" ca="1" si="54"/>
        <v>__X_</v>
      </c>
      <c r="M889" t="str">
        <f t="shared" ca="1" si="55"/>
        <v/>
      </c>
    </row>
    <row r="890" spans="1:13" x14ac:dyDescent="0.25">
      <c r="A890" s="5"/>
      <c r="B890" s="4" t="str">
        <f t="shared" si="53"/>
        <v/>
      </c>
      <c r="C890" t="str">
        <f>IF(AND(TRIM(A890)&lt;&gt;"",IFERROR(VLOOKUP(TRIM(B890),Inventory!E:E,1,0),0)=0),"X","_")</f>
        <v>_</v>
      </c>
      <c r="D890" t="str">
        <f>IF(AND(TRIM(A890)&lt;&gt;"",IFERROR(VLOOKUP(TRIM(B890),'Full Inventory'!F:F,1,0),0)=0),"X","_")</f>
        <v>_</v>
      </c>
      <c r="E890" t="str">
        <f t="shared" si="56"/>
        <v>X</v>
      </c>
      <c r="F890" t="str">
        <f ca="1">IFERROR(IF(AND(C890&amp;D890&amp;E890="___",INDIRECT("Inventory!A"&amp;MATCH(VLOOKUP(B890,Inventory!E:E,1,0),Inventory!E:E,0))&lt;&gt;INDIRECT("'Full Inventory'!B"&amp;MATCH(VLOOKUP(B890,'Full Inventory'!F:F,1,0),'Full Inventory'!F:F,0))),"X","_"),"_")</f>
        <v>_</v>
      </c>
      <c r="L890" t="str">
        <f t="shared" ca="1" si="54"/>
        <v>__X_</v>
      </c>
      <c r="M890" t="str">
        <f t="shared" ca="1" si="55"/>
        <v/>
      </c>
    </row>
    <row r="891" spans="1:13" x14ac:dyDescent="0.25">
      <c r="A891" s="5"/>
      <c r="B891" s="4" t="str">
        <f t="shared" si="53"/>
        <v/>
      </c>
      <c r="C891" t="str">
        <f>IF(AND(TRIM(A891)&lt;&gt;"",IFERROR(VLOOKUP(TRIM(B891),Inventory!E:E,1,0),0)=0),"X","_")</f>
        <v>_</v>
      </c>
      <c r="D891" t="str">
        <f>IF(AND(TRIM(A891)&lt;&gt;"",IFERROR(VLOOKUP(TRIM(B891),'Full Inventory'!F:F,1,0),0)=0),"X","_")</f>
        <v>_</v>
      </c>
      <c r="E891" t="str">
        <f t="shared" si="56"/>
        <v>X</v>
      </c>
      <c r="F891" t="str">
        <f ca="1">IFERROR(IF(AND(C891&amp;D891&amp;E891="___",INDIRECT("Inventory!A"&amp;MATCH(VLOOKUP(B891,Inventory!E:E,1,0),Inventory!E:E,0))&lt;&gt;INDIRECT("'Full Inventory'!B"&amp;MATCH(VLOOKUP(B891,'Full Inventory'!F:F,1,0),'Full Inventory'!F:F,0))),"X","_"),"_")</f>
        <v>_</v>
      </c>
      <c r="L891" t="str">
        <f t="shared" ca="1" si="54"/>
        <v>__X_</v>
      </c>
      <c r="M891" t="str">
        <f t="shared" ca="1" si="55"/>
        <v/>
      </c>
    </row>
    <row r="892" spans="1:13" x14ac:dyDescent="0.25">
      <c r="A892" s="5"/>
      <c r="B892" s="4" t="str">
        <f t="shared" si="53"/>
        <v/>
      </c>
      <c r="C892" t="str">
        <f>IF(AND(TRIM(A892)&lt;&gt;"",IFERROR(VLOOKUP(TRIM(B892),Inventory!E:E,1,0),0)=0),"X","_")</f>
        <v>_</v>
      </c>
      <c r="D892" t="str">
        <f>IF(AND(TRIM(A892)&lt;&gt;"",IFERROR(VLOOKUP(TRIM(B892),'Full Inventory'!F:F,1,0),0)=0),"X","_")</f>
        <v>_</v>
      </c>
      <c r="E892" t="str">
        <f t="shared" si="56"/>
        <v>X</v>
      </c>
      <c r="F892" t="str">
        <f ca="1">IFERROR(IF(AND(C892&amp;D892&amp;E892="___",INDIRECT("Inventory!A"&amp;MATCH(VLOOKUP(B892,Inventory!E:E,1,0),Inventory!E:E,0))&lt;&gt;INDIRECT("'Full Inventory'!B"&amp;MATCH(VLOOKUP(B892,'Full Inventory'!F:F,1,0),'Full Inventory'!F:F,0))),"X","_"),"_")</f>
        <v>_</v>
      </c>
      <c r="L892" t="str">
        <f t="shared" ca="1" si="54"/>
        <v>__X_</v>
      </c>
      <c r="M892" t="str">
        <f t="shared" ca="1" si="55"/>
        <v/>
      </c>
    </row>
    <row r="893" spans="1:13" x14ac:dyDescent="0.25">
      <c r="A893" s="5"/>
      <c r="B893" s="4" t="str">
        <f t="shared" si="53"/>
        <v/>
      </c>
      <c r="C893" t="str">
        <f>IF(AND(TRIM(A893)&lt;&gt;"",IFERROR(VLOOKUP(TRIM(B893),Inventory!E:E,1,0),0)=0),"X","_")</f>
        <v>_</v>
      </c>
      <c r="D893" t="str">
        <f>IF(AND(TRIM(A893)&lt;&gt;"",IFERROR(VLOOKUP(TRIM(B893),'Full Inventory'!F:F,1,0),0)=0),"X","_")</f>
        <v>_</v>
      </c>
      <c r="E893" t="str">
        <f t="shared" si="56"/>
        <v>X</v>
      </c>
      <c r="F893" t="str">
        <f ca="1">IFERROR(IF(AND(C893&amp;D893&amp;E893="___",INDIRECT("Inventory!A"&amp;MATCH(VLOOKUP(B893,Inventory!E:E,1,0),Inventory!E:E,0))&lt;&gt;INDIRECT("'Full Inventory'!B"&amp;MATCH(VLOOKUP(B893,'Full Inventory'!F:F,1,0),'Full Inventory'!F:F,0))),"X","_"),"_")</f>
        <v>_</v>
      </c>
      <c r="L893" t="str">
        <f t="shared" ca="1" si="54"/>
        <v>__X_</v>
      </c>
      <c r="M893" t="str">
        <f t="shared" ca="1" si="55"/>
        <v/>
      </c>
    </row>
    <row r="894" spans="1:13" x14ac:dyDescent="0.25">
      <c r="A894" s="5"/>
      <c r="B894" s="4" t="str">
        <f t="shared" si="53"/>
        <v/>
      </c>
      <c r="C894" t="str">
        <f>IF(AND(TRIM(A894)&lt;&gt;"",IFERROR(VLOOKUP(TRIM(B894),Inventory!E:E,1,0),0)=0),"X","_")</f>
        <v>_</v>
      </c>
      <c r="D894" t="str">
        <f>IF(AND(TRIM(A894)&lt;&gt;"",IFERROR(VLOOKUP(TRIM(B894),'Full Inventory'!F:F,1,0),0)=0),"X","_")</f>
        <v>_</v>
      </c>
      <c r="E894" t="str">
        <f t="shared" si="56"/>
        <v>X</v>
      </c>
      <c r="F894" t="str">
        <f ca="1">IFERROR(IF(AND(C894&amp;D894&amp;E894="___",INDIRECT("Inventory!A"&amp;MATCH(VLOOKUP(B894,Inventory!E:E,1,0),Inventory!E:E,0))&lt;&gt;INDIRECT("'Full Inventory'!B"&amp;MATCH(VLOOKUP(B894,'Full Inventory'!F:F,1,0),'Full Inventory'!F:F,0))),"X","_"),"_")</f>
        <v>_</v>
      </c>
      <c r="L894" t="str">
        <f t="shared" ca="1" si="54"/>
        <v>__X_</v>
      </c>
      <c r="M894" t="str">
        <f t="shared" ca="1" si="55"/>
        <v/>
      </c>
    </row>
    <row r="895" spans="1:13" x14ac:dyDescent="0.25">
      <c r="A895" s="5"/>
      <c r="B895" s="4" t="str">
        <f t="shared" si="53"/>
        <v/>
      </c>
      <c r="C895" t="str">
        <f>IF(AND(TRIM(A895)&lt;&gt;"",IFERROR(VLOOKUP(TRIM(B895),Inventory!E:E,1,0),0)=0),"X","_")</f>
        <v>_</v>
      </c>
      <c r="D895" t="str">
        <f>IF(AND(TRIM(A895)&lt;&gt;"",IFERROR(VLOOKUP(TRIM(B895),'Full Inventory'!F:F,1,0),0)=0),"X","_")</f>
        <v>_</v>
      </c>
      <c r="E895" t="str">
        <f t="shared" si="56"/>
        <v>X</v>
      </c>
      <c r="F895" t="str">
        <f ca="1">IFERROR(IF(AND(C895&amp;D895&amp;E895="___",INDIRECT("Inventory!A"&amp;MATCH(VLOOKUP(B895,Inventory!E:E,1,0),Inventory!E:E,0))&lt;&gt;INDIRECT("'Full Inventory'!B"&amp;MATCH(VLOOKUP(B895,'Full Inventory'!F:F,1,0),'Full Inventory'!F:F,0))),"X","_"),"_")</f>
        <v>_</v>
      </c>
      <c r="L895" t="str">
        <f t="shared" ca="1" si="54"/>
        <v>__X_</v>
      </c>
      <c r="M895" t="str">
        <f t="shared" ca="1" si="55"/>
        <v/>
      </c>
    </row>
    <row r="896" spans="1:13" x14ac:dyDescent="0.25">
      <c r="A896" s="5"/>
      <c r="B896" s="4" t="str">
        <f t="shared" si="53"/>
        <v/>
      </c>
      <c r="C896" t="str">
        <f>IF(AND(TRIM(A896)&lt;&gt;"",IFERROR(VLOOKUP(TRIM(B896),Inventory!E:E,1,0),0)=0),"X","_")</f>
        <v>_</v>
      </c>
      <c r="D896" t="str">
        <f>IF(AND(TRIM(A896)&lt;&gt;"",IFERROR(VLOOKUP(TRIM(B896),'Full Inventory'!F:F,1,0),0)=0),"X","_")</f>
        <v>_</v>
      </c>
      <c r="E896" t="str">
        <f t="shared" si="56"/>
        <v>X</v>
      </c>
      <c r="F896" t="str">
        <f ca="1">IFERROR(IF(AND(C896&amp;D896&amp;E896="___",INDIRECT("Inventory!A"&amp;MATCH(VLOOKUP(B896,Inventory!E:E,1,0),Inventory!E:E,0))&lt;&gt;INDIRECT("'Full Inventory'!B"&amp;MATCH(VLOOKUP(B896,'Full Inventory'!F:F,1,0),'Full Inventory'!F:F,0))),"X","_"),"_")</f>
        <v>_</v>
      </c>
      <c r="L896" t="str">
        <f t="shared" ca="1" si="54"/>
        <v>__X_</v>
      </c>
      <c r="M896" t="str">
        <f t="shared" ca="1" si="55"/>
        <v/>
      </c>
    </row>
    <row r="897" spans="1:13" x14ac:dyDescent="0.25">
      <c r="A897" s="5"/>
      <c r="B897" s="4" t="str">
        <f t="shared" si="53"/>
        <v/>
      </c>
      <c r="C897" t="str">
        <f>IF(AND(TRIM(A897)&lt;&gt;"",IFERROR(VLOOKUP(TRIM(B897),Inventory!E:E,1,0),0)=0),"X","_")</f>
        <v>_</v>
      </c>
      <c r="D897" t="str">
        <f>IF(AND(TRIM(A897)&lt;&gt;"",IFERROR(VLOOKUP(TRIM(B897),'Full Inventory'!F:F,1,0),0)=0),"X","_")</f>
        <v>_</v>
      </c>
      <c r="E897" t="str">
        <f t="shared" si="56"/>
        <v>X</v>
      </c>
      <c r="F897" t="str">
        <f ca="1">IFERROR(IF(AND(C897&amp;D897&amp;E897="___",INDIRECT("Inventory!A"&amp;MATCH(VLOOKUP(B897,Inventory!E:E,1,0),Inventory!E:E,0))&lt;&gt;INDIRECT("'Full Inventory'!B"&amp;MATCH(VLOOKUP(B897,'Full Inventory'!F:F,1,0),'Full Inventory'!F:F,0))),"X","_"),"_")</f>
        <v>_</v>
      </c>
      <c r="L897" t="str">
        <f t="shared" ca="1" si="54"/>
        <v>__X_</v>
      </c>
      <c r="M897" t="str">
        <f t="shared" ca="1" si="55"/>
        <v/>
      </c>
    </row>
    <row r="898" spans="1:13" x14ac:dyDescent="0.25">
      <c r="A898" s="5"/>
      <c r="B898" s="4" t="str">
        <f t="shared" si="53"/>
        <v/>
      </c>
      <c r="C898" t="str">
        <f>IF(AND(TRIM(A898)&lt;&gt;"",IFERROR(VLOOKUP(TRIM(B898),Inventory!E:E,1,0),0)=0),"X","_")</f>
        <v>_</v>
      </c>
      <c r="D898" t="str">
        <f>IF(AND(TRIM(A898)&lt;&gt;"",IFERROR(VLOOKUP(TRIM(B898),'Full Inventory'!F:F,1,0),0)=0),"X","_")</f>
        <v>_</v>
      </c>
      <c r="E898" t="str">
        <f t="shared" si="56"/>
        <v>X</v>
      </c>
      <c r="F898" t="str">
        <f ca="1">IFERROR(IF(AND(C898&amp;D898&amp;E898="___",INDIRECT("Inventory!A"&amp;MATCH(VLOOKUP(B898,Inventory!E:E,1,0),Inventory!E:E,0))&lt;&gt;INDIRECT("'Full Inventory'!B"&amp;MATCH(VLOOKUP(B898,'Full Inventory'!F:F,1,0),'Full Inventory'!F:F,0))),"X","_"),"_")</f>
        <v>_</v>
      </c>
      <c r="L898" t="str">
        <f t="shared" ca="1" si="54"/>
        <v>__X_</v>
      </c>
      <c r="M898" t="str">
        <f t="shared" ca="1" si="55"/>
        <v/>
      </c>
    </row>
    <row r="899" spans="1:13" x14ac:dyDescent="0.25">
      <c r="A899" s="5"/>
      <c r="B899" s="4" t="str">
        <f t="shared" ref="B899:B962" si="57">SUBSTITUTE(SUBSTITUTE(A899,"ö","0"),"Ö","0")</f>
        <v/>
      </c>
      <c r="C899" t="str">
        <f>IF(AND(TRIM(A899)&lt;&gt;"",IFERROR(VLOOKUP(TRIM(B899),Inventory!E:E,1,0),0)=0),"X","_")</f>
        <v>_</v>
      </c>
      <c r="D899" t="str">
        <f>IF(AND(TRIM(A899)&lt;&gt;"",IFERROR(VLOOKUP(TRIM(B899),'Full Inventory'!F:F,1,0),0)=0),"X","_")</f>
        <v>_</v>
      </c>
      <c r="E899" t="str">
        <f t="shared" si="56"/>
        <v>X</v>
      </c>
      <c r="F899" t="str">
        <f ca="1">IFERROR(IF(AND(C899&amp;D899&amp;E899="___",INDIRECT("Inventory!A"&amp;MATCH(VLOOKUP(B899,Inventory!E:E,1,0),Inventory!E:E,0))&lt;&gt;INDIRECT("'Full Inventory'!B"&amp;MATCH(VLOOKUP(B899,'Full Inventory'!F:F,1,0),'Full Inventory'!F:F,0))),"X","_"),"_")</f>
        <v>_</v>
      </c>
      <c r="L899" t="str">
        <f t="shared" ref="L899:L962" ca="1" si="58">C899&amp;D899&amp;E899&amp;F899</f>
        <v>__X_</v>
      </c>
      <c r="M899" t="str">
        <f t="shared" ref="M899:M962" ca="1" si="59">IF(L899="____","OK",IF(L899="_X__","NOT IN FULL INVENTORY",IF(L899="XX__","NOT IN FULL INVENTORY AND INVENTORY",IF(L899="X___","NOT IN INVENTORY",IF(L899="___X","DIFFERENT NAMES IN FULL INVENTORY AND INVENTORY","")))))</f>
        <v/>
      </c>
    </row>
    <row r="900" spans="1:13" x14ac:dyDescent="0.25">
      <c r="A900" s="5"/>
      <c r="B900" s="4" t="str">
        <f t="shared" si="57"/>
        <v/>
      </c>
      <c r="C900" t="str">
        <f>IF(AND(TRIM(A900)&lt;&gt;"",IFERROR(VLOOKUP(TRIM(B900),Inventory!E:E,1,0),0)=0),"X","_")</f>
        <v>_</v>
      </c>
      <c r="D900" t="str">
        <f>IF(AND(TRIM(A900)&lt;&gt;"",IFERROR(VLOOKUP(TRIM(B900),'Full Inventory'!F:F,1,0),0)=0),"X","_")</f>
        <v>_</v>
      </c>
      <c r="E900" t="str">
        <f t="shared" si="56"/>
        <v>X</v>
      </c>
      <c r="F900" t="str">
        <f ca="1">IFERROR(IF(AND(C900&amp;D900&amp;E900="___",INDIRECT("Inventory!A"&amp;MATCH(VLOOKUP(B900,Inventory!E:E,1,0),Inventory!E:E,0))&lt;&gt;INDIRECT("'Full Inventory'!B"&amp;MATCH(VLOOKUP(B900,'Full Inventory'!F:F,1,0),'Full Inventory'!F:F,0))),"X","_"),"_")</f>
        <v>_</v>
      </c>
      <c r="L900" t="str">
        <f t="shared" ca="1" si="58"/>
        <v>__X_</v>
      </c>
      <c r="M900" t="str">
        <f t="shared" ca="1" si="59"/>
        <v/>
      </c>
    </row>
    <row r="901" spans="1:13" x14ac:dyDescent="0.25">
      <c r="A901" s="5"/>
      <c r="B901" s="4" t="str">
        <f t="shared" si="57"/>
        <v/>
      </c>
      <c r="C901" t="str">
        <f>IF(AND(TRIM(A901)&lt;&gt;"",IFERROR(VLOOKUP(TRIM(B901),Inventory!E:E,1,0),0)=0),"X","_")</f>
        <v>_</v>
      </c>
      <c r="D901" t="str">
        <f>IF(AND(TRIM(A901)&lt;&gt;"",IFERROR(VLOOKUP(TRIM(B901),'Full Inventory'!F:F,1,0),0)=0),"X","_")</f>
        <v>_</v>
      </c>
      <c r="E901" t="str">
        <f t="shared" si="56"/>
        <v>X</v>
      </c>
      <c r="F901" t="str">
        <f ca="1">IFERROR(IF(AND(C901&amp;D901&amp;E901="___",INDIRECT("Inventory!A"&amp;MATCH(VLOOKUP(B901,Inventory!E:E,1,0),Inventory!E:E,0))&lt;&gt;INDIRECT("'Full Inventory'!B"&amp;MATCH(VLOOKUP(B901,'Full Inventory'!F:F,1,0),'Full Inventory'!F:F,0))),"X","_"),"_")</f>
        <v>_</v>
      </c>
      <c r="L901" t="str">
        <f t="shared" ca="1" si="58"/>
        <v>__X_</v>
      </c>
      <c r="M901" t="str">
        <f t="shared" ca="1" si="59"/>
        <v/>
      </c>
    </row>
    <row r="902" spans="1:13" x14ac:dyDescent="0.25">
      <c r="A902" s="5"/>
      <c r="B902" s="4" t="str">
        <f t="shared" si="57"/>
        <v/>
      </c>
      <c r="C902" t="str">
        <f>IF(AND(TRIM(A902)&lt;&gt;"",IFERROR(VLOOKUP(TRIM(B902),Inventory!E:E,1,0),0)=0),"X","_")</f>
        <v>_</v>
      </c>
      <c r="D902" t="str">
        <f>IF(AND(TRIM(A902)&lt;&gt;"",IFERROR(VLOOKUP(TRIM(B902),'Full Inventory'!F:F,1,0),0)=0),"X","_")</f>
        <v>_</v>
      </c>
      <c r="E902" t="str">
        <f t="shared" si="56"/>
        <v>X</v>
      </c>
      <c r="F902" t="str">
        <f ca="1">IFERROR(IF(AND(C902&amp;D902&amp;E902="___",INDIRECT("Inventory!A"&amp;MATCH(VLOOKUP(B902,Inventory!E:E,1,0),Inventory!E:E,0))&lt;&gt;INDIRECT("'Full Inventory'!B"&amp;MATCH(VLOOKUP(B902,'Full Inventory'!F:F,1,0),'Full Inventory'!F:F,0))),"X","_"),"_")</f>
        <v>_</v>
      </c>
      <c r="L902" t="str">
        <f t="shared" ca="1" si="58"/>
        <v>__X_</v>
      </c>
      <c r="M902" t="str">
        <f t="shared" ca="1" si="59"/>
        <v/>
      </c>
    </row>
    <row r="903" spans="1:13" x14ac:dyDescent="0.25">
      <c r="A903" s="5"/>
      <c r="B903" s="4" t="str">
        <f t="shared" si="57"/>
        <v/>
      </c>
      <c r="C903" t="str">
        <f>IF(AND(TRIM(A903)&lt;&gt;"",IFERROR(VLOOKUP(TRIM(B903),Inventory!E:E,1,0),0)=0),"X","_")</f>
        <v>_</v>
      </c>
      <c r="D903" t="str">
        <f>IF(AND(TRIM(A903)&lt;&gt;"",IFERROR(VLOOKUP(TRIM(B903),'Full Inventory'!F:F,1,0),0)=0),"X","_")</f>
        <v>_</v>
      </c>
      <c r="E903" t="str">
        <f t="shared" si="56"/>
        <v>X</v>
      </c>
      <c r="F903" t="str">
        <f ca="1">IFERROR(IF(AND(C903&amp;D903&amp;E903="___",INDIRECT("Inventory!A"&amp;MATCH(VLOOKUP(B903,Inventory!E:E,1,0),Inventory!E:E,0))&lt;&gt;INDIRECT("'Full Inventory'!B"&amp;MATCH(VLOOKUP(B903,'Full Inventory'!F:F,1,0),'Full Inventory'!F:F,0))),"X","_"),"_")</f>
        <v>_</v>
      </c>
      <c r="L903" t="str">
        <f t="shared" ca="1" si="58"/>
        <v>__X_</v>
      </c>
      <c r="M903" t="str">
        <f t="shared" ca="1" si="59"/>
        <v/>
      </c>
    </row>
    <row r="904" spans="1:13" x14ac:dyDescent="0.25">
      <c r="A904" s="5"/>
      <c r="B904" s="4" t="str">
        <f t="shared" si="57"/>
        <v/>
      </c>
      <c r="C904" t="str">
        <f>IF(AND(TRIM(A904)&lt;&gt;"",IFERROR(VLOOKUP(TRIM(B904),Inventory!E:E,1,0),0)=0),"X","_")</f>
        <v>_</v>
      </c>
      <c r="D904" t="str">
        <f>IF(AND(TRIM(A904)&lt;&gt;"",IFERROR(VLOOKUP(TRIM(B904),'Full Inventory'!F:F,1,0),0)=0),"X","_")</f>
        <v>_</v>
      </c>
      <c r="E904" t="str">
        <f t="shared" si="56"/>
        <v>X</v>
      </c>
      <c r="F904" t="str">
        <f ca="1">IFERROR(IF(AND(C904&amp;D904&amp;E904="___",INDIRECT("Inventory!A"&amp;MATCH(VLOOKUP(B904,Inventory!E:E,1,0),Inventory!E:E,0))&lt;&gt;INDIRECT("'Full Inventory'!B"&amp;MATCH(VLOOKUP(B904,'Full Inventory'!F:F,1,0),'Full Inventory'!F:F,0))),"X","_"),"_")</f>
        <v>_</v>
      </c>
      <c r="L904" t="str">
        <f t="shared" ca="1" si="58"/>
        <v>__X_</v>
      </c>
      <c r="M904" t="str">
        <f t="shared" ca="1" si="59"/>
        <v/>
      </c>
    </row>
    <row r="905" spans="1:13" x14ac:dyDescent="0.25">
      <c r="A905" s="5"/>
      <c r="B905" s="4" t="str">
        <f t="shared" si="57"/>
        <v/>
      </c>
      <c r="C905" t="str">
        <f>IF(AND(TRIM(A905)&lt;&gt;"",IFERROR(VLOOKUP(TRIM(B905),Inventory!E:E,1,0),0)=0),"X","_")</f>
        <v>_</v>
      </c>
      <c r="D905" t="str">
        <f>IF(AND(TRIM(A905)&lt;&gt;"",IFERROR(VLOOKUP(TRIM(B905),'Full Inventory'!F:F,1,0),0)=0),"X","_")</f>
        <v>_</v>
      </c>
      <c r="E905" t="str">
        <f t="shared" si="56"/>
        <v>X</v>
      </c>
      <c r="F905" t="str">
        <f ca="1">IFERROR(IF(AND(C905&amp;D905&amp;E905="___",INDIRECT("Inventory!A"&amp;MATCH(VLOOKUP(B905,Inventory!E:E,1,0),Inventory!E:E,0))&lt;&gt;INDIRECT("'Full Inventory'!B"&amp;MATCH(VLOOKUP(B905,'Full Inventory'!F:F,1,0),'Full Inventory'!F:F,0))),"X","_"),"_")</f>
        <v>_</v>
      </c>
      <c r="L905" t="str">
        <f t="shared" ca="1" si="58"/>
        <v>__X_</v>
      </c>
      <c r="M905" t="str">
        <f t="shared" ca="1" si="59"/>
        <v/>
      </c>
    </row>
    <row r="906" spans="1:13" x14ac:dyDescent="0.25">
      <c r="A906" s="5"/>
      <c r="B906" s="4" t="str">
        <f t="shared" si="57"/>
        <v/>
      </c>
      <c r="C906" t="str">
        <f>IF(AND(TRIM(A906)&lt;&gt;"",IFERROR(VLOOKUP(TRIM(B906),Inventory!E:E,1,0),0)=0),"X","_")</f>
        <v>_</v>
      </c>
      <c r="D906" t="str">
        <f>IF(AND(TRIM(A906)&lt;&gt;"",IFERROR(VLOOKUP(TRIM(B906),'Full Inventory'!F:F,1,0),0)=0),"X","_")</f>
        <v>_</v>
      </c>
      <c r="E906" t="str">
        <f t="shared" si="56"/>
        <v>X</v>
      </c>
      <c r="F906" t="str">
        <f ca="1">IFERROR(IF(AND(C906&amp;D906&amp;E906="___",INDIRECT("Inventory!A"&amp;MATCH(VLOOKUP(B906,Inventory!E:E,1,0),Inventory!E:E,0))&lt;&gt;INDIRECT("'Full Inventory'!B"&amp;MATCH(VLOOKUP(B906,'Full Inventory'!F:F,1,0),'Full Inventory'!F:F,0))),"X","_"),"_")</f>
        <v>_</v>
      </c>
      <c r="L906" t="str">
        <f t="shared" ca="1" si="58"/>
        <v>__X_</v>
      </c>
      <c r="M906" t="str">
        <f t="shared" ca="1" si="59"/>
        <v/>
      </c>
    </row>
    <row r="907" spans="1:13" x14ac:dyDescent="0.25">
      <c r="A907" s="5"/>
      <c r="B907" s="4" t="str">
        <f t="shared" si="57"/>
        <v/>
      </c>
      <c r="C907" t="str">
        <f>IF(AND(TRIM(A907)&lt;&gt;"",IFERROR(VLOOKUP(TRIM(B907),Inventory!E:E,1,0),0)=0),"X","_")</f>
        <v>_</v>
      </c>
      <c r="D907" t="str">
        <f>IF(AND(TRIM(A907)&lt;&gt;"",IFERROR(VLOOKUP(TRIM(B907),'Full Inventory'!F:F,1,0),0)=0),"X","_")</f>
        <v>_</v>
      </c>
      <c r="E907" t="str">
        <f t="shared" si="56"/>
        <v>X</v>
      </c>
      <c r="F907" t="str">
        <f ca="1">IFERROR(IF(AND(C907&amp;D907&amp;E907="___",INDIRECT("Inventory!A"&amp;MATCH(VLOOKUP(B907,Inventory!E:E,1,0),Inventory!E:E,0))&lt;&gt;INDIRECT("'Full Inventory'!B"&amp;MATCH(VLOOKUP(B907,'Full Inventory'!F:F,1,0),'Full Inventory'!F:F,0))),"X","_"),"_")</f>
        <v>_</v>
      </c>
      <c r="L907" t="str">
        <f t="shared" ca="1" si="58"/>
        <v>__X_</v>
      </c>
      <c r="M907" t="str">
        <f t="shared" ca="1" si="59"/>
        <v/>
      </c>
    </row>
    <row r="908" spans="1:13" x14ac:dyDescent="0.25">
      <c r="A908" s="5"/>
      <c r="B908" s="4" t="str">
        <f t="shared" si="57"/>
        <v/>
      </c>
      <c r="C908" t="str">
        <f>IF(AND(TRIM(A908)&lt;&gt;"",IFERROR(VLOOKUP(TRIM(B908),Inventory!E:E,1,0),0)=0),"X","_")</f>
        <v>_</v>
      </c>
      <c r="D908" t="str">
        <f>IF(AND(TRIM(A908)&lt;&gt;"",IFERROR(VLOOKUP(TRIM(B908),'Full Inventory'!F:F,1,0),0)=0),"X","_")</f>
        <v>_</v>
      </c>
      <c r="E908" t="str">
        <f t="shared" si="56"/>
        <v>X</v>
      </c>
      <c r="F908" t="str">
        <f ca="1">IFERROR(IF(AND(C908&amp;D908&amp;E908="___",INDIRECT("Inventory!A"&amp;MATCH(VLOOKUP(B908,Inventory!E:E,1,0),Inventory!E:E,0))&lt;&gt;INDIRECT("'Full Inventory'!B"&amp;MATCH(VLOOKUP(B908,'Full Inventory'!F:F,1,0),'Full Inventory'!F:F,0))),"X","_"),"_")</f>
        <v>_</v>
      </c>
      <c r="L908" t="str">
        <f t="shared" ca="1" si="58"/>
        <v>__X_</v>
      </c>
      <c r="M908" t="str">
        <f t="shared" ca="1" si="59"/>
        <v/>
      </c>
    </row>
    <row r="909" spans="1:13" x14ac:dyDescent="0.25">
      <c r="A909" s="5"/>
      <c r="B909" s="4" t="str">
        <f t="shared" si="57"/>
        <v/>
      </c>
      <c r="C909" t="str">
        <f>IF(AND(TRIM(A909)&lt;&gt;"",IFERROR(VLOOKUP(TRIM(B909),Inventory!E:E,1,0),0)=0),"X","_")</f>
        <v>_</v>
      </c>
      <c r="D909" t="str">
        <f>IF(AND(TRIM(A909)&lt;&gt;"",IFERROR(VLOOKUP(TRIM(B909),'Full Inventory'!F:F,1,0),0)=0),"X","_")</f>
        <v>_</v>
      </c>
      <c r="E909" t="str">
        <f t="shared" si="56"/>
        <v>X</v>
      </c>
      <c r="F909" t="str">
        <f ca="1">IFERROR(IF(AND(C909&amp;D909&amp;E909="___",INDIRECT("Inventory!A"&amp;MATCH(VLOOKUP(B909,Inventory!E:E,1,0),Inventory!E:E,0))&lt;&gt;INDIRECT("'Full Inventory'!B"&amp;MATCH(VLOOKUP(B909,'Full Inventory'!F:F,1,0),'Full Inventory'!F:F,0))),"X","_"),"_")</f>
        <v>_</v>
      </c>
      <c r="L909" t="str">
        <f t="shared" ca="1" si="58"/>
        <v>__X_</v>
      </c>
      <c r="M909" t="str">
        <f t="shared" ca="1" si="59"/>
        <v/>
      </c>
    </row>
    <row r="910" spans="1:13" x14ac:dyDescent="0.25">
      <c r="A910" s="5"/>
      <c r="B910" s="4" t="str">
        <f t="shared" si="57"/>
        <v/>
      </c>
      <c r="C910" t="str">
        <f>IF(AND(TRIM(A910)&lt;&gt;"",IFERROR(VLOOKUP(TRIM(B910),Inventory!E:E,1,0),0)=0),"X","_")</f>
        <v>_</v>
      </c>
      <c r="D910" t="str">
        <f>IF(AND(TRIM(A910)&lt;&gt;"",IFERROR(VLOOKUP(TRIM(B910),'Full Inventory'!F:F,1,0),0)=0),"X","_")</f>
        <v>_</v>
      </c>
      <c r="E910" t="str">
        <f t="shared" si="56"/>
        <v>X</v>
      </c>
      <c r="F910" t="str">
        <f ca="1">IFERROR(IF(AND(C910&amp;D910&amp;E910="___",INDIRECT("Inventory!A"&amp;MATCH(VLOOKUP(B910,Inventory!E:E,1,0),Inventory!E:E,0))&lt;&gt;INDIRECT("'Full Inventory'!B"&amp;MATCH(VLOOKUP(B910,'Full Inventory'!F:F,1,0),'Full Inventory'!F:F,0))),"X","_"),"_")</f>
        <v>_</v>
      </c>
      <c r="L910" t="str">
        <f t="shared" ca="1" si="58"/>
        <v>__X_</v>
      </c>
      <c r="M910" t="str">
        <f t="shared" ca="1" si="59"/>
        <v/>
      </c>
    </row>
    <row r="911" spans="1:13" x14ac:dyDescent="0.25">
      <c r="A911" s="5"/>
      <c r="B911" s="4" t="str">
        <f t="shared" si="57"/>
        <v/>
      </c>
      <c r="C911" t="str">
        <f>IF(AND(TRIM(A911)&lt;&gt;"",IFERROR(VLOOKUP(TRIM(B911),Inventory!E:E,1,0),0)=0),"X","_")</f>
        <v>_</v>
      </c>
      <c r="D911" t="str">
        <f>IF(AND(TRIM(A911)&lt;&gt;"",IFERROR(VLOOKUP(TRIM(B911),'Full Inventory'!F:F,1,0),0)=0),"X","_")</f>
        <v>_</v>
      </c>
      <c r="E911" t="str">
        <f t="shared" si="56"/>
        <v>X</v>
      </c>
      <c r="F911" t="str">
        <f ca="1">IFERROR(IF(AND(C911&amp;D911&amp;E911="___",INDIRECT("Inventory!A"&amp;MATCH(VLOOKUP(B911,Inventory!E:E,1,0),Inventory!E:E,0))&lt;&gt;INDIRECT("'Full Inventory'!B"&amp;MATCH(VLOOKUP(B911,'Full Inventory'!F:F,1,0),'Full Inventory'!F:F,0))),"X","_"),"_")</f>
        <v>_</v>
      </c>
      <c r="L911" t="str">
        <f t="shared" ca="1" si="58"/>
        <v>__X_</v>
      </c>
      <c r="M911" t="str">
        <f t="shared" ca="1" si="59"/>
        <v/>
      </c>
    </row>
    <row r="912" spans="1:13" x14ac:dyDescent="0.25">
      <c r="A912" s="5"/>
      <c r="B912" s="4" t="str">
        <f t="shared" si="57"/>
        <v/>
      </c>
      <c r="C912" t="str">
        <f>IF(AND(TRIM(A912)&lt;&gt;"",IFERROR(VLOOKUP(TRIM(B912),Inventory!E:E,1,0),0)=0),"X","_")</f>
        <v>_</v>
      </c>
      <c r="D912" t="str">
        <f>IF(AND(TRIM(A912)&lt;&gt;"",IFERROR(VLOOKUP(TRIM(B912),'Full Inventory'!F:F,1,0),0)=0),"X","_")</f>
        <v>_</v>
      </c>
      <c r="E912" t="str">
        <f t="shared" si="56"/>
        <v>X</v>
      </c>
      <c r="F912" t="str">
        <f ca="1">IFERROR(IF(AND(C912&amp;D912&amp;E912="___",INDIRECT("Inventory!A"&amp;MATCH(VLOOKUP(B912,Inventory!E:E,1,0),Inventory!E:E,0))&lt;&gt;INDIRECT("'Full Inventory'!B"&amp;MATCH(VLOOKUP(B912,'Full Inventory'!F:F,1,0),'Full Inventory'!F:F,0))),"X","_"),"_")</f>
        <v>_</v>
      </c>
      <c r="L912" t="str">
        <f t="shared" ca="1" si="58"/>
        <v>__X_</v>
      </c>
      <c r="M912" t="str">
        <f t="shared" ca="1" si="59"/>
        <v/>
      </c>
    </row>
    <row r="913" spans="1:13" x14ac:dyDescent="0.25">
      <c r="A913" s="5"/>
      <c r="B913" s="4" t="str">
        <f t="shared" si="57"/>
        <v/>
      </c>
      <c r="C913" t="str">
        <f>IF(AND(TRIM(A913)&lt;&gt;"",IFERROR(VLOOKUP(TRIM(B913),Inventory!E:E,1,0),0)=0),"X","_")</f>
        <v>_</v>
      </c>
      <c r="D913" t="str">
        <f>IF(AND(TRIM(A913)&lt;&gt;"",IFERROR(VLOOKUP(TRIM(B913),'Full Inventory'!F:F,1,0),0)=0),"X","_")</f>
        <v>_</v>
      </c>
      <c r="E913" t="str">
        <f t="shared" si="56"/>
        <v>X</v>
      </c>
      <c r="F913" t="str">
        <f ca="1">IFERROR(IF(AND(C913&amp;D913&amp;E913="___",INDIRECT("Inventory!A"&amp;MATCH(VLOOKUP(B913,Inventory!E:E,1,0),Inventory!E:E,0))&lt;&gt;INDIRECT("'Full Inventory'!B"&amp;MATCH(VLOOKUP(B913,'Full Inventory'!F:F,1,0),'Full Inventory'!F:F,0))),"X","_"),"_")</f>
        <v>_</v>
      </c>
      <c r="L913" t="str">
        <f t="shared" ca="1" si="58"/>
        <v>__X_</v>
      </c>
      <c r="M913" t="str">
        <f t="shared" ca="1" si="59"/>
        <v/>
      </c>
    </row>
    <row r="914" spans="1:13" x14ac:dyDescent="0.25">
      <c r="A914" s="5"/>
      <c r="B914" s="4" t="str">
        <f t="shared" si="57"/>
        <v/>
      </c>
      <c r="C914" t="str">
        <f>IF(AND(TRIM(A914)&lt;&gt;"",IFERROR(VLOOKUP(TRIM(B914),Inventory!E:E,1,0),0)=0),"X","_")</f>
        <v>_</v>
      </c>
      <c r="D914" t="str">
        <f>IF(AND(TRIM(A914)&lt;&gt;"",IFERROR(VLOOKUP(TRIM(B914),'Full Inventory'!F:F,1,0),0)=0),"X","_")</f>
        <v>_</v>
      </c>
      <c r="E914" t="str">
        <f t="shared" si="56"/>
        <v>X</v>
      </c>
      <c r="F914" t="str">
        <f ca="1">IFERROR(IF(AND(C914&amp;D914&amp;E914="___",INDIRECT("Inventory!A"&amp;MATCH(VLOOKUP(B914,Inventory!E:E,1,0),Inventory!E:E,0))&lt;&gt;INDIRECT("'Full Inventory'!B"&amp;MATCH(VLOOKUP(B914,'Full Inventory'!F:F,1,0),'Full Inventory'!F:F,0))),"X","_"),"_")</f>
        <v>_</v>
      </c>
      <c r="L914" t="str">
        <f t="shared" ca="1" si="58"/>
        <v>__X_</v>
      </c>
      <c r="M914" t="str">
        <f t="shared" ca="1" si="59"/>
        <v/>
      </c>
    </row>
    <row r="915" spans="1:13" x14ac:dyDescent="0.25">
      <c r="A915" s="5"/>
      <c r="B915" s="4" t="str">
        <f t="shared" si="57"/>
        <v/>
      </c>
      <c r="C915" t="str">
        <f>IF(AND(TRIM(A915)&lt;&gt;"",IFERROR(VLOOKUP(TRIM(B915),Inventory!E:E,1,0),0)=0),"X","_")</f>
        <v>_</v>
      </c>
      <c r="D915" t="str">
        <f>IF(AND(TRIM(A915)&lt;&gt;"",IFERROR(VLOOKUP(TRIM(B915),'Full Inventory'!F:F,1,0),0)=0),"X","_")</f>
        <v>_</v>
      </c>
      <c r="E915" t="str">
        <f t="shared" si="56"/>
        <v>X</v>
      </c>
      <c r="F915" t="str">
        <f ca="1">IFERROR(IF(AND(C915&amp;D915&amp;E915="___",INDIRECT("Inventory!A"&amp;MATCH(VLOOKUP(B915,Inventory!E:E,1,0),Inventory!E:E,0))&lt;&gt;INDIRECT("'Full Inventory'!B"&amp;MATCH(VLOOKUP(B915,'Full Inventory'!F:F,1,0),'Full Inventory'!F:F,0))),"X","_"),"_")</f>
        <v>_</v>
      </c>
      <c r="L915" t="str">
        <f t="shared" ca="1" si="58"/>
        <v>__X_</v>
      </c>
      <c r="M915" t="str">
        <f t="shared" ca="1" si="59"/>
        <v/>
      </c>
    </row>
    <row r="916" spans="1:13" x14ac:dyDescent="0.25">
      <c r="A916" s="5"/>
      <c r="B916" s="4" t="str">
        <f t="shared" si="57"/>
        <v/>
      </c>
      <c r="C916" t="str">
        <f>IF(AND(TRIM(A916)&lt;&gt;"",IFERROR(VLOOKUP(TRIM(B916),Inventory!E:E,1,0),0)=0),"X","_")</f>
        <v>_</v>
      </c>
      <c r="D916" t="str">
        <f>IF(AND(TRIM(A916)&lt;&gt;"",IFERROR(VLOOKUP(TRIM(B916),'Full Inventory'!F:F,1,0),0)=0),"X","_")</f>
        <v>_</v>
      </c>
      <c r="E916" t="str">
        <f t="shared" ref="E916:E979" si="60">IF(TRIM(A916)&lt;&gt;"","_","X")</f>
        <v>X</v>
      </c>
      <c r="F916" t="str">
        <f ca="1">IFERROR(IF(AND(C916&amp;D916&amp;E916="___",INDIRECT("Inventory!A"&amp;MATCH(VLOOKUP(B916,Inventory!E:E,1,0),Inventory!E:E,0))&lt;&gt;INDIRECT("'Full Inventory'!B"&amp;MATCH(VLOOKUP(B916,'Full Inventory'!F:F,1,0),'Full Inventory'!F:F,0))),"X","_"),"_")</f>
        <v>_</v>
      </c>
      <c r="L916" t="str">
        <f t="shared" ca="1" si="58"/>
        <v>__X_</v>
      </c>
      <c r="M916" t="str">
        <f t="shared" ca="1" si="59"/>
        <v/>
      </c>
    </row>
    <row r="917" spans="1:13" x14ac:dyDescent="0.25">
      <c r="A917" s="5"/>
      <c r="B917" s="4" t="str">
        <f t="shared" si="57"/>
        <v/>
      </c>
      <c r="C917" t="str">
        <f>IF(AND(TRIM(A917)&lt;&gt;"",IFERROR(VLOOKUP(TRIM(B917),Inventory!E:E,1,0),0)=0),"X","_")</f>
        <v>_</v>
      </c>
      <c r="D917" t="str">
        <f>IF(AND(TRIM(A917)&lt;&gt;"",IFERROR(VLOOKUP(TRIM(B917),'Full Inventory'!F:F,1,0),0)=0),"X","_")</f>
        <v>_</v>
      </c>
      <c r="E917" t="str">
        <f t="shared" si="60"/>
        <v>X</v>
      </c>
      <c r="F917" t="str">
        <f ca="1">IFERROR(IF(AND(C917&amp;D917&amp;E917="___",INDIRECT("Inventory!A"&amp;MATCH(VLOOKUP(B917,Inventory!E:E,1,0),Inventory!E:E,0))&lt;&gt;INDIRECT("'Full Inventory'!B"&amp;MATCH(VLOOKUP(B917,'Full Inventory'!F:F,1,0),'Full Inventory'!F:F,0))),"X","_"),"_")</f>
        <v>_</v>
      </c>
      <c r="L917" t="str">
        <f t="shared" ca="1" si="58"/>
        <v>__X_</v>
      </c>
      <c r="M917" t="str">
        <f t="shared" ca="1" si="59"/>
        <v/>
      </c>
    </row>
    <row r="918" spans="1:13" x14ac:dyDescent="0.25">
      <c r="A918" s="5"/>
      <c r="B918" s="4" t="str">
        <f t="shared" si="57"/>
        <v/>
      </c>
      <c r="C918" t="str">
        <f>IF(AND(TRIM(A918)&lt;&gt;"",IFERROR(VLOOKUP(TRIM(B918),Inventory!E:E,1,0),0)=0),"X","_")</f>
        <v>_</v>
      </c>
      <c r="D918" t="str">
        <f>IF(AND(TRIM(A918)&lt;&gt;"",IFERROR(VLOOKUP(TRIM(B918),'Full Inventory'!F:F,1,0),0)=0),"X","_")</f>
        <v>_</v>
      </c>
      <c r="E918" t="str">
        <f t="shared" si="60"/>
        <v>X</v>
      </c>
      <c r="F918" t="str">
        <f ca="1">IFERROR(IF(AND(C918&amp;D918&amp;E918="___",INDIRECT("Inventory!A"&amp;MATCH(VLOOKUP(B918,Inventory!E:E,1,0),Inventory!E:E,0))&lt;&gt;INDIRECT("'Full Inventory'!B"&amp;MATCH(VLOOKUP(B918,'Full Inventory'!F:F,1,0),'Full Inventory'!F:F,0))),"X","_"),"_")</f>
        <v>_</v>
      </c>
      <c r="L918" t="str">
        <f t="shared" ca="1" si="58"/>
        <v>__X_</v>
      </c>
      <c r="M918" t="str">
        <f t="shared" ca="1" si="59"/>
        <v/>
      </c>
    </row>
    <row r="919" spans="1:13" x14ac:dyDescent="0.25">
      <c r="A919" s="5"/>
      <c r="B919" s="4" t="str">
        <f t="shared" si="57"/>
        <v/>
      </c>
      <c r="C919" t="str">
        <f>IF(AND(TRIM(A919)&lt;&gt;"",IFERROR(VLOOKUP(TRIM(B919),Inventory!E:E,1,0),0)=0),"X","_")</f>
        <v>_</v>
      </c>
      <c r="D919" t="str">
        <f>IF(AND(TRIM(A919)&lt;&gt;"",IFERROR(VLOOKUP(TRIM(B919),'Full Inventory'!F:F,1,0),0)=0),"X","_")</f>
        <v>_</v>
      </c>
      <c r="E919" t="str">
        <f t="shared" si="60"/>
        <v>X</v>
      </c>
      <c r="F919" t="str">
        <f ca="1">IFERROR(IF(AND(C919&amp;D919&amp;E919="___",INDIRECT("Inventory!A"&amp;MATCH(VLOOKUP(B919,Inventory!E:E,1,0),Inventory!E:E,0))&lt;&gt;INDIRECT("'Full Inventory'!B"&amp;MATCH(VLOOKUP(B919,'Full Inventory'!F:F,1,0),'Full Inventory'!F:F,0))),"X","_"),"_")</f>
        <v>_</v>
      </c>
      <c r="L919" t="str">
        <f t="shared" ca="1" si="58"/>
        <v>__X_</v>
      </c>
      <c r="M919" t="str">
        <f t="shared" ca="1" si="59"/>
        <v/>
      </c>
    </row>
    <row r="920" spans="1:13" x14ac:dyDescent="0.25">
      <c r="A920" s="5"/>
      <c r="B920" s="4" t="str">
        <f t="shared" si="57"/>
        <v/>
      </c>
      <c r="C920" t="str">
        <f>IF(AND(TRIM(A920)&lt;&gt;"",IFERROR(VLOOKUP(TRIM(B920),Inventory!E:E,1,0),0)=0),"X","_")</f>
        <v>_</v>
      </c>
      <c r="D920" t="str">
        <f>IF(AND(TRIM(A920)&lt;&gt;"",IFERROR(VLOOKUP(TRIM(B920),'Full Inventory'!F:F,1,0),0)=0),"X","_")</f>
        <v>_</v>
      </c>
      <c r="E920" t="str">
        <f t="shared" si="60"/>
        <v>X</v>
      </c>
      <c r="F920" t="str">
        <f ca="1">IFERROR(IF(AND(C920&amp;D920&amp;E920="___",INDIRECT("Inventory!A"&amp;MATCH(VLOOKUP(B920,Inventory!E:E,1,0),Inventory!E:E,0))&lt;&gt;INDIRECT("'Full Inventory'!B"&amp;MATCH(VLOOKUP(B920,'Full Inventory'!F:F,1,0),'Full Inventory'!F:F,0))),"X","_"),"_")</f>
        <v>_</v>
      </c>
      <c r="L920" t="str">
        <f t="shared" ca="1" si="58"/>
        <v>__X_</v>
      </c>
      <c r="M920" t="str">
        <f t="shared" ca="1" si="59"/>
        <v/>
      </c>
    </row>
    <row r="921" spans="1:13" x14ac:dyDescent="0.25">
      <c r="A921" s="5"/>
      <c r="B921" s="4" t="str">
        <f t="shared" si="57"/>
        <v/>
      </c>
      <c r="C921" t="str">
        <f>IF(AND(TRIM(A921)&lt;&gt;"",IFERROR(VLOOKUP(TRIM(B921),Inventory!E:E,1,0),0)=0),"X","_")</f>
        <v>_</v>
      </c>
      <c r="D921" t="str">
        <f>IF(AND(TRIM(A921)&lt;&gt;"",IFERROR(VLOOKUP(TRIM(B921),'Full Inventory'!F:F,1,0),0)=0),"X","_")</f>
        <v>_</v>
      </c>
      <c r="E921" t="str">
        <f t="shared" si="60"/>
        <v>X</v>
      </c>
      <c r="F921" t="str">
        <f ca="1">IFERROR(IF(AND(C921&amp;D921&amp;E921="___",INDIRECT("Inventory!A"&amp;MATCH(VLOOKUP(B921,Inventory!E:E,1,0),Inventory!E:E,0))&lt;&gt;INDIRECT("'Full Inventory'!B"&amp;MATCH(VLOOKUP(B921,'Full Inventory'!F:F,1,0),'Full Inventory'!F:F,0))),"X","_"),"_")</f>
        <v>_</v>
      </c>
      <c r="L921" t="str">
        <f t="shared" ca="1" si="58"/>
        <v>__X_</v>
      </c>
      <c r="M921" t="str">
        <f t="shared" ca="1" si="59"/>
        <v/>
      </c>
    </row>
    <row r="922" spans="1:13" x14ac:dyDescent="0.25">
      <c r="A922" s="5"/>
      <c r="B922" s="4" t="str">
        <f t="shared" si="57"/>
        <v/>
      </c>
      <c r="C922" t="str">
        <f>IF(AND(TRIM(A922)&lt;&gt;"",IFERROR(VLOOKUP(TRIM(B922),Inventory!E:E,1,0),0)=0),"X","_")</f>
        <v>_</v>
      </c>
      <c r="D922" t="str">
        <f>IF(AND(TRIM(A922)&lt;&gt;"",IFERROR(VLOOKUP(TRIM(B922),'Full Inventory'!F:F,1,0),0)=0),"X","_")</f>
        <v>_</v>
      </c>
      <c r="E922" t="str">
        <f t="shared" si="60"/>
        <v>X</v>
      </c>
      <c r="F922" t="str">
        <f ca="1">IFERROR(IF(AND(C922&amp;D922&amp;E922="___",INDIRECT("Inventory!A"&amp;MATCH(VLOOKUP(B922,Inventory!E:E,1,0),Inventory!E:E,0))&lt;&gt;INDIRECT("'Full Inventory'!B"&amp;MATCH(VLOOKUP(B922,'Full Inventory'!F:F,1,0),'Full Inventory'!F:F,0))),"X","_"),"_")</f>
        <v>_</v>
      </c>
      <c r="L922" t="str">
        <f t="shared" ca="1" si="58"/>
        <v>__X_</v>
      </c>
      <c r="M922" t="str">
        <f t="shared" ca="1" si="59"/>
        <v/>
      </c>
    </row>
    <row r="923" spans="1:13" x14ac:dyDescent="0.25">
      <c r="A923" s="5"/>
      <c r="B923" s="4" t="str">
        <f t="shared" si="57"/>
        <v/>
      </c>
      <c r="C923" t="str">
        <f>IF(AND(TRIM(A923)&lt;&gt;"",IFERROR(VLOOKUP(TRIM(B923),Inventory!E:E,1,0),0)=0),"X","_")</f>
        <v>_</v>
      </c>
      <c r="D923" t="str">
        <f>IF(AND(TRIM(A923)&lt;&gt;"",IFERROR(VLOOKUP(TRIM(B923),'Full Inventory'!F:F,1,0),0)=0),"X","_")</f>
        <v>_</v>
      </c>
      <c r="E923" t="str">
        <f t="shared" si="60"/>
        <v>X</v>
      </c>
      <c r="F923" t="str">
        <f ca="1">IFERROR(IF(AND(C923&amp;D923&amp;E923="___",INDIRECT("Inventory!A"&amp;MATCH(VLOOKUP(B923,Inventory!E:E,1,0),Inventory!E:E,0))&lt;&gt;INDIRECT("'Full Inventory'!B"&amp;MATCH(VLOOKUP(B923,'Full Inventory'!F:F,1,0),'Full Inventory'!F:F,0))),"X","_"),"_")</f>
        <v>_</v>
      </c>
      <c r="L923" t="str">
        <f t="shared" ca="1" si="58"/>
        <v>__X_</v>
      </c>
      <c r="M923" t="str">
        <f t="shared" ca="1" si="59"/>
        <v/>
      </c>
    </row>
    <row r="924" spans="1:13" x14ac:dyDescent="0.25">
      <c r="A924" s="5"/>
      <c r="B924" s="4" t="str">
        <f t="shared" si="57"/>
        <v/>
      </c>
      <c r="C924" t="str">
        <f>IF(AND(TRIM(A924)&lt;&gt;"",IFERROR(VLOOKUP(TRIM(B924),Inventory!E:E,1,0),0)=0),"X","_")</f>
        <v>_</v>
      </c>
      <c r="D924" t="str">
        <f>IF(AND(TRIM(A924)&lt;&gt;"",IFERROR(VLOOKUP(TRIM(B924),'Full Inventory'!F:F,1,0),0)=0),"X","_")</f>
        <v>_</v>
      </c>
      <c r="E924" t="str">
        <f t="shared" si="60"/>
        <v>X</v>
      </c>
      <c r="F924" t="str">
        <f ca="1">IFERROR(IF(AND(C924&amp;D924&amp;E924="___",INDIRECT("Inventory!A"&amp;MATCH(VLOOKUP(B924,Inventory!E:E,1,0),Inventory!E:E,0))&lt;&gt;INDIRECT("'Full Inventory'!B"&amp;MATCH(VLOOKUP(B924,'Full Inventory'!F:F,1,0),'Full Inventory'!F:F,0))),"X","_"),"_")</f>
        <v>_</v>
      </c>
      <c r="L924" t="str">
        <f t="shared" ca="1" si="58"/>
        <v>__X_</v>
      </c>
      <c r="M924" t="str">
        <f t="shared" ca="1" si="59"/>
        <v/>
      </c>
    </row>
    <row r="925" spans="1:13" x14ac:dyDescent="0.25">
      <c r="A925" s="5"/>
      <c r="B925" s="4" t="str">
        <f t="shared" si="57"/>
        <v/>
      </c>
      <c r="C925" t="str">
        <f>IF(AND(TRIM(A925)&lt;&gt;"",IFERROR(VLOOKUP(TRIM(B925),Inventory!E:E,1,0),0)=0),"X","_")</f>
        <v>_</v>
      </c>
      <c r="D925" t="str">
        <f>IF(AND(TRIM(A925)&lt;&gt;"",IFERROR(VLOOKUP(TRIM(B925),'Full Inventory'!F:F,1,0),0)=0),"X","_")</f>
        <v>_</v>
      </c>
      <c r="E925" t="str">
        <f t="shared" si="60"/>
        <v>X</v>
      </c>
      <c r="F925" t="str">
        <f ca="1">IFERROR(IF(AND(C925&amp;D925&amp;E925="___",INDIRECT("Inventory!A"&amp;MATCH(VLOOKUP(B925,Inventory!E:E,1,0),Inventory!E:E,0))&lt;&gt;INDIRECT("'Full Inventory'!B"&amp;MATCH(VLOOKUP(B925,'Full Inventory'!F:F,1,0),'Full Inventory'!F:F,0))),"X","_"),"_")</f>
        <v>_</v>
      </c>
      <c r="L925" t="str">
        <f t="shared" ca="1" si="58"/>
        <v>__X_</v>
      </c>
      <c r="M925" t="str">
        <f t="shared" ca="1" si="59"/>
        <v/>
      </c>
    </row>
    <row r="926" spans="1:13" x14ac:dyDescent="0.25">
      <c r="A926" s="5"/>
      <c r="B926" s="4" t="str">
        <f t="shared" si="57"/>
        <v/>
      </c>
      <c r="C926" t="str">
        <f>IF(AND(TRIM(A926)&lt;&gt;"",IFERROR(VLOOKUP(TRIM(B926),Inventory!E:E,1,0),0)=0),"X","_")</f>
        <v>_</v>
      </c>
      <c r="D926" t="str">
        <f>IF(AND(TRIM(A926)&lt;&gt;"",IFERROR(VLOOKUP(TRIM(B926),'Full Inventory'!F:F,1,0),0)=0),"X","_")</f>
        <v>_</v>
      </c>
      <c r="E926" t="str">
        <f t="shared" si="60"/>
        <v>X</v>
      </c>
      <c r="F926" t="str">
        <f ca="1">IFERROR(IF(AND(C926&amp;D926&amp;E926="___",INDIRECT("Inventory!A"&amp;MATCH(VLOOKUP(B926,Inventory!E:E,1,0),Inventory!E:E,0))&lt;&gt;INDIRECT("'Full Inventory'!B"&amp;MATCH(VLOOKUP(B926,'Full Inventory'!F:F,1,0),'Full Inventory'!F:F,0))),"X","_"),"_")</f>
        <v>_</v>
      </c>
      <c r="L926" t="str">
        <f t="shared" ca="1" si="58"/>
        <v>__X_</v>
      </c>
      <c r="M926" t="str">
        <f t="shared" ca="1" si="59"/>
        <v/>
      </c>
    </row>
    <row r="927" spans="1:13" x14ac:dyDescent="0.25">
      <c r="A927" s="5"/>
      <c r="B927" s="4" t="str">
        <f t="shared" si="57"/>
        <v/>
      </c>
      <c r="C927" t="str">
        <f>IF(AND(TRIM(A927)&lt;&gt;"",IFERROR(VLOOKUP(TRIM(B927),Inventory!E:E,1,0),0)=0),"X","_")</f>
        <v>_</v>
      </c>
      <c r="D927" t="str">
        <f>IF(AND(TRIM(A927)&lt;&gt;"",IFERROR(VLOOKUP(TRIM(B927),'Full Inventory'!F:F,1,0),0)=0),"X","_")</f>
        <v>_</v>
      </c>
      <c r="E927" t="str">
        <f t="shared" si="60"/>
        <v>X</v>
      </c>
      <c r="F927" t="str">
        <f ca="1">IFERROR(IF(AND(C927&amp;D927&amp;E927="___",INDIRECT("Inventory!A"&amp;MATCH(VLOOKUP(B927,Inventory!E:E,1,0),Inventory!E:E,0))&lt;&gt;INDIRECT("'Full Inventory'!B"&amp;MATCH(VLOOKUP(B927,'Full Inventory'!F:F,1,0),'Full Inventory'!F:F,0))),"X","_"),"_")</f>
        <v>_</v>
      </c>
      <c r="L927" t="str">
        <f t="shared" ca="1" si="58"/>
        <v>__X_</v>
      </c>
      <c r="M927" t="str">
        <f t="shared" ca="1" si="59"/>
        <v/>
      </c>
    </row>
    <row r="928" spans="1:13" x14ac:dyDescent="0.25">
      <c r="A928" s="5"/>
      <c r="B928" s="4" t="str">
        <f t="shared" si="57"/>
        <v/>
      </c>
      <c r="C928" t="str">
        <f>IF(AND(TRIM(A928)&lt;&gt;"",IFERROR(VLOOKUP(TRIM(B928),Inventory!E:E,1,0),0)=0),"X","_")</f>
        <v>_</v>
      </c>
      <c r="D928" t="str">
        <f>IF(AND(TRIM(A928)&lt;&gt;"",IFERROR(VLOOKUP(TRIM(B928),'Full Inventory'!F:F,1,0),0)=0),"X","_")</f>
        <v>_</v>
      </c>
      <c r="E928" t="str">
        <f t="shared" si="60"/>
        <v>X</v>
      </c>
      <c r="F928" t="str">
        <f ca="1">IFERROR(IF(AND(C928&amp;D928&amp;E928="___",INDIRECT("Inventory!A"&amp;MATCH(VLOOKUP(B928,Inventory!E:E,1,0),Inventory!E:E,0))&lt;&gt;INDIRECT("'Full Inventory'!B"&amp;MATCH(VLOOKUP(B928,'Full Inventory'!F:F,1,0),'Full Inventory'!F:F,0))),"X","_"),"_")</f>
        <v>_</v>
      </c>
      <c r="L928" t="str">
        <f t="shared" ca="1" si="58"/>
        <v>__X_</v>
      </c>
      <c r="M928" t="str">
        <f t="shared" ca="1" si="59"/>
        <v/>
      </c>
    </row>
    <row r="929" spans="1:13" x14ac:dyDescent="0.25">
      <c r="A929" s="5"/>
      <c r="B929" s="4" t="str">
        <f t="shared" si="57"/>
        <v/>
      </c>
      <c r="C929" t="str">
        <f>IF(AND(TRIM(A929)&lt;&gt;"",IFERROR(VLOOKUP(TRIM(B929),Inventory!E:E,1,0),0)=0),"X","_")</f>
        <v>_</v>
      </c>
      <c r="D929" t="str">
        <f>IF(AND(TRIM(A929)&lt;&gt;"",IFERROR(VLOOKUP(TRIM(B929),'Full Inventory'!F:F,1,0),0)=0),"X","_")</f>
        <v>_</v>
      </c>
      <c r="E929" t="str">
        <f t="shared" si="60"/>
        <v>X</v>
      </c>
      <c r="F929" t="str">
        <f ca="1">IFERROR(IF(AND(C929&amp;D929&amp;E929="___",INDIRECT("Inventory!A"&amp;MATCH(VLOOKUP(B929,Inventory!E:E,1,0),Inventory!E:E,0))&lt;&gt;INDIRECT("'Full Inventory'!B"&amp;MATCH(VLOOKUP(B929,'Full Inventory'!F:F,1,0),'Full Inventory'!F:F,0))),"X","_"),"_")</f>
        <v>_</v>
      </c>
      <c r="L929" t="str">
        <f t="shared" ca="1" si="58"/>
        <v>__X_</v>
      </c>
      <c r="M929" t="str">
        <f t="shared" ca="1" si="59"/>
        <v/>
      </c>
    </row>
    <row r="930" spans="1:13" x14ac:dyDescent="0.25">
      <c r="A930" s="5"/>
      <c r="B930" s="4" t="str">
        <f t="shared" si="57"/>
        <v/>
      </c>
      <c r="C930" t="str">
        <f>IF(AND(TRIM(A930)&lt;&gt;"",IFERROR(VLOOKUP(TRIM(B930),Inventory!E:E,1,0),0)=0),"X","_")</f>
        <v>_</v>
      </c>
      <c r="D930" t="str">
        <f>IF(AND(TRIM(A930)&lt;&gt;"",IFERROR(VLOOKUP(TRIM(B930),'Full Inventory'!F:F,1,0),0)=0),"X","_")</f>
        <v>_</v>
      </c>
      <c r="E930" t="str">
        <f t="shared" si="60"/>
        <v>X</v>
      </c>
      <c r="F930" t="str">
        <f ca="1">IFERROR(IF(AND(C930&amp;D930&amp;E930="___",INDIRECT("Inventory!A"&amp;MATCH(VLOOKUP(B930,Inventory!E:E,1,0),Inventory!E:E,0))&lt;&gt;INDIRECT("'Full Inventory'!B"&amp;MATCH(VLOOKUP(B930,'Full Inventory'!F:F,1,0),'Full Inventory'!F:F,0))),"X","_"),"_")</f>
        <v>_</v>
      </c>
      <c r="L930" t="str">
        <f t="shared" ca="1" si="58"/>
        <v>__X_</v>
      </c>
      <c r="M930" t="str">
        <f t="shared" ca="1" si="59"/>
        <v/>
      </c>
    </row>
    <row r="931" spans="1:13" x14ac:dyDescent="0.25">
      <c r="A931" s="5"/>
      <c r="B931" s="4" t="str">
        <f t="shared" si="57"/>
        <v/>
      </c>
      <c r="C931" t="str">
        <f>IF(AND(TRIM(A931)&lt;&gt;"",IFERROR(VLOOKUP(TRIM(B931),Inventory!E:E,1,0),0)=0),"X","_")</f>
        <v>_</v>
      </c>
      <c r="D931" t="str">
        <f>IF(AND(TRIM(A931)&lt;&gt;"",IFERROR(VLOOKUP(TRIM(B931),'Full Inventory'!F:F,1,0),0)=0),"X","_")</f>
        <v>_</v>
      </c>
      <c r="E931" t="str">
        <f t="shared" si="60"/>
        <v>X</v>
      </c>
      <c r="F931" t="str">
        <f ca="1">IFERROR(IF(AND(C931&amp;D931&amp;E931="___",INDIRECT("Inventory!A"&amp;MATCH(VLOOKUP(B931,Inventory!E:E,1,0),Inventory!E:E,0))&lt;&gt;INDIRECT("'Full Inventory'!B"&amp;MATCH(VLOOKUP(B931,'Full Inventory'!F:F,1,0),'Full Inventory'!F:F,0))),"X","_"),"_")</f>
        <v>_</v>
      </c>
      <c r="L931" t="str">
        <f t="shared" ca="1" si="58"/>
        <v>__X_</v>
      </c>
      <c r="M931" t="str">
        <f t="shared" ca="1" si="59"/>
        <v/>
      </c>
    </row>
    <row r="932" spans="1:13" x14ac:dyDescent="0.25">
      <c r="A932" s="5"/>
      <c r="B932" s="4" t="str">
        <f t="shared" si="57"/>
        <v/>
      </c>
      <c r="C932" t="str">
        <f>IF(AND(TRIM(A932)&lt;&gt;"",IFERROR(VLOOKUP(TRIM(B932),Inventory!E:E,1,0),0)=0),"X","_")</f>
        <v>_</v>
      </c>
      <c r="D932" t="str">
        <f>IF(AND(TRIM(A932)&lt;&gt;"",IFERROR(VLOOKUP(TRIM(B932),'Full Inventory'!F:F,1,0),0)=0),"X","_")</f>
        <v>_</v>
      </c>
      <c r="E932" t="str">
        <f t="shared" si="60"/>
        <v>X</v>
      </c>
      <c r="F932" t="str">
        <f ca="1">IFERROR(IF(AND(C932&amp;D932&amp;E932="___",INDIRECT("Inventory!A"&amp;MATCH(VLOOKUP(B932,Inventory!E:E,1,0),Inventory!E:E,0))&lt;&gt;INDIRECT("'Full Inventory'!B"&amp;MATCH(VLOOKUP(B932,'Full Inventory'!F:F,1,0),'Full Inventory'!F:F,0))),"X","_"),"_")</f>
        <v>_</v>
      </c>
      <c r="L932" t="str">
        <f t="shared" ca="1" si="58"/>
        <v>__X_</v>
      </c>
      <c r="M932" t="str">
        <f t="shared" ca="1" si="59"/>
        <v/>
      </c>
    </row>
    <row r="933" spans="1:13" x14ac:dyDescent="0.25">
      <c r="A933" s="5"/>
      <c r="B933" s="4" t="str">
        <f t="shared" si="57"/>
        <v/>
      </c>
      <c r="C933" t="str">
        <f>IF(AND(TRIM(A933)&lt;&gt;"",IFERROR(VLOOKUP(TRIM(B933),Inventory!E:E,1,0),0)=0),"X","_")</f>
        <v>_</v>
      </c>
      <c r="D933" t="str">
        <f>IF(AND(TRIM(A933)&lt;&gt;"",IFERROR(VLOOKUP(TRIM(B933),'Full Inventory'!F:F,1,0),0)=0),"X","_")</f>
        <v>_</v>
      </c>
      <c r="E933" t="str">
        <f t="shared" si="60"/>
        <v>X</v>
      </c>
      <c r="F933" t="str">
        <f ca="1">IFERROR(IF(AND(C933&amp;D933&amp;E933="___",INDIRECT("Inventory!A"&amp;MATCH(VLOOKUP(B933,Inventory!E:E,1,0),Inventory!E:E,0))&lt;&gt;INDIRECT("'Full Inventory'!B"&amp;MATCH(VLOOKUP(B933,'Full Inventory'!F:F,1,0),'Full Inventory'!F:F,0))),"X","_"),"_")</f>
        <v>_</v>
      </c>
      <c r="L933" t="str">
        <f t="shared" ca="1" si="58"/>
        <v>__X_</v>
      </c>
      <c r="M933" t="str">
        <f t="shared" ca="1" si="59"/>
        <v/>
      </c>
    </row>
    <row r="934" spans="1:13" x14ac:dyDescent="0.25">
      <c r="A934" s="5"/>
      <c r="B934" s="4" t="str">
        <f t="shared" si="57"/>
        <v/>
      </c>
      <c r="C934" t="str">
        <f>IF(AND(TRIM(A934)&lt;&gt;"",IFERROR(VLOOKUP(TRIM(B934),Inventory!E:E,1,0),0)=0),"X","_")</f>
        <v>_</v>
      </c>
      <c r="D934" t="str">
        <f>IF(AND(TRIM(A934)&lt;&gt;"",IFERROR(VLOOKUP(TRIM(B934),'Full Inventory'!F:F,1,0),0)=0),"X","_")</f>
        <v>_</v>
      </c>
      <c r="E934" t="str">
        <f t="shared" si="60"/>
        <v>X</v>
      </c>
      <c r="F934" t="str">
        <f ca="1">IFERROR(IF(AND(C934&amp;D934&amp;E934="___",INDIRECT("Inventory!A"&amp;MATCH(VLOOKUP(B934,Inventory!E:E,1,0),Inventory!E:E,0))&lt;&gt;INDIRECT("'Full Inventory'!B"&amp;MATCH(VLOOKUP(B934,'Full Inventory'!F:F,1,0),'Full Inventory'!F:F,0))),"X","_"),"_")</f>
        <v>_</v>
      </c>
      <c r="L934" t="str">
        <f t="shared" ca="1" si="58"/>
        <v>__X_</v>
      </c>
      <c r="M934" t="str">
        <f t="shared" ca="1" si="59"/>
        <v/>
      </c>
    </row>
    <row r="935" spans="1:13" x14ac:dyDescent="0.25">
      <c r="A935" s="5"/>
      <c r="B935" s="4" t="str">
        <f t="shared" si="57"/>
        <v/>
      </c>
      <c r="C935" t="str">
        <f>IF(AND(TRIM(A935)&lt;&gt;"",IFERROR(VLOOKUP(TRIM(B935),Inventory!E:E,1,0),0)=0),"X","_")</f>
        <v>_</v>
      </c>
      <c r="D935" t="str">
        <f>IF(AND(TRIM(A935)&lt;&gt;"",IFERROR(VLOOKUP(TRIM(B935),'Full Inventory'!F:F,1,0),0)=0),"X","_")</f>
        <v>_</v>
      </c>
      <c r="E935" t="str">
        <f t="shared" si="60"/>
        <v>X</v>
      </c>
      <c r="F935" t="str">
        <f ca="1">IFERROR(IF(AND(C935&amp;D935&amp;E935="___",INDIRECT("Inventory!A"&amp;MATCH(VLOOKUP(B935,Inventory!E:E,1,0),Inventory!E:E,0))&lt;&gt;INDIRECT("'Full Inventory'!B"&amp;MATCH(VLOOKUP(B935,'Full Inventory'!F:F,1,0),'Full Inventory'!F:F,0))),"X","_"),"_")</f>
        <v>_</v>
      </c>
      <c r="L935" t="str">
        <f t="shared" ca="1" si="58"/>
        <v>__X_</v>
      </c>
      <c r="M935" t="str">
        <f t="shared" ca="1" si="59"/>
        <v/>
      </c>
    </row>
    <row r="936" spans="1:13" x14ac:dyDescent="0.25">
      <c r="A936" s="5"/>
      <c r="B936" s="4" t="str">
        <f t="shared" si="57"/>
        <v/>
      </c>
      <c r="C936" t="str">
        <f>IF(AND(TRIM(A936)&lt;&gt;"",IFERROR(VLOOKUP(TRIM(B936),Inventory!E:E,1,0),0)=0),"X","_")</f>
        <v>_</v>
      </c>
      <c r="D936" t="str">
        <f>IF(AND(TRIM(A936)&lt;&gt;"",IFERROR(VLOOKUP(TRIM(B936),'Full Inventory'!F:F,1,0),0)=0),"X","_")</f>
        <v>_</v>
      </c>
      <c r="E936" t="str">
        <f t="shared" si="60"/>
        <v>X</v>
      </c>
      <c r="F936" t="str">
        <f ca="1">IFERROR(IF(AND(C936&amp;D936&amp;E936="___",INDIRECT("Inventory!A"&amp;MATCH(VLOOKUP(B936,Inventory!E:E,1,0),Inventory!E:E,0))&lt;&gt;INDIRECT("'Full Inventory'!B"&amp;MATCH(VLOOKUP(B936,'Full Inventory'!F:F,1,0),'Full Inventory'!F:F,0))),"X","_"),"_")</f>
        <v>_</v>
      </c>
      <c r="L936" t="str">
        <f t="shared" ca="1" si="58"/>
        <v>__X_</v>
      </c>
      <c r="M936" t="str">
        <f t="shared" ca="1" si="59"/>
        <v/>
      </c>
    </row>
    <row r="937" spans="1:13" x14ac:dyDescent="0.25">
      <c r="A937" s="5"/>
      <c r="B937" s="4" t="str">
        <f t="shared" si="57"/>
        <v/>
      </c>
      <c r="C937" t="str">
        <f>IF(AND(TRIM(A937)&lt;&gt;"",IFERROR(VLOOKUP(TRIM(B937),Inventory!E:E,1,0),0)=0),"X","_")</f>
        <v>_</v>
      </c>
      <c r="D937" t="str">
        <f>IF(AND(TRIM(A937)&lt;&gt;"",IFERROR(VLOOKUP(TRIM(B937),'Full Inventory'!F:F,1,0),0)=0),"X","_")</f>
        <v>_</v>
      </c>
      <c r="E937" t="str">
        <f t="shared" si="60"/>
        <v>X</v>
      </c>
      <c r="F937" t="str">
        <f ca="1">IFERROR(IF(AND(C937&amp;D937&amp;E937="___",INDIRECT("Inventory!A"&amp;MATCH(VLOOKUP(B937,Inventory!E:E,1,0),Inventory!E:E,0))&lt;&gt;INDIRECT("'Full Inventory'!B"&amp;MATCH(VLOOKUP(B937,'Full Inventory'!F:F,1,0),'Full Inventory'!F:F,0))),"X","_"),"_")</f>
        <v>_</v>
      </c>
      <c r="L937" t="str">
        <f t="shared" ca="1" si="58"/>
        <v>__X_</v>
      </c>
      <c r="M937" t="str">
        <f t="shared" ca="1" si="59"/>
        <v/>
      </c>
    </row>
    <row r="938" spans="1:13" x14ac:dyDescent="0.25">
      <c r="A938" s="5"/>
      <c r="B938" s="4" t="str">
        <f t="shared" si="57"/>
        <v/>
      </c>
      <c r="C938" t="str">
        <f>IF(AND(TRIM(A938)&lt;&gt;"",IFERROR(VLOOKUP(TRIM(B938),Inventory!E:E,1,0),0)=0),"X","_")</f>
        <v>_</v>
      </c>
      <c r="D938" t="str">
        <f>IF(AND(TRIM(A938)&lt;&gt;"",IFERROR(VLOOKUP(TRIM(B938),'Full Inventory'!F:F,1,0),0)=0),"X","_")</f>
        <v>_</v>
      </c>
      <c r="E938" t="str">
        <f t="shared" si="60"/>
        <v>X</v>
      </c>
      <c r="F938" t="str">
        <f ca="1">IFERROR(IF(AND(C938&amp;D938&amp;E938="___",INDIRECT("Inventory!A"&amp;MATCH(VLOOKUP(B938,Inventory!E:E,1,0),Inventory!E:E,0))&lt;&gt;INDIRECT("'Full Inventory'!B"&amp;MATCH(VLOOKUP(B938,'Full Inventory'!F:F,1,0),'Full Inventory'!F:F,0))),"X","_"),"_")</f>
        <v>_</v>
      </c>
      <c r="L938" t="str">
        <f t="shared" ca="1" si="58"/>
        <v>__X_</v>
      </c>
      <c r="M938" t="str">
        <f t="shared" ca="1" si="59"/>
        <v/>
      </c>
    </row>
    <row r="939" spans="1:13" x14ac:dyDescent="0.25">
      <c r="A939" s="5"/>
      <c r="B939" s="4" t="str">
        <f t="shared" si="57"/>
        <v/>
      </c>
      <c r="C939" t="str">
        <f>IF(AND(TRIM(A939)&lt;&gt;"",IFERROR(VLOOKUP(TRIM(B939),Inventory!E:E,1,0),0)=0),"X","_")</f>
        <v>_</v>
      </c>
      <c r="D939" t="str">
        <f>IF(AND(TRIM(A939)&lt;&gt;"",IFERROR(VLOOKUP(TRIM(B939),'Full Inventory'!F:F,1,0),0)=0),"X","_")</f>
        <v>_</v>
      </c>
      <c r="E939" t="str">
        <f t="shared" si="60"/>
        <v>X</v>
      </c>
      <c r="F939" t="str">
        <f ca="1">IFERROR(IF(AND(C939&amp;D939&amp;E939="___",INDIRECT("Inventory!A"&amp;MATCH(VLOOKUP(B939,Inventory!E:E,1,0),Inventory!E:E,0))&lt;&gt;INDIRECT("'Full Inventory'!B"&amp;MATCH(VLOOKUP(B939,'Full Inventory'!F:F,1,0),'Full Inventory'!F:F,0))),"X","_"),"_")</f>
        <v>_</v>
      </c>
      <c r="L939" t="str">
        <f t="shared" ca="1" si="58"/>
        <v>__X_</v>
      </c>
      <c r="M939" t="str">
        <f t="shared" ca="1" si="59"/>
        <v/>
      </c>
    </row>
    <row r="940" spans="1:13" x14ac:dyDescent="0.25">
      <c r="A940" s="5"/>
      <c r="B940" s="4" t="str">
        <f t="shared" si="57"/>
        <v/>
      </c>
      <c r="C940" t="str">
        <f>IF(AND(TRIM(A940)&lt;&gt;"",IFERROR(VLOOKUP(TRIM(B940),Inventory!E:E,1,0),0)=0),"X","_")</f>
        <v>_</v>
      </c>
      <c r="D940" t="str">
        <f>IF(AND(TRIM(A940)&lt;&gt;"",IFERROR(VLOOKUP(TRIM(B940),'Full Inventory'!F:F,1,0),0)=0),"X","_")</f>
        <v>_</v>
      </c>
      <c r="E940" t="str">
        <f t="shared" si="60"/>
        <v>X</v>
      </c>
      <c r="F940" t="str">
        <f ca="1">IFERROR(IF(AND(C940&amp;D940&amp;E940="___",INDIRECT("Inventory!A"&amp;MATCH(VLOOKUP(B940,Inventory!E:E,1,0),Inventory!E:E,0))&lt;&gt;INDIRECT("'Full Inventory'!B"&amp;MATCH(VLOOKUP(B940,'Full Inventory'!F:F,1,0),'Full Inventory'!F:F,0))),"X","_"),"_")</f>
        <v>_</v>
      </c>
      <c r="L940" t="str">
        <f t="shared" ca="1" si="58"/>
        <v>__X_</v>
      </c>
      <c r="M940" t="str">
        <f t="shared" ca="1" si="59"/>
        <v/>
      </c>
    </row>
    <row r="941" spans="1:13" x14ac:dyDescent="0.25">
      <c r="A941" s="5"/>
      <c r="B941" s="4" t="str">
        <f t="shared" si="57"/>
        <v/>
      </c>
      <c r="C941" t="str">
        <f>IF(AND(TRIM(A941)&lt;&gt;"",IFERROR(VLOOKUP(TRIM(B941),Inventory!E:E,1,0),0)=0),"X","_")</f>
        <v>_</v>
      </c>
      <c r="D941" t="str">
        <f>IF(AND(TRIM(A941)&lt;&gt;"",IFERROR(VLOOKUP(TRIM(B941),'Full Inventory'!F:F,1,0),0)=0),"X","_")</f>
        <v>_</v>
      </c>
      <c r="E941" t="str">
        <f t="shared" si="60"/>
        <v>X</v>
      </c>
      <c r="F941" t="str">
        <f ca="1">IFERROR(IF(AND(C941&amp;D941&amp;E941="___",INDIRECT("Inventory!A"&amp;MATCH(VLOOKUP(B941,Inventory!E:E,1,0),Inventory!E:E,0))&lt;&gt;INDIRECT("'Full Inventory'!B"&amp;MATCH(VLOOKUP(B941,'Full Inventory'!F:F,1,0),'Full Inventory'!F:F,0))),"X","_"),"_")</f>
        <v>_</v>
      </c>
      <c r="L941" t="str">
        <f t="shared" ca="1" si="58"/>
        <v>__X_</v>
      </c>
      <c r="M941" t="str">
        <f t="shared" ca="1" si="59"/>
        <v/>
      </c>
    </row>
    <row r="942" spans="1:13" x14ac:dyDescent="0.25">
      <c r="A942" s="5"/>
      <c r="B942" s="4" t="str">
        <f t="shared" si="57"/>
        <v/>
      </c>
      <c r="C942" t="str">
        <f>IF(AND(TRIM(A942)&lt;&gt;"",IFERROR(VLOOKUP(TRIM(B942),Inventory!E:E,1,0),0)=0),"X","_")</f>
        <v>_</v>
      </c>
      <c r="D942" t="str">
        <f>IF(AND(TRIM(A942)&lt;&gt;"",IFERROR(VLOOKUP(TRIM(B942),'Full Inventory'!F:F,1,0),0)=0),"X","_")</f>
        <v>_</v>
      </c>
      <c r="E942" t="str">
        <f t="shared" si="60"/>
        <v>X</v>
      </c>
      <c r="F942" t="str">
        <f ca="1">IFERROR(IF(AND(C942&amp;D942&amp;E942="___",INDIRECT("Inventory!A"&amp;MATCH(VLOOKUP(B942,Inventory!E:E,1,0),Inventory!E:E,0))&lt;&gt;INDIRECT("'Full Inventory'!B"&amp;MATCH(VLOOKUP(B942,'Full Inventory'!F:F,1,0),'Full Inventory'!F:F,0))),"X","_"),"_")</f>
        <v>_</v>
      </c>
      <c r="L942" t="str">
        <f t="shared" ca="1" si="58"/>
        <v>__X_</v>
      </c>
      <c r="M942" t="str">
        <f t="shared" ca="1" si="59"/>
        <v/>
      </c>
    </row>
    <row r="943" spans="1:13" x14ac:dyDescent="0.25">
      <c r="A943" s="5"/>
      <c r="B943" s="4" t="str">
        <f t="shared" si="57"/>
        <v/>
      </c>
      <c r="C943" t="str">
        <f>IF(AND(TRIM(A943)&lt;&gt;"",IFERROR(VLOOKUP(TRIM(B943),Inventory!E:E,1,0),0)=0),"X","_")</f>
        <v>_</v>
      </c>
      <c r="D943" t="str">
        <f>IF(AND(TRIM(A943)&lt;&gt;"",IFERROR(VLOOKUP(TRIM(B943),'Full Inventory'!F:F,1,0),0)=0),"X","_")</f>
        <v>_</v>
      </c>
      <c r="E943" t="str">
        <f t="shared" si="60"/>
        <v>X</v>
      </c>
      <c r="F943" t="str">
        <f ca="1">IFERROR(IF(AND(C943&amp;D943&amp;E943="___",INDIRECT("Inventory!A"&amp;MATCH(VLOOKUP(B943,Inventory!E:E,1,0),Inventory!E:E,0))&lt;&gt;INDIRECT("'Full Inventory'!B"&amp;MATCH(VLOOKUP(B943,'Full Inventory'!F:F,1,0),'Full Inventory'!F:F,0))),"X","_"),"_")</f>
        <v>_</v>
      </c>
      <c r="L943" t="str">
        <f t="shared" ca="1" si="58"/>
        <v>__X_</v>
      </c>
      <c r="M943" t="str">
        <f t="shared" ca="1" si="59"/>
        <v/>
      </c>
    </row>
    <row r="944" spans="1:13" x14ac:dyDescent="0.25">
      <c r="A944" s="5"/>
      <c r="B944" s="4" t="str">
        <f t="shared" si="57"/>
        <v/>
      </c>
      <c r="C944" t="str">
        <f>IF(AND(TRIM(A944)&lt;&gt;"",IFERROR(VLOOKUP(TRIM(B944),Inventory!E:E,1,0),0)=0),"X","_")</f>
        <v>_</v>
      </c>
      <c r="D944" t="str">
        <f>IF(AND(TRIM(A944)&lt;&gt;"",IFERROR(VLOOKUP(TRIM(B944),'Full Inventory'!F:F,1,0),0)=0),"X","_")</f>
        <v>_</v>
      </c>
      <c r="E944" t="str">
        <f t="shared" si="60"/>
        <v>X</v>
      </c>
      <c r="F944" t="str">
        <f ca="1">IFERROR(IF(AND(C944&amp;D944&amp;E944="___",INDIRECT("Inventory!A"&amp;MATCH(VLOOKUP(B944,Inventory!E:E,1,0),Inventory!E:E,0))&lt;&gt;INDIRECT("'Full Inventory'!B"&amp;MATCH(VLOOKUP(B944,'Full Inventory'!F:F,1,0),'Full Inventory'!F:F,0))),"X","_"),"_")</f>
        <v>_</v>
      </c>
      <c r="L944" t="str">
        <f t="shared" ca="1" si="58"/>
        <v>__X_</v>
      </c>
      <c r="M944" t="str">
        <f t="shared" ca="1" si="59"/>
        <v/>
      </c>
    </row>
    <row r="945" spans="1:13" x14ac:dyDescent="0.25">
      <c r="A945" s="5"/>
      <c r="B945" s="4" t="str">
        <f t="shared" si="57"/>
        <v/>
      </c>
      <c r="C945" t="str">
        <f>IF(AND(TRIM(A945)&lt;&gt;"",IFERROR(VLOOKUP(TRIM(B945),Inventory!E:E,1,0),0)=0),"X","_")</f>
        <v>_</v>
      </c>
      <c r="D945" t="str">
        <f>IF(AND(TRIM(A945)&lt;&gt;"",IFERROR(VLOOKUP(TRIM(B945),'Full Inventory'!F:F,1,0),0)=0),"X","_")</f>
        <v>_</v>
      </c>
      <c r="E945" t="str">
        <f t="shared" si="60"/>
        <v>X</v>
      </c>
      <c r="F945" t="str">
        <f ca="1">IFERROR(IF(AND(C945&amp;D945&amp;E945="___",INDIRECT("Inventory!A"&amp;MATCH(VLOOKUP(B945,Inventory!E:E,1,0),Inventory!E:E,0))&lt;&gt;INDIRECT("'Full Inventory'!B"&amp;MATCH(VLOOKUP(B945,'Full Inventory'!F:F,1,0),'Full Inventory'!F:F,0))),"X","_"),"_")</f>
        <v>_</v>
      </c>
      <c r="L945" t="str">
        <f t="shared" ca="1" si="58"/>
        <v>__X_</v>
      </c>
      <c r="M945" t="str">
        <f t="shared" ca="1" si="59"/>
        <v/>
      </c>
    </row>
    <row r="946" spans="1:13" x14ac:dyDescent="0.25">
      <c r="A946" s="5"/>
      <c r="B946" s="4" t="str">
        <f t="shared" si="57"/>
        <v/>
      </c>
      <c r="C946" t="str">
        <f>IF(AND(TRIM(A946)&lt;&gt;"",IFERROR(VLOOKUP(TRIM(B946),Inventory!E:E,1,0),0)=0),"X","_")</f>
        <v>_</v>
      </c>
      <c r="D946" t="str">
        <f>IF(AND(TRIM(A946)&lt;&gt;"",IFERROR(VLOOKUP(TRIM(B946),'Full Inventory'!F:F,1,0),0)=0),"X","_")</f>
        <v>_</v>
      </c>
      <c r="E946" t="str">
        <f t="shared" si="60"/>
        <v>X</v>
      </c>
      <c r="F946" t="str">
        <f ca="1">IFERROR(IF(AND(C946&amp;D946&amp;E946="___",INDIRECT("Inventory!A"&amp;MATCH(VLOOKUP(B946,Inventory!E:E,1,0),Inventory!E:E,0))&lt;&gt;INDIRECT("'Full Inventory'!B"&amp;MATCH(VLOOKUP(B946,'Full Inventory'!F:F,1,0),'Full Inventory'!F:F,0))),"X","_"),"_")</f>
        <v>_</v>
      </c>
      <c r="L946" t="str">
        <f t="shared" ca="1" si="58"/>
        <v>__X_</v>
      </c>
      <c r="M946" t="str">
        <f t="shared" ca="1" si="59"/>
        <v/>
      </c>
    </row>
    <row r="947" spans="1:13" x14ac:dyDescent="0.25">
      <c r="A947" s="5"/>
      <c r="B947" s="4" t="str">
        <f t="shared" si="57"/>
        <v/>
      </c>
      <c r="C947" t="str">
        <f>IF(AND(TRIM(A947)&lt;&gt;"",IFERROR(VLOOKUP(TRIM(B947),Inventory!E:E,1,0),0)=0),"X","_")</f>
        <v>_</v>
      </c>
      <c r="D947" t="str">
        <f>IF(AND(TRIM(A947)&lt;&gt;"",IFERROR(VLOOKUP(TRIM(B947),'Full Inventory'!F:F,1,0),0)=0),"X","_")</f>
        <v>_</v>
      </c>
      <c r="E947" t="str">
        <f t="shared" si="60"/>
        <v>X</v>
      </c>
      <c r="F947" t="str">
        <f ca="1">IFERROR(IF(AND(C947&amp;D947&amp;E947="___",INDIRECT("Inventory!A"&amp;MATCH(VLOOKUP(B947,Inventory!E:E,1,0),Inventory!E:E,0))&lt;&gt;INDIRECT("'Full Inventory'!B"&amp;MATCH(VLOOKUP(B947,'Full Inventory'!F:F,1,0),'Full Inventory'!F:F,0))),"X","_"),"_")</f>
        <v>_</v>
      </c>
      <c r="L947" t="str">
        <f t="shared" ca="1" si="58"/>
        <v>__X_</v>
      </c>
      <c r="M947" t="str">
        <f t="shared" ca="1" si="59"/>
        <v/>
      </c>
    </row>
    <row r="948" spans="1:13" x14ac:dyDescent="0.25">
      <c r="A948" s="5"/>
      <c r="B948" s="4" t="str">
        <f t="shared" si="57"/>
        <v/>
      </c>
      <c r="C948" t="str">
        <f>IF(AND(TRIM(A948)&lt;&gt;"",IFERROR(VLOOKUP(TRIM(B948),Inventory!E:E,1,0),0)=0),"X","_")</f>
        <v>_</v>
      </c>
      <c r="D948" t="str">
        <f>IF(AND(TRIM(A948)&lt;&gt;"",IFERROR(VLOOKUP(TRIM(B948),'Full Inventory'!F:F,1,0),0)=0),"X","_")</f>
        <v>_</v>
      </c>
      <c r="E948" t="str">
        <f t="shared" si="60"/>
        <v>X</v>
      </c>
      <c r="F948" t="str">
        <f ca="1">IFERROR(IF(AND(C948&amp;D948&amp;E948="___",INDIRECT("Inventory!A"&amp;MATCH(VLOOKUP(B948,Inventory!E:E,1,0),Inventory!E:E,0))&lt;&gt;INDIRECT("'Full Inventory'!B"&amp;MATCH(VLOOKUP(B948,'Full Inventory'!F:F,1,0),'Full Inventory'!F:F,0))),"X","_"),"_")</f>
        <v>_</v>
      </c>
      <c r="L948" t="str">
        <f t="shared" ca="1" si="58"/>
        <v>__X_</v>
      </c>
      <c r="M948" t="str">
        <f t="shared" ca="1" si="59"/>
        <v/>
      </c>
    </row>
    <row r="949" spans="1:13" x14ac:dyDescent="0.25">
      <c r="A949" s="5"/>
      <c r="B949" s="4" t="str">
        <f t="shared" si="57"/>
        <v/>
      </c>
      <c r="C949" t="str">
        <f>IF(AND(TRIM(A949)&lt;&gt;"",IFERROR(VLOOKUP(TRIM(B949),Inventory!E:E,1,0),0)=0),"X","_")</f>
        <v>_</v>
      </c>
      <c r="D949" t="str">
        <f>IF(AND(TRIM(A949)&lt;&gt;"",IFERROR(VLOOKUP(TRIM(B949),'Full Inventory'!F:F,1,0),0)=0),"X","_")</f>
        <v>_</v>
      </c>
      <c r="E949" t="str">
        <f t="shared" si="60"/>
        <v>X</v>
      </c>
      <c r="F949" t="str">
        <f ca="1">IFERROR(IF(AND(C949&amp;D949&amp;E949="___",INDIRECT("Inventory!A"&amp;MATCH(VLOOKUP(B949,Inventory!E:E,1,0),Inventory!E:E,0))&lt;&gt;INDIRECT("'Full Inventory'!B"&amp;MATCH(VLOOKUP(B949,'Full Inventory'!F:F,1,0),'Full Inventory'!F:F,0))),"X","_"),"_")</f>
        <v>_</v>
      </c>
      <c r="L949" t="str">
        <f t="shared" ca="1" si="58"/>
        <v>__X_</v>
      </c>
      <c r="M949" t="str">
        <f t="shared" ca="1" si="59"/>
        <v/>
      </c>
    </row>
    <row r="950" spans="1:13" x14ac:dyDescent="0.25">
      <c r="A950" s="5"/>
      <c r="B950" s="4" t="str">
        <f t="shared" si="57"/>
        <v/>
      </c>
      <c r="C950" t="str">
        <f>IF(AND(TRIM(A950)&lt;&gt;"",IFERROR(VLOOKUP(TRIM(B950),Inventory!E:E,1,0),0)=0),"X","_")</f>
        <v>_</v>
      </c>
      <c r="D950" t="str">
        <f>IF(AND(TRIM(A950)&lt;&gt;"",IFERROR(VLOOKUP(TRIM(B950),'Full Inventory'!F:F,1,0),0)=0),"X","_")</f>
        <v>_</v>
      </c>
      <c r="E950" t="str">
        <f t="shared" si="60"/>
        <v>X</v>
      </c>
      <c r="F950" t="str">
        <f ca="1">IFERROR(IF(AND(C950&amp;D950&amp;E950="___",INDIRECT("Inventory!A"&amp;MATCH(VLOOKUP(B950,Inventory!E:E,1,0),Inventory!E:E,0))&lt;&gt;INDIRECT("'Full Inventory'!B"&amp;MATCH(VLOOKUP(B950,'Full Inventory'!F:F,1,0),'Full Inventory'!F:F,0))),"X","_"),"_")</f>
        <v>_</v>
      </c>
      <c r="L950" t="str">
        <f t="shared" ca="1" si="58"/>
        <v>__X_</v>
      </c>
      <c r="M950" t="str">
        <f t="shared" ca="1" si="59"/>
        <v/>
      </c>
    </row>
    <row r="951" spans="1:13" x14ac:dyDescent="0.25">
      <c r="A951" s="5"/>
      <c r="B951" s="4" t="str">
        <f t="shared" si="57"/>
        <v/>
      </c>
      <c r="C951" t="str">
        <f>IF(AND(TRIM(A951)&lt;&gt;"",IFERROR(VLOOKUP(TRIM(B951),Inventory!E:E,1,0),0)=0),"X","_")</f>
        <v>_</v>
      </c>
      <c r="D951" t="str">
        <f>IF(AND(TRIM(A951)&lt;&gt;"",IFERROR(VLOOKUP(TRIM(B951),'Full Inventory'!F:F,1,0),0)=0),"X","_")</f>
        <v>_</v>
      </c>
      <c r="E951" t="str">
        <f t="shared" si="60"/>
        <v>X</v>
      </c>
      <c r="F951" t="str">
        <f ca="1">IFERROR(IF(AND(C951&amp;D951&amp;E951="___",INDIRECT("Inventory!A"&amp;MATCH(VLOOKUP(B951,Inventory!E:E,1,0),Inventory!E:E,0))&lt;&gt;INDIRECT("'Full Inventory'!B"&amp;MATCH(VLOOKUP(B951,'Full Inventory'!F:F,1,0),'Full Inventory'!F:F,0))),"X","_"),"_")</f>
        <v>_</v>
      </c>
      <c r="L951" t="str">
        <f t="shared" ca="1" si="58"/>
        <v>__X_</v>
      </c>
      <c r="M951" t="str">
        <f t="shared" ca="1" si="59"/>
        <v/>
      </c>
    </row>
    <row r="952" spans="1:13" x14ac:dyDescent="0.25">
      <c r="A952" s="5"/>
      <c r="B952" s="4" t="str">
        <f t="shared" si="57"/>
        <v/>
      </c>
      <c r="C952" t="str">
        <f>IF(AND(TRIM(A952)&lt;&gt;"",IFERROR(VLOOKUP(TRIM(B952),Inventory!E:E,1,0),0)=0),"X","_")</f>
        <v>_</v>
      </c>
      <c r="D952" t="str">
        <f>IF(AND(TRIM(A952)&lt;&gt;"",IFERROR(VLOOKUP(TRIM(B952),'Full Inventory'!F:F,1,0),0)=0),"X","_")</f>
        <v>_</v>
      </c>
      <c r="E952" t="str">
        <f t="shared" si="60"/>
        <v>X</v>
      </c>
      <c r="F952" t="str">
        <f ca="1">IFERROR(IF(AND(C952&amp;D952&amp;E952="___",INDIRECT("Inventory!A"&amp;MATCH(VLOOKUP(B952,Inventory!E:E,1,0),Inventory!E:E,0))&lt;&gt;INDIRECT("'Full Inventory'!B"&amp;MATCH(VLOOKUP(B952,'Full Inventory'!F:F,1,0),'Full Inventory'!F:F,0))),"X","_"),"_")</f>
        <v>_</v>
      </c>
      <c r="L952" t="str">
        <f t="shared" ca="1" si="58"/>
        <v>__X_</v>
      </c>
      <c r="M952" t="str">
        <f t="shared" ca="1" si="59"/>
        <v/>
      </c>
    </row>
    <row r="953" spans="1:13" x14ac:dyDescent="0.25">
      <c r="A953" s="5"/>
      <c r="B953" s="4" t="str">
        <f t="shared" si="57"/>
        <v/>
      </c>
      <c r="C953" t="str">
        <f>IF(AND(TRIM(A953)&lt;&gt;"",IFERROR(VLOOKUP(TRIM(B953),Inventory!E:E,1,0),0)=0),"X","_")</f>
        <v>_</v>
      </c>
      <c r="D953" t="str">
        <f>IF(AND(TRIM(A953)&lt;&gt;"",IFERROR(VLOOKUP(TRIM(B953),'Full Inventory'!F:F,1,0),0)=0),"X","_")</f>
        <v>_</v>
      </c>
      <c r="E953" t="str">
        <f t="shared" si="60"/>
        <v>X</v>
      </c>
      <c r="F953" t="str">
        <f ca="1">IFERROR(IF(AND(C953&amp;D953&amp;E953="___",INDIRECT("Inventory!A"&amp;MATCH(VLOOKUP(B953,Inventory!E:E,1,0),Inventory!E:E,0))&lt;&gt;INDIRECT("'Full Inventory'!B"&amp;MATCH(VLOOKUP(B953,'Full Inventory'!F:F,1,0),'Full Inventory'!F:F,0))),"X","_"),"_")</f>
        <v>_</v>
      </c>
      <c r="L953" t="str">
        <f t="shared" ca="1" si="58"/>
        <v>__X_</v>
      </c>
      <c r="M953" t="str">
        <f t="shared" ca="1" si="59"/>
        <v/>
      </c>
    </row>
    <row r="954" spans="1:13" x14ac:dyDescent="0.25">
      <c r="A954" s="5"/>
      <c r="B954" s="4" t="str">
        <f t="shared" si="57"/>
        <v/>
      </c>
      <c r="C954" t="str">
        <f>IF(AND(TRIM(A954)&lt;&gt;"",IFERROR(VLOOKUP(TRIM(B954),Inventory!E:E,1,0),0)=0),"X","_")</f>
        <v>_</v>
      </c>
      <c r="D954" t="str">
        <f>IF(AND(TRIM(A954)&lt;&gt;"",IFERROR(VLOOKUP(TRIM(B954),'Full Inventory'!F:F,1,0),0)=0),"X","_")</f>
        <v>_</v>
      </c>
      <c r="E954" t="str">
        <f t="shared" si="60"/>
        <v>X</v>
      </c>
      <c r="F954" t="str">
        <f ca="1">IFERROR(IF(AND(C954&amp;D954&amp;E954="___",INDIRECT("Inventory!A"&amp;MATCH(VLOOKUP(B954,Inventory!E:E,1,0),Inventory!E:E,0))&lt;&gt;INDIRECT("'Full Inventory'!B"&amp;MATCH(VLOOKUP(B954,'Full Inventory'!F:F,1,0),'Full Inventory'!F:F,0))),"X","_"),"_")</f>
        <v>_</v>
      </c>
      <c r="L954" t="str">
        <f t="shared" ca="1" si="58"/>
        <v>__X_</v>
      </c>
      <c r="M954" t="str">
        <f t="shared" ca="1" si="59"/>
        <v/>
      </c>
    </row>
    <row r="955" spans="1:13" x14ac:dyDescent="0.25">
      <c r="A955" s="5"/>
      <c r="B955" s="4" t="str">
        <f t="shared" si="57"/>
        <v/>
      </c>
      <c r="C955" t="str">
        <f>IF(AND(TRIM(A955)&lt;&gt;"",IFERROR(VLOOKUP(TRIM(B955),Inventory!E:E,1,0),0)=0),"X","_")</f>
        <v>_</v>
      </c>
      <c r="D955" t="str">
        <f>IF(AND(TRIM(A955)&lt;&gt;"",IFERROR(VLOOKUP(TRIM(B955),'Full Inventory'!F:F,1,0),0)=0),"X","_")</f>
        <v>_</v>
      </c>
      <c r="E955" t="str">
        <f t="shared" si="60"/>
        <v>X</v>
      </c>
      <c r="F955" t="str">
        <f ca="1">IFERROR(IF(AND(C955&amp;D955&amp;E955="___",INDIRECT("Inventory!A"&amp;MATCH(VLOOKUP(B955,Inventory!E:E,1,0),Inventory!E:E,0))&lt;&gt;INDIRECT("'Full Inventory'!B"&amp;MATCH(VLOOKUP(B955,'Full Inventory'!F:F,1,0),'Full Inventory'!F:F,0))),"X","_"),"_")</f>
        <v>_</v>
      </c>
      <c r="L955" t="str">
        <f t="shared" ca="1" si="58"/>
        <v>__X_</v>
      </c>
      <c r="M955" t="str">
        <f t="shared" ca="1" si="59"/>
        <v/>
      </c>
    </row>
    <row r="956" spans="1:13" x14ac:dyDescent="0.25">
      <c r="A956" s="5"/>
      <c r="B956" s="4" t="str">
        <f t="shared" si="57"/>
        <v/>
      </c>
      <c r="C956" t="str">
        <f>IF(AND(TRIM(A956)&lt;&gt;"",IFERROR(VLOOKUP(TRIM(B956),Inventory!E:E,1,0),0)=0),"X","_")</f>
        <v>_</v>
      </c>
      <c r="D956" t="str">
        <f>IF(AND(TRIM(A956)&lt;&gt;"",IFERROR(VLOOKUP(TRIM(B956),'Full Inventory'!F:F,1,0),0)=0),"X","_")</f>
        <v>_</v>
      </c>
      <c r="E956" t="str">
        <f t="shared" si="60"/>
        <v>X</v>
      </c>
      <c r="F956" t="str">
        <f ca="1">IFERROR(IF(AND(C956&amp;D956&amp;E956="___",INDIRECT("Inventory!A"&amp;MATCH(VLOOKUP(B956,Inventory!E:E,1,0),Inventory!E:E,0))&lt;&gt;INDIRECT("'Full Inventory'!B"&amp;MATCH(VLOOKUP(B956,'Full Inventory'!F:F,1,0),'Full Inventory'!F:F,0))),"X","_"),"_")</f>
        <v>_</v>
      </c>
      <c r="L956" t="str">
        <f t="shared" ca="1" si="58"/>
        <v>__X_</v>
      </c>
      <c r="M956" t="str">
        <f t="shared" ca="1" si="59"/>
        <v/>
      </c>
    </row>
    <row r="957" spans="1:13" x14ac:dyDescent="0.25">
      <c r="A957" s="5"/>
      <c r="B957" s="4" t="str">
        <f t="shared" si="57"/>
        <v/>
      </c>
      <c r="C957" t="str">
        <f>IF(AND(TRIM(A957)&lt;&gt;"",IFERROR(VLOOKUP(TRIM(B957),Inventory!E:E,1,0),0)=0),"X","_")</f>
        <v>_</v>
      </c>
      <c r="D957" t="str">
        <f>IF(AND(TRIM(A957)&lt;&gt;"",IFERROR(VLOOKUP(TRIM(B957),'Full Inventory'!F:F,1,0),0)=0),"X","_")</f>
        <v>_</v>
      </c>
      <c r="E957" t="str">
        <f t="shared" si="60"/>
        <v>X</v>
      </c>
      <c r="F957" t="str">
        <f ca="1">IFERROR(IF(AND(C957&amp;D957&amp;E957="___",INDIRECT("Inventory!A"&amp;MATCH(VLOOKUP(B957,Inventory!E:E,1,0),Inventory!E:E,0))&lt;&gt;INDIRECT("'Full Inventory'!B"&amp;MATCH(VLOOKUP(B957,'Full Inventory'!F:F,1,0),'Full Inventory'!F:F,0))),"X","_"),"_")</f>
        <v>_</v>
      </c>
      <c r="L957" t="str">
        <f t="shared" ca="1" si="58"/>
        <v>__X_</v>
      </c>
      <c r="M957" t="str">
        <f t="shared" ca="1" si="59"/>
        <v/>
      </c>
    </row>
    <row r="958" spans="1:13" x14ac:dyDescent="0.25">
      <c r="A958" s="5"/>
      <c r="B958" s="4" t="str">
        <f t="shared" si="57"/>
        <v/>
      </c>
      <c r="C958" t="str">
        <f>IF(AND(TRIM(A958)&lt;&gt;"",IFERROR(VLOOKUP(TRIM(B958),Inventory!E:E,1,0),0)=0),"X","_")</f>
        <v>_</v>
      </c>
      <c r="D958" t="str">
        <f>IF(AND(TRIM(A958)&lt;&gt;"",IFERROR(VLOOKUP(TRIM(B958),'Full Inventory'!F:F,1,0),0)=0),"X","_")</f>
        <v>_</v>
      </c>
      <c r="E958" t="str">
        <f t="shared" si="60"/>
        <v>X</v>
      </c>
      <c r="F958" t="str">
        <f ca="1">IFERROR(IF(AND(C958&amp;D958&amp;E958="___",INDIRECT("Inventory!A"&amp;MATCH(VLOOKUP(B958,Inventory!E:E,1,0),Inventory!E:E,0))&lt;&gt;INDIRECT("'Full Inventory'!B"&amp;MATCH(VLOOKUP(B958,'Full Inventory'!F:F,1,0),'Full Inventory'!F:F,0))),"X","_"),"_")</f>
        <v>_</v>
      </c>
      <c r="L958" t="str">
        <f t="shared" ca="1" si="58"/>
        <v>__X_</v>
      </c>
      <c r="M958" t="str">
        <f t="shared" ca="1" si="59"/>
        <v/>
      </c>
    </row>
    <row r="959" spans="1:13" x14ac:dyDescent="0.25">
      <c r="A959" s="5"/>
      <c r="B959" s="4" t="str">
        <f t="shared" si="57"/>
        <v/>
      </c>
      <c r="C959" t="str">
        <f>IF(AND(TRIM(A959)&lt;&gt;"",IFERROR(VLOOKUP(TRIM(B959),Inventory!E:E,1,0),0)=0),"X","_")</f>
        <v>_</v>
      </c>
      <c r="D959" t="str">
        <f>IF(AND(TRIM(A959)&lt;&gt;"",IFERROR(VLOOKUP(TRIM(B959),'Full Inventory'!F:F,1,0),0)=0),"X","_")</f>
        <v>_</v>
      </c>
      <c r="E959" t="str">
        <f t="shared" si="60"/>
        <v>X</v>
      </c>
      <c r="F959" t="str">
        <f ca="1">IFERROR(IF(AND(C959&amp;D959&amp;E959="___",INDIRECT("Inventory!A"&amp;MATCH(VLOOKUP(B959,Inventory!E:E,1,0),Inventory!E:E,0))&lt;&gt;INDIRECT("'Full Inventory'!B"&amp;MATCH(VLOOKUP(B959,'Full Inventory'!F:F,1,0),'Full Inventory'!F:F,0))),"X","_"),"_")</f>
        <v>_</v>
      </c>
      <c r="L959" t="str">
        <f t="shared" ca="1" si="58"/>
        <v>__X_</v>
      </c>
      <c r="M959" t="str">
        <f t="shared" ca="1" si="59"/>
        <v/>
      </c>
    </row>
    <row r="960" spans="1:13" x14ac:dyDescent="0.25">
      <c r="A960" s="5"/>
      <c r="B960" s="4" t="str">
        <f t="shared" si="57"/>
        <v/>
      </c>
      <c r="C960" t="str">
        <f>IF(AND(TRIM(A960)&lt;&gt;"",IFERROR(VLOOKUP(TRIM(B960),Inventory!E:E,1,0),0)=0),"X","_")</f>
        <v>_</v>
      </c>
      <c r="D960" t="str">
        <f>IF(AND(TRIM(A960)&lt;&gt;"",IFERROR(VLOOKUP(TRIM(B960),'Full Inventory'!F:F,1,0),0)=0),"X","_")</f>
        <v>_</v>
      </c>
      <c r="E960" t="str">
        <f t="shared" si="60"/>
        <v>X</v>
      </c>
      <c r="F960" t="str">
        <f ca="1">IFERROR(IF(AND(C960&amp;D960&amp;E960="___",INDIRECT("Inventory!A"&amp;MATCH(VLOOKUP(B960,Inventory!E:E,1,0),Inventory!E:E,0))&lt;&gt;INDIRECT("'Full Inventory'!B"&amp;MATCH(VLOOKUP(B960,'Full Inventory'!F:F,1,0),'Full Inventory'!F:F,0))),"X","_"),"_")</f>
        <v>_</v>
      </c>
      <c r="L960" t="str">
        <f t="shared" ca="1" si="58"/>
        <v>__X_</v>
      </c>
      <c r="M960" t="str">
        <f t="shared" ca="1" si="59"/>
        <v/>
      </c>
    </row>
    <row r="961" spans="1:13" x14ac:dyDescent="0.25">
      <c r="A961" s="5"/>
      <c r="B961" s="4" t="str">
        <f t="shared" si="57"/>
        <v/>
      </c>
      <c r="C961" t="str">
        <f>IF(AND(TRIM(A961)&lt;&gt;"",IFERROR(VLOOKUP(TRIM(B961),Inventory!E:E,1,0),0)=0),"X","_")</f>
        <v>_</v>
      </c>
      <c r="D961" t="str">
        <f>IF(AND(TRIM(A961)&lt;&gt;"",IFERROR(VLOOKUP(TRIM(B961),'Full Inventory'!F:F,1,0),0)=0),"X","_")</f>
        <v>_</v>
      </c>
      <c r="E961" t="str">
        <f t="shared" si="60"/>
        <v>X</v>
      </c>
      <c r="F961" t="str">
        <f ca="1">IFERROR(IF(AND(C961&amp;D961&amp;E961="___",INDIRECT("Inventory!A"&amp;MATCH(VLOOKUP(B961,Inventory!E:E,1,0),Inventory!E:E,0))&lt;&gt;INDIRECT("'Full Inventory'!B"&amp;MATCH(VLOOKUP(B961,'Full Inventory'!F:F,1,0),'Full Inventory'!F:F,0))),"X","_"),"_")</f>
        <v>_</v>
      </c>
      <c r="L961" t="str">
        <f t="shared" ca="1" si="58"/>
        <v>__X_</v>
      </c>
      <c r="M961" t="str">
        <f t="shared" ca="1" si="59"/>
        <v/>
      </c>
    </row>
    <row r="962" spans="1:13" x14ac:dyDescent="0.25">
      <c r="A962" s="5"/>
      <c r="B962" s="4" t="str">
        <f t="shared" si="57"/>
        <v/>
      </c>
      <c r="C962" t="str">
        <f>IF(AND(TRIM(A962)&lt;&gt;"",IFERROR(VLOOKUP(TRIM(B962),Inventory!E:E,1,0),0)=0),"X","_")</f>
        <v>_</v>
      </c>
      <c r="D962" t="str">
        <f>IF(AND(TRIM(A962)&lt;&gt;"",IFERROR(VLOOKUP(TRIM(B962),'Full Inventory'!F:F,1,0),0)=0),"X","_")</f>
        <v>_</v>
      </c>
      <c r="E962" t="str">
        <f t="shared" si="60"/>
        <v>X</v>
      </c>
      <c r="F962" t="str">
        <f ca="1">IFERROR(IF(AND(C962&amp;D962&amp;E962="___",INDIRECT("Inventory!A"&amp;MATCH(VLOOKUP(B962,Inventory!E:E,1,0),Inventory!E:E,0))&lt;&gt;INDIRECT("'Full Inventory'!B"&amp;MATCH(VLOOKUP(B962,'Full Inventory'!F:F,1,0),'Full Inventory'!F:F,0))),"X","_"),"_")</f>
        <v>_</v>
      </c>
      <c r="L962" t="str">
        <f t="shared" ca="1" si="58"/>
        <v>__X_</v>
      </c>
      <c r="M962" t="str">
        <f t="shared" ca="1" si="59"/>
        <v/>
      </c>
    </row>
    <row r="963" spans="1:13" x14ac:dyDescent="0.25">
      <c r="A963" s="5"/>
      <c r="B963" s="4" t="str">
        <f t="shared" ref="B963:B1026" si="61">SUBSTITUTE(SUBSTITUTE(A963,"ö","0"),"Ö","0")</f>
        <v/>
      </c>
      <c r="C963" t="str">
        <f>IF(AND(TRIM(A963)&lt;&gt;"",IFERROR(VLOOKUP(TRIM(B963),Inventory!E:E,1,0),0)=0),"X","_")</f>
        <v>_</v>
      </c>
      <c r="D963" t="str">
        <f>IF(AND(TRIM(A963)&lt;&gt;"",IFERROR(VLOOKUP(TRIM(B963),'Full Inventory'!F:F,1,0),0)=0),"X","_")</f>
        <v>_</v>
      </c>
      <c r="E963" t="str">
        <f t="shared" si="60"/>
        <v>X</v>
      </c>
      <c r="F963" t="str">
        <f ca="1">IFERROR(IF(AND(C963&amp;D963&amp;E963="___",INDIRECT("Inventory!A"&amp;MATCH(VLOOKUP(B963,Inventory!E:E,1,0),Inventory!E:E,0))&lt;&gt;INDIRECT("'Full Inventory'!B"&amp;MATCH(VLOOKUP(B963,'Full Inventory'!F:F,1,0),'Full Inventory'!F:F,0))),"X","_"),"_")</f>
        <v>_</v>
      </c>
      <c r="L963" t="str">
        <f t="shared" ref="L963:L1026" ca="1" si="62">C963&amp;D963&amp;E963&amp;F963</f>
        <v>__X_</v>
      </c>
      <c r="M963" t="str">
        <f t="shared" ref="M963:M1026" ca="1" si="63">IF(L963="____","OK",IF(L963="_X__","NOT IN FULL INVENTORY",IF(L963="XX__","NOT IN FULL INVENTORY AND INVENTORY",IF(L963="X___","NOT IN INVENTORY",IF(L963="___X","DIFFERENT NAMES IN FULL INVENTORY AND INVENTORY","")))))</f>
        <v/>
      </c>
    </row>
    <row r="964" spans="1:13" x14ac:dyDescent="0.25">
      <c r="A964" s="5"/>
      <c r="B964" s="4" t="str">
        <f t="shared" si="61"/>
        <v/>
      </c>
      <c r="C964" t="str">
        <f>IF(AND(TRIM(A964)&lt;&gt;"",IFERROR(VLOOKUP(TRIM(B964),Inventory!E:E,1,0),0)=0),"X","_")</f>
        <v>_</v>
      </c>
      <c r="D964" t="str">
        <f>IF(AND(TRIM(A964)&lt;&gt;"",IFERROR(VLOOKUP(TRIM(B964),'Full Inventory'!F:F,1,0),0)=0),"X","_")</f>
        <v>_</v>
      </c>
      <c r="E964" t="str">
        <f t="shared" si="60"/>
        <v>X</v>
      </c>
      <c r="F964" t="str">
        <f ca="1">IFERROR(IF(AND(C964&amp;D964&amp;E964="___",INDIRECT("Inventory!A"&amp;MATCH(VLOOKUP(B964,Inventory!E:E,1,0),Inventory!E:E,0))&lt;&gt;INDIRECT("'Full Inventory'!B"&amp;MATCH(VLOOKUP(B964,'Full Inventory'!F:F,1,0),'Full Inventory'!F:F,0))),"X","_"),"_")</f>
        <v>_</v>
      </c>
      <c r="L964" t="str">
        <f t="shared" ca="1" si="62"/>
        <v>__X_</v>
      </c>
      <c r="M964" t="str">
        <f t="shared" ca="1" si="63"/>
        <v/>
      </c>
    </row>
    <row r="965" spans="1:13" x14ac:dyDescent="0.25">
      <c r="A965" s="5"/>
      <c r="B965" s="4" t="str">
        <f t="shared" si="61"/>
        <v/>
      </c>
      <c r="C965" t="str">
        <f>IF(AND(TRIM(A965)&lt;&gt;"",IFERROR(VLOOKUP(TRIM(B965),Inventory!E:E,1,0),0)=0),"X","_")</f>
        <v>_</v>
      </c>
      <c r="D965" t="str">
        <f>IF(AND(TRIM(A965)&lt;&gt;"",IFERROR(VLOOKUP(TRIM(B965),'Full Inventory'!F:F,1,0),0)=0),"X","_")</f>
        <v>_</v>
      </c>
      <c r="E965" t="str">
        <f t="shared" si="60"/>
        <v>X</v>
      </c>
      <c r="F965" t="str">
        <f ca="1">IFERROR(IF(AND(C965&amp;D965&amp;E965="___",INDIRECT("Inventory!A"&amp;MATCH(VLOOKUP(B965,Inventory!E:E,1,0),Inventory!E:E,0))&lt;&gt;INDIRECT("'Full Inventory'!B"&amp;MATCH(VLOOKUP(B965,'Full Inventory'!F:F,1,0),'Full Inventory'!F:F,0))),"X","_"),"_")</f>
        <v>_</v>
      </c>
      <c r="L965" t="str">
        <f t="shared" ca="1" si="62"/>
        <v>__X_</v>
      </c>
      <c r="M965" t="str">
        <f t="shared" ca="1" si="63"/>
        <v/>
      </c>
    </row>
    <row r="966" spans="1:13" x14ac:dyDescent="0.25">
      <c r="A966" s="5"/>
      <c r="B966" s="4" t="str">
        <f t="shared" si="61"/>
        <v/>
      </c>
      <c r="C966" t="str">
        <f>IF(AND(TRIM(A966)&lt;&gt;"",IFERROR(VLOOKUP(TRIM(B966),Inventory!E:E,1,0),0)=0),"X","_")</f>
        <v>_</v>
      </c>
      <c r="D966" t="str">
        <f>IF(AND(TRIM(A966)&lt;&gt;"",IFERROR(VLOOKUP(TRIM(B966),'Full Inventory'!F:F,1,0),0)=0),"X","_")</f>
        <v>_</v>
      </c>
      <c r="E966" t="str">
        <f t="shared" si="60"/>
        <v>X</v>
      </c>
      <c r="F966" t="str">
        <f ca="1">IFERROR(IF(AND(C966&amp;D966&amp;E966="___",INDIRECT("Inventory!A"&amp;MATCH(VLOOKUP(B966,Inventory!E:E,1,0),Inventory!E:E,0))&lt;&gt;INDIRECT("'Full Inventory'!B"&amp;MATCH(VLOOKUP(B966,'Full Inventory'!F:F,1,0),'Full Inventory'!F:F,0))),"X","_"),"_")</f>
        <v>_</v>
      </c>
      <c r="L966" t="str">
        <f t="shared" ca="1" si="62"/>
        <v>__X_</v>
      </c>
      <c r="M966" t="str">
        <f t="shared" ca="1" si="63"/>
        <v/>
      </c>
    </row>
    <row r="967" spans="1:13" x14ac:dyDescent="0.25">
      <c r="A967" s="5"/>
      <c r="B967" s="4" t="str">
        <f t="shared" si="61"/>
        <v/>
      </c>
      <c r="C967" t="str">
        <f>IF(AND(TRIM(A967)&lt;&gt;"",IFERROR(VLOOKUP(TRIM(B967),Inventory!E:E,1,0),0)=0),"X","_")</f>
        <v>_</v>
      </c>
      <c r="D967" t="str">
        <f>IF(AND(TRIM(A967)&lt;&gt;"",IFERROR(VLOOKUP(TRIM(B967),'Full Inventory'!F:F,1,0),0)=0),"X","_")</f>
        <v>_</v>
      </c>
      <c r="E967" t="str">
        <f t="shared" si="60"/>
        <v>X</v>
      </c>
      <c r="F967" t="str">
        <f ca="1">IFERROR(IF(AND(C967&amp;D967&amp;E967="___",INDIRECT("Inventory!A"&amp;MATCH(VLOOKUP(B967,Inventory!E:E,1,0),Inventory!E:E,0))&lt;&gt;INDIRECT("'Full Inventory'!B"&amp;MATCH(VLOOKUP(B967,'Full Inventory'!F:F,1,0),'Full Inventory'!F:F,0))),"X","_"),"_")</f>
        <v>_</v>
      </c>
      <c r="L967" t="str">
        <f t="shared" ca="1" si="62"/>
        <v>__X_</v>
      </c>
      <c r="M967" t="str">
        <f t="shared" ca="1" si="63"/>
        <v/>
      </c>
    </row>
    <row r="968" spans="1:13" x14ac:dyDescent="0.25">
      <c r="A968" s="5"/>
      <c r="B968" s="4" t="str">
        <f t="shared" si="61"/>
        <v/>
      </c>
      <c r="C968" t="str">
        <f>IF(AND(TRIM(A968)&lt;&gt;"",IFERROR(VLOOKUP(TRIM(B968),Inventory!E:E,1,0),0)=0),"X","_")</f>
        <v>_</v>
      </c>
      <c r="D968" t="str">
        <f>IF(AND(TRIM(A968)&lt;&gt;"",IFERROR(VLOOKUP(TRIM(B968),'Full Inventory'!F:F,1,0),0)=0),"X","_")</f>
        <v>_</v>
      </c>
      <c r="E968" t="str">
        <f t="shared" si="60"/>
        <v>X</v>
      </c>
      <c r="F968" t="str">
        <f ca="1">IFERROR(IF(AND(C968&amp;D968&amp;E968="___",INDIRECT("Inventory!A"&amp;MATCH(VLOOKUP(B968,Inventory!E:E,1,0),Inventory!E:E,0))&lt;&gt;INDIRECT("'Full Inventory'!B"&amp;MATCH(VLOOKUP(B968,'Full Inventory'!F:F,1,0),'Full Inventory'!F:F,0))),"X","_"),"_")</f>
        <v>_</v>
      </c>
      <c r="L968" t="str">
        <f t="shared" ca="1" si="62"/>
        <v>__X_</v>
      </c>
      <c r="M968" t="str">
        <f t="shared" ca="1" si="63"/>
        <v/>
      </c>
    </row>
    <row r="969" spans="1:13" x14ac:dyDescent="0.25">
      <c r="A969" s="5"/>
      <c r="B969" s="4" t="str">
        <f t="shared" si="61"/>
        <v/>
      </c>
      <c r="C969" t="str">
        <f>IF(AND(TRIM(A969)&lt;&gt;"",IFERROR(VLOOKUP(TRIM(B969),Inventory!E:E,1,0),0)=0),"X","_")</f>
        <v>_</v>
      </c>
      <c r="D969" t="str">
        <f>IF(AND(TRIM(A969)&lt;&gt;"",IFERROR(VLOOKUP(TRIM(B969),'Full Inventory'!F:F,1,0),0)=0),"X","_")</f>
        <v>_</v>
      </c>
      <c r="E969" t="str">
        <f t="shared" si="60"/>
        <v>X</v>
      </c>
      <c r="F969" t="str">
        <f ca="1">IFERROR(IF(AND(C969&amp;D969&amp;E969="___",INDIRECT("Inventory!A"&amp;MATCH(VLOOKUP(B969,Inventory!E:E,1,0),Inventory!E:E,0))&lt;&gt;INDIRECT("'Full Inventory'!B"&amp;MATCH(VLOOKUP(B969,'Full Inventory'!F:F,1,0),'Full Inventory'!F:F,0))),"X","_"),"_")</f>
        <v>_</v>
      </c>
      <c r="L969" t="str">
        <f t="shared" ca="1" si="62"/>
        <v>__X_</v>
      </c>
      <c r="M969" t="str">
        <f t="shared" ca="1" si="63"/>
        <v/>
      </c>
    </row>
    <row r="970" spans="1:13" x14ac:dyDescent="0.25">
      <c r="A970" s="5"/>
      <c r="B970" s="4" t="str">
        <f t="shared" si="61"/>
        <v/>
      </c>
      <c r="C970" t="str">
        <f>IF(AND(TRIM(A970)&lt;&gt;"",IFERROR(VLOOKUP(TRIM(B970),Inventory!E:E,1,0),0)=0),"X","_")</f>
        <v>_</v>
      </c>
      <c r="D970" t="str">
        <f>IF(AND(TRIM(A970)&lt;&gt;"",IFERROR(VLOOKUP(TRIM(B970),'Full Inventory'!F:F,1,0),0)=0),"X","_")</f>
        <v>_</v>
      </c>
      <c r="E970" t="str">
        <f t="shared" si="60"/>
        <v>X</v>
      </c>
      <c r="F970" t="str">
        <f ca="1">IFERROR(IF(AND(C970&amp;D970&amp;E970="___",INDIRECT("Inventory!A"&amp;MATCH(VLOOKUP(B970,Inventory!E:E,1,0),Inventory!E:E,0))&lt;&gt;INDIRECT("'Full Inventory'!B"&amp;MATCH(VLOOKUP(B970,'Full Inventory'!F:F,1,0),'Full Inventory'!F:F,0))),"X","_"),"_")</f>
        <v>_</v>
      </c>
      <c r="L970" t="str">
        <f t="shared" ca="1" si="62"/>
        <v>__X_</v>
      </c>
      <c r="M970" t="str">
        <f t="shared" ca="1" si="63"/>
        <v/>
      </c>
    </row>
    <row r="971" spans="1:13" x14ac:dyDescent="0.25">
      <c r="A971" s="5"/>
      <c r="B971" s="4" t="str">
        <f t="shared" si="61"/>
        <v/>
      </c>
      <c r="C971" t="str">
        <f>IF(AND(TRIM(A971)&lt;&gt;"",IFERROR(VLOOKUP(TRIM(B971),Inventory!E:E,1,0),0)=0),"X","_")</f>
        <v>_</v>
      </c>
      <c r="D971" t="str">
        <f>IF(AND(TRIM(A971)&lt;&gt;"",IFERROR(VLOOKUP(TRIM(B971),'Full Inventory'!F:F,1,0),0)=0),"X","_")</f>
        <v>_</v>
      </c>
      <c r="E971" t="str">
        <f t="shared" si="60"/>
        <v>X</v>
      </c>
      <c r="F971" t="str">
        <f ca="1">IFERROR(IF(AND(C971&amp;D971&amp;E971="___",INDIRECT("Inventory!A"&amp;MATCH(VLOOKUP(B971,Inventory!E:E,1,0),Inventory!E:E,0))&lt;&gt;INDIRECT("'Full Inventory'!B"&amp;MATCH(VLOOKUP(B971,'Full Inventory'!F:F,1,0),'Full Inventory'!F:F,0))),"X","_"),"_")</f>
        <v>_</v>
      </c>
      <c r="L971" t="str">
        <f t="shared" ca="1" si="62"/>
        <v>__X_</v>
      </c>
      <c r="M971" t="str">
        <f t="shared" ca="1" si="63"/>
        <v/>
      </c>
    </row>
    <row r="972" spans="1:13" x14ac:dyDescent="0.25">
      <c r="A972" s="5"/>
      <c r="B972" s="4" t="str">
        <f t="shared" si="61"/>
        <v/>
      </c>
      <c r="C972" t="str">
        <f>IF(AND(TRIM(A972)&lt;&gt;"",IFERROR(VLOOKUP(TRIM(B972),Inventory!E:E,1,0),0)=0),"X","_")</f>
        <v>_</v>
      </c>
      <c r="D972" t="str">
        <f>IF(AND(TRIM(A972)&lt;&gt;"",IFERROR(VLOOKUP(TRIM(B972),'Full Inventory'!F:F,1,0),0)=0),"X","_")</f>
        <v>_</v>
      </c>
      <c r="E972" t="str">
        <f t="shared" si="60"/>
        <v>X</v>
      </c>
      <c r="F972" t="str">
        <f ca="1">IFERROR(IF(AND(C972&amp;D972&amp;E972="___",INDIRECT("Inventory!A"&amp;MATCH(VLOOKUP(B972,Inventory!E:E,1,0),Inventory!E:E,0))&lt;&gt;INDIRECT("'Full Inventory'!B"&amp;MATCH(VLOOKUP(B972,'Full Inventory'!F:F,1,0),'Full Inventory'!F:F,0))),"X","_"),"_")</f>
        <v>_</v>
      </c>
      <c r="L972" t="str">
        <f t="shared" ca="1" si="62"/>
        <v>__X_</v>
      </c>
      <c r="M972" t="str">
        <f t="shared" ca="1" si="63"/>
        <v/>
      </c>
    </row>
    <row r="973" spans="1:13" x14ac:dyDescent="0.25">
      <c r="A973" s="5"/>
      <c r="B973" s="4" t="str">
        <f t="shared" si="61"/>
        <v/>
      </c>
      <c r="C973" t="str">
        <f>IF(AND(TRIM(A973)&lt;&gt;"",IFERROR(VLOOKUP(TRIM(B973),Inventory!E:E,1,0),0)=0),"X","_")</f>
        <v>_</v>
      </c>
      <c r="D973" t="str">
        <f>IF(AND(TRIM(A973)&lt;&gt;"",IFERROR(VLOOKUP(TRIM(B973),'Full Inventory'!F:F,1,0),0)=0),"X","_")</f>
        <v>_</v>
      </c>
      <c r="E973" t="str">
        <f t="shared" si="60"/>
        <v>X</v>
      </c>
      <c r="F973" t="str">
        <f ca="1">IFERROR(IF(AND(C973&amp;D973&amp;E973="___",INDIRECT("Inventory!A"&amp;MATCH(VLOOKUP(B973,Inventory!E:E,1,0),Inventory!E:E,0))&lt;&gt;INDIRECT("'Full Inventory'!B"&amp;MATCH(VLOOKUP(B973,'Full Inventory'!F:F,1,0),'Full Inventory'!F:F,0))),"X","_"),"_")</f>
        <v>_</v>
      </c>
      <c r="L973" t="str">
        <f t="shared" ca="1" si="62"/>
        <v>__X_</v>
      </c>
      <c r="M973" t="str">
        <f t="shared" ca="1" si="63"/>
        <v/>
      </c>
    </row>
    <row r="974" spans="1:13" x14ac:dyDescent="0.25">
      <c r="A974" s="5"/>
      <c r="B974" s="4" t="str">
        <f t="shared" si="61"/>
        <v/>
      </c>
      <c r="C974" t="str">
        <f>IF(AND(TRIM(A974)&lt;&gt;"",IFERROR(VLOOKUP(TRIM(B974),Inventory!E:E,1,0),0)=0),"X","_")</f>
        <v>_</v>
      </c>
      <c r="D974" t="str">
        <f>IF(AND(TRIM(A974)&lt;&gt;"",IFERROR(VLOOKUP(TRIM(B974),'Full Inventory'!F:F,1,0),0)=0),"X","_")</f>
        <v>_</v>
      </c>
      <c r="E974" t="str">
        <f t="shared" si="60"/>
        <v>X</v>
      </c>
      <c r="F974" t="str">
        <f ca="1">IFERROR(IF(AND(C974&amp;D974&amp;E974="___",INDIRECT("Inventory!A"&amp;MATCH(VLOOKUP(B974,Inventory!E:E,1,0),Inventory!E:E,0))&lt;&gt;INDIRECT("'Full Inventory'!B"&amp;MATCH(VLOOKUP(B974,'Full Inventory'!F:F,1,0),'Full Inventory'!F:F,0))),"X","_"),"_")</f>
        <v>_</v>
      </c>
      <c r="L974" t="str">
        <f t="shared" ca="1" si="62"/>
        <v>__X_</v>
      </c>
      <c r="M974" t="str">
        <f t="shared" ca="1" si="63"/>
        <v/>
      </c>
    </row>
    <row r="975" spans="1:13" x14ac:dyDescent="0.25">
      <c r="A975" s="5"/>
      <c r="B975" s="4" t="str">
        <f t="shared" si="61"/>
        <v/>
      </c>
      <c r="C975" t="str">
        <f>IF(AND(TRIM(A975)&lt;&gt;"",IFERROR(VLOOKUP(TRIM(B975),Inventory!E:E,1,0),0)=0),"X","_")</f>
        <v>_</v>
      </c>
      <c r="D975" t="str">
        <f>IF(AND(TRIM(A975)&lt;&gt;"",IFERROR(VLOOKUP(TRIM(B975),'Full Inventory'!F:F,1,0),0)=0),"X","_")</f>
        <v>_</v>
      </c>
      <c r="E975" t="str">
        <f t="shared" si="60"/>
        <v>X</v>
      </c>
      <c r="F975" t="str">
        <f ca="1">IFERROR(IF(AND(C975&amp;D975&amp;E975="___",INDIRECT("Inventory!A"&amp;MATCH(VLOOKUP(B975,Inventory!E:E,1,0),Inventory!E:E,0))&lt;&gt;INDIRECT("'Full Inventory'!B"&amp;MATCH(VLOOKUP(B975,'Full Inventory'!F:F,1,0),'Full Inventory'!F:F,0))),"X","_"),"_")</f>
        <v>_</v>
      </c>
      <c r="L975" t="str">
        <f t="shared" ca="1" si="62"/>
        <v>__X_</v>
      </c>
      <c r="M975" t="str">
        <f t="shared" ca="1" si="63"/>
        <v/>
      </c>
    </row>
    <row r="976" spans="1:13" x14ac:dyDescent="0.25">
      <c r="A976" s="5"/>
      <c r="B976" s="4" t="str">
        <f t="shared" si="61"/>
        <v/>
      </c>
      <c r="C976" t="str">
        <f>IF(AND(TRIM(A976)&lt;&gt;"",IFERROR(VLOOKUP(TRIM(B976),Inventory!E:E,1,0),0)=0),"X","_")</f>
        <v>_</v>
      </c>
      <c r="D976" t="str">
        <f>IF(AND(TRIM(A976)&lt;&gt;"",IFERROR(VLOOKUP(TRIM(B976),'Full Inventory'!F:F,1,0),0)=0),"X","_")</f>
        <v>_</v>
      </c>
      <c r="E976" t="str">
        <f t="shared" si="60"/>
        <v>X</v>
      </c>
      <c r="F976" t="str">
        <f ca="1">IFERROR(IF(AND(C976&amp;D976&amp;E976="___",INDIRECT("Inventory!A"&amp;MATCH(VLOOKUP(B976,Inventory!E:E,1,0),Inventory!E:E,0))&lt;&gt;INDIRECT("'Full Inventory'!B"&amp;MATCH(VLOOKUP(B976,'Full Inventory'!F:F,1,0),'Full Inventory'!F:F,0))),"X","_"),"_")</f>
        <v>_</v>
      </c>
      <c r="L976" t="str">
        <f t="shared" ca="1" si="62"/>
        <v>__X_</v>
      </c>
      <c r="M976" t="str">
        <f t="shared" ca="1" si="63"/>
        <v/>
      </c>
    </row>
    <row r="977" spans="1:13" x14ac:dyDescent="0.25">
      <c r="A977" s="5"/>
      <c r="B977" s="4" t="str">
        <f t="shared" si="61"/>
        <v/>
      </c>
      <c r="C977" t="str">
        <f>IF(AND(TRIM(A977)&lt;&gt;"",IFERROR(VLOOKUP(TRIM(B977),Inventory!E:E,1,0),0)=0),"X","_")</f>
        <v>_</v>
      </c>
      <c r="D977" t="str">
        <f>IF(AND(TRIM(A977)&lt;&gt;"",IFERROR(VLOOKUP(TRIM(B977),'Full Inventory'!F:F,1,0),0)=0),"X","_")</f>
        <v>_</v>
      </c>
      <c r="E977" t="str">
        <f t="shared" si="60"/>
        <v>X</v>
      </c>
      <c r="F977" t="str">
        <f ca="1">IFERROR(IF(AND(C977&amp;D977&amp;E977="___",INDIRECT("Inventory!A"&amp;MATCH(VLOOKUP(B977,Inventory!E:E,1,0),Inventory!E:E,0))&lt;&gt;INDIRECT("'Full Inventory'!B"&amp;MATCH(VLOOKUP(B977,'Full Inventory'!F:F,1,0),'Full Inventory'!F:F,0))),"X","_"),"_")</f>
        <v>_</v>
      </c>
      <c r="L977" t="str">
        <f t="shared" ca="1" si="62"/>
        <v>__X_</v>
      </c>
      <c r="M977" t="str">
        <f t="shared" ca="1" si="63"/>
        <v/>
      </c>
    </row>
    <row r="978" spans="1:13" x14ac:dyDescent="0.25">
      <c r="A978" s="5"/>
      <c r="B978" s="4" t="str">
        <f t="shared" si="61"/>
        <v/>
      </c>
      <c r="C978" t="str">
        <f>IF(AND(TRIM(A978)&lt;&gt;"",IFERROR(VLOOKUP(TRIM(B978),Inventory!E:E,1,0),0)=0),"X","_")</f>
        <v>_</v>
      </c>
      <c r="D978" t="str">
        <f>IF(AND(TRIM(A978)&lt;&gt;"",IFERROR(VLOOKUP(TRIM(B978),'Full Inventory'!F:F,1,0),0)=0),"X","_")</f>
        <v>_</v>
      </c>
      <c r="E978" t="str">
        <f t="shared" si="60"/>
        <v>X</v>
      </c>
      <c r="F978" t="str">
        <f ca="1">IFERROR(IF(AND(C978&amp;D978&amp;E978="___",INDIRECT("Inventory!A"&amp;MATCH(VLOOKUP(B978,Inventory!E:E,1,0),Inventory!E:E,0))&lt;&gt;INDIRECT("'Full Inventory'!B"&amp;MATCH(VLOOKUP(B978,'Full Inventory'!F:F,1,0),'Full Inventory'!F:F,0))),"X","_"),"_")</f>
        <v>_</v>
      </c>
      <c r="L978" t="str">
        <f t="shared" ca="1" si="62"/>
        <v>__X_</v>
      </c>
      <c r="M978" t="str">
        <f t="shared" ca="1" si="63"/>
        <v/>
      </c>
    </row>
    <row r="979" spans="1:13" x14ac:dyDescent="0.25">
      <c r="A979" s="5"/>
      <c r="B979" s="4" t="str">
        <f t="shared" si="61"/>
        <v/>
      </c>
      <c r="C979" t="str">
        <f>IF(AND(TRIM(A979)&lt;&gt;"",IFERROR(VLOOKUP(TRIM(B979),Inventory!E:E,1,0),0)=0),"X","_")</f>
        <v>_</v>
      </c>
      <c r="D979" t="str">
        <f>IF(AND(TRIM(A979)&lt;&gt;"",IFERROR(VLOOKUP(TRIM(B979),'Full Inventory'!F:F,1,0),0)=0),"X","_")</f>
        <v>_</v>
      </c>
      <c r="E979" t="str">
        <f t="shared" si="60"/>
        <v>X</v>
      </c>
      <c r="F979" t="str">
        <f ca="1">IFERROR(IF(AND(C979&amp;D979&amp;E979="___",INDIRECT("Inventory!A"&amp;MATCH(VLOOKUP(B979,Inventory!E:E,1,0),Inventory!E:E,0))&lt;&gt;INDIRECT("'Full Inventory'!B"&amp;MATCH(VLOOKUP(B979,'Full Inventory'!F:F,1,0),'Full Inventory'!F:F,0))),"X","_"),"_")</f>
        <v>_</v>
      </c>
      <c r="L979" t="str">
        <f t="shared" ca="1" si="62"/>
        <v>__X_</v>
      </c>
      <c r="M979" t="str">
        <f t="shared" ca="1" si="63"/>
        <v/>
      </c>
    </row>
    <row r="980" spans="1:13" x14ac:dyDescent="0.25">
      <c r="A980" s="5"/>
      <c r="B980" s="4" t="str">
        <f t="shared" si="61"/>
        <v/>
      </c>
      <c r="C980" t="str">
        <f>IF(AND(TRIM(A980)&lt;&gt;"",IFERROR(VLOOKUP(TRIM(B980),Inventory!E:E,1,0),0)=0),"X","_")</f>
        <v>_</v>
      </c>
      <c r="D980" t="str">
        <f>IF(AND(TRIM(A980)&lt;&gt;"",IFERROR(VLOOKUP(TRIM(B980),'Full Inventory'!F:F,1,0),0)=0),"X","_")</f>
        <v>_</v>
      </c>
      <c r="E980" t="str">
        <f t="shared" ref="E980:E1043" si="64">IF(TRIM(A980)&lt;&gt;"","_","X")</f>
        <v>X</v>
      </c>
      <c r="F980" t="str">
        <f ca="1">IFERROR(IF(AND(C980&amp;D980&amp;E980="___",INDIRECT("Inventory!A"&amp;MATCH(VLOOKUP(B980,Inventory!E:E,1,0),Inventory!E:E,0))&lt;&gt;INDIRECT("'Full Inventory'!B"&amp;MATCH(VLOOKUP(B980,'Full Inventory'!F:F,1,0),'Full Inventory'!F:F,0))),"X","_"),"_")</f>
        <v>_</v>
      </c>
      <c r="L980" t="str">
        <f t="shared" ca="1" si="62"/>
        <v>__X_</v>
      </c>
      <c r="M980" t="str">
        <f t="shared" ca="1" si="63"/>
        <v/>
      </c>
    </row>
    <row r="981" spans="1:13" x14ac:dyDescent="0.25">
      <c r="A981" s="5"/>
      <c r="B981" s="4" t="str">
        <f t="shared" si="61"/>
        <v/>
      </c>
      <c r="C981" t="str">
        <f>IF(AND(TRIM(A981)&lt;&gt;"",IFERROR(VLOOKUP(TRIM(B981),Inventory!E:E,1,0),0)=0),"X","_")</f>
        <v>_</v>
      </c>
      <c r="D981" t="str">
        <f>IF(AND(TRIM(A981)&lt;&gt;"",IFERROR(VLOOKUP(TRIM(B981),'Full Inventory'!F:F,1,0),0)=0),"X","_")</f>
        <v>_</v>
      </c>
      <c r="E981" t="str">
        <f t="shared" si="64"/>
        <v>X</v>
      </c>
      <c r="F981" t="str">
        <f ca="1">IFERROR(IF(AND(C981&amp;D981&amp;E981="___",INDIRECT("Inventory!A"&amp;MATCH(VLOOKUP(B981,Inventory!E:E,1,0),Inventory!E:E,0))&lt;&gt;INDIRECT("'Full Inventory'!B"&amp;MATCH(VLOOKUP(B981,'Full Inventory'!F:F,1,0),'Full Inventory'!F:F,0))),"X","_"),"_")</f>
        <v>_</v>
      </c>
      <c r="L981" t="str">
        <f t="shared" ca="1" si="62"/>
        <v>__X_</v>
      </c>
      <c r="M981" t="str">
        <f t="shared" ca="1" si="63"/>
        <v/>
      </c>
    </row>
    <row r="982" spans="1:13" x14ac:dyDescent="0.25">
      <c r="A982" s="5"/>
      <c r="B982" s="4" t="str">
        <f t="shared" si="61"/>
        <v/>
      </c>
      <c r="C982" t="str">
        <f>IF(AND(TRIM(A982)&lt;&gt;"",IFERROR(VLOOKUP(TRIM(B982),Inventory!E:E,1,0),0)=0),"X","_")</f>
        <v>_</v>
      </c>
      <c r="D982" t="str">
        <f>IF(AND(TRIM(A982)&lt;&gt;"",IFERROR(VLOOKUP(TRIM(B982),'Full Inventory'!F:F,1,0),0)=0),"X","_")</f>
        <v>_</v>
      </c>
      <c r="E982" t="str">
        <f t="shared" si="64"/>
        <v>X</v>
      </c>
      <c r="F982" t="str">
        <f ca="1">IFERROR(IF(AND(C982&amp;D982&amp;E982="___",INDIRECT("Inventory!A"&amp;MATCH(VLOOKUP(B982,Inventory!E:E,1,0),Inventory!E:E,0))&lt;&gt;INDIRECT("'Full Inventory'!B"&amp;MATCH(VLOOKUP(B982,'Full Inventory'!F:F,1,0),'Full Inventory'!F:F,0))),"X","_"),"_")</f>
        <v>_</v>
      </c>
      <c r="L982" t="str">
        <f t="shared" ca="1" si="62"/>
        <v>__X_</v>
      </c>
      <c r="M982" t="str">
        <f t="shared" ca="1" si="63"/>
        <v/>
      </c>
    </row>
    <row r="983" spans="1:13" x14ac:dyDescent="0.25">
      <c r="A983" s="5"/>
      <c r="B983" s="4" t="str">
        <f t="shared" si="61"/>
        <v/>
      </c>
      <c r="C983" t="str">
        <f>IF(AND(TRIM(A983)&lt;&gt;"",IFERROR(VLOOKUP(TRIM(B983),Inventory!E:E,1,0),0)=0),"X","_")</f>
        <v>_</v>
      </c>
      <c r="D983" t="str">
        <f>IF(AND(TRIM(A983)&lt;&gt;"",IFERROR(VLOOKUP(TRIM(B983),'Full Inventory'!F:F,1,0),0)=0),"X","_")</f>
        <v>_</v>
      </c>
      <c r="E983" t="str">
        <f t="shared" si="64"/>
        <v>X</v>
      </c>
      <c r="F983" t="str">
        <f ca="1">IFERROR(IF(AND(C983&amp;D983&amp;E983="___",INDIRECT("Inventory!A"&amp;MATCH(VLOOKUP(B983,Inventory!E:E,1,0),Inventory!E:E,0))&lt;&gt;INDIRECT("'Full Inventory'!B"&amp;MATCH(VLOOKUP(B983,'Full Inventory'!F:F,1,0),'Full Inventory'!F:F,0))),"X","_"),"_")</f>
        <v>_</v>
      </c>
      <c r="L983" t="str">
        <f t="shared" ca="1" si="62"/>
        <v>__X_</v>
      </c>
      <c r="M983" t="str">
        <f t="shared" ca="1" si="63"/>
        <v/>
      </c>
    </row>
    <row r="984" spans="1:13" x14ac:dyDescent="0.25">
      <c r="A984" s="5"/>
      <c r="B984" s="4" t="str">
        <f t="shared" si="61"/>
        <v/>
      </c>
      <c r="C984" t="str">
        <f>IF(AND(TRIM(A984)&lt;&gt;"",IFERROR(VLOOKUP(TRIM(B984),Inventory!E:E,1,0),0)=0),"X","_")</f>
        <v>_</v>
      </c>
      <c r="D984" t="str">
        <f>IF(AND(TRIM(A984)&lt;&gt;"",IFERROR(VLOOKUP(TRIM(B984),'Full Inventory'!F:F,1,0),0)=0),"X","_")</f>
        <v>_</v>
      </c>
      <c r="E984" t="str">
        <f t="shared" si="64"/>
        <v>X</v>
      </c>
      <c r="F984" t="str">
        <f ca="1">IFERROR(IF(AND(C984&amp;D984&amp;E984="___",INDIRECT("Inventory!A"&amp;MATCH(VLOOKUP(B984,Inventory!E:E,1,0),Inventory!E:E,0))&lt;&gt;INDIRECT("'Full Inventory'!B"&amp;MATCH(VLOOKUP(B984,'Full Inventory'!F:F,1,0),'Full Inventory'!F:F,0))),"X","_"),"_")</f>
        <v>_</v>
      </c>
      <c r="L984" t="str">
        <f t="shared" ca="1" si="62"/>
        <v>__X_</v>
      </c>
      <c r="M984" t="str">
        <f t="shared" ca="1" si="63"/>
        <v/>
      </c>
    </row>
    <row r="985" spans="1:13" x14ac:dyDescent="0.25">
      <c r="A985" s="5"/>
      <c r="B985" s="4" t="str">
        <f t="shared" si="61"/>
        <v/>
      </c>
      <c r="C985" t="str">
        <f>IF(AND(TRIM(A985)&lt;&gt;"",IFERROR(VLOOKUP(TRIM(B985),Inventory!E:E,1,0),0)=0),"X","_")</f>
        <v>_</v>
      </c>
      <c r="D985" t="str">
        <f>IF(AND(TRIM(A985)&lt;&gt;"",IFERROR(VLOOKUP(TRIM(B985),'Full Inventory'!F:F,1,0),0)=0),"X","_")</f>
        <v>_</v>
      </c>
      <c r="E985" t="str">
        <f t="shared" si="64"/>
        <v>X</v>
      </c>
      <c r="F985" t="str">
        <f ca="1">IFERROR(IF(AND(C985&amp;D985&amp;E985="___",INDIRECT("Inventory!A"&amp;MATCH(VLOOKUP(B985,Inventory!E:E,1,0),Inventory!E:E,0))&lt;&gt;INDIRECT("'Full Inventory'!B"&amp;MATCH(VLOOKUP(B985,'Full Inventory'!F:F,1,0),'Full Inventory'!F:F,0))),"X","_"),"_")</f>
        <v>_</v>
      </c>
      <c r="L985" t="str">
        <f t="shared" ca="1" si="62"/>
        <v>__X_</v>
      </c>
      <c r="M985" t="str">
        <f t="shared" ca="1" si="63"/>
        <v/>
      </c>
    </row>
    <row r="986" spans="1:13" x14ac:dyDescent="0.25">
      <c r="A986" s="5"/>
      <c r="B986" s="4" t="str">
        <f t="shared" si="61"/>
        <v/>
      </c>
      <c r="C986" t="str">
        <f>IF(AND(TRIM(A986)&lt;&gt;"",IFERROR(VLOOKUP(TRIM(B986),Inventory!E:E,1,0),0)=0),"X","_")</f>
        <v>_</v>
      </c>
      <c r="D986" t="str">
        <f>IF(AND(TRIM(A986)&lt;&gt;"",IFERROR(VLOOKUP(TRIM(B986),'Full Inventory'!F:F,1,0),0)=0),"X","_")</f>
        <v>_</v>
      </c>
      <c r="E986" t="str">
        <f t="shared" si="64"/>
        <v>X</v>
      </c>
      <c r="F986" t="str">
        <f ca="1">IFERROR(IF(AND(C986&amp;D986&amp;E986="___",INDIRECT("Inventory!A"&amp;MATCH(VLOOKUP(B986,Inventory!E:E,1,0),Inventory!E:E,0))&lt;&gt;INDIRECT("'Full Inventory'!B"&amp;MATCH(VLOOKUP(B986,'Full Inventory'!F:F,1,0),'Full Inventory'!F:F,0))),"X","_"),"_")</f>
        <v>_</v>
      </c>
      <c r="L986" t="str">
        <f t="shared" ca="1" si="62"/>
        <v>__X_</v>
      </c>
      <c r="M986" t="str">
        <f t="shared" ca="1" si="63"/>
        <v/>
      </c>
    </row>
    <row r="987" spans="1:13" x14ac:dyDescent="0.25">
      <c r="A987" s="5"/>
      <c r="B987" s="4" t="str">
        <f t="shared" si="61"/>
        <v/>
      </c>
      <c r="C987" t="str">
        <f>IF(AND(TRIM(A987)&lt;&gt;"",IFERROR(VLOOKUP(TRIM(B987),Inventory!E:E,1,0),0)=0),"X","_")</f>
        <v>_</v>
      </c>
      <c r="D987" t="str">
        <f>IF(AND(TRIM(A987)&lt;&gt;"",IFERROR(VLOOKUP(TRIM(B987),'Full Inventory'!F:F,1,0),0)=0),"X","_")</f>
        <v>_</v>
      </c>
      <c r="E987" t="str">
        <f t="shared" si="64"/>
        <v>X</v>
      </c>
      <c r="F987" t="str">
        <f ca="1">IFERROR(IF(AND(C987&amp;D987&amp;E987="___",INDIRECT("Inventory!A"&amp;MATCH(VLOOKUP(B987,Inventory!E:E,1,0),Inventory!E:E,0))&lt;&gt;INDIRECT("'Full Inventory'!B"&amp;MATCH(VLOOKUP(B987,'Full Inventory'!F:F,1,0),'Full Inventory'!F:F,0))),"X","_"),"_")</f>
        <v>_</v>
      </c>
      <c r="L987" t="str">
        <f t="shared" ca="1" si="62"/>
        <v>__X_</v>
      </c>
      <c r="M987" t="str">
        <f t="shared" ca="1" si="63"/>
        <v/>
      </c>
    </row>
    <row r="988" spans="1:13" x14ac:dyDescent="0.25">
      <c r="A988" s="5"/>
      <c r="B988" s="4" t="str">
        <f t="shared" si="61"/>
        <v/>
      </c>
      <c r="C988" t="str">
        <f>IF(AND(TRIM(A988)&lt;&gt;"",IFERROR(VLOOKUP(TRIM(B988),Inventory!E:E,1,0),0)=0),"X","_")</f>
        <v>_</v>
      </c>
      <c r="D988" t="str">
        <f>IF(AND(TRIM(A988)&lt;&gt;"",IFERROR(VLOOKUP(TRIM(B988),'Full Inventory'!F:F,1,0),0)=0),"X","_")</f>
        <v>_</v>
      </c>
      <c r="E988" t="str">
        <f t="shared" si="64"/>
        <v>X</v>
      </c>
      <c r="F988" t="str">
        <f ca="1">IFERROR(IF(AND(C988&amp;D988&amp;E988="___",INDIRECT("Inventory!A"&amp;MATCH(VLOOKUP(B988,Inventory!E:E,1,0),Inventory!E:E,0))&lt;&gt;INDIRECT("'Full Inventory'!B"&amp;MATCH(VLOOKUP(B988,'Full Inventory'!F:F,1,0),'Full Inventory'!F:F,0))),"X","_"),"_")</f>
        <v>_</v>
      </c>
      <c r="L988" t="str">
        <f t="shared" ca="1" si="62"/>
        <v>__X_</v>
      </c>
      <c r="M988" t="str">
        <f t="shared" ca="1" si="63"/>
        <v/>
      </c>
    </row>
    <row r="989" spans="1:13" x14ac:dyDescent="0.25">
      <c r="A989" s="5"/>
      <c r="B989" s="4" t="str">
        <f t="shared" si="61"/>
        <v/>
      </c>
      <c r="C989" t="str">
        <f>IF(AND(TRIM(A989)&lt;&gt;"",IFERROR(VLOOKUP(TRIM(B989),Inventory!E:E,1,0),0)=0),"X","_")</f>
        <v>_</v>
      </c>
      <c r="D989" t="str">
        <f>IF(AND(TRIM(A989)&lt;&gt;"",IFERROR(VLOOKUP(TRIM(B989),'Full Inventory'!F:F,1,0),0)=0),"X","_")</f>
        <v>_</v>
      </c>
      <c r="E989" t="str">
        <f t="shared" si="64"/>
        <v>X</v>
      </c>
      <c r="F989" t="str">
        <f ca="1">IFERROR(IF(AND(C989&amp;D989&amp;E989="___",INDIRECT("Inventory!A"&amp;MATCH(VLOOKUP(B989,Inventory!E:E,1,0),Inventory!E:E,0))&lt;&gt;INDIRECT("'Full Inventory'!B"&amp;MATCH(VLOOKUP(B989,'Full Inventory'!F:F,1,0),'Full Inventory'!F:F,0))),"X","_"),"_")</f>
        <v>_</v>
      </c>
      <c r="L989" t="str">
        <f t="shared" ca="1" si="62"/>
        <v>__X_</v>
      </c>
      <c r="M989" t="str">
        <f t="shared" ca="1" si="63"/>
        <v/>
      </c>
    </row>
    <row r="990" spans="1:13" x14ac:dyDescent="0.25">
      <c r="A990" s="5"/>
      <c r="B990" s="4" t="str">
        <f t="shared" si="61"/>
        <v/>
      </c>
      <c r="C990" t="str">
        <f>IF(AND(TRIM(A990)&lt;&gt;"",IFERROR(VLOOKUP(TRIM(B990),Inventory!E:E,1,0),0)=0),"X","_")</f>
        <v>_</v>
      </c>
      <c r="D990" t="str">
        <f>IF(AND(TRIM(A990)&lt;&gt;"",IFERROR(VLOOKUP(TRIM(B990),'Full Inventory'!F:F,1,0),0)=0),"X","_")</f>
        <v>_</v>
      </c>
      <c r="E990" t="str">
        <f t="shared" si="64"/>
        <v>X</v>
      </c>
      <c r="F990" t="str">
        <f ca="1">IFERROR(IF(AND(C990&amp;D990&amp;E990="___",INDIRECT("Inventory!A"&amp;MATCH(VLOOKUP(B990,Inventory!E:E,1,0),Inventory!E:E,0))&lt;&gt;INDIRECT("'Full Inventory'!B"&amp;MATCH(VLOOKUP(B990,'Full Inventory'!F:F,1,0),'Full Inventory'!F:F,0))),"X","_"),"_")</f>
        <v>_</v>
      </c>
      <c r="L990" t="str">
        <f t="shared" ca="1" si="62"/>
        <v>__X_</v>
      </c>
      <c r="M990" t="str">
        <f t="shared" ca="1" si="63"/>
        <v/>
      </c>
    </row>
    <row r="991" spans="1:13" x14ac:dyDescent="0.25">
      <c r="A991" s="5"/>
      <c r="B991" s="4" t="str">
        <f t="shared" si="61"/>
        <v/>
      </c>
      <c r="C991" t="str">
        <f>IF(AND(TRIM(A991)&lt;&gt;"",IFERROR(VLOOKUP(TRIM(B991),Inventory!E:E,1,0),0)=0),"X","_")</f>
        <v>_</v>
      </c>
      <c r="D991" t="str">
        <f>IF(AND(TRIM(A991)&lt;&gt;"",IFERROR(VLOOKUP(TRIM(B991),'Full Inventory'!F:F,1,0),0)=0),"X","_")</f>
        <v>_</v>
      </c>
      <c r="E991" t="str">
        <f t="shared" si="64"/>
        <v>X</v>
      </c>
      <c r="F991" t="str">
        <f ca="1">IFERROR(IF(AND(C991&amp;D991&amp;E991="___",INDIRECT("Inventory!A"&amp;MATCH(VLOOKUP(B991,Inventory!E:E,1,0),Inventory!E:E,0))&lt;&gt;INDIRECT("'Full Inventory'!B"&amp;MATCH(VLOOKUP(B991,'Full Inventory'!F:F,1,0),'Full Inventory'!F:F,0))),"X","_"),"_")</f>
        <v>_</v>
      </c>
      <c r="L991" t="str">
        <f t="shared" ca="1" si="62"/>
        <v>__X_</v>
      </c>
      <c r="M991" t="str">
        <f t="shared" ca="1" si="63"/>
        <v/>
      </c>
    </row>
    <row r="992" spans="1:13" x14ac:dyDescent="0.25">
      <c r="A992" s="5"/>
      <c r="B992" s="4" t="str">
        <f t="shared" si="61"/>
        <v/>
      </c>
      <c r="C992" t="str">
        <f>IF(AND(TRIM(A992)&lt;&gt;"",IFERROR(VLOOKUP(TRIM(B992),Inventory!E:E,1,0),0)=0),"X","_")</f>
        <v>_</v>
      </c>
      <c r="D992" t="str">
        <f>IF(AND(TRIM(A992)&lt;&gt;"",IFERROR(VLOOKUP(TRIM(B992),'Full Inventory'!F:F,1,0),0)=0),"X","_")</f>
        <v>_</v>
      </c>
      <c r="E992" t="str">
        <f t="shared" si="64"/>
        <v>X</v>
      </c>
      <c r="F992" t="str">
        <f ca="1">IFERROR(IF(AND(C992&amp;D992&amp;E992="___",INDIRECT("Inventory!A"&amp;MATCH(VLOOKUP(B992,Inventory!E:E,1,0),Inventory!E:E,0))&lt;&gt;INDIRECT("'Full Inventory'!B"&amp;MATCH(VLOOKUP(B992,'Full Inventory'!F:F,1,0),'Full Inventory'!F:F,0))),"X","_"),"_")</f>
        <v>_</v>
      </c>
      <c r="L992" t="str">
        <f t="shared" ca="1" si="62"/>
        <v>__X_</v>
      </c>
      <c r="M992" t="str">
        <f t="shared" ca="1" si="63"/>
        <v/>
      </c>
    </row>
    <row r="993" spans="1:13" x14ac:dyDescent="0.25">
      <c r="A993" s="5"/>
      <c r="B993" s="4" t="str">
        <f t="shared" si="61"/>
        <v/>
      </c>
      <c r="C993" t="str">
        <f>IF(AND(TRIM(A993)&lt;&gt;"",IFERROR(VLOOKUP(TRIM(B993),Inventory!E:E,1,0),0)=0),"X","_")</f>
        <v>_</v>
      </c>
      <c r="D993" t="str">
        <f>IF(AND(TRIM(A993)&lt;&gt;"",IFERROR(VLOOKUP(TRIM(B993),'Full Inventory'!F:F,1,0),0)=0),"X","_")</f>
        <v>_</v>
      </c>
      <c r="E993" t="str">
        <f t="shared" si="64"/>
        <v>X</v>
      </c>
      <c r="F993" t="str">
        <f ca="1">IFERROR(IF(AND(C993&amp;D993&amp;E993="___",INDIRECT("Inventory!A"&amp;MATCH(VLOOKUP(B993,Inventory!E:E,1,0),Inventory!E:E,0))&lt;&gt;INDIRECT("'Full Inventory'!B"&amp;MATCH(VLOOKUP(B993,'Full Inventory'!F:F,1,0),'Full Inventory'!F:F,0))),"X","_"),"_")</f>
        <v>_</v>
      </c>
      <c r="L993" t="str">
        <f t="shared" ca="1" si="62"/>
        <v>__X_</v>
      </c>
      <c r="M993" t="str">
        <f t="shared" ca="1" si="63"/>
        <v/>
      </c>
    </row>
    <row r="994" spans="1:13" x14ac:dyDescent="0.25">
      <c r="A994" s="5"/>
      <c r="B994" s="4" t="str">
        <f t="shared" si="61"/>
        <v/>
      </c>
      <c r="C994" t="str">
        <f>IF(AND(TRIM(A994)&lt;&gt;"",IFERROR(VLOOKUP(TRIM(B994),Inventory!E:E,1,0),0)=0),"X","_")</f>
        <v>_</v>
      </c>
      <c r="D994" t="str">
        <f>IF(AND(TRIM(A994)&lt;&gt;"",IFERROR(VLOOKUP(TRIM(B994),'Full Inventory'!F:F,1,0),0)=0),"X","_")</f>
        <v>_</v>
      </c>
      <c r="E994" t="str">
        <f t="shared" si="64"/>
        <v>X</v>
      </c>
      <c r="F994" t="str">
        <f ca="1">IFERROR(IF(AND(C994&amp;D994&amp;E994="___",INDIRECT("Inventory!A"&amp;MATCH(VLOOKUP(B994,Inventory!E:E,1,0),Inventory!E:E,0))&lt;&gt;INDIRECT("'Full Inventory'!B"&amp;MATCH(VLOOKUP(B994,'Full Inventory'!F:F,1,0),'Full Inventory'!F:F,0))),"X","_"),"_")</f>
        <v>_</v>
      </c>
      <c r="L994" t="str">
        <f t="shared" ca="1" si="62"/>
        <v>__X_</v>
      </c>
      <c r="M994" t="str">
        <f t="shared" ca="1" si="63"/>
        <v/>
      </c>
    </row>
    <row r="995" spans="1:13" x14ac:dyDescent="0.25">
      <c r="A995" s="5"/>
      <c r="B995" s="4" t="str">
        <f t="shared" si="61"/>
        <v/>
      </c>
      <c r="C995" t="str">
        <f>IF(AND(TRIM(A995)&lt;&gt;"",IFERROR(VLOOKUP(TRIM(B995),Inventory!E:E,1,0),0)=0),"X","_")</f>
        <v>_</v>
      </c>
      <c r="D995" t="str">
        <f>IF(AND(TRIM(A995)&lt;&gt;"",IFERROR(VLOOKUP(TRIM(B995),'Full Inventory'!F:F,1,0),0)=0),"X","_")</f>
        <v>_</v>
      </c>
      <c r="E995" t="str">
        <f t="shared" si="64"/>
        <v>X</v>
      </c>
      <c r="F995" t="str">
        <f ca="1">IFERROR(IF(AND(C995&amp;D995&amp;E995="___",INDIRECT("Inventory!A"&amp;MATCH(VLOOKUP(B995,Inventory!E:E,1,0),Inventory!E:E,0))&lt;&gt;INDIRECT("'Full Inventory'!B"&amp;MATCH(VLOOKUP(B995,'Full Inventory'!F:F,1,0),'Full Inventory'!F:F,0))),"X","_"),"_")</f>
        <v>_</v>
      </c>
      <c r="L995" t="str">
        <f t="shared" ca="1" si="62"/>
        <v>__X_</v>
      </c>
      <c r="M995" t="str">
        <f t="shared" ca="1" si="63"/>
        <v/>
      </c>
    </row>
    <row r="996" spans="1:13" x14ac:dyDescent="0.25">
      <c r="A996" s="5"/>
      <c r="B996" s="4" t="str">
        <f t="shared" si="61"/>
        <v/>
      </c>
      <c r="C996" t="str">
        <f>IF(AND(TRIM(A996)&lt;&gt;"",IFERROR(VLOOKUP(TRIM(B996),Inventory!E:E,1,0),0)=0),"X","_")</f>
        <v>_</v>
      </c>
      <c r="D996" t="str">
        <f>IF(AND(TRIM(A996)&lt;&gt;"",IFERROR(VLOOKUP(TRIM(B996),'Full Inventory'!F:F,1,0),0)=0),"X","_")</f>
        <v>_</v>
      </c>
      <c r="E996" t="str">
        <f t="shared" si="64"/>
        <v>X</v>
      </c>
      <c r="F996" t="str">
        <f ca="1">IFERROR(IF(AND(C996&amp;D996&amp;E996="___",INDIRECT("Inventory!A"&amp;MATCH(VLOOKUP(B996,Inventory!E:E,1,0),Inventory!E:E,0))&lt;&gt;INDIRECT("'Full Inventory'!B"&amp;MATCH(VLOOKUP(B996,'Full Inventory'!F:F,1,0),'Full Inventory'!F:F,0))),"X","_"),"_")</f>
        <v>_</v>
      </c>
      <c r="L996" t="str">
        <f t="shared" ca="1" si="62"/>
        <v>__X_</v>
      </c>
      <c r="M996" t="str">
        <f t="shared" ca="1" si="63"/>
        <v/>
      </c>
    </row>
    <row r="997" spans="1:13" x14ac:dyDescent="0.25">
      <c r="A997" s="5"/>
      <c r="B997" s="4" t="str">
        <f t="shared" si="61"/>
        <v/>
      </c>
      <c r="C997" t="str">
        <f>IF(AND(TRIM(A997)&lt;&gt;"",IFERROR(VLOOKUP(TRIM(B997),Inventory!E:E,1,0),0)=0),"X","_")</f>
        <v>_</v>
      </c>
      <c r="D997" t="str">
        <f>IF(AND(TRIM(A997)&lt;&gt;"",IFERROR(VLOOKUP(TRIM(B997),'Full Inventory'!F:F,1,0),0)=0),"X","_")</f>
        <v>_</v>
      </c>
      <c r="E997" t="str">
        <f t="shared" si="64"/>
        <v>X</v>
      </c>
      <c r="F997" t="str">
        <f ca="1">IFERROR(IF(AND(C997&amp;D997&amp;E997="___",INDIRECT("Inventory!A"&amp;MATCH(VLOOKUP(B997,Inventory!E:E,1,0),Inventory!E:E,0))&lt;&gt;INDIRECT("'Full Inventory'!B"&amp;MATCH(VLOOKUP(B997,'Full Inventory'!F:F,1,0),'Full Inventory'!F:F,0))),"X","_"),"_")</f>
        <v>_</v>
      </c>
      <c r="L997" t="str">
        <f t="shared" ca="1" si="62"/>
        <v>__X_</v>
      </c>
      <c r="M997" t="str">
        <f t="shared" ca="1" si="63"/>
        <v/>
      </c>
    </row>
    <row r="998" spans="1:13" x14ac:dyDescent="0.25">
      <c r="A998" s="5"/>
      <c r="B998" s="4" t="str">
        <f t="shared" si="61"/>
        <v/>
      </c>
      <c r="C998" t="str">
        <f>IF(AND(TRIM(A998)&lt;&gt;"",IFERROR(VLOOKUP(TRIM(B998),Inventory!E:E,1,0),0)=0),"X","_")</f>
        <v>_</v>
      </c>
      <c r="D998" t="str">
        <f>IF(AND(TRIM(A998)&lt;&gt;"",IFERROR(VLOOKUP(TRIM(B998),'Full Inventory'!F:F,1,0),0)=0),"X","_")</f>
        <v>_</v>
      </c>
      <c r="E998" t="str">
        <f t="shared" si="64"/>
        <v>X</v>
      </c>
      <c r="F998" t="str">
        <f ca="1">IFERROR(IF(AND(C998&amp;D998&amp;E998="___",INDIRECT("Inventory!A"&amp;MATCH(VLOOKUP(B998,Inventory!E:E,1,0),Inventory!E:E,0))&lt;&gt;INDIRECT("'Full Inventory'!B"&amp;MATCH(VLOOKUP(B998,'Full Inventory'!F:F,1,0),'Full Inventory'!F:F,0))),"X","_"),"_")</f>
        <v>_</v>
      </c>
      <c r="L998" t="str">
        <f t="shared" ca="1" si="62"/>
        <v>__X_</v>
      </c>
      <c r="M998" t="str">
        <f t="shared" ca="1" si="63"/>
        <v/>
      </c>
    </row>
    <row r="999" spans="1:13" x14ac:dyDescent="0.25">
      <c r="A999" s="5"/>
      <c r="B999" s="4" t="str">
        <f t="shared" si="61"/>
        <v/>
      </c>
      <c r="C999" t="str">
        <f>IF(AND(TRIM(A999)&lt;&gt;"",IFERROR(VLOOKUP(TRIM(B999),Inventory!E:E,1,0),0)=0),"X","_")</f>
        <v>_</v>
      </c>
      <c r="D999" t="str">
        <f>IF(AND(TRIM(A999)&lt;&gt;"",IFERROR(VLOOKUP(TRIM(B999),'Full Inventory'!F:F,1,0),0)=0),"X","_")</f>
        <v>_</v>
      </c>
      <c r="E999" t="str">
        <f t="shared" si="64"/>
        <v>X</v>
      </c>
      <c r="F999" t="str">
        <f ca="1">IFERROR(IF(AND(C999&amp;D999&amp;E999="___",INDIRECT("Inventory!A"&amp;MATCH(VLOOKUP(B999,Inventory!E:E,1,0),Inventory!E:E,0))&lt;&gt;INDIRECT("'Full Inventory'!B"&amp;MATCH(VLOOKUP(B999,'Full Inventory'!F:F,1,0),'Full Inventory'!F:F,0))),"X","_"),"_")</f>
        <v>_</v>
      </c>
      <c r="L999" t="str">
        <f t="shared" ca="1" si="62"/>
        <v>__X_</v>
      </c>
      <c r="M999" t="str">
        <f t="shared" ca="1" si="63"/>
        <v/>
      </c>
    </row>
    <row r="1000" spans="1:13" x14ac:dyDescent="0.25">
      <c r="A1000" s="5"/>
      <c r="B1000" s="4" t="str">
        <f t="shared" si="61"/>
        <v/>
      </c>
      <c r="C1000" t="str">
        <f>IF(AND(TRIM(A1000)&lt;&gt;"",IFERROR(VLOOKUP(TRIM(B1000),Inventory!E:E,1,0),0)=0),"X","_")</f>
        <v>_</v>
      </c>
      <c r="D1000" t="str">
        <f>IF(AND(TRIM(A1000)&lt;&gt;"",IFERROR(VLOOKUP(TRIM(B1000),'Full Inventory'!F:F,1,0),0)=0),"X","_")</f>
        <v>_</v>
      </c>
      <c r="E1000" t="str">
        <f t="shared" si="64"/>
        <v>X</v>
      </c>
      <c r="F1000" t="str">
        <f ca="1">IFERROR(IF(AND(C1000&amp;D1000&amp;E1000="___",INDIRECT("Inventory!A"&amp;MATCH(VLOOKUP(B1000,Inventory!E:E,1,0),Inventory!E:E,0))&lt;&gt;INDIRECT("'Full Inventory'!B"&amp;MATCH(VLOOKUP(B1000,'Full Inventory'!F:F,1,0),'Full Inventory'!F:F,0))),"X","_"),"_")</f>
        <v>_</v>
      </c>
      <c r="L1000" t="str">
        <f t="shared" ca="1" si="62"/>
        <v>__X_</v>
      </c>
      <c r="M1000" t="str">
        <f t="shared" ca="1" si="63"/>
        <v/>
      </c>
    </row>
    <row r="1001" spans="1:13" x14ac:dyDescent="0.25">
      <c r="A1001" s="5"/>
      <c r="B1001" s="4" t="str">
        <f t="shared" si="61"/>
        <v/>
      </c>
      <c r="C1001" t="str">
        <f>IF(AND(TRIM(A1001)&lt;&gt;"",IFERROR(VLOOKUP(TRIM(B1001),Inventory!E:E,1,0),0)=0),"X","_")</f>
        <v>_</v>
      </c>
      <c r="D1001" t="str">
        <f>IF(AND(TRIM(A1001)&lt;&gt;"",IFERROR(VLOOKUP(TRIM(B1001),'Full Inventory'!F:F,1,0),0)=0),"X","_")</f>
        <v>_</v>
      </c>
      <c r="E1001" t="str">
        <f t="shared" si="64"/>
        <v>X</v>
      </c>
      <c r="F1001" t="str">
        <f ca="1">IFERROR(IF(AND(C1001&amp;D1001&amp;E1001="___",INDIRECT("Inventory!A"&amp;MATCH(VLOOKUP(B1001,Inventory!E:E,1,0),Inventory!E:E,0))&lt;&gt;INDIRECT("'Full Inventory'!B"&amp;MATCH(VLOOKUP(B1001,'Full Inventory'!F:F,1,0),'Full Inventory'!F:F,0))),"X","_"),"_")</f>
        <v>_</v>
      </c>
      <c r="L1001" t="str">
        <f t="shared" ca="1" si="62"/>
        <v>__X_</v>
      </c>
      <c r="M1001" t="str">
        <f t="shared" ca="1" si="63"/>
        <v/>
      </c>
    </row>
    <row r="1002" spans="1:13" x14ac:dyDescent="0.25">
      <c r="A1002" s="5"/>
      <c r="B1002" s="4" t="str">
        <f t="shared" si="61"/>
        <v/>
      </c>
      <c r="C1002" t="str">
        <f>IF(AND(TRIM(A1002)&lt;&gt;"",IFERROR(VLOOKUP(TRIM(B1002),Inventory!E:E,1,0),0)=0),"X","_")</f>
        <v>_</v>
      </c>
      <c r="D1002" t="str">
        <f>IF(AND(TRIM(A1002)&lt;&gt;"",IFERROR(VLOOKUP(TRIM(B1002),'Full Inventory'!F:F,1,0),0)=0),"X","_")</f>
        <v>_</v>
      </c>
      <c r="E1002" t="str">
        <f t="shared" si="64"/>
        <v>X</v>
      </c>
      <c r="F1002" t="str">
        <f ca="1">IFERROR(IF(AND(C1002&amp;D1002&amp;E1002="___",INDIRECT("Inventory!A"&amp;MATCH(VLOOKUP(B1002,Inventory!E:E,1,0),Inventory!E:E,0))&lt;&gt;INDIRECT("'Full Inventory'!B"&amp;MATCH(VLOOKUP(B1002,'Full Inventory'!F:F,1,0),'Full Inventory'!F:F,0))),"X","_"),"_")</f>
        <v>_</v>
      </c>
      <c r="L1002" t="str">
        <f t="shared" ca="1" si="62"/>
        <v>__X_</v>
      </c>
      <c r="M1002" t="str">
        <f t="shared" ca="1" si="63"/>
        <v/>
      </c>
    </row>
    <row r="1003" spans="1:13" x14ac:dyDescent="0.25">
      <c r="A1003" s="5"/>
      <c r="B1003" s="4" t="str">
        <f t="shared" si="61"/>
        <v/>
      </c>
      <c r="C1003" t="str">
        <f>IF(AND(TRIM(A1003)&lt;&gt;"",IFERROR(VLOOKUP(TRIM(B1003),Inventory!E:E,1,0),0)=0),"X","_")</f>
        <v>_</v>
      </c>
      <c r="D1003" t="str">
        <f>IF(AND(TRIM(A1003)&lt;&gt;"",IFERROR(VLOOKUP(TRIM(B1003),'Full Inventory'!F:F,1,0),0)=0),"X","_")</f>
        <v>_</v>
      </c>
      <c r="E1003" t="str">
        <f t="shared" si="64"/>
        <v>X</v>
      </c>
      <c r="F1003" t="str">
        <f ca="1">IFERROR(IF(AND(C1003&amp;D1003&amp;E1003="___",INDIRECT("Inventory!A"&amp;MATCH(VLOOKUP(B1003,Inventory!E:E,1,0),Inventory!E:E,0))&lt;&gt;INDIRECT("'Full Inventory'!B"&amp;MATCH(VLOOKUP(B1003,'Full Inventory'!F:F,1,0),'Full Inventory'!F:F,0))),"X","_"),"_")</f>
        <v>_</v>
      </c>
      <c r="L1003" t="str">
        <f t="shared" ca="1" si="62"/>
        <v>__X_</v>
      </c>
      <c r="M1003" t="str">
        <f t="shared" ca="1" si="63"/>
        <v/>
      </c>
    </row>
    <row r="1004" spans="1:13" x14ac:dyDescent="0.25">
      <c r="A1004" s="5"/>
      <c r="B1004" s="4" t="str">
        <f t="shared" si="61"/>
        <v/>
      </c>
      <c r="C1004" t="str">
        <f>IF(AND(TRIM(A1004)&lt;&gt;"",IFERROR(VLOOKUP(TRIM(B1004),Inventory!E:E,1,0),0)=0),"X","_")</f>
        <v>_</v>
      </c>
      <c r="D1004" t="str">
        <f>IF(AND(TRIM(A1004)&lt;&gt;"",IFERROR(VLOOKUP(TRIM(B1004),'Full Inventory'!F:F,1,0),0)=0),"X","_")</f>
        <v>_</v>
      </c>
      <c r="E1004" t="str">
        <f t="shared" si="64"/>
        <v>X</v>
      </c>
      <c r="F1004" t="str">
        <f ca="1">IFERROR(IF(AND(C1004&amp;D1004&amp;E1004="___",INDIRECT("Inventory!A"&amp;MATCH(VLOOKUP(B1004,Inventory!E:E,1,0),Inventory!E:E,0))&lt;&gt;INDIRECT("'Full Inventory'!B"&amp;MATCH(VLOOKUP(B1004,'Full Inventory'!F:F,1,0),'Full Inventory'!F:F,0))),"X","_"),"_")</f>
        <v>_</v>
      </c>
      <c r="L1004" t="str">
        <f t="shared" ca="1" si="62"/>
        <v>__X_</v>
      </c>
      <c r="M1004" t="str">
        <f t="shared" ca="1" si="63"/>
        <v/>
      </c>
    </row>
    <row r="1005" spans="1:13" x14ac:dyDescent="0.25">
      <c r="A1005" s="5"/>
      <c r="B1005" s="4" t="str">
        <f t="shared" si="61"/>
        <v/>
      </c>
      <c r="C1005" t="str">
        <f>IF(AND(TRIM(A1005)&lt;&gt;"",IFERROR(VLOOKUP(TRIM(B1005),Inventory!E:E,1,0),0)=0),"X","_")</f>
        <v>_</v>
      </c>
      <c r="D1005" t="str">
        <f>IF(AND(TRIM(A1005)&lt;&gt;"",IFERROR(VLOOKUP(TRIM(B1005),'Full Inventory'!F:F,1,0),0)=0),"X","_")</f>
        <v>_</v>
      </c>
      <c r="E1005" t="str">
        <f t="shared" si="64"/>
        <v>X</v>
      </c>
      <c r="F1005" t="str">
        <f ca="1">IFERROR(IF(AND(C1005&amp;D1005&amp;E1005="___",INDIRECT("Inventory!A"&amp;MATCH(VLOOKUP(B1005,Inventory!E:E,1,0),Inventory!E:E,0))&lt;&gt;INDIRECT("'Full Inventory'!B"&amp;MATCH(VLOOKUP(B1005,'Full Inventory'!F:F,1,0),'Full Inventory'!F:F,0))),"X","_"),"_")</f>
        <v>_</v>
      </c>
      <c r="L1005" t="str">
        <f t="shared" ca="1" si="62"/>
        <v>__X_</v>
      </c>
      <c r="M1005" t="str">
        <f t="shared" ca="1" si="63"/>
        <v/>
      </c>
    </row>
    <row r="1006" spans="1:13" x14ac:dyDescent="0.25">
      <c r="A1006" s="5"/>
      <c r="B1006" s="4" t="str">
        <f t="shared" si="61"/>
        <v/>
      </c>
      <c r="C1006" t="str">
        <f>IF(AND(TRIM(A1006)&lt;&gt;"",IFERROR(VLOOKUP(TRIM(B1006),Inventory!E:E,1,0),0)=0),"X","_")</f>
        <v>_</v>
      </c>
      <c r="D1006" t="str">
        <f>IF(AND(TRIM(A1006)&lt;&gt;"",IFERROR(VLOOKUP(TRIM(B1006),'Full Inventory'!F:F,1,0),0)=0),"X","_")</f>
        <v>_</v>
      </c>
      <c r="E1006" t="str">
        <f t="shared" si="64"/>
        <v>X</v>
      </c>
      <c r="F1006" t="str">
        <f ca="1">IFERROR(IF(AND(C1006&amp;D1006&amp;E1006="___",INDIRECT("Inventory!A"&amp;MATCH(VLOOKUP(B1006,Inventory!E:E,1,0),Inventory!E:E,0))&lt;&gt;INDIRECT("'Full Inventory'!B"&amp;MATCH(VLOOKUP(B1006,'Full Inventory'!F:F,1,0),'Full Inventory'!F:F,0))),"X","_"),"_")</f>
        <v>_</v>
      </c>
      <c r="L1006" t="str">
        <f t="shared" ca="1" si="62"/>
        <v>__X_</v>
      </c>
      <c r="M1006" t="str">
        <f t="shared" ca="1" si="63"/>
        <v/>
      </c>
    </row>
    <row r="1007" spans="1:13" x14ac:dyDescent="0.25">
      <c r="A1007" s="5"/>
      <c r="B1007" s="4" t="str">
        <f t="shared" si="61"/>
        <v/>
      </c>
      <c r="C1007" t="str">
        <f>IF(AND(TRIM(A1007)&lt;&gt;"",IFERROR(VLOOKUP(TRIM(B1007),Inventory!E:E,1,0),0)=0),"X","_")</f>
        <v>_</v>
      </c>
      <c r="D1007" t="str">
        <f>IF(AND(TRIM(A1007)&lt;&gt;"",IFERROR(VLOOKUP(TRIM(B1007),'Full Inventory'!F:F,1,0),0)=0),"X","_")</f>
        <v>_</v>
      </c>
      <c r="E1007" t="str">
        <f t="shared" si="64"/>
        <v>X</v>
      </c>
      <c r="F1007" t="str">
        <f ca="1">IFERROR(IF(AND(C1007&amp;D1007&amp;E1007="___",INDIRECT("Inventory!A"&amp;MATCH(VLOOKUP(B1007,Inventory!E:E,1,0),Inventory!E:E,0))&lt;&gt;INDIRECT("'Full Inventory'!B"&amp;MATCH(VLOOKUP(B1007,'Full Inventory'!F:F,1,0),'Full Inventory'!F:F,0))),"X","_"),"_")</f>
        <v>_</v>
      </c>
      <c r="L1007" t="str">
        <f t="shared" ca="1" si="62"/>
        <v>__X_</v>
      </c>
      <c r="M1007" t="str">
        <f t="shared" ca="1" si="63"/>
        <v/>
      </c>
    </row>
    <row r="1008" spans="1:13" x14ac:dyDescent="0.25">
      <c r="A1008" s="5"/>
      <c r="B1008" s="4" t="str">
        <f t="shared" si="61"/>
        <v/>
      </c>
      <c r="C1008" t="str">
        <f>IF(AND(TRIM(A1008)&lt;&gt;"",IFERROR(VLOOKUP(TRIM(B1008),Inventory!E:E,1,0),0)=0),"X","_")</f>
        <v>_</v>
      </c>
      <c r="D1008" t="str">
        <f>IF(AND(TRIM(A1008)&lt;&gt;"",IFERROR(VLOOKUP(TRIM(B1008),'Full Inventory'!F:F,1,0),0)=0),"X","_")</f>
        <v>_</v>
      </c>
      <c r="E1008" t="str">
        <f t="shared" si="64"/>
        <v>X</v>
      </c>
      <c r="F1008" t="str">
        <f ca="1">IFERROR(IF(AND(C1008&amp;D1008&amp;E1008="___",INDIRECT("Inventory!A"&amp;MATCH(VLOOKUP(B1008,Inventory!E:E,1,0),Inventory!E:E,0))&lt;&gt;INDIRECT("'Full Inventory'!B"&amp;MATCH(VLOOKUP(B1008,'Full Inventory'!F:F,1,0),'Full Inventory'!F:F,0))),"X","_"),"_")</f>
        <v>_</v>
      </c>
      <c r="L1008" t="str">
        <f t="shared" ca="1" si="62"/>
        <v>__X_</v>
      </c>
      <c r="M1008" t="str">
        <f t="shared" ca="1" si="63"/>
        <v/>
      </c>
    </row>
    <row r="1009" spans="1:13" x14ac:dyDescent="0.25">
      <c r="A1009" s="5"/>
      <c r="B1009" s="4" t="str">
        <f t="shared" si="61"/>
        <v/>
      </c>
      <c r="C1009" t="str">
        <f>IF(AND(TRIM(A1009)&lt;&gt;"",IFERROR(VLOOKUP(TRIM(B1009),Inventory!E:E,1,0),0)=0),"X","_")</f>
        <v>_</v>
      </c>
      <c r="D1009" t="str">
        <f>IF(AND(TRIM(A1009)&lt;&gt;"",IFERROR(VLOOKUP(TRIM(B1009),'Full Inventory'!F:F,1,0),0)=0),"X","_")</f>
        <v>_</v>
      </c>
      <c r="E1009" t="str">
        <f t="shared" si="64"/>
        <v>X</v>
      </c>
      <c r="F1009" t="str">
        <f ca="1">IFERROR(IF(AND(C1009&amp;D1009&amp;E1009="___",INDIRECT("Inventory!A"&amp;MATCH(VLOOKUP(B1009,Inventory!E:E,1,0),Inventory!E:E,0))&lt;&gt;INDIRECT("'Full Inventory'!B"&amp;MATCH(VLOOKUP(B1009,'Full Inventory'!F:F,1,0),'Full Inventory'!F:F,0))),"X","_"),"_")</f>
        <v>_</v>
      </c>
      <c r="L1009" t="str">
        <f t="shared" ca="1" si="62"/>
        <v>__X_</v>
      </c>
      <c r="M1009" t="str">
        <f t="shared" ca="1" si="63"/>
        <v/>
      </c>
    </row>
    <row r="1010" spans="1:13" x14ac:dyDescent="0.25">
      <c r="A1010" s="5"/>
      <c r="B1010" s="4" t="str">
        <f t="shared" si="61"/>
        <v/>
      </c>
      <c r="C1010" t="str">
        <f>IF(AND(TRIM(A1010)&lt;&gt;"",IFERROR(VLOOKUP(TRIM(B1010),Inventory!E:E,1,0),0)=0),"X","_")</f>
        <v>_</v>
      </c>
      <c r="D1010" t="str">
        <f>IF(AND(TRIM(A1010)&lt;&gt;"",IFERROR(VLOOKUP(TRIM(B1010),'Full Inventory'!F:F,1,0),0)=0),"X","_")</f>
        <v>_</v>
      </c>
      <c r="E1010" t="str">
        <f t="shared" si="64"/>
        <v>X</v>
      </c>
      <c r="F1010" t="str">
        <f ca="1">IFERROR(IF(AND(C1010&amp;D1010&amp;E1010="___",INDIRECT("Inventory!A"&amp;MATCH(VLOOKUP(B1010,Inventory!E:E,1,0),Inventory!E:E,0))&lt;&gt;INDIRECT("'Full Inventory'!B"&amp;MATCH(VLOOKUP(B1010,'Full Inventory'!F:F,1,0),'Full Inventory'!F:F,0))),"X","_"),"_")</f>
        <v>_</v>
      </c>
      <c r="L1010" t="str">
        <f t="shared" ca="1" si="62"/>
        <v>__X_</v>
      </c>
      <c r="M1010" t="str">
        <f t="shared" ca="1" si="63"/>
        <v/>
      </c>
    </row>
    <row r="1011" spans="1:13" x14ac:dyDescent="0.25">
      <c r="A1011" s="5"/>
      <c r="B1011" s="4" t="str">
        <f t="shared" si="61"/>
        <v/>
      </c>
      <c r="C1011" t="str">
        <f>IF(AND(TRIM(A1011)&lt;&gt;"",IFERROR(VLOOKUP(TRIM(B1011),Inventory!E:E,1,0),0)=0),"X","_")</f>
        <v>_</v>
      </c>
      <c r="D1011" t="str">
        <f>IF(AND(TRIM(A1011)&lt;&gt;"",IFERROR(VLOOKUP(TRIM(B1011),'Full Inventory'!F:F,1,0),0)=0),"X","_")</f>
        <v>_</v>
      </c>
      <c r="E1011" t="str">
        <f t="shared" si="64"/>
        <v>X</v>
      </c>
      <c r="F1011" t="str">
        <f ca="1">IFERROR(IF(AND(C1011&amp;D1011&amp;E1011="___",INDIRECT("Inventory!A"&amp;MATCH(VLOOKUP(B1011,Inventory!E:E,1,0),Inventory!E:E,0))&lt;&gt;INDIRECT("'Full Inventory'!B"&amp;MATCH(VLOOKUP(B1011,'Full Inventory'!F:F,1,0),'Full Inventory'!F:F,0))),"X","_"),"_")</f>
        <v>_</v>
      </c>
      <c r="L1011" t="str">
        <f t="shared" ca="1" si="62"/>
        <v>__X_</v>
      </c>
      <c r="M1011" t="str">
        <f t="shared" ca="1" si="63"/>
        <v/>
      </c>
    </row>
    <row r="1012" spans="1:13" x14ac:dyDescent="0.25">
      <c r="A1012" s="5"/>
      <c r="B1012" s="4" t="str">
        <f t="shared" si="61"/>
        <v/>
      </c>
      <c r="C1012" t="str">
        <f>IF(AND(TRIM(A1012)&lt;&gt;"",IFERROR(VLOOKUP(TRIM(B1012),Inventory!E:E,1,0),0)=0),"X","_")</f>
        <v>_</v>
      </c>
      <c r="D1012" t="str">
        <f>IF(AND(TRIM(A1012)&lt;&gt;"",IFERROR(VLOOKUP(TRIM(B1012),'Full Inventory'!F:F,1,0),0)=0),"X","_")</f>
        <v>_</v>
      </c>
      <c r="E1012" t="str">
        <f t="shared" si="64"/>
        <v>X</v>
      </c>
      <c r="F1012" t="str">
        <f ca="1">IFERROR(IF(AND(C1012&amp;D1012&amp;E1012="___",INDIRECT("Inventory!A"&amp;MATCH(VLOOKUP(B1012,Inventory!E:E,1,0),Inventory!E:E,0))&lt;&gt;INDIRECT("'Full Inventory'!B"&amp;MATCH(VLOOKUP(B1012,'Full Inventory'!F:F,1,0),'Full Inventory'!F:F,0))),"X","_"),"_")</f>
        <v>_</v>
      </c>
      <c r="L1012" t="str">
        <f t="shared" ca="1" si="62"/>
        <v>__X_</v>
      </c>
      <c r="M1012" t="str">
        <f t="shared" ca="1" si="63"/>
        <v/>
      </c>
    </row>
    <row r="1013" spans="1:13" x14ac:dyDescent="0.25">
      <c r="A1013" s="5"/>
      <c r="B1013" s="4" t="str">
        <f t="shared" si="61"/>
        <v/>
      </c>
      <c r="C1013" t="str">
        <f>IF(AND(TRIM(A1013)&lt;&gt;"",IFERROR(VLOOKUP(TRIM(B1013),Inventory!E:E,1,0),0)=0),"X","_")</f>
        <v>_</v>
      </c>
      <c r="D1013" t="str">
        <f>IF(AND(TRIM(A1013)&lt;&gt;"",IFERROR(VLOOKUP(TRIM(B1013),'Full Inventory'!F:F,1,0),0)=0),"X","_")</f>
        <v>_</v>
      </c>
      <c r="E1013" t="str">
        <f t="shared" si="64"/>
        <v>X</v>
      </c>
      <c r="F1013" t="str">
        <f ca="1">IFERROR(IF(AND(C1013&amp;D1013&amp;E1013="___",INDIRECT("Inventory!A"&amp;MATCH(VLOOKUP(B1013,Inventory!E:E,1,0),Inventory!E:E,0))&lt;&gt;INDIRECT("'Full Inventory'!B"&amp;MATCH(VLOOKUP(B1013,'Full Inventory'!F:F,1,0),'Full Inventory'!F:F,0))),"X","_"),"_")</f>
        <v>_</v>
      </c>
      <c r="L1013" t="str">
        <f t="shared" ca="1" si="62"/>
        <v>__X_</v>
      </c>
      <c r="M1013" t="str">
        <f t="shared" ca="1" si="63"/>
        <v/>
      </c>
    </row>
    <row r="1014" spans="1:13" x14ac:dyDescent="0.25">
      <c r="A1014" s="5"/>
      <c r="B1014" s="4" t="str">
        <f t="shared" si="61"/>
        <v/>
      </c>
      <c r="C1014" t="str">
        <f>IF(AND(TRIM(A1014)&lt;&gt;"",IFERROR(VLOOKUP(TRIM(B1014),Inventory!E:E,1,0),0)=0),"X","_")</f>
        <v>_</v>
      </c>
      <c r="D1014" t="str">
        <f>IF(AND(TRIM(A1014)&lt;&gt;"",IFERROR(VLOOKUP(TRIM(B1014),'Full Inventory'!F:F,1,0),0)=0),"X","_")</f>
        <v>_</v>
      </c>
      <c r="E1014" t="str">
        <f t="shared" si="64"/>
        <v>X</v>
      </c>
      <c r="F1014" t="str">
        <f ca="1">IFERROR(IF(AND(C1014&amp;D1014&amp;E1014="___",INDIRECT("Inventory!A"&amp;MATCH(VLOOKUP(B1014,Inventory!E:E,1,0),Inventory!E:E,0))&lt;&gt;INDIRECT("'Full Inventory'!B"&amp;MATCH(VLOOKUP(B1014,'Full Inventory'!F:F,1,0),'Full Inventory'!F:F,0))),"X","_"),"_")</f>
        <v>_</v>
      </c>
      <c r="L1014" t="str">
        <f t="shared" ca="1" si="62"/>
        <v>__X_</v>
      </c>
      <c r="M1014" t="str">
        <f t="shared" ca="1" si="63"/>
        <v/>
      </c>
    </row>
    <row r="1015" spans="1:13" x14ac:dyDescent="0.25">
      <c r="A1015" s="5"/>
      <c r="B1015" s="4" t="str">
        <f t="shared" si="61"/>
        <v/>
      </c>
      <c r="C1015" t="str">
        <f>IF(AND(TRIM(A1015)&lt;&gt;"",IFERROR(VLOOKUP(TRIM(B1015),Inventory!E:E,1,0),0)=0),"X","_")</f>
        <v>_</v>
      </c>
      <c r="D1015" t="str">
        <f>IF(AND(TRIM(A1015)&lt;&gt;"",IFERROR(VLOOKUP(TRIM(B1015),'Full Inventory'!F:F,1,0),0)=0),"X","_")</f>
        <v>_</v>
      </c>
      <c r="E1015" t="str">
        <f t="shared" si="64"/>
        <v>X</v>
      </c>
      <c r="F1015" t="str">
        <f ca="1">IFERROR(IF(AND(C1015&amp;D1015&amp;E1015="___",INDIRECT("Inventory!A"&amp;MATCH(VLOOKUP(B1015,Inventory!E:E,1,0),Inventory!E:E,0))&lt;&gt;INDIRECT("'Full Inventory'!B"&amp;MATCH(VLOOKUP(B1015,'Full Inventory'!F:F,1,0),'Full Inventory'!F:F,0))),"X","_"),"_")</f>
        <v>_</v>
      </c>
      <c r="L1015" t="str">
        <f t="shared" ca="1" si="62"/>
        <v>__X_</v>
      </c>
      <c r="M1015" t="str">
        <f t="shared" ca="1" si="63"/>
        <v/>
      </c>
    </row>
    <row r="1016" spans="1:13" x14ac:dyDescent="0.25">
      <c r="A1016" s="5"/>
      <c r="B1016" s="4" t="str">
        <f t="shared" si="61"/>
        <v/>
      </c>
      <c r="C1016" t="str">
        <f>IF(AND(TRIM(A1016)&lt;&gt;"",IFERROR(VLOOKUP(TRIM(B1016),Inventory!E:E,1,0),0)=0),"X","_")</f>
        <v>_</v>
      </c>
      <c r="D1016" t="str">
        <f>IF(AND(TRIM(A1016)&lt;&gt;"",IFERROR(VLOOKUP(TRIM(B1016),'Full Inventory'!F:F,1,0),0)=0),"X","_")</f>
        <v>_</v>
      </c>
      <c r="E1016" t="str">
        <f t="shared" si="64"/>
        <v>X</v>
      </c>
      <c r="F1016" t="str">
        <f ca="1">IFERROR(IF(AND(C1016&amp;D1016&amp;E1016="___",INDIRECT("Inventory!A"&amp;MATCH(VLOOKUP(B1016,Inventory!E:E,1,0),Inventory!E:E,0))&lt;&gt;INDIRECT("'Full Inventory'!B"&amp;MATCH(VLOOKUP(B1016,'Full Inventory'!F:F,1,0),'Full Inventory'!F:F,0))),"X","_"),"_")</f>
        <v>_</v>
      </c>
      <c r="L1016" t="str">
        <f t="shared" ca="1" si="62"/>
        <v>__X_</v>
      </c>
      <c r="M1016" t="str">
        <f t="shared" ca="1" si="63"/>
        <v/>
      </c>
    </row>
    <row r="1017" spans="1:13" x14ac:dyDescent="0.25">
      <c r="A1017" s="5"/>
      <c r="B1017" s="4" t="str">
        <f t="shared" si="61"/>
        <v/>
      </c>
      <c r="C1017" t="str">
        <f>IF(AND(TRIM(A1017)&lt;&gt;"",IFERROR(VLOOKUP(TRIM(B1017),Inventory!E:E,1,0),0)=0),"X","_")</f>
        <v>_</v>
      </c>
      <c r="D1017" t="str">
        <f>IF(AND(TRIM(A1017)&lt;&gt;"",IFERROR(VLOOKUP(TRIM(B1017),'Full Inventory'!F:F,1,0),0)=0),"X","_")</f>
        <v>_</v>
      </c>
      <c r="E1017" t="str">
        <f t="shared" si="64"/>
        <v>X</v>
      </c>
      <c r="F1017" t="str">
        <f ca="1">IFERROR(IF(AND(C1017&amp;D1017&amp;E1017="___",INDIRECT("Inventory!A"&amp;MATCH(VLOOKUP(B1017,Inventory!E:E,1,0),Inventory!E:E,0))&lt;&gt;INDIRECT("'Full Inventory'!B"&amp;MATCH(VLOOKUP(B1017,'Full Inventory'!F:F,1,0),'Full Inventory'!F:F,0))),"X","_"),"_")</f>
        <v>_</v>
      </c>
      <c r="L1017" t="str">
        <f t="shared" ca="1" si="62"/>
        <v>__X_</v>
      </c>
      <c r="M1017" t="str">
        <f t="shared" ca="1" si="63"/>
        <v/>
      </c>
    </row>
    <row r="1018" spans="1:13" x14ac:dyDescent="0.25">
      <c r="A1018" s="5"/>
      <c r="B1018" s="4" t="str">
        <f t="shared" si="61"/>
        <v/>
      </c>
      <c r="C1018" t="str">
        <f>IF(AND(TRIM(A1018)&lt;&gt;"",IFERROR(VLOOKUP(TRIM(B1018),Inventory!E:E,1,0),0)=0),"X","_")</f>
        <v>_</v>
      </c>
      <c r="D1018" t="str">
        <f>IF(AND(TRIM(A1018)&lt;&gt;"",IFERROR(VLOOKUP(TRIM(B1018),'Full Inventory'!F:F,1,0),0)=0),"X","_")</f>
        <v>_</v>
      </c>
      <c r="E1018" t="str">
        <f t="shared" si="64"/>
        <v>X</v>
      </c>
      <c r="F1018" t="str">
        <f ca="1">IFERROR(IF(AND(C1018&amp;D1018&amp;E1018="___",INDIRECT("Inventory!A"&amp;MATCH(VLOOKUP(B1018,Inventory!E:E,1,0),Inventory!E:E,0))&lt;&gt;INDIRECT("'Full Inventory'!B"&amp;MATCH(VLOOKUP(B1018,'Full Inventory'!F:F,1,0),'Full Inventory'!F:F,0))),"X","_"),"_")</f>
        <v>_</v>
      </c>
      <c r="L1018" t="str">
        <f t="shared" ca="1" si="62"/>
        <v>__X_</v>
      </c>
      <c r="M1018" t="str">
        <f t="shared" ca="1" si="63"/>
        <v/>
      </c>
    </row>
    <row r="1019" spans="1:13" x14ac:dyDescent="0.25">
      <c r="A1019" s="5"/>
      <c r="B1019" s="4" t="str">
        <f t="shared" si="61"/>
        <v/>
      </c>
      <c r="C1019" t="str">
        <f>IF(AND(TRIM(A1019)&lt;&gt;"",IFERROR(VLOOKUP(TRIM(B1019),Inventory!E:E,1,0),0)=0),"X","_")</f>
        <v>_</v>
      </c>
      <c r="D1019" t="str">
        <f>IF(AND(TRIM(A1019)&lt;&gt;"",IFERROR(VLOOKUP(TRIM(B1019),'Full Inventory'!F:F,1,0),0)=0),"X","_")</f>
        <v>_</v>
      </c>
      <c r="E1019" t="str">
        <f t="shared" si="64"/>
        <v>X</v>
      </c>
      <c r="F1019" t="str">
        <f ca="1">IFERROR(IF(AND(C1019&amp;D1019&amp;E1019="___",INDIRECT("Inventory!A"&amp;MATCH(VLOOKUP(B1019,Inventory!E:E,1,0),Inventory!E:E,0))&lt;&gt;INDIRECT("'Full Inventory'!B"&amp;MATCH(VLOOKUP(B1019,'Full Inventory'!F:F,1,0),'Full Inventory'!F:F,0))),"X","_"),"_")</f>
        <v>_</v>
      </c>
      <c r="L1019" t="str">
        <f t="shared" ca="1" si="62"/>
        <v>__X_</v>
      </c>
      <c r="M1019" t="str">
        <f t="shared" ca="1" si="63"/>
        <v/>
      </c>
    </row>
    <row r="1020" spans="1:13" x14ac:dyDescent="0.25">
      <c r="A1020" s="5"/>
      <c r="B1020" s="4" t="str">
        <f t="shared" si="61"/>
        <v/>
      </c>
      <c r="C1020" t="str">
        <f>IF(AND(TRIM(A1020)&lt;&gt;"",IFERROR(VLOOKUP(TRIM(B1020),Inventory!E:E,1,0),0)=0),"X","_")</f>
        <v>_</v>
      </c>
      <c r="D1020" t="str">
        <f>IF(AND(TRIM(A1020)&lt;&gt;"",IFERROR(VLOOKUP(TRIM(B1020),'Full Inventory'!F:F,1,0),0)=0),"X","_")</f>
        <v>_</v>
      </c>
      <c r="E1020" t="str">
        <f t="shared" si="64"/>
        <v>X</v>
      </c>
      <c r="F1020" t="str">
        <f ca="1">IFERROR(IF(AND(C1020&amp;D1020&amp;E1020="___",INDIRECT("Inventory!A"&amp;MATCH(VLOOKUP(B1020,Inventory!E:E,1,0),Inventory!E:E,0))&lt;&gt;INDIRECT("'Full Inventory'!B"&amp;MATCH(VLOOKUP(B1020,'Full Inventory'!F:F,1,0),'Full Inventory'!F:F,0))),"X","_"),"_")</f>
        <v>_</v>
      </c>
      <c r="L1020" t="str">
        <f t="shared" ca="1" si="62"/>
        <v>__X_</v>
      </c>
      <c r="M1020" t="str">
        <f t="shared" ca="1" si="63"/>
        <v/>
      </c>
    </row>
    <row r="1021" spans="1:13" x14ac:dyDescent="0.25">
      <c r="A1021" s="5"/>
      <c r="B1021" s="4" t="str">
        <f t="shared" si="61"/>
        <v/>
      </c>
      <c r="C1021" t="str">
        <f>IF(AND(TRIM(A1021)&lt;&gt;"",IFERROR(VLOOKUP(TRIM(B1021),Inventory!E:E,1,0),0)=0),"X","_")</f>
        <v>_</v>
      </c>
      <c r="D1021" t="str">
        <f>IF(AND(TRIM(A1021)&lt;&gt;"",IFERROR(VLOOKUP(TRIM(B1021),'Full Inventory'!F:F,1,0),0)=0),"X","_")</f>
        <v>_</v>
      </c>
      <c r="E1021" t="str">
        <f t="shared" si="64"/>
        <v>X</v>
      </c>
      <c r="F1021" t="str">
        <f ca="1">IFERROR(IF(AND(C1021&amp;D1021&amp;E1021="___",INDIRECT("Inventory!A"&amp;MATCH(VLOOKUP(B1021,Inventory!E:E,1,0),Inventory!E:E,0))&lt;&gt;INDIRECT("'Full Inventory'!B"&amp;MATCH(VLOOKUP(B1021,'Full Inventory'!F:F,1,0),'Full Inventory'!F:F,0))),"X","_"),"_")</f>
        <v>_</v>
      </c>
      <c r="L1021" t="str">
        <f t="shared" ca="1" si="62"/>
        <v>__X_</v>
      </c>
      <c r="M1021" t="str">
        <f t="shared" ca="1" si="63"/>
        <v/>
      </c>
    </row>
    <row r="1022" spans="1:13" x14ac:dyDescent="0.25">
      <c r="A1022" s="5"/>
      <c r="B1022" s="4" t="str">
        <f t="shared" si="61"/>
        <v/>
      </c>
      <c r="C1022" t="str">
        <f>IF(AND(TRIM(A1022)&lt;&gt;"",IFERROR(VLOOKUP(TRIM(B1022),Inventory!E:E,1,0),0)=0),"X","_")</f>
        <v>_</v>
      </c>
      <c r="D1022" t="str">
        <f>IF(AND(TRIM(A1022)&lt;&gt;"",IFERROR(VLOOKUP(TRIM(B1022),'Full Inventory'!F:F,1,0),0)=0),"X","_")</f>
        <v>_</v>
      </c>
      <c r="E1022" t="str">
        <f t="shared" si="64"/>
        <v>X</v>
      </c>
      <c r="F1022" t="str">
        <f ca="1">IFERROR(IF(AND(C1022&amp;D1022&amp;E1022="___",INDIRECT("Inventory!A"&amp;MATCH(VLOOKUP(B1022,Inventory!E:E,1,0),Inventory!E:E,0))&lt;&gt;INDIRECT("'Full Inventory'!B"&amp;MATCH(VLOOKUP(B1022,'Full Inventory'!F:F,1,0),'Full Inventory'!F:F,0))),"X","_"),"_")</f>
        <v>_</v>
      </c>
      <c r="L1022" t="str">
        <f t="shared" ca="1" si="62"/>
        <v>__X_</v>
      </c>
      <c r="M1022" t="str">
        <f t="shared" ca="1" si="63"/>
        <v/>
      </c>
    </row>
    <row r="1023" spans="1:13" x14ac:dyDescent="0.25">
      <c r="A1023" s="5"/>
      <c r="B1023" s="4" t="str">
        <f t="shared" si="61"/>
        <v/>
      </c>
      <c r="C1023" t="str">
        <f>IF(AND(TRIM(A1023)&lt;&gt;"",IFERROR(VLOOKUP(TRIM(B1023),Inventory!E:E,1,0),0)=0),"X","_")</f>
        <v>_</v>
      </c>
      <c r="D1023" t="str">
        <f>IF(AND(TRIM(A1023)&lt;&gt;"",IFERROR(VLOOKUP(TRIM(B1023),'Full Inventory'!F:F,1,0),0)=0),"X","_")</f>
        <v>_</v>
      </c>
      <c r="E1023" t="str">
        <f t="shared" si="64"/>
        <v>X</v>
      </c>
      <c r="F1023" t="str">
        <f ca="1">IFERROR(IF(AND(C1023&amp;D1023&amp;E1023="___",INDIRECT("Inventory!A"&amp;MATCH(VLOOKUP(B1023,Inventory!E:E,1,0),Inventory!E:E,0))&lt;&gt;INDIRECT("'Full Inventory'!B"&amp;MATCH(VLOOKUP(B1023,'Full Inventory'!F:F,1,0),'Full Inventory'!F:F,0))),"X","_"),"_")</f>
        <v>_</v>
      </c>
      <c r="L1023" t="str">
        <f t="shared" ca="1" si="62"/>
        <v>__X_</v>
      </c>
      <c r="M1023" t="str">
        <f t="shared" ca="1" si="63"/>
        <v/>
      </c>
    </row>
    <row r="1024" spans="1:13" x14ac:dyDescent="0.25">
      <c r="A1024" s="5"/>
      <c r="B1024" s="4" t="str">
        <f t="shared" si="61"/>
        <v/>
      </c>
      <c r="C1024" t="str">
        <f>IF(AND(TRIM(A1024)&lt;&gt;"",IFERROR(VLOOKUP(TRIM(B1024),Inventory!E:E,1,0),0)=0),"X","_")</f>
        <v>_</v>
      </c>
      <c r="D1024" t="str">
        <f>IF(AND(TRIM(A1024)&lt;&gt;"",IFERROR(VLOOKUP(TRIM(B1024),'Full Inventory'!F:F,1,0),0)=0),"X","_")</f>
        <v>_</v>
      </c>
      <c r="E1024" t="str">
        <f t="shared" si="64"/>
        <v>X</v>
      </c>
      <c r="F1024" t="str">
        <f ca="1">IFERROR(IF(AND(C1024&amp;D1024&amp;E1024="___",INDIRECT("Inventory!A"&amp;MATCH(VLOOKUP(B1024,Inventory!E:E,1,0),Inventory!E:E,0))&lt;&gt;INDIRECT("'Full Inventory'!B"&amp;MATCH(VLOOKUP(B1024,'Full Inventory'!F:F,1,0),'Full Inventory'!F:F,0))),"X","_"),"_")</f>
        <v>_</v>
      </c>
      <c r="L1024" t="str">
        <f t="shared" ca="1" si="62"/>
        <v>__X_</v>
      </c>
      <c r="M1024" t="str">
        <f t="shared" ca="1" si="63"/>
        <v/>
      </c>
    </row>
    <row r="1025" spans="1:13" x14ac:dyDescent="0.25">
      <c r="A1025" s="5"/>
      <c r="B1025" s="4" t="str">
        <f t="shared" si="61"/>
        <v/>
      </c>
      <c r="C1025" t="str">
        <f>IF(AND(TRIM(A1025)&lt;&gt;"",IFERROR(VLOOKUP(TRIM(B1025),Inventory!E:E,1,0),0)=0),"X","_")</f>
        <v>_</v>
      </c>
      <c r="D1025" t="str">
        <f>IF(AND(TRIM(A1025)&lt;&gt;"",IFERROR(VLOOKUP(TRIM(B1025),'Full Inventory'!F:F,1,0),0)=0),"X","_")</f>
        <v>_</v>
      </c>
      <c r="E1025" t="str">
        <f t="shared" si="64"/>
        <v>X</v>
      </c>
      <c r="F1025" t="str">
        <f ca="1">IFERROR(IF(AND(C1025&amp;D1025&amp;E1025="___",INDIRECT("Inventory!A"&amp;MATCH(VLOOKUP(B1025,Inventory!E:E,1,0),Inventory!E:E,0))&lt;&gt;INDIRECT("'Full Inventory'!B"&amp;MATCH(VLOOKUP(B1025,'Full Inventory'!F:F,1,0),'Full Inventory'!F:F,0))),"X","_"),"_")</f>
        <v>_</v>
      </c>
      <c r="L1025" t="str">
        <f t="shared" ca="1" si="62"/>
        <v>__X_</v>
      </c>
      <c r="M1025" t="str">
        <f t="shared" ca="1" si="63"/>
        <v/>
      </c>
    </row>
    <row r="1026" spans="1:13" x14ac:dyDescent="0.25">
      <c r="A1026" s="5"/>
      <c r="B1026" s="4" t="str">
        <f t="shared" si="61"/>
        <v/>
      </c>
      <c r="C1026" t="str">
        <f>IF(AND(TRIM(A1026)&lt;&gt;"",IFERROR(VLOOKUP(TRIM(B1026),Inventory!E:E,1,0),0)=0),"X","_")</f>
        <v>_</v>
      </c>
      <c r="D1026" t="str">
        <f>IF(AND(TRIM(A1026)&lt;&gt;"",IFERROR(VLOOKUP(TRIM(B1026),'Full Inventory'!F:F,1,0),0)=0),"X","_")</f>
        <v>_</v>
      </c>
      <c r="E1026" t="str">
        <f t="shared" si="64"/>
        <v>X</v>
      </c>
      <c r="F1026" t="str">
        <f ca="1">IFERROR(IF(AND(C1026&amp;D1026&amp;E1026="___",INDIRECT("Inventory!A"&amp;MATCH(VLOOKUP(B1026,Inventory!E:E,1,0),Inventory!E:E,0))&lt;&gt;INDIRECT("'Full Inventory'!B"&amp;MATCH(VLOOKUP(B1026,'Full Inventory'!F:F,1,0),'Full Inventory'!F:F,0))),"X","_"),"_")</f>
        <v>_</v>
      </c>
      <c r="L1026" t="str">
        <f t="shared" ca="1" si="62"/>
        <v>__X_</v>
      </c>
      <c r="M1026" t="str">
        <f t="shared" ca="1" si="63"/>
        <v/>
      </c>
    </row>
    <row r="1027" spans="1:13" x14ac:dyDescent="0.25">
      <c r="A1027" s="5"/>
      <c r="B1027" s="4" t="str">
        <f t="shared" ref="B1027:B1090" si="65">SUBSTITUTE(SUBSTITUTE(A1027,"ö","0"),"Ö","0")</f>
        <v/>
      </c>
      <c r="C1027" t="str">
        <f>IF(AND(TRIM(A1027)&lt;&gt;"",IFERROR(VLOOKUP(TRIM(B1027),Inventory!E:E,1,0),0)=0),"X","_")</f>
        <v>_</v>
      </c>
      <c r="D1027" t="str">
        <f>IF(AND(TRIM(A1027)&lt;&gt;"",IFERROR(VLOOKUP(TRIM(B1027),'Full Inventory'!F:F,1,0),0)=0),"X","_")</f>
        <v>_</v>
      </c>
      <c r="E1027" t="str">
        <f t="shared" si="64"/>
        <v>X</v>
      </c>
      <c r="F1027" t="str">
        <f ca="1">IFERROR(IF(AND(C1027&amp;D1027&amp;E1027="___",INDIRECT("Inventory!A"&amp;MATCH(VLOOKUP(B1027,Inventory!E:E,1,0),Inventory!E:E,0))&lt;&gt;INDIRECT("'Full Inventory'!B"&amp;MATCH(VLOOKUP(B1027,'Full Inventory'!F:F,1,0),'Full Inventory'!F:F,0))),"X","_"),"_")</f>
        <v>_</v>
      </c>
      <c r="L1027" t="str">
        <f t="shared" ref="L1027:L1090" ca="1" si="66">C1027&amp;D1027&amp;E1027&amp;F1027</f>
        <v>__X_</v>
      </c>
      <c r="M1027" t="str">
        <f t="shared" ref="M1027:M1090" ca="1" si="67">IF(L1027="____","OK",IF(L1027="_X__","NOT IN FULL INVENTORY",IF(L1027="XX__","NOT IN FULL INVENTORY AND INVENTORY",IF(L1027="X___","NOT IN INVENTORY",IF(L1027="___X","DIFFERENT NAMES IN FULL INVENTORY AND INVENTORY","")))))</f>
        <v/>
      </c>
    </row>
    <row r="1028" spans="1:13" x14ac:dyDescent="0.25">
      <c r="A1028" s="5"/>
      <c r="B1028" s="4" t="str">
        <f t="shared" si="65"/>
        <v/>
      </c>
      <c r="C1028" t="str">
        <f>IF(AND(TRIM(A1028)&lt;&gt;"",IFERROR(VLOOKUP(TRIM(B1028),Inventory!E:E,1,0),0)=0),"X","_")</f>
        <v>_</v>
      </c>
      <c r="D1028" t="str">
        <f>IF(AND(TRIM(A1028)&lt;&gt;"",IFERROR(VLOOKUP(TRIM(B1028),'Full Inventory'!F:F,1,0),0)=0),"X","_")</f>
        <v>_</v>
      </c>
      <c r="E1028" t="str">
        <f t="shared" si="64"/>
        <v>X</v>
      </c>
      <c r="F1028" t="str">
        <f ca="1">IFERROR(IF(AND(C1028&amp;D1028&amp;E1028="___",INDIRECT("Inventory!A"&amp;MATCH(VLOOKUP(B1028,Inventory!E:E,1,0),Inventory!E:E,0))&lt;&gt;INDIRECT("'Full Inventory'!B"&amp;MATCH(VLOOKUP(B1028,'Full Inventory'!F:F,1,0),'Full Inventory'!F:F,0))),"X","_"),"_")</f>
        <v>_</v>
      </c>
      <c r="L1028" t="str">
        <f t="shared" ca="1" si="66"/>
        <v>__X_</v>
      </c>
      <c r="M1028" t="str">
        <f t="shared" ca="1" si="67"/>
        <v/>
      </c>
    </row>
    <row r="1029" spans="1:13" x14ac:dyDescent="0.25">
      <c r="A1029" s="5"/>
      <c r="B1029" s="4" t="str">
        <f t="shared" si="65"/>
        <v/>
      </c>
      <c r="C1029" t="str">
        <f>IF(AND(TRIM(A1029)&lt;&gt;"",IFERROR(VLOOKUP(TRIM(B1029),Inventory!E:E,1,0),0)=0),"X","_")</f>
        <v>_</v>
      </c>
      <c r="D1029" t="str">
        <f>IF(AND(TRIM(A1029)&lt;&gt;"",IFERROR(VLOOKUP(TRIM(B1029),'Full Inventory'!F:F,1,0),0)=0),"X","_")</f>
        <v>_</v>
      </c>
      <c r="E1029" t="str">
        <f t="shared" si="64"/>
        <v>X</v>
      </c>
      <c r="F1029" t="str">
        <f ca="1">IFERROR(IF(AND(C1029&amp;D1029&amp;E1029="___",INDIRECT("Inventory!A"&amp;MATCH(VLOOKUP(B1029,Inventory!E:E,1,0),Inventory!E:E,0))&lt;&gt;INDIRECT("'Full Inventory'!B"&amp;MATCH(VLOOKUP(B1029,'Full Inventory'!F:F,1,0),'Full Inventory'!F:F,0))),"X","_"),"_")</f>
        <v>_</v>
      </c>
      <c r="L1029" t="str">
        <f t="shared" ca="1" si="66"/>
        <v>__X_</v>
      </c>
      <c r="M1029" t="str">
        <f t="shared" ca="1" si="67"/>
        <v/>
      </c>
    </row>
    <row r="1030" spans="1:13" x14ac:dyDescent="0.25">
      <c r="A1030" s="5"/>
      <c r="B1030" s="4" t="str">
        <f t="shared" si="65"/>
        <v/>
      </c>
      <c r="C1030" t="str">
        <f>IF(AND(TRIM(A1030)&lt;&gt;"",IFERROR(VLOOKUP(TRIM(B1030),Inventory!E:E,1,0),0)=0),"X","_")</f>
        <v>_</v>
      </c>
      <c r="D1030" t="str">
        <f>IF(AND(TRIM(A1030)&lt;&gt;"",IFERROR(VLOOKUP(TRIM(B1030),'Full Inventory'!F:F,1,0),0)=0),"X","_")</f>
        <v>_</v>
      </c>
      <c r="E1030" t="str">
        <f t="shared" si="64"/>
        <v>X</v>
      </c>
      <c r="F1030" t="str">
        <f ca="1">IFERROR(IF(AND(C1030&amp;D1030&amp;E1030="___",INDIRECT("Inventory!A"&amp;MATCH(VLOOKUP(B1030,Inventory!E:E,1,0),Inventory!E:E,0))&lt;&gt;INDIRECT("'Full Inventory'!B"&amp;MATCH(VLOOKUP(B1030,'Full Inventory'!F:F,1,0),'Full Inventory'!F:F,0))),"X","_"),"_")</f>
        <v>_</v>
      </c>
      <c r="L1030" t="str">
        <f t="shared" ca="1" si="66"/>
        <v>__X_</v>
      </c>
      <c r="M1030" t="str">
        <f t="shared" ca="1" si="67"/>
        <v/>
      </c>
    </row>
    <row r="1031" spans="1:13" x14ac:dyDescent="0.25">
      <c r="A1031" s="5"/>
      <c r="B1031" s="4" t="str">
        <f t="shared" si="65"/>
        <v/>
      </c>
      <c r="C1031" t="str">
        <f>IF(AND(TRIM(A1031)&lt;&gt;"",IFERROR(VLOOKUP(TRIM(B1031),Inventory!E:E,1,0),0)=0),"X","_")</f>
        <v>_</v>
      </c>
      <c r="D1031" t="str">
        <f>IF(AND(TRIM(A1031)&lt;&gt;"",IFERROR(VLOOKUP(TRIM(B1031),'Full Inventory'!F:F,1,0),0)=0),"X","_")</f>
        <v>_</v>
      </c>
      <c r="E1031" t="str">
        <f t="shared" si="64"/>
        <v>X</v>
      </c>
      <c r="F1031" t="str">
        <f ca="1">IFERROR(IF(AND(C1031&amp;D1031&amp;E1031="___",INDIRECT("Inventory!A"&amp;MATCH(VLOOKUP(B1031,Inventory!E:E,1,0),Inventory!E:E,0))&lt;&gt;INDIRECT("'Full Inventory'!B"&amp;MATCH(VLOOKUP(B1031,'Full Inventory'!F:F,1,0),'Full Inventory'!F:F,0))),"X","_"),"_")</f>
        <v>_</v>
      </c>
      <c r="L1031" t="str">
        <f t="shared" ca="1" si="66"/>
        <v>__X_</v>
      </c>
      <c r="M1031" t="str">
        <f t="shared" ca="1" si="67"/>
        <v/>
      </c>
    </row>
    <row r="1032" spans="1:13" x14ac:dyDescent="0.25">
      <c r="A1032" s="5"/>
      <c r="B1032" s="4" t="str">
        <f t="shared" si="65"/>
        <v/>
      </c>
      <c r="C1032" t="str">
        <f>IF(AND(TRIM(A1032)&lt;&gt;"",IFERROR(VLOOKUP(TRIM(B1032),Inventory!E:E,1,0),0)=0),"X","_")</f>
        <v>_</v>
      </c>
      <c r="D1032" t="str">
        <f>IF(AND(TRIM(A1032)&lt;&gt;"",IFERROR(VLOOKUP(TRIM(B1032),'Full Inventory'!F:F,1,0),0)=0),"X","_")</f>
        <v>_</v>
      </c>
      <c r="E1032" t="str">
        <f t="shared" si="64"/>
        <v>X</v>
      </c>
      <c r="F1032" t="str">
        <f ca="1">IFERROR(IF(AND(C1032&amp;D1032&amp;E1032="___",INDIRECT("Inventory!A"&amp;MATCH(VLOOKUP(B1032,Inventory!E:E,1,0),Inventory!E:E,0))&lt;&gt;INDIRECT("'Full Inventory'!B"&amp;MATCH(VLOOKUP(B1032,'Full Inventory'!F:F,1,0),'Full Inventory'!F:F,0))),"X","_"),"_")</f>
        <v>_</v>
      </c>
      <c r="L1032" t="str">
        <f t="shared" ca="1" si="66"/>
        <v>__X_</v>
      </c>
      <c r="M1032" t="str">
        <f t="shared" ca="1" si="67"/>
        <v/>
      </c>
    </row>
    <row r="1033" spans="1:13" x14ac:dyDescent="0.25">
      <c r="A1033" s="5"/>
      <c r="B1033" s="4" t="str">
        <f t="shared" si="65"/>
        <v/>
      </c>
      <c r="C1033" t="str">
        <f>IF(AND(TRIM(A1033)&lt;&gt;"",IFERROR(VLOOKUP(TRIM(B1033),Inventory!E:E,1,0),0)=0),"X","_")</f>
        <v>_</v>
      </c>
      <c r="D1033" t="str">
        <f>IF(AND(TRIM(A1033)&lt;&gt;"",IFERROR(VLOOKUP(TRIM(B1033),'Full Inventory'!F:F,1,0),0)=0),"X","_")</f>
        <v>_</v>
      </c>
      <c r="E1033" t="str">
        <f t="shared" si="64"/>
        <v>X</v>
      </c>
      <c r="F1033" t="str">
        <f ca="1">IFERROR(IF(AND(C1033&amp;D1033&amp;E1033="___",INDIRECT("Inventory!A"&amp;MATCH(VLOOKUP(B1033,Inventory!E:E,1,0),Inventory!E:E,0))&lt;&gt;INDIRECT("'Full Inventory'!B"&amp;MATCH(VLOOKUP(B1033,'Full Inventory'!F:F,1,0),'Full Inventory'!F:F,0))),"X","_"),"_")</f>
        <v>_</v>
      </c>
      <c r="L1033" t="str">
        <f t="shared" ca="1" si="66"/>
        <v>__X_</v>
      </c>
      <c r="M1033" t="str">
        <f t="shared" ca="1" si="67"/>
        <v/>
      </c>
    </row>
    <row r="1034" spans="1:13" x14ac:dyDescent="0.25">
      <c r="A1034" s="5"/>
      <c r="B1034" s="4" t="str">
        <f t="shared" si="65"/>
        <v/>
      </c>
      <c r="C1034" t="str">
        <f>IF(AND(TRIM(A1034)&lt;&gt;"",IFERROR(VLOOKUP(TRIM(B1034),Inventory!E:E,1,0),0)=0),"X","_")</f>
        <v>_</v>
      </c>
      <c r="D1034" t="str">
        <f>IF(AND(TRIM(A1034)&lt;&gt;"",IFERROR(VLOOKUP(TRIM(B1034),'Full Inventory'!F:F,1,0),0)=0),"X","_")</f>
        <v>_</v>
      </c>
      <c r="E1034" t="str">
        <f t="shared" si="64"/>
        <v>X</v>
      </c>
      <c r="F1034" t="str">
        <f ca="1">IFERROR(IF(AND(C1034&amp;D1034&amp;E1034="___",INDIRECT("Inventory!A"&amp;MATCH(VLOOKUP(B1034,Inventory!E:E,1,0),Inventory!E:E,0))&lt;&gt;INDIRECT("'Full Inventory'!B"&amp;MATCH(VLOOKUP(B1034,'Full Inventory'!F:F,1,0),'Full Inventory'!F:F,0))),"X","_"),"_")</f>
        <v>_</v>
      </c>
      <c r="L1034" t="str">
        <f t="shared" ca="1" si="66"/>
        <v>__X_</v>
      </c>
      <c r="M1034" t="str">
        <f t="shared" ca="1" si="67"/>
        <v/>
      </c>
    </row>
    <row r="1035" spans="1:13" x14ac:dyDescent="0.25">
      <c r="A1035" s="5"/>
      <c r="B1035" s="4" t="str">
        <f t="shared" si="65"/>
        <v/>
      </c>
      <c r="C1035" t="str">
        <f>IF(AND(TRIM(A1035)&lt;&gt;"",IFERROR(VLOOKUP(TRIM(B1035),Inventory!E:E,1,0),0)=0),"X","_")</f>
        <v>_</v>
      </c>
      <c r="D1035" t="str">
        <f>IF(AND(TRIM(A1035)&lt;&gt;"",IFERROR(VLOOKUP(TRIM(B1035),'Full Inventory'!F:F,1,0),0)=0),"X","_")</f>
        <v>_</v>
      </c>
      <c r="E1035" t="str">
        <f t="shared" si="64"/>
        <v>X</v>
      </c>
      <c r="F1035" t="str">
        <f ca="1">IFERROR(IF(AND(C1035&amp;D1035&amp;E1035="___",INDIRECT("Inventory!A"&amp;MATCH(VLOOKUP(B1035,Inventory!E:E,1,0),Inventory!E:E,0))&lt;&gt;INDIRECT("'Full Inventory'!B"&amp;MATCH(VLOOKUP(B1035,'Full Inventory'!F:F,1,0),'Full Inventory'!F:F,0))),"X","_"),"_")</f>
        <v>_</v>
      </c>
      <c r="L1035" t="str">
        <f t="shared" ca="1" si="66"/>
        <v>__X_</v>
      </c>
      <c r="M1035" t="str">
        <f t="shared" ca="1" si="67"/>
        <v/>
      </c>
    </row>
    <row r="1036" spans="1:13" x14ac:dyDescent="0.25">
      <c r="A1036" s="5"/>
      <c r="B1036" s="4" t="str">
        <f t="shared" si="65"/>
        <v/>
      </c>
      <c r="C1036" t="str">
        <f>IF(AND(TRIM(A1036)&lt;&gt;"",IFERROR(VLOOKUP(TRIM(B1036),Inventory!E:E,1,0),0)=0),"X","_")</f>
        <v>_</v>
      </c>
      <c r="D1036" t="str">
        <f>IF(AND(TRIM(A1036)&lt;&gt;"",IFERROR(VLOOKUP(TRIM(B1036),'Full Inventory'!F:F,1,0),0)=0),"X","_")</f>
        <v>_</v>
      </c>
      <c r="E1036" t="str">
        <f t="shared" si="64"/>
        <v>X</v>
      </c>
      <c r="F1036" t="str">
        <f ca="1">IFERROR(IF(AND(C1036&amp;D1036&amp;E1036="___",INDIRECT("Inventory!A"&amp;MATCH(VLOOKUP(B1036,Inventory!E:E,1,0),Inventory!E:E,0))&lt;&gt;INDIRECT("'Full Inventory'!B"&amp;MATCH(VLOOKUP(B1036,'Full Inventory'!F:F,1,0),'Full Inventory'!F:F,0))),"X","_"),"_")</f>
        <v>_</v>
      </c>
      <c r="L1036" t="str">
        <f t="shared" ca="1" si="66"/>
        <v>__X_</v>
      </c>
      <c r="M1036" t="str">
        <f t="shared" ca="1" si="67"/>
        <v/>
      </c>
    </row>
    <row r="1037" spans="1:13" x14ac:dyDescent="0.25">
      <c r="A1037" s="5"/>
      <c r="B1037" s="4" t="str">
        <f t="shared" si="65"/>
        <v/>
      </c>
      <c r="C1037" t="str">
        <f>IF(AND(TRIM(A1037)&lt;&gt;"",IFERROR(VLOOKUP(TRIM(B1037),Inventory!E:E,1,0),0)=0),"X","_")</f>
        <v>_</v>
      </c>
      <c r="D1037" t="str">
        <f>IF(AND(TRIM(A1037)&lt;&gt;"",IFERROR(VLOOKUP(TRIM(B1037),'Full Inventory'!F:F,1,0),0)=0),"X","_")</f>
        <v>_</v>
      </c>
      <c r="E1037" t="str">
        <f t="shared" si="64"/>
        <v>X</v>
      </c>
      <c r="F1037" t="str">
        <f ca="1">IFERROR(IF(AND(C1037&amp;D1037&amp;E1037="___",INDIRECT("Inventory!A"&amp;MATCH(VLOOKUP(B1037,Inventory!E:E,1,0),Inventory!E:E,0))&lt;&gt;INDIRECT("'Full Inventory'!B"&amp;MATCH(VLOOKUP(B1037,'Full Inventory'!F:F,1,0),'Full Inventory'!F:F,0))),"X","_"),"_")</f>
        <v>_</v>
      </c>
      <c r="L1037" t="str">
        <f t="shared" ca="1" si="66"/>
        <v>__X_</v>
      </c>
      <c r="M1037" t="str">
        <f t="shared" ca="1" si="67"/>
        <v/>
      </c>
    </row>
    <row r="1038" spans="1:13" x14ac:dyDescent="0.25">
      <c r="A1038" s="5"/>
      <c r="B1038" s="4" t="str">
        <f t="shared" si="65"/>
        <v/>
      </c>
      <c r="C1038" t="str">
        <f>IF(AND(TRIM(A1038)&lt;&gt;"",IFERROR(VLOOKUP(TRIM(B1038),Inventory!E:E,1,0),0)=0),"X","_")</f>
        <v>_</v>
      </c>
      <c r="D1038" t="str">
        <f>IF(AND(TRIM(A1038)&lt;&gt;"",IFERROR(VLOOKUP(TRIM(B1038),'Full Inventory'!F:F,1,0),0)=0),"X","_")</f>
        <v>_</v>
      </c>
      <c r="E1038" t="str">
        <f t="shared" si="64"/>
        <v>X</v>
      </c>
      <c r="F1038" t="str">
        <f ca="1">IFERROR(IF(AND(C1038&amp;D1038&amp;E1038="___",INDIRECT("Inventory!A"&amp;MATCH(VLOOKUP(B1038,Inventory!E:E,1,0),Inventory!E:E,0))&lt;&gt;INDIRECT("'Full Inventory'!B"&amp;MATCH(VLOOKUP(B1038,'Full Inventory'!F:F,1,0),'Full Inventory'!F:F,0))),"X","_"),"_")</f>
        <v>_</v>
      </c>
      <c r="L1038" t="str">
        <f t="shared" ca="1" si="66"/>
        <v>__X_</v>
      </c>
      <c r="M1038" t="str">
        <f t="shared" ca="1" si="67"/>
        <v/>
      </c>
    </row>
    <row r="1039" spans="1:13" x14ac:dyDescent="0.25">
      <c r="A1039" s="5"/>
      <c r="B1039" s="4" t="str">
        <f t="shared" si="65"/>
        <v/>
      </c>
      <c r="C1039" t="str">
        <f>IF(AND(TRIM(A1039)&lt;&gt;"",IFERROR(VLOOKUP(TRIM(B1039),Inventory!E:E,1,0),0)=0),"X","_")</f>
        <v>_</v>
      </c>
      <c r="D1039" t="str">
        <f>IF(AND(TRIM(A1039)&lt;&gt;"",IFERROR(VLOOKUP(TRIM(B1039),'Full Inventory'!F:F,1,0),0)=0),"X","_")</f>
        <v>_</v>
      </c>
      <c r="E1039" t="str">
        <f t="shared" si="64"/>
        <v>X</v>
      </c>
      <c r="F1039" t="str">
        <f ca="1">IFERROR(IF(AND(C1039&amp;D1039&amp;E1039="___",INDIRECT("Inventory!A"&amp;MATCH(VLOOKUP(B1039,Inventory!E:E,1,0),Inventory!E:E,0))&lt;&gt;INDIRECT("'Full Inventory'!B"&amp;MATCH(VLOOKUP(B1039,'Full Inventory'!F:F,1,0),'Full Inventory'!F:F,0))),"X","_"),"_")</f>
        <v>_</v>
      </c>
      <c r="L1039" t="str">
        <f t="shared" ca="1" si="66"/>
        <v>__X_</v>
      </c>
      <c r="M1039" t="str">
        <f t="shared" ca="1" si="67"/>
        <v/>
      </c>
    </row>
    <row r="1040" spans="1:13" x14ac:dyDescent="0.25">
      <c r="A1040" s="5"/>
      <c r="B1040" s="4" t="str">
        <f t="shared" si="65"/>
        <v/>
      </c>
      <c r="C1040" t="str">
        <f>IF(AND(TRIM(A1040)&lt;&gt;"",IFERROR(VLOOKUP(TRIM(B1040),Inventory!E:E,1,0),0)=0),"X","_")</f>
        <v>_</v>
      </c>
      <c r="D1040" t="str">
        <f>IF(AND(TRIM(A1040)&lt;&gt;"",IFERROR(VLOOKUP(TRIM(B1040),'Full Inventory'!F:F,1,0),0)=0),"X","_")</f>
        <v>_</v>
      </c>
      <c r="E1040" t="str">
        <f t="shared" si="64"/>
        <v>X</v>
      </c>
      <c r="F1040" t="str">
        <f ca="1">IFERROR(IF(AND(C1040&amp;D1040&amp;E1040="___",INDIRECT("Inventory!A"&amp;MATCH(VLOOKUP(B1040,Inventory!E:E,1,0),Inventory!E:E,0))&lt;&gt;INDIRECT("'Full Inventory'!B"&amp;MATCH(VLOOKUP(B1040,'Full Inventory'!F:F,1,0),'Full Inventory'!F:F,0))),"X","_"),"_")</f>
        <v>_</v>
      </c>
      <c r="L1040" t="str">
        <f t="shared" ca="1" si="66"/>
        <v>__X_</v>
      </c>
      <c r="M1040" t="str">
        <f t="shared" ca="1" si="67"/>
        <v/>
      </c>
    </row>
    <row r="1041" spans="1:13" x14ac:dyDescent="0.25">
      <c r="A1041" s="5"/>
      <c r="B1041" s="4" t="str">
        <f t="shared" si="65"/>
        <v/>
      </c>
      <c r="C1041" t="str">
        <f>IF(AND(TRIM(A1041)&lt;&gt;"",IFERROR(VLOOKUP(TRIM(B1041),Inventory!E:E,1,0),0)=0),"X","_")</f>
        <v>_</v>
      </c>
      <c r="D1041" t="str">
        <f>IF(AND(TRIM(A1041)&lt;&gt;"",IFERROR(VLOOKUP(TRIM(B1041),'Full Inventory'!F:F,1,0),0)=0),"X","_")</f>
        <v>_</v>
      </c>
      <c r="E1041" t="str">
        <f t="shared" si="64"/>
        <v>X</v>
      </c>
      <c r="F1041" t="str">
        <f ca="1">IFERROR(IF(AND(C1041&amp;D1041&amp;E1041="___",INDIRECT("Inventory!A"&amp;MATCH(VLOOKUP(B1041,Inventory!E:E,1,0),Inventory!E:E,0))&lt;&gt;INDIRECT("'Full Inventory'!B"&amp;MATCH(VLOOKUP(B1041,'Full Inventory'!F:F,1,0),'Full Inventory'!F:F,0))),"X","_"),"_")</f>
        <v>_</v>
      </c>
      <c r="L1041" t="str">
        <f t="shared" ca="1" si="66"/>
        <v>__X_</v>
      </c>
      <c r="M1041" t="str">
        <f t="shared" ca="1" si="67"/>
        <v/>
      </c>
    </row>
    <row r="1042" spans="1:13" x14ac:dyDescent="0.25">
      <c r="A1042" s="5"/>
      <c r="B1042" s="4" t="str">
        <f t="shared" si="65"/>
        <v/>
      </c>
      <c r="C1042" t="str">
        <f>IF(AND(TRIM(A1042)&lt;&gt;"",IFERROR(VLOOKUP(TRIM(B1042),Inventory!E:E,1,0),0)=0),"X","_")</f>
        <v>_</v>
      </c>
      <c r="D1042" t="str">
        <f>IF(AND(TRIM(A1042)&lt;&gt;"",IFERROR(VLOOKUP(TRIM(B1042),'Full Inventory'!F:F,1,0),0)=0),"X","_")</f>
        <v>_</v>
      </c>
      <c r="E1042" t="str">
        <f t="shared" si="64"/>
        <v>X</v>
      </c>
      <c r="F1042" t="str">
        <f ca="1">IFERROR(IF(AND(C1042&amp;D1042&amp;E1042="___",INDIRECT("Inventory!A"&amp;MATCH(VLOOKUP(B1042,Inventory!E:E,1,0),Inventory!E:E,0))&lt;&gt;INDIRECT("'Full Inventory'!B"&amp;MATCH(VLOOKUP(B1042,'Full Inventory'!F:F,1,0),'Full Inventory'!F:F,0))),"X","_"),"_")</f>
        <v>_</v>
      </c>
      <c r="L1042" t="str">
        <f t="shared" ca="1" si="66"/>
        <v>__X_</v>
      </c>
      <c r="M1042" t="str">
        <f t="shared" ca="1" si="67"/>
        <v/>
      </c>
    </row>
    <row r="1043" spans="1:13" x14ac:dyDescent="0.25">
      <c r="A1043" s="5"/>
      <c r="B1043" s="4" t="str">
        <f t="shared" si="65"/>
        <v/>
      </c>
      <c r="C1043" t="str">
        <f>IF(AND(TRIM(A1043)&lt;&gt;"",IFERROR(VLOOKUP(TRIM(B1043),Inventory!E:E,1,0),0)=0),"X","_")</f>
        <v>_</v>
      </c>
      <c r="D1043" t="str">
        <f>IF(AND(TRIM(A1043)&lt;&gt;"",IFERROR(VLOOKUP(TRIM(B1043),'Full Inventory'!F:F,1,0),0)=0),"X","_")</f>
        <v>_</v>
      </c>
      <c r="E1043" t="str">
        <f t="shared" si="64"/>
        <v>X</v>
      </c>
      <c r="F1043" t="str">
        <f ca="1">IFERROR(IF(AND(C1043&amp;D1043&amp;E1043="___",INDIRECT("Inventory!A"&amp;MATCH(VLOOKUP(B1043,Inventory!E:E,1,0),Inventory!E:E,0))&lt;&gt;INDIRECT("'Full Inventory'!B"&amp;MATCH(VLOOKUP(B1043,'Full Inventory'!F:F,1,0),'Full Inventory'!F:F,0))),"X","_"),"_")</f>
        <v>_</v>
      </c>
      <c r="L1043" t="str">
        <f t="shared" ca="1" si="66"/>
        <v>__X_</v>
      </c>
      <c r="M1043" t="str">
        <f t="shared" ca="1" si="67"/>
        <v/>
      </c>
    </row>
    <row r="1044" spans="1:13" x14ac:dyDescent="0.25">
      <c r="A1044" s="5"/>
      <c r="B1044" s="4" t="str">
        <f t="shared" si="65"/>
        <v/>
      </c>
      <c r="C1044" t="str">
        <f>IF(AND(TRIM(A1044)&lt;&gt;"",IFERROR(VLOOKUP(TRIM(B1044),Inventory!E:E,1,0),0)=0),"X","_")</f>
        <v>_</v>
      </c>
      <c r="D1044" t="str">
        <f>IF(AND(TRIM(A1044)&lt;&gt;"",IFERROR(VLOOKUP(TRIM(B1044),'Full Inventory'!F:F,1,0),0)=0),"X","_")</f>
        <v>_</v>
      </c>
      <c r="E1044" t="str">
        <f t="shared" ref="E1044:E1107" si="68">IF(TRIM(A1044)&lt;&gt;"","_","X")</f>
        <v>X</v>
      </c>
      <c r="F1044" t="str">
        <f ca="1">IFERROR(IF(AND(C1044&amp;D1044&amp;E1044="___",INDIRECT("Inventory!A"&amp;MATCH(VLOOKUP(B1044,Inventory!E:E,1,0),Inventory!E:E,0))&lt;&gt;INDIRECT("'Full Inventory'!B"&amp;MATCH(VLOOKUP(B1044,'Full Inventory'!F:F,1,0),'Full Inventory'!F:F,0))),"X","_"),"_")</f>
        <v>_</v>
      </c>
      <c r="L1044" t="str">
        <f t="shared" ca="1" si="66"/>
        <v>__X_</v>
      </c>
      <c r="M1044" t="str">
        <f t="shared" ca="1" si="67"/>
        <v/>
      </c>
    </row>
    <row r="1045" spans="1:13" x14ac:dyDescent="0.25">
      <c r="A1045" s="5"/>
      <c r="B1045" s="4" t="str">
        <f t="shared" si="65"/>
        <v/>
      </c>
      <c r="C1045" t="str">
        <f>IF(AND(TRIM(A1045)&lt;&gt;"",IFERROR(VLOOKUP(TRIM(B1045),Inventory!E:E,1,0),0)=0),"X","_")</f>
        <v>_</v>
      </c>
      <c r="D1045" t="str">
        <f>IF(AND(TRIM(A1045)&lt;&gt;"",IFERROR(VLOOKUP(TRIM(B1045),'Full Inventory'!F:F,1,0),0)=0),"X","_")</f>
        <v>_</v>
      </c>
      <c r="E1045" t="str">
        <f t="shared" si="68"/>
        <v>X</v>
      </c>
      <c r="F1045" t="str">
        <f ca="1">IFERROR(IF(AND(C1045&amp;D1045&amp;E1045="___",INDIRECT("Inventory!A"&amp;MATCH(VLOOKUP(B1045,Inventory!E:E,1,0),Inventory!E:E,0))&lt;&gt;INDIRECT("'Full Inventory'!B"&amp;MATCH(VLOOKUP(B1045,'Full Inventory'!F:F,1,0),'Full Inventory'!F:F,0))),"X","_"),"_")</f>
        <v>_</v>
      </c>
      <c r="L1045" t="str">
        <f t="shared" ca="1" si="66"/>
        <v>__X_</v>
      </c>
      <c r="M1045" t="str">
        <f t="shared" ca="1" si="67"/>
        <v/>
      </c>
    </row>
    <row r="1046" spans="1:13" x14ac:dyDescent="0.25">
      <c r="A1046" s="5"/>
      <c r="B1046" s="4" t="str">
        <f t="shared" si="65"/>
        <v/>
      </c>
      <c r="C1046" t="str">
        <f>IF(AND(TRIM(A1046)&lt;&gt;"",IFERROR(VLOOKUP(TRIM(B1046),Inventory!E:E,1,0),0)=0),"X","_")</f>
        <v>_</v>
      </c>
      <c r="D1046" t="str">
        <f>IF(AND(TRIM(A1046)&lt;&gt;"",IFERROR(VLOOKUP(TRIM(B1046),'Full Inventory'!F:F,1,0),0)=0),"X","_")</f>
        <v>_</v>
      </c>
      <c r="E1046" t="str">
        <f t="shared" si="68"/>
        <v>X</v>
      </c>
      <c r="F1046" t="str">
        <f ca="1">IFERROR(IF(AND(C1046&amp;D1046&amp;E1046="___",INDIRECT("Inventory!A"&amp;MATCH(VLOOKUP(B1046,Inventory!E:E,1,0),Inventory!E:E,0))&lt;&gt;INDIRECT("'Full Inventory'!B"&amp;MATCH(VLOOKUP(B1046,'Full Inventory'!F:F,1,0),'Full Inventory'!F:F,0))),"X","_"),"_")</f>
        <v>_</v>
      </c>
      <c r="L1046" t="str">
        <f t="shared" ca="1" si="66"/>
        <v>__X_</v>
      </c>
      <c r="M1046" t="str">
        <f t="shared" ca="1" si="67"/>
        <v/>
      </c>
    </row>
    <row r="1047" spans="1:13" x14ac:dyDescent="0.25">
      <c r="A1047" s="5"/>
      <c r="B1047" s="4" t="str">
        <f t="shared" si="65"/>
        <v/>
      </c>
      <c r="C1047" t="str">
        <f>IF(AND(TRIM(A1047)&lt;&gt;"",IFERROR(VLOOKUP(TRIM(B1047),Inventory!E:E,1,0),0)=0),"X","_")</f>
        <v>_</v>
      </c>
      <c r="D1047" t="str">
        <f>IF(AND(TRIM(A1047)&lt;&gt;"",IFERROR(VLOOKUP(TRIM(B1047),'Full Inventory'!F:F,1,0),0)=0),"X","_")</f>
        <v>_</v>
      </c>
      <c r="E1047" t="str">
        <f t="shared" si="68"/>
        <v>X</v>
      </c>
      <c r="F1047" t="str">
        <f ca="1">IFERROR(IF(AND(C1047&amp;D1047&amp;E1047="___",INDIRECT("Inventory!A"&amp;MATCH(VLOOKUP(B1047,Inventory!E:E,1,0),Inventory!E:E,0))&lt;&gt;INDIRECT("'Full Inventory'!B"&amp;MATCH(VLOOKUP(B1047,'Full Inventory'!F:F,1,0),'Full Inventory'!F:F,0))),"X","_"),"_")</f>
        <v>_</v>
      </c>
      <c r="L1047" t="str">
        <f t="shared" ca="1" si="66"/>
        <v>__X_</v>
      </c>
      <c r="M1047" t="str">
        <f t="shared" ca="1" si="67"/>
        <v/>
      </c>
    </row>
    <row r="1048" spans="1:13" x14ac:dyDescent="0.25">
      <c r="A1048" s="5"/>
      <c r="B1048" s="4" t="str">
        <f t="shared" si="65"/>
        <v/>
      </c>
      <c r="C1048" t="str">
        <f>IF(AND(TRIM(A1048)&lt;&gt;"",IFERROR(VLOOKUP(TRIM(B1048),Inventory!E:E,1,0),0)=0),"X","_")</f>
        <v>_</v>
      </c>
      <c r="D1048" t="str">
        <f>IF(AND(TRIM(A1048)&lt;&gt;"",IFERROR(VLOOKUP(TRIM(B1048),'Full Inventory'!F:F,1,0),0)=0),"X","_")</f>
        <v>_</v>
      </c>
      <c r="E1048" t="str">
        <f t="shared" si="68"/>
        <v>X</v>
      </c>
      <c r="F1048" t="str">
        <f ca="1">IFERROR(IF(AND(C1048&amp;D1048&amp;E1048="___",INDIRECT("Inventory!A"&amp;MATCH(VLOOKUP(B1048,Inventory!E:E,1,0),Inventory!E:E,0))&lt;&gt;INDIRECT("'Full Inventory'!B"&amp;MATCH(VLOOKUP(B1048,'Full Inventory'!F:F,1,0),'Full Inventory'!F:F,0))),"X","_"),"_")</f>
        <v>_</v>
      </c>
      <c r="L1048" t="str">
        <f t="shared" ca="1" si="66"/>
        <v>__X_</v>
      </c>
      <c r="M1048" t="str">
        <f t="shared" ca="1" si="67"/>
        <v/>
      </c>
    </row>
    <row r="1049" spans="1:13" x14ac:dyDescent="0.25">
      <c r="A1049" s="5"/>
      <c r="B1049" s="4" t="str">
        <f t="shared" si="65"/>
        <v/>
      </c>
      <c r="C1049" t="str">
        <f>IF(AND(TRIM(A1049)&lt;&gt;"",IFERROR(VLOOKUP(TRIM(B1049),Inventory!E:E,1,0),0)=0),"X","_")</f>
        <v>_</v>
      </c>
      <c r="D1049" t="str">
        <f>IF(AND(TRIM(A1049)&lt;&gt;"",IFERROR(VLOOKUP(TRIM(B1049),'Full Inventory'!F:F,1,0),0)=0),"X","_")</f>
        <v>_</v>
      </c>
      <c r="E1049" t="str">
        <f t="shared" si="68"/>
        <v>X</v>
      </c>
      <c r="F1049" t="str">
        <f ca="1">IFERROR(IF(AND(C1049&amp;D1049&amp;E1049="___",INDIRECT("Inventory!A"&amp;MATCH(VLOOKUP(B1049,Inventory!E:E,1,0),Inventory!E:E,0))&lt;&gt;INDIRECT("'Full Inventory'!B"&amp;MATCH(VLOOKUP(B1049,'Full Inventory'!F:F,1,0),'Full Inventory'!F:F,0))),"X","_"),"_")</f>
        <v>_</v>
      </c>
      <c r="L1049" t="str">
        <f t="shared" ca="1" si="66"/>
        <v>__X_</v>
      </c>
      <c r="M1049" t="str">
        <f t="shared" ca="1" si="67"/>
        <v/>
      </c>
    </row>
    <row r="1050" spans="1:13" x14ac:dyDescent="0.25">
      <c r="A1050" s="5"/>
      <c r="B1050" s="4" t="str">
        <f t="shared" si="65"/>
        <v/>
      </c>
      <c r="C1050" t="str">
        <f>IF(AND(TRIM(A1050)&lt;&gt;"",IFERROR(VLOOKUP(TRIM(B1050),Inventory!E:E,1,0),0)=0),"X","_")</f>
        <v>_</v>
      </c>
      <c r="D1050" t="str">
        <f>IF(AND(TRIM(A1050)&lt;&gt;"",IFERROR(VLOOKUP(TRIM(B1050),'Full Inventory'!F:F,1,0),0)=0),"X","_")</f>
        <v>_</v>
      </c>
      <c r="E1050" t="str">
        <f t="shared" si="68"/>
        <v>X</v>
      </c>
      <c r="F1050" t="str">
        <f ca="1">IFERROR(IF(AND(C1050&amp;D1050&amp;E1050="___",INDIRECT("Inventory!A"&amp;MATCH(VLOOKUP(B1050,Inventory!E:E,1,0),Inventory!E:E,0))&lt;&gt;INDIRECT("'Full Inventory'!B"&amp;MATCH(VLOOKUP(B1050,'Full Inventory'!F:F,1,0),'Full Inventory'!F:F,0))),"X","_"),"_")</f>
        <v>_</v>
      </c>
      <c r="L1050" t="str">
        <f t="shared" ca="1" si="66"/>
        <v>__X_</v>
      </c>
      <c r="M1050" t="str">
        <f t="shared" ca="1" si="67"/>
        <v/>
      </c>
    </row>
    <row r="1051" spans="1:13" x14ac:dyDescent="0.25">
      <c r="A1051" s="5"/>
      <c r="B1051" s="4" t="str">
        <f t="shared" si="65"/>
        <v/>
      </c>
      <c r="C1051" t="str">
        <f>IF(AND(TRIM(A1051)&lt;&gt;"",IFERROR(VLOOKUP(TRIM(B1051),Inventory!E:E,1,0),0)=0),"X","_")</f>
        <v>_</v>
      </c>
      <c r="D1051" t="str">
        <f>IF(AND(TRIM(A1051)&lt;&gt;"",IFERROR(VLOOKUP(TRIM(B1051),'Full Inventory'!F:F,1,0),0)=0),"X","_")</f>
        <v>_</v>
      </c>
      <c r="E1051" t="str">
        <f t="shared" si="68"/>
        <v>X</v>
      </c>
      <c r="F1051" t="str">
        <f ca="1">IFERROR(IF(AND(C1051&amp;D1051&amp;E1051="___",INDIRECT("Inventory!A"&amp;MATCH(VLOOKUP(B1051,Inventory!E:E,1,0),Inventory!E:E,0))&lt;&gt;INDIRECT("'Full Inventory'!B"&amp;MATCH(VLOOKUP(B1051,'Full Inventory'!F:F,1,0),'Full Inventory'!F:F,0))),"X","_"),"_")</f>
        <v>_</v>
      </c>
      <c r="L1051" t="str">
        <f t="shared" ca="1" si="66"/>
        <v>__X_</v>
      </c>
      <c r="M1051" t="str">
        <f t="shared" ca="1" si="67"/>
        <v/>
      </c>
    </row>
    <row r="1052" spans="1:13" x14ac:dyDescent="0.25">
      <c r="A1052" s="5"/>
      <c r="B1052" s="4" t="str">
        <f t="shared" si="65"/>
        <v/>
      </c>
      <c r="C1052" t="str">
        <f>IF(AND(TRIM(A1052)&lt;&gt;"",IFERROR(VLOOKUP(TRIM(B1052),Inventory!E:E,1,0),0)=0),"X","_")</f>
        <v>_</v>
      </c>
      <c r="D1052" t="str">
        <f>IF(AND(TRIM(A1052)&lt;&gt;"",IFERROR(VLOOKUP(TRIM(B1052),'Full Inventory'!F:F,1,0),0)=0),"X","_")</f>
        <v>_</v>
      </c>
      <c r="E1052" t="str">
        <f t="shared" si="68"/>
        <v>X</v>
      </c>
      <c r="F1052" t="str">
        <f ca="1">IFERROR(IF(AND(C1052&amp;D1052&amp;E1052="___",INDIRECT("Inventory!A"&amp;MATCH(VLOOKUP(B1052,Inventory!E:E,1,0),Inventory!E:E,0))&lt;&gt;INDIRECT("'Full Inventory'!B"&amp;MATCH(VLOOKUP(B1052,'Full Inventory'!F:F,1,0),'Full Inventory'!F:F,0))),"X","_"),"_")</f>
        <v>_</v>
      </c>
      <c r="L1052" t="str">
        <f t="shared" ca="1" si="66"/>
        <v>__X_</v>
      </c>
      <c r="M1052" t="str">
        <f t="shared" ca="1" si="67"/>
        <v/>
      </c>
    </row>
    <row r="1053" spans="1:13" x14ac:dyDescent="0.25">
      <c r="A1053" s="5"/>
      <c r="B1053" s="4" t="str">
        <f t="shared" si="65"/>
        <v/>
      </c>
      <c r="C1053" t="str">
        <f>IF(AND(TRIM(A1053)&lt;&gt;"",IFERROR(VLOOKUP(TRIM(B1053),Inventory!E:E,1,0),0)=0),"X","_")</f>
        <v>_</v>
      </c>
      <c r="D1053" t="str">
        <f>IF(AND(TRIM(A1053)&lt;&gt;"",IFERROR(VLOOKUP(TRIM(B1053),'Full Inventory'!F:F,1,0),0)=0),"X","_")</f>
        <v>_</v>
      </c>
      <c r="E1053" t="str">
        <f t="shared" si="68"/>
        <v>X</v>
      </c>
      <c r="F1053" t="str">
        <f ca="1">IFERROR(IF(AND(C1053&amp;D1053&amp;E1053="___",INDIRECT("Inventory!A"&amp;MATCH(VLOOKUP(B1053,Inventory!E:E,1,0),Inventory!E:E,0))&lt;&gt;INDIRECT("'Full Inventory'!B"&amp;MATCH(VLOOKUP(B1053,'Full Inventory'!F:F,1,0),'Full Inventory'!F:F,0))),"X","_"),"_")</f>
        <v>_</v>
      </c>
      <c r="L1053" t="str">
        <f t="shared" ca="1" si="66"/>
        <v>__X_</v>
      </c>
      <c r="M1053" t="str">
        <f t="shared" ca="1" si="67"/>
        <v/>
      </c>
    </row>
    <row r="1054" spans="1:13" x14ac:dyDescent="0.25">
      <c r="A1054" s="5"/>
      <c r="B1054" s="4" t="str">
        <f t="shared" si="65"/>
        <v/>
      </c>
      <c r="C1054" t="str">
        <f>IF(AND(TRIM(A1054)&lt;&gt;"",IFERROR(VLOOKUP(TRIM(B1054),Inventory!E:E,1,0),0)=0),"X","_")</f>
        <v>_</v>
      </c>
      <c r="D1054" t="str">
        <f>IF(AND(TRIM(A1054)&lt;&gt;"",IFERROR(VLOOKUP(TRIM(B1054),'Full Inventory'!F:F,1,0),0)=0),"X","_")</f>
        <v>_</v>
      </c>
      <c r="E1054" t="str">
        <f t="shared" si="68"/>
        <v>X</v>
      </c>
      <c r="F1054" t="str">
        <f ca="1">IFERROR(IF(AND(C1054&amp;D1054&amp;E1054="___",INDIRECT("Inventory!A"&amp;MATCH(VLOOKUP(B1054,Inventory!E:E,1,0),Inventory!E:E,0))&lt;&gt;INDIRECT("'Full Inventory'!B"&amp;MATCH(VLOOKUP(B1054,'Full Inventory'!F:F,1,0),'Full Inventory'!F:F,0))),"X","_"),"_")</f>
        <v>_</v>
      </c>
      <c r="L1054" t="str">
        <f t="shared" ca="1" si="66"/>
        <v>__X_</v>
      </c>
      <c r="M1054" t="str">
        <f t="shared" ca="1" si="67"/>
        <v/>
      </c>
    </row>
    <row r="1055" spans="1:13" x14ac:dyDescent="0.25">
      <c r="A1055" s="5"/>
      <c r="B1055" s="4" t="str">
        <f t="shared" si="65"/>
        <v/>
      </c>
      <c r="C1055" t="str">
        <f>IF(AND(TRIM(A1055)&lt;&gt;"",IFERROR(VLOOKUP(TRIM(B1055),Inventory!E:E,1,0),0)=0),"X","_")</f>
        <v>_</v>
      </c>
      <c r="D1055" t="str">
        <f>IF(AND(TRIM(A1055)&lt;&gt;"",IFERROR(VLOOKUP(TRIM(B1055),'Full Inventory'!F:F,1,0),0)=0),"X","_")</f>
        <v>_</v>
      </c>
      <c r="E1055" t="str">
        <f t="shared" si="68"/>
        <v>X</v>
      </c>
      <c r="F1055" t="str">
        <f ca="1">IFERROR(IF(AND(C1055&amp;D1055&amp;E1055="___",INDIRECT("Inventory!A"&amp;MATCH(VLOOKUP(B1055,Inventory!E:E,1,0),Inventory!E:E,0))&lt;&gt;INDIRECT("'Full Inventory'!B"&amp;MATCH(VLOOKUP(B1055,'Full Inventory'!F:F,1,0),'Full Inventory'!F:F,0))),"X","_"),"_")</f>
        <v>_</v>
      </c>
      <c r="L1055" t="str">
        <f t="shared" ca="1" si="66"/>
        <v>__X_</v>
      </c>
      <c r="M1055" t="str">
        <f t="shared" ca="1" si="67"/>
        <v/>
      </c>
    </row>
    <row r="1056" spans="1:13" x14ac:dyDescent="0.25">
      <c r="A1056" s="5"/>
      <c r="B1056" s="4" t="str">
        <f t="shared" si="65"/>
        <v/>
      </c>
      <c r="C1056" t="str">
        <f>IF(AND(TRIM(A1056)&lt;&gt;"",IFERROR(VLOOKUP(TRIM(B1056),Inventory!E:E,1,0),0)=0),"X","_")</f>
        <v>_</v>
      </c>
      <c r="D1056" t="str">
        <f>IF(AND(TRIM(A1056)&lt;&gt;"",IFERROR(VLOOKUP(TRIM(B1056),'Full Inventory'!F:F,1,0),0)=0),"X","_")</f>
        <v>_</v>
      </c>
      <c r="E1056" t="str">
        <f t="shared" si="68"/>
        <v>X</v>
      </c>
      <c r="F1056" t="str">
        <f ca="1">IFERROR(IF(AND(C1056&amp;D1056&amp;E1056="___",INDIRECT("Inventory!A"&amp;MATCH(VLOOKUP(B1056,Inventory!E:E,1,0),Inventory!E:E,0))&lt;&gt;INDIRECT("'Full Inventory'!B"&amp;MATCH(VLOOKUP(B1056,'Full Inventory'!F:F,1,0),'Full Inventory'!F:F,0))),"X","_"),"_")</f>
        <v>_</v>
      </c>
      <c r="L1056" t="str">
        <f t="shared" ca="1" si="66"/>
        <v>__X_</v>
      </c>
      <c r="M1056" t="str">
        <f t="shared" ca="1" si="67"/>
        <v/>
      </c>
    </row>
    <row r="1057" spans="1:13" x14ac:dyDescent="0.25">
      <c r="A1057" s="5"/>
      <c r="B1057" s="4" t="str">
        <f t="shared" si="65"/>
        <v/>
      </c>
      <c r="C1057" t="str">
        <f>IF(AND(TRIM(A1057)&lt;&gt;"",IFERROR(VLOOKUP(TRIM(B1057),Inventory!E:E,1,0),0)=0),"X","_")</f>
        <v>_</v>
      </c>
      <c r="D1057" t="str">
        <f>IF(AND(TRIM(A1057)&lt;&gt;"",IFERROR(VLOOKUP(TRIM(B1057),'Full Inventory'!F:F,1,0),0)=0),"X","_")</f>
        <v>_</v>
      </c>
      <c r="E1057" t="str">
        <f t="shared" si="68"/>
        <v>X</v>
      </c>
      <c r="F1057" t="str">
        <f ca="1">IFERROR(IF(AND(C1057&amp;D1057&amp;E1057="___",INDIRECT("Inventory!A"&amp;MATCH(VLOOKUP(B1057,Inventory!E:E,1,0),Inventory!E:E,0))&lt;&gt;INDIRECT("'Full Inventory'!B"&amp;MATCH(VLOOKUP(B1057,'Full Inventory'!F:F,1,0),'Full Inventory'!F:F,0))),"X","_"),"_")</f>
        <v>_</v>
      </c>
      <c r="L1057" t="str">
        <f t="shared" ca="1" si="66"/>
        <v>__X_</v>
      </c>
      <c r="M1057" t="str">
        <f t="shared" ca="1" si="67"/>
        <v/>
      </c>
    </row>
    <row r="1058" spans="1:13" x14ac:dyDescent="0.25">
      <c r="A1058" s="5"/>
      <c r="B1058" s="4" t="str">
        <f t="shared" si="65"/>
        <v/>
      </c>
      <c r="C1058" t="str">
        <f>IF(AND(TRIM(A1058)&lt;&gt;"",IFERROR(VLOOKUP(TRIM(B1058),Inventory!E:E,1,0),0)=0),"X","_")</f>
        <v>_</v>
      </c>
      <c r="D1058" t="str">
        <f>IF(AND(TRIM(A1058)&lt;&gt;"",IFERROR(VLOOKUP(TRIM(B1058),'Full Inventory'!F:F,1,0),0)=0),"X","_")</f>
        <v>_</v>
      </c>
      <c r="E1058" t="str">
        <f t="shared" si="68"/>
        <v>X</v>
      </c>
      <c r="F1058" t="str">
        <f ca="1">IFERROR(IF(AND(C1058&amp;D1058&amp;E1058="___",INDIRECT("Inventory!A"&amp;MATCH(VLOOKUP(B1058,Inventory!E:E,1,0),Inventory!E:E,0))&lt;&gt;INDIRECT("'Full Inventory'!B"&amp;MATCH(VLOOKUP(B1058,'Full Inventory'!F:F,1,0),'Full Inventory'!F:F,0))),"X","_"),"_")</f>
        <v>_</v>
      </c>
      <c r="L1058" t="str">
        <f t="shared" ca="1" si="66"/>
        <v>__X_</v>
      </c>
      <c r="M1058" t="str">
        <f t="shared" ca="1" si="67"/>
        <v/>
      </c>
    </row>
    <row r="1059" spans="1:13" x14ac:dyDescent="0.25">
      <c r="A1059" s="5"/>
      <c r="B1059" s="4" t="str">
        <f t="shared" si="65"/>
        <v/>
      </c>
      <c r="C1059" t="str">
        <f>IF(AND(TRIM(A1059)&lt;&gt;"",IFERROR(VLOOKUP(TRIM(B1059),Inventory!E:E,1,0),0)=0),"X","_")</f>
        <v>_</v>
      </c>
      <c r="D1059" t="str">
        <f>IF(AND(TRIM(A1059)&lt;&gt;"",IFERROR(VLOOKUP(TRIM(B1059),'Full Inventory'!F:F,1,0),0)=0),"X","_")</f>
        <v>_</v>
      </c>
      <c r="E1059" t="str">
        <f t="shared" si="68"/>
        <v>X</v>
      </c>
      <c r="F1059" t="str">
        <f ca="1">IFERROR(IF(AND(C1059&amp;D1059&amp;E1059="___",INDIRECT("Inventory!A"&amp;MATCH(VLOOKUP(B1059,Inventory!E:E,1,0),Inventory!E:E,0))&lt;&gt;INDIRECT("'Full Inventory'!B"&amp;MATCH(VLOOKUP(B1059,'Full Inventory'!F:F,1,0),'Full Inventory'!F:F,0))),"X","_"),"_")</f>
        <v>_</v>
      </c>
      <c r="L1059" t="str">
        <f t="shared" ca="1" si="66"/>
        <v>__X_</v>
      </c>
      <c r="M1059" t="str">
        <f t="shared" ca="1" si="67"/>
        <v/>
      </c>
    </row>
    <row r="1060" spans="1:13" x14ac:dyDescent="0.25">
      <c r="A1060" s="5"/>
      <c r="B1060" s="4" t="str">
        <f t="shared" si="65"/>
        <v/>
      </c>
      <c r="C1060" t="str">
        <f>IF(AND(TRIM(A1060)&lt;&gt;"",IFERROR(VLOOKUP(TRIM(B1060),Inventory!E:E,1,0),0)=0),"X","_")</f>
        <v>_</v>
      </c>
      <c r="D1060" t="str">
        <f>IF(AND(TRIM(A1060)&lt;&gt;"",IFERROR(VLOOKUP(TRIM(B1060),'Full Inventory'!F:F,1,0),0)=0),"X","_")</f>
        <v>_</v>
      </c>
      <c r="E1060" t="str">
        <f t="shared" si="68"/>
        <v>X</v>
      </c>
      <c r="F1060" t="str">
        <f ca="1">IFERROR(IF(AND(C1060&amp;D1060&amp;E1060="___",INDIRECT("Inventory!A"&amp;MATCH(VLOOKUP(B1060,Inventory!E:E,1,0),Inventory!E:E,0))&lt;&gt;INDIRECT("'Full Inventory'!B"&amp;MATCH(VLOOKUP(B1060,'Full Inventory'!F:F,1,0),'Full Inventory'!F:F,0))),"X","_"),"_")</f>
        <v>_</v>
      </c>
      <c r="L1060" t="str">
        <f t="shared" ca="1" si="66"/>
        <v>__X_</v>
      </c>
      <c r="M1060" t="str">
        <f t="shared" ca="1" si="67"/>
        <v/>
      </c>
    </row>
    <row r="1061" spans="1:13" x14ac:dyDescent="0.25">
      <c r="A1061" s="5"/>
      <c r="B1061" s="4" t="str">
        <f t="shared" si="65"/>
        <v/>
      </c>
      <c r="C1061" t="str">
        <f>IF(AND(TRIM(A1061)&lt;&gt;"",IFERROR(VLOOKUP(TRIM(B1061),Inventory!E:E,1,0),0)=0),"X","_")</f>
        <v>_</v>
      </c>
      <c r="D1061" t="str">
        <f>IF(AND(TRIM(A1061)&lt;&gt;"",IFERROR(VLOOKUP(TRIM(B1061),'Full Inventory'!F:F,1,0),0)=0),"X","_")</f>
        <v>_</v>
      </c>
      <c r="E1061" t="str">
        <f t="shared" si="68"/>
        <v>X</v>
      </c>
      <c r="F1061" t="str">
        <f ca="1">IFERROR(IF(AND(C1061&amp;D1061&amp;E1061="___",INDIRECT("Inventory!A"&amp;MATCH(VLOOKUP(B1061,Inventory!E:E,1,0),Inventory!E:E,0))&lt;&gt;INDIRECT("'Full Inventory'!B"&amp;MATCH(VLOOKUP(B1061,'Full Inventory'!F:F,1,0),'Full Inventory'!F:F,0))),"X","_"),"_")</f>
        <v>_</v>
      </c>
      <c r="L1061" t="str">
        <f t="shared" ca="1" si="66"/>
        <v>__X_</v>
      </c>
      <c r="M1061" t="str">
        <f t="shared" ca="1" si="67"/>
        <v/>
      </c>
    </row>
    <row r="1062" spans="1:13" x14ac:dyDescent="0.25">
      <c r="A1062" s="5"/>
      <c r="B1062" s="4" t="str">
        <f t="shared" si="65"/>
        <v/>
      </c>
      <c r="C1062" t="str">
        <f>IF(AND(TRIM(A1062)&lt;&gt;"",IFERROR(VLOOKUP(TRIM(B1062),Inventory!E:E,1,0),0)=0),"X","_")</f>
        <v>_</v>
      </c>
      <c r="D1062" t="str">
        <f>IF(AND(TRIM(A1062)&lt;&gt;"",IFERROR(VLOOKUP(TRIM(B1062),'Full Inventory'!F:F,1,0),0)=0),"X","_")</f>
        <v>_</v>
      </c>
      <c r="E1062" t="str">
        <f t="shared" si="68"/>
        <v>X</v>
      </c>
      <c r="F1062" t="str">
        <f ca="1">IFERROR(IF(AND(C1062&amp;D1062&amp;E1062="___",INDIRECT("Inventory!A"&amp;MATCH(VLOOKUP(B1062,Inventory!E:E,1,0),Inventory!E:E,0))&lt;&gt;INDIRECT("'Full Inventory'!B"&amp;MATCH(VLOOKUP(B1062,'Full Inventory'!F:F,1,0),'Full Inventory'!F:F,0))),"X","_"),"_")</f>
        <v>_</v>
      </c>
      <c r="L1062" t="str">
        <f t="shared" ca="1" si="66"/>
        <v>__X_</v>
      </c>
      <c r="M1062" t="str">
        <f t="shared" ca="1" si="67"/>
        <v/>
      </c>
    </row>
    <row r="1063" spans="1:13" x14ac:dyDescent="0.25">
      <c r="A1063" s="5"/>
      <c r="B1063" s="4" t="str">
        <f t="shared" si="65"/>
        <v/>
      </c>
      <c r="C1063" t="str">
        <f>IF(AND(TRIM(A1063)&lt;&gt;"",IFERROR(VLOOKUP(TRIM(B1063),Inventory!E:E,1,0),0)=0),"X","_")</f>
        <v>_</v>
      </c>
      <c r="D1063" t="str">
        <f>IF(AND(TRIM(A1063)&lt;&gt;"",IFERROR(VLOOKUP(TRIM(B1063),'Full Inventory'!F:F,1,0),0)=0),"X","_")</f>
        <v>_</v>
      </c>
      <c r="E1063" t="str">
        <f t="shared" si="68"/>
        <v>X</v>
      </c>
      <c r="F1063" t="str">
        <f ca="1">IFERROR(IF(AND(C1063&amp;D1063&amp;E1063="___",INDIRECT("Inventory!A"&amp;MATCH(VLOOKUP(B1063,Inventory!E:E,1,0),Inventory!E:E,0))&lt;&gt;INDIRECT("'Full Inventory'!B"&amp;MATCH(VLOOKUP(B1063,'Full Inventory'!F:F,1,0),'Full Inventory'!F:F,0))),"X","_"),"_")</f>
        <v>_</v>
      </c>
      <c r="L1063" t="str">
        <f t="shared" ca="1" si="66"/>
        <v>__X_</v>
      </c>
      <c r="M1063" t="str">
        <f t="shared" ca="1" si="67"/>
        <v/>
      </c>
    </row>
    <row r="1064" spans="1:13" x14ac:dyDescent="0.25">
      <c r="A1064" s="5"/>
      <c r="B1064" s="4" t="str">
        <f t="shared" si="65"/>
        <v/>
      </c>
      <c r="C1064" t="str">
        <f>IF(AND(TRIM(A1064)&lt;&gt;"",IFERROR(VLOOKUP(TRIM(B1064),Inventory!E:E,1,0),0)=0),"X","_")</f>
        <v>_</v>
      </c>
      <c r="D1064" t="str">
        <f>IF(AND(TRIM(A1064)&lt;&gt;"",IFERROR(VLOOKUP(TRIM(B1064),'Full Inventory'!F:F,1,0),0)=0),"X","_")</f>
        <v>_</v>
      </c>
      <c r="E1064" t="str">
        <f t="shared" si="68"/>
        <v>X</v>
      </c>
      <c r="F1064" t="str">
        <f ca="1">IFERROR(IF(AND(C1064&amp;D1064&amp;E1064="___",INDIRECT("Inventory!A"&amp;MATCH(VLOOKUP(B1064,Inventory!E:E,1,0),Inventory!E:E,0))&lt;&gt;INDIRECT("'Full Inventory'!B"&amp;MATCH(VLOOKUP(B1064,'Full Inventory'!F:F,1,0),'Full Inventory'!F:F,0))),"X","_"),"_")</f>
        <v>_</v>
      </c>
      <c r="L1064" t="str">
        <f t="shared" ca="1" si="66"/>
        <v>__X_</v>
      </c>
      <c r="M1064" t="str">
        <f t="shared" ca="1" si="67"/>
        <v/>
      </c>
    </row>
    <row r="1065" spans="1:13" x14ac:dyDescent="0.25">
      <c r="A1065" s="5"/>
      <c r="B1065" s="4" t="str">
        <f t="shared" si="65"/>
        <v/>
      </c>
      <c r="C1065" t="str">
        <f>IF(AND(TRIM(A1065)&lt;&gt;"",IFERROR(VLOOKUP(TRIM(B1065),Inventory!E:E,1,0),0)=0),"X","_")</f>
        <v>_</v>
      </c>
      <c r="D1065" t="str">
        <f>IF(AND(TRIM(A1065)&lt;&gt;"",IFERROR(VLOOKUP(TRIM(B1065),'Full Inventory'!F:F,1,0),0)=0),"X","_")</f>
        <v>_</v>
      </c>
      <c r="E1065" t="str">
        <f t="shared" si="68"/>
        <v>X</v>
      </c>
      <c r="F1065" t="str">
        <f ca="1">IFERROR(IF(AND(C1065&amp;D1065&amp;E1065="___",INDIRECT("Inventory!A"&amp;MATCH(VLOOKUP(B1065,Inventory!E:E,1,0),Inventory!E:E,0))&lt;&gt;INDIRECT("'Full Inventory'!B"&amp;MATCH(VLOOKUP(B1065,'Full Inventory'!F:F,1,0),'Full Inventory'!F:F,0))),"X","_"),"_")</f>
        <v>_</v>
      </c>
      <c r="L1065" t="str">
        <f t="shared" ca="1" si="66"/>
        <v>__X_</v>
      </c>
      <c r="M1065" t="str">
        <f t="shared" ca="1" si="67"/>
        <v/>
      </c>
    </row>
    <row r="1066" spans="1:13" x14ac:dyDescent="0.25">
      <c r="A1066" s="5"/>
      <c r="B1066" s="4" t="str">
        <f t="shared" si="65"/>
        <v/>
      </c>
      <c r="C1066" t="str">
        <f>IF(AND(TRIM(A1066)&lt;&gt;"",IFERROR(VLOOKUP(TRIM(B1066),Inventory!E:E,1,0),0)=0),"X","_")</f>
        <v>_</v>
      </c>
      <c r="D1066" t="str">
        <f>IF(AND(TRIM(A1066)&lt;&gt;"",IFERROR(VLOOKUP(TRIM(B1066),'Full Inventory'!F:F,1,0),0)=0),"X","_")</f>
        <v>_</v>
      </c>
      <c r="E1066" t="str">
        <f t="shared" si="68"/>
        <v>X</v>
      </c>
      <c r="F1066" t="str">
        <f ca="1">IFERROR(IF(AND(C1066&amp;D1066&amp;E1066="___",INDIRECT("Inventory!A"&amp;MATCH(VLOOKUP(B1066,Inventory!E:E,1,0),Inventory!E:E,0))&lt;&gt;INDIRECT("'Full Inventory'!B"&amp;MATCH(VLOOKUP(B1066,'Full Inventory'!F:F,1,0),'Full Inventory'!F:F,0))),"X","_"),"_")</f>
        <v>_</v>
      </c>
      <c r="L1066" t="str">
        <f t="shared" ca="1" si="66"/>
        <v>__X_</v>
      </c>
      <c r="M1066" t="str">
        <f t="shared" ca="1" si="67"/>
        <v/>
      </c>
    </row>
    <row r="1067" spans="1:13" x14ac:dyDescent="0.25">
      <c r="A1067" s="5"/>
      <c r="B1067" s="4" t="str">
        <f t="shared" si="65"/>
        <v/>
      </c>
      <c r="C1067" t="str">
        <f>IF(AND(TRIM(A1067)&lt;&gt;"",IFERROR(VLOOKUP(TRIM(B1067),Inventory!E:E,1,0),0)=0),"X","_")</f>
        <v>_</v>
      </c>
      <c r="D1067" t="str">
        <f>IF(AND(TRIM(A1067)&lt;&gt;"",IFERROR(VLOOKUP(TRIM(B1067),'Full Inventory'!F:F,1,0),0)=0),"X","_")</f>
        <v>_</v>
      </c>
      <c r="E1067" t="str">
        <f t="shared" si="68"/>
        <v>X</v>
      </c>
      <c r="F1067" t="str">
        <f ca="1">IFERROR(IF(AND(C1067&amp;D1067&amp;E1067="___",INDIRECT("Inventory!A"&amp;MATCH(VLOOKUP(B1067,Inventory!E:E,1,0),Inventory!E:E,0))&lt;&gt;INDIRECT("'Full Inventory'!B"&amp;MATCH(VLOOKUP(B1067,'Full Inventory'!F:F,1,0),'Full Inventory'!F:F,0))),"X","_"),"_")</f>
        <v>_</v>
      </c>
      <c r="L1067" t="str">
        <f t="shared" ca="1" si="66"/>
        <v>__X_</v>
      </c>
      <c r="M1067" t="str">
        <f t="shared" ca="1" si="67"/>
        <v/>
      </c>
    </row>
    <row r="1068" spans="1:13" x14ac:dyDescent="0.25">
      <c r="A1068" s="5"/>
      <c r="B1068" s="4" t="str">
        <f t="shared" si="65"/>
        <v/>
      </c>
      <c r="C1068" t="str">
        <f>IF(AND(TRIM(A1068)&lt;&gt;"",IFERROR(VLOOKUP(TRIM(B1068),Inventory!E:E,1,0),0)=0),"X","_")</f>
        <v>_</v>
      </c>
      <c r="D1068" t="str">
        <f>IF(AND(TRIM(A1068)&lt;&gt;"",IFERROR(VLOOKUP(TRIM(B1068),'Full Inventory'!F:F,1,0),0)=0),"X","_")</f>
        <v>_</v>
      </c>
      <c r="E1068" t="str">
        <f t="shared" si="68"/>
        <v>X</v>
      </c>
      <c r="F1068" t="str">
        <f ca="1">IFERROR(IF(AND(C1068&amp;D1068&amp;E1068="___",INDIRECT("Inventory!A"&amp;MATCH(VLOOKUP(B1068,Inventory!E:E,1,0),Inventory!E:E,0))&lt;&gt;INDIRECT("'Full Inventory'!B"&amp;MATCH(VLOOKUP(B1068,'Full Inventory'!F:F,1,0),'Full Inventory'!F:F,0))),"X","_"),"_")</f>
        <v>_</v>
      </c>
      <c r="L1068" t="str">
        <f t="shared" ca="1" si="66"/>
        <v>__X_</v>
      </c>
      <c r="M1068" t="str">
        <f t="shared" ca="1" si="67"/>
        <v/>
      </c>
    </row>
    <row r="1069" spans="1:13" x14ac:dyDescent="0.25">
      <c r="A1069" s="5"/>
      <c r="B1069" s="4" t="str">
        <f t="shared" si="65"/>
        <v/>
      </c>
      <c r="C1069" t="str">
        <f>IF(AND(TRIM(A1069)&lt;&gt;"",IFERROR(VLOOKUP(TRIM(B1069),Inventory!E:E,1,0),0)=0),"X","_")</f>
        <v>_</v>
      </c>
      <c r="D1069" t="str">
        <f>IF(AND(TRIM(A1069)&lt;&gt;"",IFERROR(VLOOKUP(TRIM(B1069),'Full Inventory'!F:F,1,0),0)=0),"X","_")</f>
        <v>_</v>
      </c>
      <c r="E1069" t="str">
        <f t="shared" si="68"/>
        <v>X</v>
      </c>
      <c r="F1069" t="str">
        <f ca="1">IFERROR(IF(AND(C1069&amp;D1069&amp;E1069="___",INDIRECT("Inventory!A"&amp;MATCH(VLOOKUP(B1069,Inventory!E:E,1,0),Inventory!E:E,0))&lt;&gt;INDIRECT("'Full Inventory'!B"&amp;MATCH(VLOOKUP(B1069,'Full Inventory'!F:F,1,0),'Full Inventory'!F:F,0))),"X","_"),"_")</f>
        <v>_</v>
      </c>
      <c r="L1069" t="str">
        <f t="shared" ca="1" si="66"/>
        <v>__X_</v>
      </c>
      <c r="M1069" t="str">
        <f t="shared" ca="1" si="67"/>
        <v/>
      </c>
    </row>
    <row r="1070" spans="1:13" x14ac:dyDescent="0.25">
      <c r="A1070" s="5"/>
      <c r="B1070" s="4" t="str">
        <f t="shared" si="65"/>
        <v/>
      </c>
      <c r="C1070" t="str">
        <f>IF(AND(TRIM(A1070)&lt;&gt;"",IFERROR(VLOOKUP(TRIM(B1070),Inventory!E:E,1,0),0)=0),"X","_")</f>
        <v>_</v>
      </c>
      <c r="D1070" t="str">
        <f>IF(AND(TRIM(A1070)&lt;&gt;"",IFERROR(VLOOKUP(TRIM(B1070),'Full Inventory'!F:F,1,0),0)=0),"X","_")</f>
        <v>_</v>
      </c>
      <c r="E1070" t="str">
        <f t="shared" si="68"/>
        <v>X</v>
      </c>
      <c r="F1070" t="str">
        <f ca="1">IFERROR(IF(AND(C1070&amp;D1070&amp;E1070="___",INDIRECT("Inventory!A"&amp;MATCH(VLOOKUP(B1070,Inventory!E:E,1,0),Inventory!E:E,0))&lt;&gt;INDIRECT("'Full Inventory'!B"&amp;MATCH(VLOOKUP(B1070,'Full Inventory'!F:F,1,0),'Full Inventory'!F:F,0))),"X","_"),"_")</f>
        <v>_</v>
      </c>
      <c r="L1070" t="str">
        <f t="shared" ca="1" si="66"/>
        <v>__X_</v>
      </c>
      <c r="M1070" t="str">
        <f t="shared" ca="1" si="67"/>
        <v/>
      </c>
    </row>
    <row r="1071" spans="1:13" x14ac:dyDescent="0.25">
      <c r="A1071" s="5"/>
      <c r="B1071" s="4" t="str">
        <f t="shared" si="65"/>
        <v/>
      </c>
      <c r="C1071" t="str">
        <f>IF(AND(TRIM(A1071)&lt;&gt;"",IFERROR(VLOOKUP(TRIM(B1071),Inventory!E:E,1,0),0)=0),"X","_")</f>
        <v>_</v>
      </c>
      <c r="D1071" t="str">
        <f>IF(AND(TRIM(A1071)&lt;&gt;"",IFERROR(VLOOKUP(TRIM(B1071),'Full Inventory'!F:F,1,0),0)=0),"X","_")</f>
        <v>_</v>
      </c>
      <c r="E1071" t="str">
        <f t="shared" si="68"/>
        <v>X</v>
      </c>
      <c r="F1071" t="str">
        <f ca="1">IFERROR(IF(AND(C1071&amp;D1071&amp;E1071="___",INDIRECT("Inventory!A"&amp;MATCH(VLOOKUP(B1071,Inventory!E:E,1,0),Inventory!E:E,0))&lt;&gt;INDIRECT("'Full Inventory'!B"&amp;MATCH(VLOOKUP(B1071,'Full Inventory'!F:F,1,0),'Full Inventory'!F:F,0))),"X","_"),"_")</f>
        <v>_</v>
      </c>
      <c r="L1071" t="str">
        <f t="shared" ca="1" si="66"/>
        <v>__X_</v>
      </c>
      <c r="M1071" t="str">
        <f t="shared" ca="1" si="67"/>
        <v/>
      </c>
    </row>
    <row r="1072" spans="1:13" x14ac:dyDescent="0.25">
      <c r="A1072" s="5"/>
      <c r="B1072" s="4" t="str">
        <f t="shared" si="65"/>
        <v/>
      </c>
      <c r="C1072" t="str">
        <f>IF(AND(TRIM(A1072)&lt;&gt;"",IFERROR(VLOOKUP(TRIM(B1072),Inventory!E:E,1,0),0)=0),"X","_")</f>
        <v>_</v>
      </c>
      <c r="D1072" t="str">
        <f>IF(AND(TRIM(A1072)&lt;&gt;"",IFERROR(VLOOKUP(TRIM(B1072),'Full Inventory'!F:F,1,0),0)=0),"X","_")</f>
        <v>_</v>
      </c>
      <c r="E1072" t="str">
        <f t="shared" si="68"/>
        <v>X</v>
      </c>
      <c r="F1072" t="str">
        <f ca="1">IFERROR(IF(AND(C1072&amp;D1072&amp;E1072="___",INDIRECT("Inventory!A"&amp;MATCH(VLOOKUP(B1072,Inventory!E:E,1,0),Inventory!E:E,0))&lt;&gt;INDIRECT("'Full Inventory'!B"&amp;MATCH(VLOOKUP(B1072,'Full Inventory'!F:F,1,0),'Full Inventory'!F:F,0))),"X","_"),"_")</f>
        <v>_</v>
      </c>
      <c r="L1072" t="str">
        <f t="shared" ca="1" si="66"/>
        <v>__X_</v>
      </c>
      <c r="M1072" t="str">
        <f t="shared" ca="1" si="67"/>
        <v/>
      </c>
    </row>
    <row r="1073" spans="1:13" x14ac:dyDescent="0.25">
      <c r="A1073" s="5"/>
      <c r="B1073" s="4" t="str">
        <f t="shared" si="65"/>
        <v/>
      </c>
      <c r="C1073" t="str">
        <f>IF(AND(TRIM(A1073)&lt;&gt;"",IFERROR(VLOOKUP(TRIM(B1073),Inventory!E:E,1,0),0)=0),"X","_")</f>
        <v>_</v>
      </c>
      <c r="D1073" t="str">
        <f>IF(AND(TRIM(A1073)&lt;&gt;"",IFERROR(VLOOKUP(TRIM(B1073),'Full Inventory'!F:F,1,0),0)=0),"X","_")</f>
        <v>_</v>
      </c>
      <c r="E1073" t="str">
        <f t="shared" si="68"/>
        <v>X</v>
      </c>
      <c r="F1073" t="str">
        <f ca="1">IFERROR(IF(AND(C1073&amp;D1073&amp;E1073="___",INDIRECT("Inventory!A"&amp;MATCH(VLOOKUP(B1073,Inventory!E:E,1,0),Inventory!E:E,0))&lt;&gt;INDIRECT("'Full Inventory'!B"&amp;MATCH(VLOOKUP(B1073,'Full Inventory'!F:F,1,0),'Full Inventory'!F:F,0))),"X","_"),"_")</f>
        <v>_</v>
      </c>
      <c r="L1073" t="str">
        <f t="shared" ca="1" si="66"/>
        <v>__X_</v>
      </c>
      <c r="M1073" t="str">
        <f t="shared" ca="1" si="67"/>
        <v/>
      </c>
    </row>
    <row r="1074" spans="1:13" x14ac:dyDescent="0.25">
      <c r="A1074" s="5"/>
      <c r="B1074" s="4" t="str">
        <f t="shared" si="65"/>
        <v/>
      </c>
      <c r="C1074" t="str">
        <f>IF(AND(TRIM(A1074)&lt;&gt;"",IFERROR(VLOOKUP(TRIM(B1074),Inventory!E:E,1,0),0)=0),"X","_")</f>
        <v>_</v>
      </c>
      <c r="D1074" t="str">
        <f>IF(AND(TRIM(A1074)&lt;&gt;"",IFERROR(VLOOKUP(TRIM(B1074),'Full Inventory'!F:F,1,0),0)=0),"X","_")</f>
        <v>_</v>
      </c>
      <c r="E1074" t="str">
        <f t="shared" si="68"/>
        <v>X</v>
      </c>
      <c r="F1074" t="str">
        <f ca="1">IFERROR(IF(AND(C1074&amp;D1074&amp;E1074="___",INDIRECT("Inventory!A"&amp;MATCH(VLOOKUP(B1074,Inventory!E:E,1,0),Inventory!E:E,0))&lt;&gt;INDIRECT("'Full Inventory'!B"&amp;MATCH(VLOOKUP(B1074,'Full Inventory'!F:F,1,0),'Full Inventory'!F:F,0))),"X","_"),"_")</f>
        <v>_</v>
      </c>
      <c r="L1074" t="str">
        <f t="shared" ca="1" si="66"/>
        <v>__X_</v>
      </c>
      <c r="M1074" t="str">
        <f t="shared" ca="1" si="67"/>
        <v/>
      </c>
    </row>
    <row r="1075" spans="1:13" x14ac:dyDescent="0.25">
      <c r="A1075" s="5"/>
      <c r="B1075" s="4" t="str">
        <f t="shared" si="65"/>
        <v/>
      </c>
      <c r="C1075" t="str">
        <f>IF(AND(TRIM(A1075)&lt;&gt;"",IFERROR(VLOOKUP(TRIM(B1075),Inventory!E:E,1,0),0)=0),"X","_")</f>
        <v>_</v>
      </c>
      <c r="D1075" t="str">
        <f>IF(AND(TRIM(A1075)&lt;&gt;"",IFERROR(VLOOKUP(TRIM(B1075),'Full Inventory'!F:F,1,0),0)=0),"X","_")</f>
        <v>_</v>
      </c>
      <c r="E1075" t="str">
        <f t="shared" si="68"/>
        <v>X</v>
      </c>
      <c r="F1075" t="str">
        <f ca="1">IFERROR(IF(AND(C1075&amp;D1075&amp;E1075="___",INDIRECT("Inventory!A"&amp;MATCH(VLOOKUP(B1075,Inventory!E:E,1,0),Inventory!E:E,0))&lt;&gt;INDIRECT("'Full Inventory'!B"&amp;MATCH(VLOOKUP(B1075,'Full Inventory'!F:F,1,0),'Full Inventory'!F:F,0))),"X","_"),"_")</f>
        <v>_</v>
      </c>
      <c r="L1075" t="str">
        <f t="shared" ca="1" si="66"/>
        <v>__X_</v>
      </c>
      <c r="M1075" t="str">
        <f t="shared" ca="1" si="67"/>
        <v/>
      </c>
    </row>
    <row r="1076" spans="1:13" x14ac:dyDescent="0.25">
      <c r="A1076" s="5"/>
      <c r="B1076" s="4" t="str">
        <f t="shared" si="65"/>
        <v/>
      </c>
      <c r="C1076" t="str">
        <f>IF(AND(TRIM(A1076)&lt;&gt;"",IFERROR(VLOOKUP(TRIM(B1076),Inventory!E:E,1,0),0)=0),"X","_")</f>
        <v>_</v>
      </c>
      <c r="D1076" t="str">
        <f>IF(AND(TRIM(A1076)&lt;&gt;"",IFERROR(VLOOKUP(TRIM(B1076),'Full Inventory'!F:F,1,0),0)=0),"X","_")</f>
        <v>_</v>
      </c>
      <c r="E1076" t="str">
        <f t="shared" si="68"/>
        <v>X</v>
      </c>
      <c r="F1076" t="str">
        <f ca="1">IFERROR(IF(AND(C1076&amp;D1076&amp;E1076="___",INDIRECT("Inventory!A"&amp;MATCH(VLOOKUP(B1076,Inventory!E:E,1,0),Inventory!E:E,0))&lt;&gt;INDIRECT("'Full Inventory'!B"&amp;MATCH(VLOOKUP(B1076,'Full Inventory'!F:F,1,0),'Full Inventory'!F:F,0))),"X","_"),"_")</f>
        <v>_</v>
      </c>
      <c r="L1076" t="str">
        <f t="shared" ca="1" si="66"/>
        <v>__X_</v>
      </c>
      <c r="M1076" t="str">
        <f t="shared" ca="1" si="67"/>
        <v/>
      </c>
    </row>
    <row r="1077" spans="1:13" x14ac:dyDescent="0.25">
      <c r="A1077" s="5"/>
      <c r="B1077" s="4" t="str">
        <f t="shared" si="65"/>
        <v/>
      </c>
      <c r="C1077" t="str">
        <f>IF(AND(TRIM(A1077)&lt;&gt;"",IFERROR(VLOOKUP(TRIM(B1077),Inventory!E:E,1,0),0)=0),"X","_")</f>
        <v>_</v>
      </c>
      <c r="D1077" t="str">
        <f>IF(AND(TRIM(A1077)&lt;&gt;"",IFERROR(VLOOKUP(TRIM(B1077),'Full Inventory'!F:F,1,0),0)=0),"X","_")</f>
        <v>_</v>
      </c>
      <c r="E1077" t="str">
        <f t="shared" si="68"/>
        <v>X</v>
      </c>
      <c r="F1077" t="str">
        <f ca="1">IFERROR(IF(AND(C1077&amp;D1077&amp;E1077="___",INDIRECT("Inventory!A"&amp;MATCH(VLOOKUP(B1077,Inventory!E:E,1,0),Inventory!E:E,0))&lt;&gt;INDIRECT("'Full Inventory'!B"&amp;MATCH(VLOOKUP(B1077,'Full Inventory'!F:F,1,0),'Full Inventory'!F:F,0))),"X","_"),"_")</f>
        <v>_</v>
      </c>
      <c r="L1077" t="str">
        <f t="shared" ca="1" si="66"/>
        <v>__X_</v>
      </c>
      <c r="M1077" t="str">
        <f t="shared" ca="1" si="67"/>
        <v/>
      </c>
    </row>
    <row r="1078" spans="1:13" x14ac:dyDescent="0.25">
      <c r="A1078" s="5"/>
      <c r="B1078" s="4" t="str">
        <f t="shared" si="65"/>
        <v/>
      </c>
      <c r="C1078" t="str">
        <f>IF(AND(TRIM(A1078)&lt;&gt;"",IFERROR(VLOOKUP(TRIM(B1078),Inventory!E:E,1,0),0)=0),"X","_")</f>
        <v>_</v>
      </c>
      <c r="D1078" t="str">
        <f>IF(AND(TRIM(A1078)&lt;&gt;"",IFERROR(VLOOKUP(TRIM(B1078),'Full Inventory'!F:F,1,0),0)=0),"X","_")</f>
        <v>_</v>
      </c>
      <c r="E1078" t="str">
        <f t="shared" si="68"/>
        <v>X</v>
      </c>
      <c r="F1078" t="str">
        <f ca="1">IFERROR(IF(AND(C1078&amp;D1078&amp;E1078="___",INDIRECT("Inventory!A"&amp;MATCH(VLOOKUP(B1078,Inventory!E:E,1,0),Inventory!E:E,0))&lt;&gt;INDIRECT("'Full Inventory'!B"&amp;MATCH(VLOOKUP(B1078,'Full Inventory'!F:F,1,0),'Full Inventory'!F:F,0))),"X","_"),"_")</f>
        <v>_</v>
      </c>
      <c r="L1078" t="str">
        <f t="shared" ca="1" si="66"/>
        <v>__X_</v>
      </c>
      <c r="M1078" t="str">
        <f t="shared" ca="1" si="67"/>
        <v/>
      </c>
    </row>
    <row r="1079" spans="1:13" x14ac:dyDescent="0.25">
      <c r="A1079" s="5"/>
      <c r="B1079" s="4" t="str">
        <f t="shared" si="65"/>
        <v/>
      </c>
      <c r="C1079" t="str">
        <f>IF(AND(TRIM(A1079)&lt;&gt;"",IFERROR(VLOOKUP(TRIM(B1079),Inventory!E:E,1,0),0)=0),"X","_")</f>
        <v>_</v>
      </c>
      <c r="D1079" t="str">
        <f>IF(AND(TRIM(A1079)&lt;&gt;"",IFERROR(VLOOKUP(TRIM(B1079),'Full Inventory'!F:F,1,0),0)=0),"X","_")</f>
        <v>_</v>
      </c>
      <c r="E1079" t="str">
        <f t="shared" si="68"/>
        <v>X</v>
      </c>
      <c r="F1079" t="str">
        <f ca="1">IFERROR(IF(AND(C1079&amp;D1079&amp;E1079="___",INDIRECT("Inventory!A"&amp;MATCH(VLOOKUP(B1079,Inventory!E:E,1,0),Inventory!E:E,0))&lt;&gt;INDIRECT("'Full Inventory'!B"&amp;MATCH(VLOOKUP(B1079,'Full Inventory'!F:F,1,0),'Full Inventory'!F:F,0))),"X","_"),"_")</f>
        <v>_</v>
      </c>
      <c r="L1079" t="str">
        <f t="shared" ca="1" si="66"/>
        <v>__X_</v>
      </c>
      <c r="M1079" t="str">
        <f t="shared" ca="1" si="67"/>
        <v/>
      </c>
    </row>
    <row r="1080" spans="1:13" x14ac:dyDescent="0.25">
      <c r="A1080" s="5"/>
      <c r="B1080" s="4" t="str">
        <f t="shared" si="65"/>
        <v/>
      </c>
      <c r="C1080" t="str">
        <f>IF(AND(TRIM(A1080)&lt;&gt;"",IFERROR(VLOOKUP(TRIM(B1080),Inventory!E:E,1,0),0)=0),"X","_")</f>
        <v>_</v>
      </c>
      <c r="D1080" t="str">
        <f>IF(AND(TRIM(A1080)&lt;&gt;"",IFERROR(VLOOKUP(TRIM(B1080),'Full Inventory'!F:F,1,0),0)=0),"X","_")</f>
        <v>_</v>
      </c>
      <c r="E1080" t="str">
        <f t="shared" si="68"/>
        <v>X</v>
      </c>
      <c r="F1080" t="str">
        <f ca="1">IFERROR(IF(AND(C1080&amp;D1080&amp;E1080="___",INDIRECT("Inventory!A"&amp;MATCH(VLOOKUP(B1080,Inventory!E:E,1,0),Inventory!E:E,0))&lt;&gt;INDIRECT("'Full Inventory'!B"&amp;MATCH(VLOOKUP(B1080,'Full Inventory'!F:F,1,0),'Full Inventory'!F:F,0))),"X","_"),"_")</f>
        <v>_</v>
      </c>
      <c r="L1080" t="str">
        <f t="shared" ca="1" si="66"/>
        <v>__X_</v>
      </c>
      <c r="M1080" t="str">
        <f t="shared" ca="1" si="67"/>
        <v/>
      </c>
    </row>
    <row r="1081" spans="1:13" x14ac:dyDescent="0.25">
      <c r="A1081" s="5"/>
      <c r="B1081" s="4" t="str">
        <f t="shared" si="65"/>
        <v/>
      </c>
      <c r="C1081" t="str">
        <f>IF(AND(TRIM(A1081)&lt;&gt;"",IFERROR(VLOOKUP(TRIM(B1081),Inventory!E:E,1,0),0)=0),"X","_")</f>
        <v>_</v>
      </c>
      <c r="D1081" t="str">
        <f>IF(AND(TRIM(A1081)&lt;&gt;"",IFERROR(VLOOKUP(TRIM(B1081),'Full Inventory'!F:F,1,0),0)=0),"X","_")</f>
        <v>_</v>
      </c>
      <c r="E1081" t="str">
        <f t="shared" si="68"/>
        <v>X</v>
      </c>
      <c r="F1081" t="str">
        <f ca="1">IFERROR(IF(AND(C1081&amp;D1081&amp;E1081="___",INDIRECT("Inventory!A"&amp;MATCH(VLOOKUP(B1081,Inventory!E:E,1,0),Inventory!E:E,0))&lt;&gt;INDIRECT("'Full Inventory'!B"&amp;MATCH(VLOOKUP(B1081,'Full Inventory'!F:F,1,0),'Full Inventory'!F:F,0))),"X","_"),"_")</f>
        <v>_</v>
      </c>
      <c r="L1081" t="str">
        <f t="shared" ca="1" si="66"/>
        <v>__X_</v>
      </c>
      <c r="M1081" t="str">
        <f t="shared" ca="1" si="67"/>
        <v/>
      </c>
    </row>
    <row r="1082" spans="1:13" x14ac:dyDescent="0.25">
      <c r="A1082" s="5"/>
      <c r="B1082" s="4" t="str">
        <f t="shared" si="65"/>
        <v/>
      </c>
      <c r="C1082" t="str">
        <f>IF(AND(TRIM(A1082)&lt;&gt;"",IFERROR(VLOOKUP(TRIM(B1082),Inventory!E:E,1,0),0)=0),"X","_")</f>
        <v>_</v>
      </c>
      <c r="D1082" t="str">
        <f>IF(AND(TRIM(A1082)&lt;&gt;"",IFERROR(VLOOKUP(TRIM(B1082),'Full Inventory'!F:F,1,0),0)=0),"X","_")</f>
        <v>_</v>
      </c>
      <c r="E1082" t="str">
        <f t="shared" si="68"/>
        <v>X</v>
      </c>
      <c r="F1082" t="str">
        <f ca="1">IFERROR(IF(AND(C1082&amp;D1082&amp;E1082="___",INDIRECT("Inventory!A"&amp;MATCH(VLOOKUP(B1082,Inventory!E:E,1,0),Inventory!E:E,0))&lt;&gt;INDIRECT("'Full Inventory'!B"&amp;MATCH(VLOOKUP(B1082,'Full Inventory'!F:F,1,0),'Full Inventory'!F:F,0))),"X","_"),"_")</f>
        <v>_</v>
      </c>
      <c r="L1082" t="str">
        <f t="shared" ca="1" si="66"/>
        <v>__X_</v>
      </c>
      <c r="M1082" t="str">
        <f t="shared" ca="1" si="67"/>
        <v/>
      </c>
    </row>
    <row r="1083" spans="1:13" x14ac:dyDescent="0.25">
      <c r="A1083" s="5"/>
      <c r="B1083" s="4" t="str">
        <f t="shared" si="65"/>
        <v/>
      </c>
      <c r="C1083" t="str">
        <f>IF(AND(TRIM(A1083)&lt;&gt;"",IFERROR(VLOOKUP(TRIM(B1083),Inventory!E:E,1,0),0)=0),"X","_")</f>
        <v>_</v>
      </c>
      <c r="D1083" t="str">
        <f>IF(AND(TRIM(A1083)&lt;&gt;"",IFERROR(VLOOKUP(TRIM(B1083),'Full Inventory'!F:F,1,0),0)=0),"X","_")</f>
        <v>_</v>
      </c>
      <c r="E1083" t="str">
        <f t="shared" si="68"/>
        <v>X</v>
      </c>
      <c r="F1083" t="str">
        <f ca="1">IFERROR(IF(AND(C1083&amp;D1083&amp;E1083="___",INDIRECT("Inventory!A"&amp;MATCH(VLOOKUP(B1083,Inventory!E:E,1,0),Inventory!E:E,0))&lt;&gt;INDIRECT("'Full Inventory'!B"&amp;MATCH(VLOOKUP(B1083,'Full Inventory'!F:F,1,0),'Full Inventory'!F:F,0))),"X","_"),"_")</f>
        <v>_</v>
      </c>
      <c r="L1083" t="str">
        <f t="shared" ca="1" si="66"/>
        <v>__X_</v>
      </c>
      <c r="M1083" t="str">
        <f t="shared" ca="1" si="67"/>
        <v/>
      </c>
    </row>
    <row r="1084" spans="1:13" x14ac:dyDescent="0.25">
      <c r="A1084" s="5"/>
      <c r="B1084" s="4" t="str">
        <f t="shared" si="65"/>
        <v/>
      </c>
      <c r="C1084" t="str">
        <f>IF(AND(TRIM(A1084)&lt;&gt;"",IFERROR(VLOOKUP(TRIM(B1084),Inventory!E:E,1,0),0)=0),"X","_")</f>
        <v>_</v>
      </c>
      <c r="D1084" t="str">
        <f>IF(AND(TRIM(A1084)&lt;&gt;"",IFERROR(VLOOKUP(TRIM(B1084),'Full Inventory'!F:F,1,0),0)=0),"X","_")</f>
        <v>_</v>
      </c>
      <c r="E1084" t="str">
        <f t="shared" si="68"/>
        <v>X</v>
      </c>
      <c r="F1084" t="str">
        <f ca="1">IFERROR(IF(AND(C1084&amp;D1084&amp;E1084="___",INDIRECT("Inventory!A"&amp;MATCH(VLOOKUP(B1084,Inventory!E:E,1,0),Inventory!E:E,0))&lt;&gt;INDIRECT("'Full Inventory'!B"&amp;MATCH(VLOOKUP(B1084,'Full Inventory'!F:F,1,0),'Full Inventory'!F:F,0))),"X","_"),"_")</f>
        <v>_</v>
      </c>
      <c r="L1084" t="str">
        <f t="shared" ca="1" si="66"/>
        <v>__X_</v>
      </c>
      <c r="M1084" t="str">
        <f t="shared" ca="1" si="67"/>
        <v/>
      </c>
    </row>
    <row r="1085" spans="1:13" x14ac:dyDescent="0.25">
      <c r="A1085" s="5"/>
      <c r="B1085" s="4" t="str">
        <f t="shared" si="65"/>
        <v/>
      </c>
      <c r="C1085" t="str">
        <f>IF(AND(TRIM(A1085)&lt;&gt;"",IFERROR(VLOOKUP(TRIM(B1085),Inventory!E:E,1,0),0)=0),"X","_")</f>
        <v>_</v>
      </c>
      <c r="D1085" t="str">
        <f>IF(AND(TRIM(A1085)&lt;&gt;"",IFERROR(VLOOKUP(TRIM(B1085),'Full Inventory'!F:F,1,0),0)=0),"X","_")</f>
        <v>_</v>
      </c>
      <c r="E1085" t="str">
        <f t="shared" si="68"/>
        <v>X</v>
      </c>
      <c r="F1085" t="str">
        <f ca="1">IFERROR(IF(AND(C1085&amp;D1085&amp;E1085="___",INDIRECT("Inventory!A"&amp;MATCH(VLOOKUP(B1085,Inventory!E:E,1,0),Inventory!E:E,0))&lt;&gt;INDIRECT("'Full Inventory'!B"&amp;MATCH(VLOOKUP(B1085,'Full Inventory'!F:F,1,0),'Full Inventory'!F:F,0))),"X","_"),"_")</f>
        <v>_</v>
      </c>
      <c r="L1085" t="str">
        <f t="shared" ca="1" si="66"/>
        <v>__X_</v>
      </c>
      <c r="M1085" t="str">
        <f t="shared" ca="1" si="67"/>
        <v/>
      </c>
    </row>
    <row r="1086" spans="1:13" x14ac:dyDescent="0.25">
      <c r="A1086" s="5"/>
      <c r="B1086" s="4" t="str">
        <f t="shared" si="65"/>
        <v/>
      </c>
      <c r="C1086" t="str">
        <f>IF(AND(TRIM(A1086)&lt;&gt;"",IFERROR(VLOOKUP(TRIM(B1086),Inventory!E:E,1,0),0)=0),"X","_")</f>
        <v>_</v>
      </c>
      <c r="D1086" t="str">
        <f>IF(AND(TRIM(A1086)&lt;&gt;"",IFERROR(VLOOKUP(TRIM(B1086),'Full Inventory'!F:F,1,0),0)=0),"X","_")</f>
        <v>_</v>
      </c>
      <c r="E1086" t="str">
        <f t="shared" si="68"/>
        <v>X</v>
      </c>
      <c r="F1086" t="str">
        <f ca="1">IFERROR(IF(AND(C1086&amp;D1086&amp;E1086="___",INDIRECT("Inventory!A"&amp;MATCH(VLOOKUP(B1086,Inventory!E:E,1,0),Inventory!E:E,0))&lt;&gt;INDIRECT("'Full Inventory'!B"&amp;MATCH(VLOOKUP(B1086,'Full Inventory'!F:F,1,0),'Full Inventory'!F:F,0))),"X","_"),"_")</f>
        <v>_</v>
      </c>
      <c r="L1086" t="str">
        <f t="shared" ca="1" si="66"/>
        <v>__X_</v>
      </c>
      <c r="M1086" t="str">
        <f t="shared" ca="1" si="67"/>
        <v/>
      </c>
    </row>
    <row r="1087" spans="1:13" x14ac:dyDescent="0.25">
      <c r="A1087" s="5"/>
      <c r="B1087" s="4" t="str">
        <f t="shared" si="65"/>
        <v/>
      </c>
      <c r="C1087" t="str">
        <f>IF(AND(TRIM(A1087)&lt;&gt;"",IFERROR(VLOOKUP(TRIM(B1087),Inventory!E:E,1,0),0)=0),"X","_")</f>
        <v>_</v>
      </c>
      <c r="D1087" t="str">
        <f>IF(AND(TRIM(A1087)&lt;&gt;"",IFERROR(VLOOKUP(TRIM(B1087),'Full Inventory'!F:F,1,0),0)=0),"X","_")</f>
        <v>_</v>
      </c>
      <c r="E1087" t="str">
        <f t="shared" si="68"/>
        <v>X</v>
      </c>
      <c r="F1087" t="str">
        <f ca="1">IFERROR(IF(AND(C1087&amp;D1087&amp;E1087="___",INDIRECT("Inventory!A"&amp;MATCH(VLOOKUP(B1087,Inventory!E:E,1,0),Inventory!E:E,0))&lt;&gt;INDIRECT("'Full Inventory'!B"&amp;MATCH(VLOOKUP(B1087,'Full Inventory'!F:F,1,0),'Full Inventory'!F:F,0))),"X","_"),"_")</f>
        <v>_</v>
      </c>
      <c r="L1087" t="str">
        <f t="shared" ca="1" si="66"/>
        <v>__X_</v>
      </c>
      <c r="M1087" t="str">
        <f t="shared" ca="1" si="67"/>
        <v/>
      </c>
    </row>
    <row r="1088" spans="1:13" x14ac:dyDescent="0.25">
      <c r="A1088" s="5"/>
      <c r="B1088" s="4" t="str">
        <f t="shared" si="65"/>
        <v/>
      </c>
      <c r="C1088" t="str">
        <f>IF(AND(TRIM(A1088)&lt;&gt;"",IFERROR(VLOOKUP(TRIM(B1088),Inventory!E:E,1,0),0)=0),"X","_")</f>
        <v>_</v>
      </c>
      <c r="D1088" t="str">
        <f>IF(AND(TRIM(A1088)&lt;&gt;"",IFERROR(VLOOKUP(TRIM(B1088),'Full Inventory'!F:F,1,0),0)=0),"X","_")</f>
        <v>_</v>
      </c>
      <c r="E1088" t="str">
        <f t="shared" si="68"/>
        <v>X</v>
      </c>
      <c r="F1088" t="str">
        <f ca="1">IFERROR(IF(AND(C1088&amp;D1088&amp;E1088="___",INDIRECT("Inventory!A"&amp;MATCH(VLOOKUP(B1088,Inventory!E:E,1,0),Inventory!E:E,0))&lt;&gt;INDIRECT("'Full Inventory'!B"&amp;MATCH(VLOOKUP(B1088,'Full Inventory'!F:F,1,0),'Full Inventory'!F:F,0))),"X","_"),"_")</f>
        <v>_</v>
      </c>
      <c r="L1088" t="str">
        <f t="shared" ca="1" si="66"/>
        <v>__X_</v>
      </c>
      <c r="M1088" t="str">
        <f t="shared" ca="1" si="67"/>
        <v/>
      </c>
    </row>
    <row r="1089" spans="1:13" x14ac:dyDescent="0.25">
      <c r="A1089" s="5"/>
      <c r="B1089" s="4" t="str">
        <f t="shared" si="65"/>
        <v/>
      </c>
      <c r="C1089" t="str">
        <f>IF(AND(TRIM(A1089)&lt;&gt;"",IFERROR(VLOOKUP(TRIM(B1089),Inventory!E:E,1,0),0)=0),"X","_")</f>
        <v>_</v>
      </c>
      <c r="D1089" t="str">
        <f>IF(AND(TRIM(A1089)&lt;&gt;"",IFERROR(VLOOKUP(TRIM(B1089),'Full Inventory'!F:F,1,0),0)=0),"X","_")</f>
        <v>_</v>
      </c>
      <c r="E1089" t="str">
        <f t="shared" si="68"/>
        <v>X</v>
      </c>
      <c r="F1089" t="str">
        <f ca="1">IFERROR(IF(AND(C1089&amp;D1089&amp;E1089="___",INDIRECT("Inventory!A"&amp;MATCH(VLOOKUP(B1089,Inventory!E:E,1,0),Inventory!E:E,0))&lt;&gt;INDIRECT("'Full Inventory'!B"&amp;MATCH(VLOOKUP(B1089,'Full Inventory'!F:F,1,0),'Full Inventory'!F:F,0))),"X","_"),"_")</f>
        <v>_</v>
      </c>
      <c r="L1089" t="str">
        <f t="shared" ca="1" si="66"/>
        <v>__X_</v>
      </c>
      <c r="M1089" t="str">
        <f t="shared" ca="1" si="67"/>
        <v/>
      </c>
    </row>
    <row r="1090" spans="1:13" x14ac:dyDescent="0.25">
      <c r="A1090" s="5"/>
      <c r="B1090" s="4" t="str">
        <f t="shared" si="65"/>
        <v/>
      </c>
      <c r="C1090" t="str">
        <f>IF(AND(TRIM(A1090)&lt;&gt;"",IFERROR(VLOOKUP(TRIM(B1090),Inventory!E:E,1,0),0)=0),"X","_")</f>
        <v>_</v>
      </c>
      <c r="D1090" t="str">
        <f>IF(AND(TRIM(A1090)&lt;&gt;"",IFERROR(VLOOKUP(TRIM(B1090),'Full Inventory'!F:F,1,0),0)=0),"X","_")</f>
        <v>_</v>
      </c>
      <c r="E1090" t="str">
        <f t="shared" si="68"/>
        <v>X</v>
      </c>
      <c r="F1090" t="str">
        <f ca="1">IFERROR(IF(AND(C1090&amp;D1090&amp;E1090="___",INDIRECT("Inventory!A"&amp;MATCH(VLOOKUP(B1090,Inventory!E:E,1,0),Inventory!E:E,0))&lt;&gt;INDIRECT("'Full Inventory'!B"&amp;MATCH(VLOOKUP(B1090,'Full Inventory'!F:F,1,0),'Full Inventory'!F:F,0))),"X","_"),"_")</f>
        <v>_</v>
      </c>
      <c r="L1090" t="str">
        <f t="shared" ca="1" si="66"/>
        <v>__X_</v>
      </c>
      <c r="M1090" t="str">
        <f t="shared" ca="1" si="67"/>
        <v/>
      </c>
    </row>
    <row r="1091" spans="1:13" x14ac:dyDescent="0.25">
      <c r="A1091" s="5"/>
      <c r="B1091" s="4" t="str">
        <f t="shared" ref="B1091:B1154" si="69">SUBSTITUTE(SUBSTITUTE(A1091,"ö","0"),"Ö","0")</f>
        <v/>
      </c>
      <c r="C1091" t="str">
        <f>IF(AND(TRIM(A1091)&lt;&gt;"",IFERROR(VLOOKUP(TRIM(B1091),Inventory!E:E,1,0),0)=0),"X","_")</f>
        <v>_</v>
      </c>
      <c r="D1091" t="str">
        <f>IF(AND(TRIM(A1091)&lt;&gt;"",IFERROR(VLOOKUP(TRIM(B1091),'Full Inventory'!F:F,1,0),0)=0),"X","_")</f>
        <v>_</v>
      </c>
      <c r="E1091" t="str">
        <f t="shared" si="68"/>
        <v>X</v>
      </c>
      <c r="F1091" t="str">
        <f ca="1">IFERROR(IF(AND(C1091&amp;D1091&amp;E1091="___",INDIRECT("Inventory!A"&amp;MATCH(VLOOKUP(B1091,Inventory!E:E,1,0),Inventory!E:E,0))&lt;&gt;INDIRECT("'Full Inventory'!B"&amp;MATCH(VLOOKUP(B1091,'Full Inventory'!F:F,1,0),'Full Inventory'!F:F,0))),"X","_"),"_")</f>
        <v>_</v>
      </c>
      <c r="L1091" t="str">
        <f t="shared" ref="L1091:L1154" ca="1" si="70">C1091&amp;D1091&amp;E1091&amp;F1091</f>
        <v>__X_</v>
      </c>
      <c r="M1091" t="str">
        <f t="shared" ref="M1091:M1154" ca="1" si="71">IF(L1091="____","OK",IF(L1091="_X__","NOT IN FULL INVENTORY",IF(L1091="XX__","NOT IN FULL INVENTORY AND INVENTORY",IF(L1091="X___","NOT IN INVENTORY",IF(L1091="___X","DIFFERENT NAMES IN FULL INVENTORY AND INVENTORY","")))))</f>
        <v/>
      </c>
    </row>
    <row r="1092" spans="1:13" x14ac:dyDescent="0.25">
      <c r="A1092" s="5"/>
      <c r="B1092" s="4" t="str">
        <f t="shared" si="69"/>
        <v/>
      </c>
      <c r="C1092" t="str">
        <f>IF(AND(TRIM(A1092)&lt;&gt;"",IFERROR(VLOOKUP(TRIM(B1092),Inventory!E:E,1,0),0)=0),"X","_")</f>
        <v>_</v>
      </c>
      <c r="D1092" t="str">
        <f>IF(AND(TRIM(A1092)&lt;&gt;"",IFERROR(VLOOKUP(TRIM(B1092),'Full Inventory'!F:F,1,0),0)=0),"X","_")</f>
        <v>_</v>
      </c>
      <c r="E1092" t="str">
        <f t="shared" si="68"/>
        <v>X</v>
      </c>
      <c r="F1092" t="str">
        <f ca="1">IFERROR(IF(AND(C1092&amp;D1092&amp;E1092="___",INDIRECT("Inventory!A"&amp;MATCH(VLOOKUP(B1092,Inventory!E:E,1,0),Inventory!E:E,0))&lt;&gt;INDIRECT("'Full Inventory'!B"&amp;MATCH(VLOOKUP(B1092,'Full Inventory'!F:F,1,0),'Full Inventory'!F:F,0))),"X","_"),"_")</f>
        <v>_</v>
      </c>
      <c r="L1092" t="str">
        <f t="shared" ca="1" si="70"/>
        <v>__X_</v>
      </c>
      <c r="M1092" t="str">
        <f t="shared" ca="1" si="71"/>
        <v/>
      </c>
    </row>
    <row r="1093" spans="1:13" x14ac:dyDescent="0.25">
      <c r="A1093" s="5"/>
      <c r="B1093" s="4" t="str">
        <f t="shared" si="69"/>
        <v/>
      </c>
      <c r="C1093" t="str">
        <f>IF(AND(TRIM(A1093)&lt;&gt;"",IFERROR(VLOOKUP(TRIM(B1093),Inventory!E:E,1,0),0)=0),"X","_")</f>
        <v>_</v>
      </c>
      <c r="D1093" t="str">
        <f>IF(AND(TRIM(A1093)&lt;&gt;"",IFERROR(VLOOKUP(TRIM(B1093),'Full Inventory'!F:F,1,0),0)=0),"X","_")</f>
        <v>_</v>
      </c>
      <c r="E1093" t="str">
        <f t="shared" si="68"/>
        <v>X</v>
      </c>
      <c r="F1093" t="str">
        <f ca="1">IFERROR(IF(AND(C1093&amp;D1093&amp;E1093="___",INDIRECT("Inventory!A"&amp;MATCH(VLOOKUP(B1093,Inventory!E:E,1,0),Inventory!E:E,0))&lt;&gt;INDIRECT("'Full Inventory'!B"&amp;MATCH(VLOOKUP(B1093,'Full Inventory'!F:F,1,0),'Full Inventory'!F:F,0))),"X","_"),"_")</f>
        <v>_</v>
      </c>
      <c r="L1093" t="str">
        <f t="shared" ca="1" si="70"/>
        <v>__X_</v>
      </c>
      <c r="M1093" t="str">
        <f t="shared" ca="1" si="71"/>
        <v/>
      </c>
    </row>
    <row r="1094" spans="1:13" x14ac:dyDescent="0.25">
      <c r="A1094" s="5"/>
      <c r="B1094" s="4" t="str">
        <f t="shared" si="69"/>
        <v/>
      </c>
      <c r="C1094" t="str">
        <f>IF(AND(TRIM(A1094)&lt;&gt;"",IFERROR(VLOOKUP(TRIM(B1094),Inventory!E:E,1,0),0)=0),"X","_")</f>
        <v>_</v>
      </c>
      <c r="D1094" t="str">
        <f>IF(AND(TRIM(A1094)&lt;&gt;"",IFERROR(VLOOKUP(TRIM(B1094),'Full Inventory'!F:F,1,0),0)=0),"X","_")</f>
        <v>_</v>
      </c>
      <c r="E1094" t="str">
        <f t="shared" si="68"/>
        <v>X</v>
      </c>
      <c r="F1094" t="str">
        <f ca="1">IFERROR(IF(AND(C1094&amp;D1094&amp;E1094="___",INDIRECT("Inventory!A"&amp;MATCH(VLOOKUP(B1094,Inventory!E:E,1,0),Inventory!E:E,0))&lt;&gt;INDIRECT("'Full Inventory'!B"&amp;MATCH(VLOOKUP(B1094,'Full Inventory'!F:F,1,0),'Full Inventory'!F:F,0))),"X","_"),"_")</f>
        <v>_</v>
      </c>
      <c r="L1094" t="str">
        <f t="shared" ca="1" si="70"/>
        <v>__X_</v>
      </c>
      <c r="M1094" t="str">
        <f t="shared" ca="1" si="71"/>
        <v/>
      </c>
    </row>
    <row r="1095" spans="1:13" x14ac:dyDescent="0.25">
      <c r="A1095" s="5"/>
      <c r="B1095" s="4" t="str">
        <f t="shared" si="69"/>
        <v/>
      </c>
      <c r="C1095" t="str">
        <f>IF(AND(TRIM(A1095)&lt;&gt;"",IFERROR(VLOOKUP(TRIM(B1095),Inventory!E:E,1,0),0)=0),"X","_")</f>
        <v>_</v>
      </c>
      <c r="D1095" t="str">
        <f>IF(AND(TRIM(A1095)&lt;&gt;"",IFERROR(VLOOKUP(TRIM(B1095),'Full Inventory'!F:F,1,0),0)=0),"X","_")</f>
        <v>_</v>
      </c>
      <c r="E1095" t="str">
        <f t="shared" si="68"/>
        <v>X</v>
      </c>
      <c r="F1095" t="str">
        <f ca="1">IFERROR(IF(AND(C1095&amp;D1095&amp;E1095="___",INDIRECT("Inventory!A"&amp;MATCH(VLOOKUP(B1095,Inventory!E:E,1,0),Inventory!E:E,0))&lt;&gt;INDIRECT("'Full Inventory'!B"&amp;MATCH(VLOOKUP(B1095,'Full Inventory'!F:F,1,0),'Full Inventory'!F:F,0))),"X","_"),"_")</f>
        <v>_</v>
      </c>
      <c r="L1095" t="str">
        <f t="shared" ca="1" si="70"/>
        <v>__X_</v>
      </c>
      <c r="M1095" t="str">
        <f t="shared" ca="1" si="71"/>
        <v/>
      </c>
    </row>
    <row r="1096" spans="1:13" x14ac:dyDescent="0.25">
      <c r="A1096" s="5"/>
      <c r="B1096" s="4" t="str">
        <f t="shared" si="69"/>
        <v/>
      </c>
      <c r="C1096" t="str">
        <f>IF(AND(TRIM(A1096)&lt;&gt;"",IFERROR(VLOOKUP(TRIM(B1096),Inventory!E:E,1,0),0)=0),"X","_")</f>
        <v>_</v>
      </c>
      <c r="D1096" t="str">
        <f>IF(AND(TRIM(A1096)&lt;&gt;"",IFERROR(VLOOKUP(TRIM(B1096),'Full Inventory'!F:F,1,0),0)=0),"X","_")</f>
        <v>_</v>
      </c>
      <c r="E1096" t="str">
        <f t="shared" si="68"/>
        <v>X</v>
      </c>
      <c r="F1096" t="str">
        <f ca="1">IFERROR(IF(AND(C1096&amp;D1096&amp;E1096="___",INDIRECT("Inventory!A"&amp;MATCH(VLOOKUP(B1096,Inventory!E:E,1,0),Inventory!E:E,0))&lt;&gt;INDIRECT("'Full Inventory'!B"&amp;MATCH(VLOOKUP(B1096,'Full Inventory'!F:F,1,0),'Full Inventory'!F:F,0))),"X","_"),"_")</f>
        <v>_</v>
      </c>
      <c r="L1096" t="str">
        <f t="shared" ca="1" si="70"/>
        <v>__X_</v>
      </c>
      <c r="M1096" t="str">
        <f t="shared" ca="1" si="71"/>
        <v/>
      </c>
    </row>
    <row r="1097" spans="1:13" x14ac:dyDescent="0.25">
      <c r="A1097" s="5"/>
      <c r="B1097" s="4" t="str">
        <f t="shared" si="69"/>
        <v/>
      </c>
      <c r="C1097" t="str">
        <f>IF(AND(TRIM(A1097)&lt;&gt;"",IFERROR(VLOOKUP(TRIM(B1097),Inventory!E:E,1,0),0)=0),"X","_")</f>
        <v>_</v>
      </c>
      <c r="D1097" t="str">
        <f>IF(AND(TRIM(A1097)&lt;&gt;"",IFERROR(VLOOKUP(TRIM(B1097),'Full Inventory'!F:F,1,0),0)=0),"X","_")</f>
        <v>_</v>
      </c>
      <c r="E1097" t="str">
        <f t="shared" si="68"/>
        <v>X</v>
      </c>
      <c r="F1097" t="str">
        <f ca="1">IFERROR(IF(AND(C1097&amp;D1097&amp;E1097="___",INDIRECT("Inventory!A"&amp;MATCH(VLOOKUP(B1097,Inventory!E:E,1,0),Inventory!E:E,0))&lt;&gt;INDIRECT("'Full Inventory'!B"&amp;MATCH(VLOOKUP(B1097,'Full Inventory'!F:F,1,0),'Full Inventory'!F:F,0))),"X","_"),"_")</f>
        <v>_</v>
      </c>
      <c r="L1097" t="str">
        <f t="shared" ca="1" si="70"/>
        <v>__X_</v>
      </c>
      <c r="M1097" t="str">
        <f t="shared" ca="1" si="71"/>
        <v/>
      </c>
    </row>
    <row r="1098" spans="1:13" x14ac:dyDescent="0.25">
      <c r="A1098" s="5"/>
      <c r="B1098" s="4" t="str">
        <f t="shared" si="69"/>
        <v/>
      </c>
      <c r="C1098" t="str">
        <f>IF(AND(TRIM(A1098)&lt;&gt;"",IFERROR(VLOOKUP(TRIM(B1098),Inventory!E:E,1,0),0)=0),"X","_")</f>
        <v>_</v>
      </c>
      <c r="D1098" t="str">
        <f>IF(AND(TRIM(A1098)&lt;&gt;"",IFERROR(VLOOKUP(TRIM(B1098),'Full Inventory'!F:F,1,0),0)=0),"X","_")</f>
        <v>_</v>
      </c>
      <c r="E1098" t="str">
        <f t="shared" si="68"/>
        <v>X</v>
      </c>
      <c r="F1098" t="str">
        <f ca="1">IFERROR(IF(AND(C1098&amp;D1098&amp;E1098="___",INDIRECT("Inventory!A"&amp;MATCH(VLOOKUP(B1098,Inventory!E:E,1,0),Inventory!E:E,0))&lt;&gt;INDIRECT("'Full Inventory'!B"&amp;MATCH(VLOOKUP(B1098,'Full Inventory'!F:F,1,0),'Full Inventory'!F:F,0))),"X","_"),"_")</f>
        <v>_</v>
      </c>
      <c r="L1098" t="str">
        <f t="shared" ca="1" si="70"/>
        <v>__X_</v>
      </c>
      <c r="M1098" t="str">
        <f t="shared" ca="1" si="71"/>
        <v/>
      </c>
    </row>
    <row r="1099" spans="1:13" x14ac:dyDescent="0.25">
      <c r="A1099" s="5"/>
      <c r="B1099" s="4" t="str">
        <f t="shared" si="69"/>
        <v/>
      </c>
      <c r="C1099" t="str">
        <f>IF(AND(TRIM(A1099)&lt;&gt;"",IFERROR(VLOOKUP(TRIM(B1099),Inventory!E:E,1,0),0)=0),"X","_")</f>
        <v>_</v>
      </c>
      <c r="D1099" t="str">
        <f>IF(AND(TRIM(A1099)&lt;&gt;"",IFERROR(VLOOKUP(TRIM(B1099),'Full Inventory'!F:F,1,0),0)=0),"X","_")</f>
        <v>_</v>
      </c>
      <c r="E1099" t="str">
        <f t="shared" si="68"/>
        <v>X</v>
      </c>
      <c r="F1099" t="str">
        <f ca="1">IFERROR(IF(AND(C1099&amp;D1099&amp;E1099="___",INDIRECT("Inventory!A"&amp;MATCH(VLOOKUP(B1099,Inventory!E:E,1,0),Inventory!E:E,0))&lt;&gt;INDIRECT("'Full Inventory'!B"&amp;MATCH(VLOOKUP(B1099,'Full Inventory'!F:F,1,0),'Full Inventory'!F:F,0))),"X","_"),"_")</f>
        <v>_</v>
      </c>
      <c r="L1099" t="str">
        <f t="shared" ca="1" si="70"/>
        <v>__X_</v>
      </c>
      <c r="M1099" t="str">
        <f t="shared" ca="1" si="71"/>
        <v/>
      </c>
    </row>
    <row r="1100" spans="1:13" x14ac:dyDescent="0.25">
      <c r="A1100" s="5"/>
      <c r="B1100" s="4" t="str">
        <f t="shared" si="69"/>
        <v/>
      </c>
      <c r="C1100" t="str">
        <f>IF(AND(TRIM(A1100)&lt;&gt;"",IFERROR(VLOOKUP(TRIM(B1100),Inventory!E:E,1,0),0)=0),"X","_")</f>
        <v>_</v>
      </c>
      <c r="D1100" t="str">
        <f>IF(AND(TRIM(A1100)&lt;&gt;"",IFERROR(VLOOKUP(TRIM(B1100),'Full Inventory'!F:F,1,0),0)=0),"X","_")</f>
        <v>_</v>
      </c>
      <c r="E1100" t="str">
        <f t="shared" si="68"/>
        <v>X</v>
      </c>
      <c r="F1100" t="str">
        <f ca="1">IFERROR(IF(AND(C1100&amp;D1100&amp;E1100="___",INDIRECT("Inventory!A"&amp;MATCH(VLOOKUP(B1100,Inventory!E:E,1,0),Inventory!E:E,0))&lt;&gt;INDIRECT("'Full Inventory'!B"&amp;MATCH(VLOOKUP(B1100,'Full Inventory'!F:F,1,0),'Full Inventory'!F:F,0))),"X","_"),"_")</f>
        <v>_</v>
      </c>
      <c r="L1100" t="str">
        <f t="shared" ca="1" si="70"/>
        <v>__X_</v>
      </c>
      <c r="M1100" t="str">
        <f t="shared" ca="1" si="71"/>
        <v/>
      </c>
    </row>
    <row r="1101" spans="1:13" x14ac:dyDescent="0.25">
      <c r="A1101" s="5"/>
      <c r="B1101" s="4" t="str">
        <f t="shared" si="69"/>
        <v/>
      </c>
      <c r="C1101" t="str">
        <f>IF(AND(TRIM(A1101)&lt;&gt;"",IFERROR(VLOOKUP(TRIM(B1101),Inventory!E:E,1,0),0)=0),"X","_")</f>
        <v>_</v>
      </c>
      <c r="D1101" t="str">
        <f>IF(AND(TRIM(A1101)&lt;&gt;"",IFERROR(VLOOKUP(TRIM(B1101),'Full Inventory'!F:F,1,0),0)=0),"X","_")</f>
        <v>_</v>
      </c>
      <c r="E1101" t="str">
        <f t="shared" si="68"/>
        <v>X</v>
      </c>
      <c r="F1101" t="str">
        <f ca="1">IFERROR(IF(AND(C1101&amp;D1101&amp;E1101="___",INDIRECT("Inventory!A"&amp;MATCH(VLOOKUP(B1101,Inventory!E:E,1,0),Inventory!E:E,0))&lt;&gt;INDIRECT("'Full Inventory'!B"&amp;MATCH(VLOOKUP(B1101,'Full Inventory'!F:F,1,0),'Full Inventory'!F:F,0))),"X","_"),"_")</f>
        <v>_</v>
      </c>
      <c r="L1101" t="str">
        <f t="shared" ca="1" si="70"/>
        <v>__X_</v>
      </c>
      <c r="M1101" t="str">
        <f t="shared" ca="1" si="71"/>
        <v/>
      </c>
    </row>
    <row r="1102" spans="1:13" x14ac:dyDescent="0.25">
      <c r="A1102" s="5"/>
      <c r="B1102" s="4" t="str">
        <f t="shared" si="69"/>
        <v/>
      </c>
      <c r="C1102" t="str">
        <f>IF(AND(TRIM(A1102)&lt;&gt;"",IFERROR(VLOOKUP(TRIM(B1102),Inventory!E:E,1,0),0)=0),"X","_")</f>
        <v>_</v>
      </c>
      <c r="D1102" t="str">
        <f>IF(AND(TRIM(A1102)&lt;&gt;"",IFERROR(VLOOKUP(TRIM(B1102),'Full Inventory'!F:F,1,0),0)=0),"X","_")</f>
        <v>_</v>
      </c>
      <c r="E1102" t="str">
        <f t="shared" si="68"/>
        <v>X</v>
      </c>
      <c r="F1102" t="str">
        <f ca="1">IFERROR(IF(AND(C1102&amp;D1102&amp;E1102="___",INDIRECT("Inventory!A"&amp;MATCH(VLOOKUP(B1102,Inventory!E:E,1,0),Inventory!E:E,0))&lt;&gt;INDIRECT("'Full Inventory'!B"&amp;MATCH(VLOOKUP(B1102,'Full Inventory'!F:F,1,0),'Full Inventory'!F:F,0))),"X","_"),"_")</f>
        <v>_</v>
      </c>
      <c r="L1102" t="str">
        <f t="shared" ca="1" si="70"/>
        <v>__X_</v>
      </c>
      <c r="M1102" t="str">
        <f t="shared" ca="1" si="71"/>
        <v/>
      </c>
    </row>
    <row r="1103" spans="1:13" x14ac:dyDescent="0.25">
      <c r="A1103" s="5"/>
      <c r="B1103" s="4" t="str">
        <f t="shared" si="69"/>
        <v/>
      </c>
      <c r="C1103" t="str">
        <f>IF(AND(TRIM(A1103)&lt;&gt;"",IFERROR(VLOOKUP(TRIM(B1103),Inventory!E:E,1,0),0)=0),"X","_")</f>
        <v>_</v>
      </c>
      <c r="D1103" t="str">
        <f>IF(AND(TRIM(A1103)&lt;&gt;"",IFERROR(VLOOKUP(TRIM(B1103),'Full Inventory'!F:F,1,0),0)=0),"X","_")</f>
        <v>_</v>
      </c>
      <c r="E1103" t="str">
        <f t="shared" si="68"/>
        <v>X</v>
      </c>
      <c r="F1103" t="str">
        <f ca="1">IFERROR(IF(AND(C1103&amp;D1103&amp;E1103="___",INDIRECT("Inventory!A"&amp;MATCH(VLOOKUP(B1103,Inventory!E:E,1,0),Inventory!E:E,0))&lt;&gt;INDIRECT("'Full Inventory'!B"&amp;MATCH(VLOOKUP(B1103,'Full Inventory'!F:F,1,0),'Full Inventory'!F:F,0))),"X","_"),"_")</f>
        <v>_</v>
      </c>
      <c r="L1103" t="str">
        <f t="shared" ca="1" si="70"/>
        <v>__X_</v>
      </c>
      <c r="M1103" t="str">
        <f t="shared" ca="1" si="71"/>
        <v/>
      </c>
    </row>
    <row r="1104" spans="1:13" x14ac:dyDescent="0.25">
      <c r="A1104" s="5"/>
      <c r="B1104" s="4" t="str">
        <f t="shared" si="69"/>
        <v/>
      </c>
      <c r="C1104" t="str">
        <f>IF(AND(TRIM(A1104)&lt;&gt;"",IFERROR(VLOOKUP(TRIM(B1104),Inventory!E:E,1,0),0)=0),"X","_")</f>
        <v>_</v>
      </c>
      <c r="D1104" t="str">
        <f>IF(AND(TRIM(A1104)&lt;&gt;"",IFERROR(VLOOKUP(TRIM(B1104),'Full Inventory'!F:F,1,0),0)=0),"X","_")</f>
        <v>_</v>
      </c>
      <c r="E1104" t="str">
        <f t="shared" si="68"/>
        <v>X</v>
      </c>
      <c r="F1104" t="str">
        <f ca="1">IFERROR(IF(AND(C1104&amp;D1104&amp;E1104="___",INDIRECT("Inventory!A"&amp;MATCH(VLOOKUP(B1104,Inventory!E:E,1,0),Inventory!E:E,0))&lt;&gt;INDIRECT("'Full Inventory'!B"&amp;MATCH(VLOOKUP(B1104,'Full Inventory'!F:F,1,0),'Full Inventory'!F:F,0))),"X","_"),"_")</f>
        <v>_</v>
      </c>
      <c r="L1104" t="str">
        <f t="shared" ca="1" si="70"/>
        <v>__X_</v>
      </c>
      <c r="M1104" t="str">
        <f t="shared" ca="1" si="71"/>
        <v/>
      </c>
    </row>
    <row r="1105" spans="1:13" x14ac:dyDescent="0.25">
      <c r="A1105" s="5"/>
      <c r="B1105" s="4" t="str">
        <f t="shared" si="69"/>
        <v/>
      </c>
      <c r="C1105" t="str">
        <f>IF(AND(TRIM(A1105)&lt;&gt;"",IFERROR(VLOOKUP(TRIM(B1105),Inventory!E:E,1,0),0)=0),"X","_")</f>
        <v>_</v>
      </c>
      <c r="D1105" t="str">
        <f>IF(AND(TRIM(A1105)&lt;&gt;"",IFERROR(VLOOKUP(TRIM(B1105),'Full Inventory'!F:F,1,0),0)=0),"X","_")</f>
        <v>_</v>
      </c>
      <c r="E1105" t="str">
        <f t="shared" si="68"/>
        <v>X</v>
      </c>
      <c r="F1105" t="str">
        <f ca="1">IFERROR(IF(AND(C1105&amp;D1105&amp;E1105="___",INDIRECT("Inventory!A"&amp;MATCH(VLOOKUP(B1105,Inventory!E:E,1,0),Inventory!E:E,0))&lt;&gt;INDIRECT("'Full Inventory'!B"&amp;MATCH(VLOOKUP(B1105,'Full Inventory'!F:F,1,0),'Full Inventory'!F:F,0))),"X","_"),"_")</f>
        <v>_</v>
      </c>
      <c r="L1105" t="str">
        <f t="shared" ca="1" si="70"/>
        <v>__X_</v>
      </c>
      <c r="M1105" t="str">
        <f t="shared" ca="1" si="71"/>
        <v/>
      </c>
    </row>
    <row r="1106" spans="1:13" x14ac:dyDescent="0.25">
      <c r="A1106" s="5"/>
      <c r="B1106" s="4" t="str">
        <f t="shared" si="69"/>
        <v/>
      </c>
      <c r="C1106" t="str">
        <f>IF(AND(TRIM(A1106)&lt;&gt;"",IFERROR(VLOOKUP(TRIM(B1106),Inventory!E:E,1,0),0)=0),"X","_")</f>
        <v>_</v>
      </c>
      <c r="D1106" t="str">
        <f>IF(AND(TRIM(A1106)&lt;&gt;"",IFERROR(VLOOKUP(TRIM(B1106),'Full Inventory'!F:F,1,0),0)=0),"X","_")</f>
        <v>_</v>
      </c>
      <c r="E1106" t="str">
        <f t="shared" si="68"/>
        <v>X</v>
      </c>
      <c r="F1106" t="str">
        <f ca="1">IFERROR(IF(AND(C1106&amp;D1106&amp;E1106="___",INDIRECT("Inventory!A"&amp;MATCH(VLOOKUP(B1106,Inventory!E:E,1,0),Inventory!E:E,0))&lt;&gt;INDIRECT("'Full Inventory'!B"&amp;MATCH(VLOOKUP(B1106,'Full Inventory'!F:F,1,0),'Full Inventory'!F:F,0))),"X","_"),"_")</f>
        <v>_</v>
      </c>
      <c r="L1106" t="str">
        <f t="shared" ca="1" si="70"/>
        <v>__X_</v>
      </c>
      <c r="M1106" t="str">
        <f t="shared" ca="1" si="71"/>
        <v/>
      </c>
    </row>
    <row r="1107" spans="1:13" x14ac:dyDescent="0.25">
      <c r="A1107" s="5"/>
      <c r="B1107" s="4" t="str">
        <f t="shared" si="69"/>
        <v/>
      </c>
      <c r="C1107" t="str">
        <f>IF(AND(TRIM(A1107)&lt;&gt;"",IFERROR(VLOOKUP(TRIM(B1107),Inventory!E:E,1,0),0)=0),"X","_")</f>
        <v>_</v>
      </c>
      <c r="D1107" t="str">
        <f>IF(AND(TRIM(A1107)&lt;&gt;"",IFERROR(VLOOKUP(TRIM(B1107),'Full Inventory'!F:F,1,0),0)=0),"X","_")</f>
        <v>_</v>
      </c>
      <c r="E1107" t="str">
        <f t="shared" si="68"/>
        <v>X</v>
      </c>
      <c r="F1107" t="str">
        <f ca="1">IFERROR(IF(AND(C1107&amp;D1107&amp;E1107="___",INDIRECT("Inventory!A"&amp;MATCH(VLOOKUP(B1107,Inventory!E:E,1,0),Inventory!E:E,0))&lt;&gt;INDIRECT("'Full Inventory'!B"&amp;MATCH(VLOOKUP(B1107,'Full Inventory'!F:F,1,0),'Full Inventory'!F:F,0))),"X","_"),"_")</f>
        <v>_</v>
      </c>
      <c r="L1107" t="str">
        <f t="shared" ca="1" si="70"/>
        <v>__X_</v>
      </c>
      <c r="M1107" t="str">
        <f t="shared" ca="1" si="71"/>
        <v/>
      </c>
    </row>
    <row r="1108" spans="1:13" x14ac:dyDescent="0.25">
      <c r="A1108" s="5"/>
      <c r="B1108" s="4" t="str">
        <f t="shared" si="69"/>
        <v/>
      </c>
      <c r="C1108" t="str">
        <f>IF(AND(TRIM(A1108)&lt;&gt;"",IFERROR(VLOOKUP(TRIM(B1108),Inventory!E:E,1,0),0)=0),"X","_")</f>
        <v>_</v>
      </c>
      <c r="D1108" t="str">
        <f>IF(AND(TRIM(A1108)&lt;&gt;"",IFERROR(VLOOKUP(TRIM(B1108),'Full Inventory'!F:F,1,0),0)=0),"X","_")</f>
        <v>_</v>
      </c>
      <c r="E1108" t="str">
        <f t="shared" ref="E1108:E1171" si="72">IF(TRIM(A1108)&lt;&gt;"","_","X")</f>
        <v>X</v>
      </c>
      <c r="F1108" t="str">
        <f ca="1">IFERROR(IF(AND(C1108&amp;D1108&amp;E1108="___",INDIRECT("Inventory!A"&amp;MATCH(VLOOKUP(B1108,Inventory!E:E,1,0),Inventory!E:E,0))&lt;&gt;INDIRECT("'Full Inventory'!B"&amp;MATCH(VLOOKUP(B1108,'Full Inventory'!F:F,1,0),'Full Inventory'!F:F,0))),"X","_"),"_")</f>
        <v>_</v>
      </c>
      <c r="L1108" t="str">
        <f t="shared" ca="1" si="70"/>
        <v>__X_</v>
      </c>
      <c r="M1108" t="str">
        <f t="shared" ca="1" si="71"/>
        <v/>
      </c>
    </row>
    <row r="1109" spans="1:13" x14ac:dyDescent="0.25">
      <c r="A1109" s="5"/>
      <c r="B1109" s="4" t="str">
        <f t="shared" si="69"/>
        <v/>
      </c>
      <c r="C1109" t="str">
        <f>IF(AND(TRIM(A1109)&lt;&gt;"",IFERROR(VLOOKUP(TRIM(B1109),Inventory!E:E,1,0),0)=0),"X","_")</f>
        <v>_</v>
      </c>
      <c r="D1109" t="str">
        <f>IF(AND(TRIM(A1109)&lt;&gt;"",IFERROR(VLOOKUP(TRIM(B1109),'Full Inventory'!F:F,1,0),0)=0),"X","_")</f>
        <v>_</v>
      </c>
      <c r="E1109" t="str">
        <f t="shared" si="72"/>
        <v>X</v>
      </c>
      <c r="F1109" t="str">
        <f ca="1">IFERROR(IF(AND(C1109&amp;D1109&amp;E1109="___",INDIRECT("Inventory!A"&amp;MATCH(VLOOKUP(B1109,Inventory!E:E,1,0),Inventory!E:E,0))&lt;&gt;INDIRECT("'Full Inventory'!B"&amp;MATCH(VLOOKUP(B1109,'Full Inventory'!F:F,1,0),'Full Inventory'!F:F,0))),"X","_"),"_")</f>
        <v>_</v>
      </c>
      <c r="L1109" t="str">
        <f t="shared" ca="1" si="70"/>
        <v>__X_</v>
      </c>
      <c r="M1109" t="str">
        <f t="shared" ca="1" si="71"/>
        <v/>
      </c>
    </row>
    <row r="1110" spans="1:13" x14ac:dyDescent="0.25">
      <c r="A1110" s="5"/>
      <c r="B1110" s="4" t="str">
        <f t="shared" si="69"/>
        <v/>
      </c>
      <c r="C1110" t="str">
        <f>IF(AND(TRIM(A1110)&lt;&gt;"",IFERROR(VLOOKUP(TRIM(B1110),Inventory!E:E,1,0),0)=0),"X","_")</f>
        <v>_</v>
      </c>
      <c r="D1110" t="str">
        <f>IF(AND(TRIM(A1110)&lt;&gt;"",IFERROR(VLOOKUP(TRIM(B1110),'Full Inventory'!F:F,1,0),0)=0),"X","_")</f>
        <v>_</v>
      </c>
      <c r="E1110" t="str">
        <f t="shared" si="72"/>
        <v>X</v>
      </c>
      <c r="F1110" t="str">
        <f ca="1">IFERROR(IF(AND(C1110&amp;D1110&amp;E1110="___",INDIRECT("Inventory!A"&amp;MATCH(VLOOKUP(B1110,Inventory!E:E,1,0),Inventory!E:E,0))&lt;&gt;INDIRECT("'Full Inventory'!B"&amp;MATCH(VLOOKUP(B1110,'Full Inventory'!F:F,1,0),'Full Inventory'!F:F,0))),"X","_"),"_")</f>
        <v>_</v>
      </c>
      <c r="L1110" t="str">
        <f t="shared" ca="1" si="70"/>
        <v>__X_</v>
      </c>
      <c r="M1110" t="str">
        <f t="shared" ca="1" si="71"/>
        <v/>
      </c>
    </row>
    <row r="1111" spans="1:13" x14ac:dyDescent="0.25">
      <c r="A1111" s="5"/>
      <c r="B1111" s="4" t="str">
        <f t="shared" si="69"/>
        <v/>
      </c>
      <c r="C1111" t="str">
        <f>IF(AND(TRIM(A1111)&lt;&gt;"",IFERROR(VLOOKUP(TRIM(B1111),Inventory!E:E,1,0),0)=0),"X","_")</f>
        <v>_</v>
      </c>
      <c r="D1111" t="str">
        <f>IF(AND(TRIM(A1111)&lt;&gt;"",IFERROR(VLOOKUP(TRIM(B1111),'Full Inventory'!F:F,1,0),0)=0),"X","_")</f>
        <v>_</v>
      </c>
      <c r="E1111" t="str">
        <f t="shared" si="72"/>
        <v>X</v>
      </c>
      <c r="F1111" t="str">
        <f ca="1">IFERROR(IF(AND(C1111&amp;D1111&amp;E1111="___",INDIRECT("Inventory!A"&amp;MATCH(VLOOKUP(B1111,Inventory!E:E,1,0),Inventory!E:E,0))&lt;&gt;INDIRECT("'Full Inventory'!B"&amp;MATCH(VLOOKUP(B1111,'Full Inventory'!F:F,1,0),'Full Inventory'!F:F,0))),"X","_"),"_")</f>
        <v>_</v>
      </c>
      <c r="L1111" t="str">
        <f t="shared" ca="1" si="70"/>
        <v>__X_</v>
      </c>
      <c r="M1111" t="str">
        <f t="shared" ca="1" si="71"/>
        <v/>
      </c>
    </row>
    <row r="1112" spans="1:13" x14ac:dyDescent="0.25">
      <c r="A1112" s="5"/>
      <c r="B1112" s="4" t="str">
        <f t="shared" si="69"/>
        <v/>
      </c>
      <c r="C1112" t="str">
        <f>IF(AND(TRIM(A1112)&lt;&gt;"",IFERROR(VLOOKUP(TRIM(B1112),Inventory!E:E,1,0),0)=0),"X","_")</f>
        <v>_</v>
      </c>
      <c r="D1112" t="str">
        <f>IF(AND(TRIM(A1112)&lt;&gt;"",IFERROR(VLOOKUP(TRIM(B1112),'Full Inventory'!F:F,1,0),0)=0),"X","_")</f>
        <v>_</v>
      </c>
      <c r="E1112" t="str">
        <f t="shared" si="72"/>
        <v>X</v>
      </c>
      <c r="F1112" t="str">
        <f ca="1">IFERROR(IF(AND(C1112&amp;D1112&amp;E1112="___",INDIRECT("Inventory!A"&amp;MATCH(VLOOKUP(B1112,Inventory!E:E,1,0),Inventory!E:E,0))&lt;&gt;INDIRECT("'Full Inventory'!B"&amp;MATCH(VLOOKUP(B1112,'Full Inventory'!F:F,1,0),'Full Inventory'!F:F,0))),"X","_"),"_")</f>
        <v>_</v>
      </c>
      <c r="L1112" t="str">
        <f t="shared" ca="1" si="70"/>
        <v>__X_</v>
      </c>
      <c r="M1112" t="str">
        <f t="shared" ca="1" si="71"/>
        <v/>
      </c>
    </row>
    <row r="1113" spans="1:13" x14ac:dyDescent="0.25">
      <c r="A1113" s="5"/>
      <c r="B1113" s="4" t="str">
        <f t="shared" si="69"/>
        <v/>
      </c>
      <c r="C1113" t="str">
        <f>IF(AND(TRIM(A1113)&lt;&gt;"",IFERROR(VLOOKUP(TRIM(B1113),Inventory!E:E,1,0),0)=0),"X","_")</f>
        <v>_</v>
      </c>
      <c r="D1113" t="str">
        <f>IF(AND(TRIM(A1113)&lt;&gt;"",IFERROR(VLOOKUP(TRIM(B1113),'Full Inventory'!F:F,1,0),0)=0),"X","_")</f>
        <v>_</v>
      </c>
      <c r="E1113" t="str">
        <f t="shared" si="72"/>
        <v>X</v>
      </c>
      <c r="F1113" t="str">
        <f ca="1">IFERROR(IF(AND(C1113&amp;D1113&amp;E1113="___",INDIRECT("Inventory!A"&amp;MATCH(VLOOKUP(B1113,Inventory!E:E,1,0),Inventory!E:E,0))&lt;&gt;INDIRECT("'Full Inventory'!B"&amp;MATCH(VLOOKUP(B1113,'Full Inventory'!F:F,1,0),'Full Inventory'!F:F,0))),"X","_"),"_")</f>
        <v>_</v>
      </c>
      <c r="L1113" t="str">
        <f t="shared" ca="1" si="70"/>
        <v>__X_</v>
      </c>
      <c r="M1113" t="str">
        <f t="shared" ca="1" si="71"/>
        <v/>
      </c>
    </row>
    <row r="1114" spans="1:13" x14ac:dyDescent="0.25">
      <c r="A1114" s="5"/>
      <c r="B1114" s="4" t="str">
        <f t="shared" si="69"/>
        <v/>
      </c>
      <c r="C1114" t="str">
        <f>IF(AND(TRIM(A1114)&lt;&gt;"",IFERROR(VLOOKUP(TRIM(B1114),Inventory!E:E,1,0),0)=0),"X","_")</f>
        <v>_</v>
      </c>
      <c r="D1114" t="str">
        <f>IF(AND(TRIM(A1114)&lt;&gt;"",IFERROR(VLOOKUP(TRIM(B1114),'Full Inventory'!F:F,1,0),0)=0),"X","_")</f>
        <v>_</v>
      </c>
      <c r="E1114" t="str">
        <f t="shared" si="72"/>
        <v>X</v>
      </c>
      <c r="F1114" t="str">
        <f ca="1">IFERROR(IF(AND(C1114&amp;D1114&amp;E1114="___",INDIRECT("Inventory!A"&amp;MATCH(VLOOKUP(B1114,Inventory!E:E,1,0),Inventory!E:E,0))&lt;&gt;INDIRECT("'Full Inventory'!B"&amp;MATCH(VLOOKUP(B1114,'Full Inventory'!F:F,1,0),'Full Inventory'!F:F,0))),"X","_"),"_")</f>
        <v>_</v>
      </c>
      <c r="L1114" t="str">
        <f t="shared" ca="1" si="70"/>
        <v>__X_</v>
      </c>
      <c r="M1114" t="str">
        <f t="shared" ca="1" si="71"/>
        <v/>
      </c>
    </row>
    <row r="1115" spans="1:13" x14ac:dyDescent="0.25">
      <c r="A1115" s="5"/>
      <c r="B1115" s="4" t="str">
        <f t="shared" si="69"/>
        <v/>
      </c>
      <c r="C1115" t="str">
        <f>IF(AND(TRIM(A1115)&lt;&gt;"",IFERROR(VLOOKUP(TRIM(B1115),Inventory!E:E,1,0),0)=0),"X","_")</f>
        <v>_</v>
      </c>
      <c r="D1115" t="str">
        <f>IF(AND(TRIM(A1115)&lt;&gt;"",IFERROR(VLOOKUP(TRIM(B1115),'Full Inventory'!F:F,1,0),0)=0),"X","_")</f>
        <v>_</v>
      </c>
      <c r="E1115" t="str">
        <f t="shared" si="72"/>
        <v>X</v>
      </c>
      <c r="F1115" t="str">
        <f ca="1">IFERROR(IF(AND(C1115&amp;D1115&amp;E1115="___",INDIRECT("Inventory!A"&amp;MATCH(VLOOKUP(B1115,Inventory!E:E,1,0),Inventory!E:E,0))&lt;&gt;INDIRECT("'Full Inventory'!B"&amp;MATCH(VLOOKUP(B1115,'Full Inventory'!F:F,1,0),'Full Inventory'!F:F,0))),"X","_"),"_")</f>
        <v>_</v>
      </c>
      <c r="L1115" t="str">
        <f t="shared" ca="1" si="70"/>
        <v>__X_</v>
      </c>
      <c r="M1115" t="str">
        <f t="shared" ca="1" si="71"/>
        <v/>
      </c>
    </row>
    <row r="1116" spans="1:13" x14ac:dyDescent="0.25">
      <c r="A1116" s="5"/>
      <c r="B1116" s="4" t="str">
        <f t="shared" si="69"/>
        <v/>
      </c>
      <c r="C1116" t="str">
        <f>IF(AND(TRIM(A1116)&lt;&gt;"",IFERROR(VLOOKUP(TRIM(B1116),Inventory!E:E,1,0),0)=0),"X","_")</f>
        <v>_</v>
      </c>
      <c r="D1116" t="str">
        <f>IF(AND(TRIM(A1116)&lt;&gt;"",IFERROR(VLOOKUP(TRIM(B1116),'Full Inventory'!F:F,1,0),0)=0),"X","_")</f>
        <v>_</v>
      </c>
      <c r="E1116" t="str">
        <f t="shared" si="72"/>
        <v>X</v>
      </c>
      <c r="F1116" t="str">
        <f ca="1">IFERROR(IF(AND(C1116&amp;D1116&amp;E1116="___",INDIRECT("Inventory!A"&amp;MATCH(VLOOKUP(B1116,Inventory!E:E,1,0),Inventory!E:E,0))&lt;&gt;INDIRECT("'Full Inventory'!B"&amp;MATCH(VLOOKUP(B1116,'Full Inventory'!F:F,1,0),'Full Inventory'!F:F,0))),"X","_"),"_")</f>
        <v>_</v>
      </c>
      <c r="L1116" t="str">
        <f t="shared" ca="1" si="70"/>
        <v>__X_</v>
      </c>
      <c r="M1116" t="str">
        <f t="shared" ca="1" si="71"/>
        <v/>
      </c>
    </row>
    <row r="1117" spans="1:13" x14ac:dyDescent="0.25">
      <c r="A1117" s="5"/>
      <c r="B1117" s="4" t="str">
        <f t="shared" si="69"/>
        <v/>
      </c>
      <c r="C1117" t="str">
        <f>IF(AND(TRIM(A1117)&lt;&gt;"",IFERROR(VLOOKUP(TRIM(B1117),Inventory!E:E,1,0),0)=0),"X","_")</f>
        <v>_</v>
      </c>
      <c r="D1117" t="str">
        <f>IF(AND(TRIM(A1117)&lt;&gt;"",IFERROR(VLOOKUP(TRIM(B1117),'Full Inventory'!F:F,1,0),0)=0),"X","_")</f>
        <v>_</v>
      </c>
      <c r="E1117" t="str">
        <f t="shared" si="72"/>
        <v>X</v>
      </c>
      <c r="F1117" t="str">
        <f ca="1">IFERROR(IF(AND(C1117&amp;D1117&amp;E1117="___",INDIRECT("Inventory!A"&amp;MATCH(VLOOKUP(B1117,Inventory!E:E,1,0),Inventory!E:E,0))&lt;&gt;INDIRECT("'Full Inventory'!B"&amp;MATCH(VLOOKUP(B1117,'Full Inventory'!F:F,1,0),'Full Inventory'!F:F,0))),"X","_"),"_")</f>
        <v>_</v>
      </c>
      <c r="L1117" t="str">
        <f t="shared" ca="1" si="70"/>
        <v>__X_</v>
      </c>
      <c r="M1117" t="str">
        <f t="shared" ca="1" si="71"/>
        <v/>
      </c>
    </row>
    <row r="1118" spans="1:13" x14ac:dyDescent="0.25">
      <c r="A1118" s="5"/>
      <c r="B1118" s="4" t="str">
        <f t="shared" si="69"/>
        <v/>
      </c>
      <c r="C1118" t="str">
        <f>IF(AND(TRIM(A1118)&lt;&gt;"",IFERROR(VLOOKUP(TRIM(B1118),Inventory!E:E,1,0),0)=0),"X","_")</f>
        <v>_</v>
      </c>
      <c r="D1118" t="str">
        <f>IF(AND(TRIM(A1118)&lt;&gt;"",IFERROR(VLOOKUP(TRIM(B1118),'Full Inventory'!F:F,1,0),0)=0),"X","_")</f>
        <v>_</v>
      </c>
      <c r="E1118" t="str">
        <f t="shared" si="72"/>
        <v>X</v>
      </c>
      <c r="F1118" t="str">
        <f ca="1">IFERROR(IF(AND(C1118&amp;D1118&amp;E1118="___",INDIRECT("Inventory!A"&amp;MATCH(VLOOKUP(B1118,Inventory!E:E,1,0),Inventory!E:E,0))&lt;&gt;INDIRECT("'Full Inventory'!B"&amp;MATCH(VLOOKUP(B1118,'Full Inventory'!F:F,1,0),'Full Inventory'!F:F,0))),"X","_"),"_")</f>
        <v>_</v>
      </c>
      <c r="L1118" t="str">
        <f t="shared" ca="1" si="70"/>
        <v>__X_</v>
      </c>
      <c r="M1118" t="str">
        <f t="shared" ca="1" si="71"/>
        <v/>
      </c>
    </row>
    <row r="1119" spans="1:13" x14ac:dyDescent="0.25">
      <c r="A1119" s="5"/>
      <c r="B1119" s="4" t="str">
        <f t="shared" si="69"/>
        <v/>
      </c>
      <c r="C1119" t="str">
        <f>IF(AND(TRIM(A1119)&lt;&gt;"",IFERROR(VLOOKUP(TRIM(B1119),Inventory!E:E,1,0),0)=0),"X","_")</f>
        <v>_</v>
      </c>
      <c r="D1119" t="str">
        <f>IF(AND(TRIM(A1119)&lt;&gt;"",IFERROR(VLOOKUP(TRIM(B1119),'Full Inventory'!F:F,1,0),0)=0),"X","_")</f>
        <v>_</v>
      </c>
      <c r="E1119" t="str">
        <f t="shared" si="72"/>
        <v>X</v>
      </c>
      <c r="F1119" t="str">
        <f ca="1">IFERROR(IF(AND(C1119&amp;D1119&amp;E1119="___",INDIRECT("Inventory!A"&amp;MATCH(VLOOKUP(B1119,Inventory!E:E,1,0),Inventory!E:E,0))&lt;&gt;INDIRECT("'Full Inventory'!B"&amp;MATCH(VLOOKUP(B1119,'Full Inventory'!F:F,1,0),'Full Inventory'!F:F,0))),"X","_"),"_")</f>
        <v>_</v>
      </c>
      <c r="L1119" t="str">
        <f t="shared" ca="1" si="70"/>
        <v>__X_</v>
      </c>
      <c r="M1119" t="str">
        <f t="shared" ca="1" si="71"/>
        <v/>
      </c>
    </row>
    <row r="1120" spans="1:13" x14ac:dyDescent="0.25">
      <c r="A1120" s="5"/>
      <c r="B1120" s="4" t="str">
        <f t="shared" si="69"/>
        <v/>
      </c>
      <c r="C1120" t="str">
        <f>IF(AND(TRIM(A1120)&lt;&gt;"",IFERROR(VLOOKUP(TRIM(B1120),Inventory!E:E,1,0),0)=0),"X","_")</f>
        <v>_</v>
      </c>
      <c r="D1120" t="str">
        <f>IF(AND(TRIM(A1120)&lt;&gt;"",IFERROR(VLOOKUP(TRIM(B1120),'Full Inventory'!F:F,1,0),0)=0),"X","_")</f>
        <v>_</v>
      </c>
      <c r="E1120" t="str">
        <f t="shared" si="72"/>
        <v>X</v>
      </c>
      <c r="F1120" t="str">
        <f ca="1">IFERROR(IF(AND(C1120&amp;D1120&amp;E1120="___",INDIRECT("Inventory!A"&amp;MATCH(VLOOKUP(B1120,Inventory!E:E,1,0),Inventory!E:E,0))&lt;&gt;INDIRECT("'Full Inventory'!B"&amp;MATCH(VLOOKUP(B1120,'Full Inventory'!F:F,1,0),'Full Inventory'!F:F,0))),"X","_"),"_")</f>
        <v>_</v>
      </c>
      <c r="L1120" t="str">
        <f t="shared" ca="1" si="70"/>
        <v>__X_</v>
      </c>
      <c r="M1120" t="str">
        <f t="shared" ca="1" si="71"/>
        <v/>
      </c>
    </row>
    <row r="1121" spans="1:13" x14ac:dyDescent="0.25">
      <c r="A1121" s="5"/>
      <c r="B1121" s="4" t="str">
        <f t="shared" si="69"/>
        <v/>
      </c>
      <c r="C1121" t="str">
        <f>IF(AND(TRIM(A1121)&lt;&gt;"",IFERROR(VLOOKUP(TRIM(B1121),Inventory!E:E,1,0),0)=0),"X","_")</f>
        <v>_</v>
      </c>
      <c r="D1121" t="str">
        <f>IF(AND(TRIM(A1121)&lt;&gt;"",IFERROR(VLOOKUP(TRIM(B1121),'Full Inventory'!F:F,1,0),0)=0),"X","_")</f>
        <v>_</v>
      </c>
      <c r="E1121" t="str">
        <f t="shared" si="72"/>
        <v>X</v>
      </c>
      <c r="F1121" t="str">
        <f ca="1">IFERROR(IF(AND(C1121&amp;D1121&amp;E1121="___",INDIRECT("Inventory!A"&amp;MATCH(VLOOKUP(B1121,Inventory!E:E,1,0),Inventory!E:E,0))&lt;&gt;INDIRECT("'Full Inventory'!B"&amp;MATCH(VLOOKUP(B1121,'Full Inventory'!F:F,1,0),'Full Inventory'!F:F,0))),"X","_"),"_")</f>
        <v>_</v>
      </c>
      <c r="L1121" t="str">
        <f t="shared" ca="1" si="70"/>
        <v>__X_</v>
      </c>
      <c r="M1121" t="str">
        <f t="shared" ca="1" si="71"/>
        <v/>
      </c>
    </row>
    <row r="1122" spans="1:13" x14ac:dyDescent="0.25">
      <c r="A1122" s="5"/>
      <c r="B1122" s="4" t="str">
        <f t="shared" si="69"/>
        <v/>
      </c>
      <c r="C1122" t="str">
        <f>IF(AND(TRIM(A1122)&lt;&gt;"",IFERROR(VLOOKUP(TRIM(B1122),Inventory!E:E,1,0),0)=0),"X","_")</f>
        <v>_</v>
      </c>
      <c r="D1122" t="str">
        <f>IF(AND(TRIM(A1122)&lt;&gt;"",IFERROR(VLOOKUP(TRIM(B1122),'Full Inventory'!F:F,1,0),0)=0),"X","_")</f>
        <v>_</v>
      </c>
      <c r="E1122" t="str">
        <f t="shared" si="72"/>
        <v>X</v>
      </c>
      <c r="F1122" t="str">
        <f ca="1">IFERROR(IF(AND(C1122&amp;D1122&amp;E1122="___",INDIRECT("Inventory!A"&amp;MATCH(VLOOKUP(B1122,Inventory!E:E,1,0),Inventory!E:E,0))&lt;&gt;INDIRECT("'Full Inventory'!B"&amp;MATCH(VLOOKUP(B1122,'Full Inventory'!F:F,1,0),'Full Inventory'!F:F,0))),"X","_"),"_")</f>
        <v>_</v>
      </c>
      <c r="L1122" t="str">
        <f t="shared" ca="1" si="70"/>
        <v>__X_</v>
      </c>
      <c r="M1122" t="str">
        <f t="shared" ca="1" si="71"/>
        <v/>
      </c>
    </row>
    <row r="1123" spans="1:13" x14ac:dyDescent="0.25">
      <c r="A1123" s="5"/>
      <c r="B1123" s="4" t="str">
        <f t="shared" si="69"/>
        <v/>
      </c>
      <c r="C1123" t="str">
        <f>IF(AND(TRIM(A1123)&lt;&gt;"",IFERROR(VLOOKUP(TRIM(B1123),Inventory!E:E,1,0),0)=0),"X","_")</f>
        <v>_</v>
      </c>
      <c r="D1123" t="str">
        <f>IF(AND(TRIM(A1123)&lt;&gt;"",IFERROR(VLOOKUP(TRIM(B1123),'Full Inventory'!F:F,1,0),0)=0),"X","_")</f>
        <v>_</v>
      </c>
      <c r="E1123" t="str">
        <f t="shared" si="72"/>
        <v>X</v>
      </c>
      <c r="F1123" t="str">
        <f ca="1">IFERROR(IF(AND(C1123&amp;D1123&amp;E1123="___",INDIRECT("Inventory!A"&amp;MATCH(VLOOKUP(B1123,Inventory!E:E,1,0),Inventory!E:E,0))&lt;&gt;INDIRECT("'Full Inventory'!B"&amp;MATCH(VLOOKUP(B1123,'Full Inventory'!F:F,1,0),'Full Inventory'!F:F,0))),"X","_"),"_")</f>
        <v>_</v>
      </c>
      <c r="L1123" t="str">
        <f t="shared" ca="1" si="70"/>
        <v>__X_</v>
      </c>
      <c r="M1123" t="str">
        <f t="shared" ca="1" si="71"/>
        <v/>
      </c>
    </row>
    <row r="1124" spans="1:13" x14ac:dyDescent="0.25">
      <c r="A1124" s="5"/>
      <c r="B1124" s="4" t="str">
        <f t="shared" si="69"/>
        <v/>
      </c>
      <c r="C1124" t="str">
        <f>IF(AND(TRIM(A1124)&lt;&gt;"",IFERROR(VLOOKUP(TRIM(B1124),Inventory!E:E,1,0),0)=0),"X","_")</f>
        <v>_</v>
      </c>
      <c r="D1124" t="str">
        <f>IF(AND(TRIM(A1124)&lt;&gt;"",IFERROR(VLOOKUP(TRIM(B1124),'Full Inventory'!F:F,1,0),0)=0),"X","_")</f>
        <v>_</v>
      </c>
      <c r="E1124" t="str">
        <f t="shared" si="72"/>
        <v>X</v>
      </c>
      <c r="F1124" t="str">
        <f ca="1">IFERROR(IF(AND(C1124&amp;D1124&amp;E1124="___",INDIRECT("Inventory!A"&amp;MATCH(VLOOKUP(B1124,Inventory!E:E,1,0),Inventory!E:E,0))&lt;&gt;INDIRECT("'Full Inventory'!B"&amp;MATCH(VLOOKUP(B1124,'Full Inventory'!F:F,1,0),'Full Inventory'!F:F,0))),"X","_"),"_")</f>
        <v>_</v>
      </c>
      <c r="L1124" t="str">
        <f t="shared" ca="1" si="70"/>
        <v>__X_</v>
      </c>
      <c r="M1124" t="str">
        <f t="shared" ca="1" si="71"/>
        <v/>
      </c>
    </row>
    <row r="1125" spans="1:13" x14ac:dyDescent="0.25">
      <c r="A1125" s="5"/>
      <c r="B1125" s="4" t="str">
        <f t="shared" si="69"/>
        <v/>
      </c>
      <c r="C1125" t="str">
        <f>IF(AND(TRIM(A1125)&lt;&gt;"",IFERROR(VLOOKUP(TRIM(B1125),Inventory!E:E,1,0),0)=0),"X","_")</f>
        <v>_</v>
      </c>
      <c r="D1125" t="str">
        <f>IF(AND(TRIM(A1125)&lt;&gt;"",IFERROR(VLOOKUP(TRIM(B1125),'Full Inventory'!F:F,1,0),0)=0),"X","_")</f>
        <v>_</v>
      </c>
      <c r="E1125" t="str">
        <f t="shared" si="72"/>
        <v>X</v>
      </c>
      <c r="F1125" t="str">
        <f ca="1">IFERROR(IF(AND(C1125&amp;D1125&amp;E1125="___",INDIRECT("Inventory!A"&amp;MATCH(VLOOKUP(B1125,Inventory!E:E,1,0),Inventory!E:E,0))&lt;&gt;INDIRECT("'Full Inventory'!B"&amp;MATCH(VLOOKUP(B1125,'Full Inventory'!F:F,1,0),'Full Inventory'!F:F,0))),"X","_"),"_")</f>
        <v>_</v>
      </c>
      <c r="L1125" t="str">
        <f t="shared" ca="1" si="70"/>
        <v>__X_</v>
      </c>
      <c r="M1125" t="str">
        <f t="shared" ca="1" si="71"/>
        <v/>
      </c>
    </row>
    <row r="1126" spans="1:13" x14ac:dyDescent="0.25">
      <c r="A1126" s="5"/>
      <c r="B1126" s="4" t="str">
        <f t="shared" si="69"/>
        <v/>
      </c>
      <c r="C1126" t="str">
        <f>IF(AND(TRIM(A1126)&lt;&gt;"",IFERROR(VLOOKUP(TRIM(B1126),Inventory!E:E,1,0),0)=0),"X","_")</f>
        <v>_</v>
      </c>
      <c r="D1126" t="str">
        <f>IF(AND(TRIM(A1126)&lt;&gt;"",IFERROR(VLOOKUP(TRIM(B1126),'Full Inventory'!F:F,1,0),0)=0),"X","_")</f>
        <v>_</v>
      </c>
      <c r="E1126" t="str">
        <f t="shared" si="72"/>
        <v>X</v>
      </c>
      <c r="F1126" t="str">
        <f ca="1">IFERROR(IF(AND(C1126&amp;D1126&amp;E1126="___",INDIRECT("Inventory!A"&amp;MATCH(VLOOKUP(B1126,Inventory!E:E,1,0),Inventory!E:E,0))&lt;&gt;INDIRECT("'Full Inventory'!B"&amp;MATCH(VLOOKUP(B1126,'Full Inventory'!F:F,1,0),'Full Inventory'!F:F,0))),"X","_"),"_")</f>
        <v>_</v>
      </c>
      <c r="L1126" t="str">
        <f t="shared" ca="1" si="70"/>
        <v>__X_</v>
      </c>
      <c r="M1126" t="str">
        <f t="shared" ca="1" si="71"/>
        <v/>
      </c>
    </row>
    <row r="1127" spans="1:13" x14ac:dyDescent="0.25">
      <c r="A1127" s="5"/>
      <c r="B1127" s="4" t="str">
        <f t="shared" si="69"/>
        <v/>
      </c>
      <c r="C1127" t="str">
        <f>IF(AND(TRIM(A1127)&lt;&gt;"",IFERROR(VLOOKUP(TRIM(B1127),Inventory!E:E,1,0),0)=0),"X","_")</f>
        <v>_</v>
      </c>
      <c r="D1127" t="str">
        <f>IF(AND(TRIM(A1127)&lt;&gt;"",IFERROR(VLOOKUP(TRIM(B1127),'Full Inventory'!F:F,1,0),0)=0),"X","_")</f>
        <v>_</v>
      </c>
      <c r="E1127" t="str">
        <f t="shared" si="72"/>
        <v>X</v>
      </c>
      <c r="F1127" t="str">
        <f ca="1">IFERROR(IF(AND(C1127&amp;D1127&amp;E1127="___",INDIRECT("Inventory!A"&amp;MATCH(VLOOKUP(B1127,Inventory!E:E,1,0),Inventory!E:E,0))&lt;&gt;INDIRECT("'Full Inventory'!B"&amp;MATCH(VLOOKUP(B1127,'Full Inventory'!F:F,1,0),'Full Inventory'!F:F,0))),"X","_"),"_")</f>
        <v>_</v>
      </c>
      <c r="L1127" t="str">
        <f t="shared" ca="1" si="70"/>
        <v>__X_</v>
      </c>
      <c r="M1127" t="str">
        <f t="shared" ca="1" si="71"/>
        <v/>
      </c>
    </row>
    <row r="1128" spans="1:13" x14ac:dyDescent="0.25">
      <c r="A1128" s="5"/>
      <c r="B1128" s="4" t="str">
        <f t="shared" si="69"/>
        <v/>
      </c>
      <c r="C1128" t="str">
        <f>IF(AND(TRIM(A1128)&lt;&gt;"",IFERROR(VLOOKUP(TRIM(B1128),Inventory!E:E,1,0),0)=0),"X","_")</f>
        <v>_</v>
      </c>
      <c r="D1128" t="str">
        <f>IF(AND(TRIM(A1128)&lt;&gt;"",IFERROR(VLOOKUP(TRIM(B1128),'Full Inventory'!F:F,1,0),0)=0),"X","_")</f>
        <v>_</v>
      </c>
      <c r="E1128" t="str">
        <f t="shared" si="72"/>
        <v>X</v>
      </c>
      <c r="F1128" t="str">
        <f ca="1">IFERROR(IF(AND(C1128&amp;D1128&amp;E1128="___",INDIRECT("Inventory!A"&amp;MATCH(VLOOKUP(B1128,Inventory!E:E,1,0),Inventory!E:E,0))&lt;&gt;INDIRECT("'Full Inventory'!B"&amp;MATCH(VLOOKUP(B1128,'Full Inventory'!F:F,1,0),'Full Inventory'!F:F,0))),"X","_"),"_")</f>
        <v>_</v>
      </c>
      <c r="L1128" t="str">
        <f t="shared" ca="1" si="70"/>
        <v>__X_</v>
      </c>
      <c r="M1128" t="str">
        <f t="shared" ca="1" si="71"/>
        <v/>
      </c>
    </row>
    <row r="1129" spans="1:13" x14ac:dyDescent="0.25">
      <c r="A1129" s="5"/>
      <c r="B1129" s="4" t="str">
        <f t="shared" si="69"/>
        <v/>
      </c>
      <c r="C1129" t="str">
        <f>IF(AND(TRIM(A1129)&lt;&gt;"",IFERROR(VLOOKUP(TRIM(B1129),Inventory!E:E,1,0),0)=0),"X","_")</f>
        <v>_</v>
      </c>
      <c r="D1129" t="str">
        <f>IF(AND(TRIM(A1129)&lt;&gt;"",IFERROR(VLOOKUP(TRIM(B1129),'Full Inventory'!F:F,1,0),0)=0),"X","_")</f>
        <v>_</v>
      </c>
      <c r="E1129" t="str">
        <f t="shared" si="72"/>
        <v>X</v>
      </c>
      <c r="F1129" t="str">
        <f ca="1">IFERROR(IF(AND(C1129&amp;D1129&amp;E1129="___",INDIRECT("Inventory!A"&amp;MATCH(VLOOKUP(B1129,Inventory!E:E,1,0),Inventory!E:E,0))&lt;&gt;INDIRECT("'Full Inventory'!B"&amp;MATCH(VLOOKUP(B1129,'Full Inventory'!F:F,1,0),'Full Inventory'!F:F,0))),"X","_"),"_")</f>
        <v>_</v>
      </c>
      <c r="L1129" t="str">
        <f t="shared" ca="1" si="70"/>
        <v>__X_</v>
      </c>
      <c r="M1129" t="str">
        <f t="shared" ca="1" si="71"/>
        <v/>
      </c>
    </row>
    <row r="1130" spans="1:13" x14ac:dyDescent="0.25">
      <c r="A1130" s="5"/>
      <c r="B1130" s="4" t="str">
        <f t="shared" si="69"/>
        <v/>
      </c>
      <c r="C1130" t="str">
        <f>IF(AND(TRIM(A1130)&lt;&gt;"",IFERROR(VLOOKUP(TRIM(B1130),Inventory!E:E,1,0),0)=0),"X","_")</f>
        <v>_</v>
      </c>
      <c r="D1130" t="str">
        <f>IF(AND(TRIM(A1130)&lt;&gt;"",IFERROR(VLOOKUP(TRIM(B1130),'Full Inventory'!F:F,1,0),0)=0),"X","_")</f>
        <v>_</v>
      </c>
      <c r="E1130" t="str">
        <f t="shared" si="72"/>
        <v>X</v>
      </c>
      <c r="F1130" t="str">
        <f ca="1">IFERROR(IF(AND(C1130&amp;D1130&amp;E1130="___",INDIRECT("Inventory!A"&amp;MATCH(VLOOKUP(B1130,Inventory!E:E,1,0),Inventory!E:E,0))&lt;&gt;INDIRECT("'Full Inventory'!B"&amp;MATCH(VLOOKUP(B1130,'Full Inventory'!F:F,1,0),'Full Inventory'!F:F,0))),"X","_"),"_")</f>
        <v>_</v>
      </c>
      <c r="L1130" t="str">
        <f t="shared" ca="1" si="70"/>
        <v>__X_</v>
      </c>
      <c r="M1130" t="str">
        <f t="shared" ca="1" si="71"/>
        <v/>
      </c>
    </row>
    <row r="1131" spans="1:13" x14ac:dyDescent="0.25">
      <c r="A1131" s="5"/>
      <c r="B1131" s="4" t="str">
        <f t="shared" si="69"/>
        <v/>
      </c>
      <c r="C1131" t="str">
        <f>IF(AND(TRIM(A1131)&lt;&gt;"",IFERROR(VLOOKUP(TRIM(B1131),Inventory!E:E,1,0),0)=0),"X","_")</f>
        <v>_</v>
      </c>
      <c r="D1131" t="str">
        <f>IF(AND(TRIM(A1131)&lt;&gt;"",IFERROR(VLOOKUP(TRIM(B1131),'Full Inventory'!F:F,1,0),0)=0),"X","_")</f>
        <v>_</v>
      </c>
      <c r="E1131" t="str">
        <f t="shared" si="72"/>
        <v>X</v>
      </c>
      <c r="F1131" t="str">
        <f ca="1">IFERROR(IF(AND(C1131&amp;D1131&amp;E1131="___",INDIRECT("Inventory!A"&amp;MATCH(VLOOKUP(B1131,Inventory!E:E,1,0),Inventory!E:E,0))&lt;&gt;INDIRECT("'Full Inventory'!B"&amp;MATCH(VLOOKUP(B1131,'Full Inventory'!F:F,1,0),'Full Inventory'!F:F,0))),"X","_"),"_")</f>
        <v>_</v>
      </c>
      <c r="L1131" t="str">
        <f t="shared" ca="1" si="70"/>
        <v>__X_</v>
      </c>
      <c r="M1131" t="str">
        <f t="shared" ca="1" si="71"/>
        <v/>
      </c>
    </row>
    <row r="1132" spans="1:13" x14ac:dyDescent="0.25">
      <c r="A1132" s="5"/>
      <c r="B1132" s="4" t="str">
        <f t="shared" si="69"/>
        <v/>
      </c>
      <c r="C1132" t="str">
        <f>IF(AND(TRIM(A1132)&lt;&gt;"",IFERROR(VLOOKUP(TRIM(B1132),Inventory!E:E,1,0),0)=0),"X","_")</f>
        <v>_</v>
      </c>
      <c r="D1132" t="str">
        <f>IF(AND(TRIM(A1132)&lt;&gt;"",IFERROR(VLOOKUP(TRIM(B1132),'Full Inventory'!F:F,1,0),0)=0),"X","_")</f>
        <v>_</v>
      </c>
      <c r="E1132" t="str">
        <f t="shared" si="72"/>
        <v>X</v>
      </c>
      <c r="F1132" t="str">
        <f ca="1">IFERROR(IF(AND(C1132&amp;D1132&amp;E1132="___",INDIRECT("Inventory!A"&amp;MATCH(VLOOKUP(B1132,Inventory!E:E,1,0),Inventory!E:E,0))&lt;&gt;INDIRECT("'Full Inventory'!B"&amp;MATCH(VLOOKUP(B1132,'Full Inventory'!F:F,1,0),'Full Inventory'!F:F,0))),"X","_"),"_")</f>
        <v>_</v>
      </c>
      <c r="L1132" t="str">
        <f t="shared" ca="1" si="70"/>
        <v>__X_</v>
      </c>
      <c r="M1132" t="str">
        <f t="shared" ca="1" si="71"/>
        <v/>
      </c>
    </row>
    <row r="1133" spans="1:13" x14ac:dyDescent="0.25">
      <c r="A1133" s="5"/>
      <c r="B1133" s="4" t="str">
        <f t="shared" si="69"/>
        <v/>
      </c>
      <c r="C1133" t="str">
        <f>IF(AND(TRIM(A1133)&lt;&gt;"",IFERROR(VLOOKUP(TRIM(B1133),Inventory!E:E,1,0),0)=0),"X","_")</f>
        <v>_</v>
      </c>
      <c r="D1133" t="str">
        <f>IF(AND(TRIM(A1133)&lt;&gt;"",IFERROR(VLOOKUP(TRIM(B1133),'Full Inventory'!F:F,1,0),0)=0),"X","_")</f>
        <v>_</v>
      </c>
      <c r="E1133" t="str">
        <f t="shared" si="72"/>
        <v>X</v>
      </c>
      <c r="F1133" t="str">
        <f ca="1">IFERROR(IF(AND(C1133&amp;D1133&amp;E1133="___",INDIRECT("Inventory!A"&amp;MATCH(VLOOKUP(B1133,Inventory!E:E,1,0),Inventory!E:E,0))&lt;&gt;INDIRECT("'Full Inventory'!B"&amp;MATCH(VLOOKUP(B1133,'Full Inventory'!F:F,1,0),'Full Inventory'!F:F,0))),"X","_"),"_")</f>
        <v>_</v>
      </c>
      <c r="L1133" t="str">
        <f t="shared" ca="1" si="70"/>
        <v>__X_</v>
      </c>
      <c r="M1133" t="str">
        <f t="shared" ca="1" si="71"/>
        <v/>
      </c>
    </row>
    <row r="1134" spans="1:13" x14ac:dyDescent="0.25">
      <c r="A1134" s="5"/>
      <c r="B1134" s="4" t="str">
        <f t="shared" si="69"/>
        <v/>
      </c>
      <c r="C1134" t="str">
        <f>IF(AND(TRIM(A1134)&lt;&gt;"",IFERROR(VLOOKUP(TRIM(B1134),Inventory!E:E,1,0),0)=0),"X","_")</f>
        <v>_</v>
      </c>
      <c r="D1134" t="str">
        <f>IF(AND(TRIM(A1134)&lt;&gt;"",IFERROR(VLOOKUP(TRIM(B1134),'Full Inventory'!F:F,1,0),0)=0),"X","_")</f>
        <v>_</v>
      </c>
      <c r="E1134" t="str">
        <f t="shared" si="72"/>
        <v>X</v>
      </c>
      <c r="F1134" t="str">
        <f ca="1">IFERROR(IF(AND(C1134&amp;D1134&amp;E1134="___",INDIRECT("Inventory!A"&amp;MATCH(VLOOKUP(B1134,Inventory!E:E,1,0),Inventory!E:E,0))&lt;&gt;INDIRECT("'Full Inventory'!B"&amp;MATCH(VLOOKUP(B1134,'Full Inventory'!F:F,1,0),'Full Inventory'!F:F,0))),"X","_"),"_")</f>
        <v>_</v>
      </c>
      <c r="L1134" t="str">
        <f t="shared" ca="1" si="70"/>
        <v>__X_</v>
      </c>
      <c r="M1134" t="str">
        <f t="shared" ca="1" si="71"/>
        <v/>
      </c>
    </row>
    <row r="1135" spans="1:13" x14ac:dyDescent="0.25">
      <c r="A1135" s="5"/>
      <c r="B1135" s="4" t="str">
        <f t="shared" si="69"/>
        <v/>
      </c>
      <c r="C1135" t="str">
        <f>IF(AND(TRIM(A1135)&lt;&gt;"",IFERROR(VLOOKUP(TRIM(B1135),Inventory!E:E,1,0),0)=0),"X","_")</f>
        <v>_</v>
      </c>
      <c r="D1135" t="str">
        <f>IF(AND(TRIM(A1135)&lt;&gt;"",IFERROR(VLOOKUP(TRIM(B1135),'Full Inventory'!F:F,1,0),0)=0),"X","_")</f>
        <v>_</v>
      </c>
      <c r="E1135" t="str">
        <f t="shared" si="72"/>
        <v>X</v>
      </c>
      <c r="F1135" t="str">
        <f ca="1">IFERROR(IF(AND(C1135&amp;D1135&amp;E1135="___",INDIRECT("Inventory!A"&amp;MATCH(VLOOKUP(B1135,Inventory!E:E,1,0),Inventory!E:E,0))&lt;&gt;INDIRECT("'Full Inventory'!B"&amp;MATCH(VLOOKUP(B1135,'Full Inventory'!F:F,1,0),'Full Inventory'!F:F,0))),"X","_"),"_")</f>
        <v>_</v>
      </c>
      <c r="L1135" t="str">
        <f t="shared" ca="1" si="70"/>
        <v>__X_</v>
      </c>
      <c r="M1135" t="str">
        <f t="shared" ca="1" si="71"/>
        <v/>
      </c>
    </row>
    <row r="1136" spans="1:13" x14ac:dyDescent="0.25">
      <c r="A1136" s="5"/>
      <c r="B1136" s="4" t="str">
        <f t="shared" si="69"/>
        <v/>
      </c>
      <c r="C1136" t="str">
        <f>IF(AND(TRIM(A1136)&lt;&gt;"",IFERROR(VLOOKUP(TRIM(B1136),Inventory!E:E,1,0),0)=0),"X","_")</f>
        <v>_</v>
      </c>
      <c r="D1136" t="str">
        <f>IF(AND(TRIM(A1136)&lt;&gt;"",IFERROR(VLOOKUP(TRIM(B1136),'Full Inventory'!F:F,1,0),0)=0),"X","_")</f>
        <v>_</v>
      </c>
      <c r="E1136" t="str">
        <f t="shared" si="72"/>
        <v>X</v>
      </c>
      <c r="F1136" t="str">
        <f ca="1">IFERROR(IF(AND(C1136&amp;D1136&amp;E1136="___",INDIRECT("Inventory!A"&amp;MATCH(VLOOKUP(B1136,Inventory!E:E,1,0),Inventory!E:E,0))&lt;&gt;INDIRECT("'Full Inventory'!B"&amp;MATCH(VLOOKUP(B1136,'Full Inventory'!F:F,1,0),'Full Inventory'!F:F,0))),"X","_"),"_")</f>
        <v>_</v>
      </c>
      <c r="L1136" t="str">
        <f t="shared" ca="1" si="70"/>
        <v>__X_</v>
      </c>
      <c r="M1136" t="str">
        <f t="shared" ca="1" si="71"/>
        <v/>
      </c>
    </row>
    <row r="1137" spans="1:13" x14ac:dyDescent="0.25">
      <c r="A1137" s="5"/>
      <c r="B1137" s="4" t="str">
        <f t="shared" si="69"/>
        <v/>
      </c>
      <c r="C1137" t="str">
        <f>IF(AND(TRIM(A1137)&lt;&gt;"",IFERROR(VLOOKUP(TRIM(B1137),Inventory!E:E,1,0),0)=0),"X","_")</f>
        <v>_</v>
      </c>
      <c r="D1137" t="str">
        <f>IF(AND(TRIM(A1137)&lt;&gt;"",IFERROR(VLOOKUP(TRIM(B1137),'Full Inventory'!F:F,1,0),0)=0),"X","_")</f>
        <v>_</v>
      </c>
      <c r="E1137" t="str">
        <f t="shared" si="72"/>
        <v>X</v>
      </c>
      <c r="F1137" t="str">
        <f ca="1">IFERROR(IF(AND(C1137&amp;D1137&amp;E1137="___",INDIRECT("Inventory!A"&amp;MATCH(VLOOKUP(B1137,Inventory!E:E,1,0),Inventory!E:E,0))&lt;&gt;INDIRECT("'Full Inventory'!B"&amp;MATCH(VLOOKUP(B1137,'Full Inventory'!F:F,1,0),'Full Inventory'!F:F,0))),"X","_"),"_")</f>
        <v>_</v>
      </c>
      <c r="L1137" t="str">
        <f t="shared" ca="1" si="70"/>
        <v>__X_</v>
      </c>
      <c r="M1137" t="str">
        <f t="shared" ca="1" si="71"/>
        <v/>
      </c>
    </row>
    <row r="1138" spans="1:13" x14ac:dyDescent="0.25">
      <c r="A1138" s="5"/>
      <c r="B1138" s="4" t="str">
        <f t="shared" si="69"/>
        <v/>
      </c>
      <c r="C1138" t="str">
        <f>IF(AND(TRIM(A1138)&lt;&gt;"",IFERROR(VLOOKUP(TRIM(B1138),Inventory!E:E,1,0),0)=0),"X","_")</f>
        <v>_</v>
      </c>
      <c r="D1138" t="str">
        <f>IF(AND(TRIM(A1138)&lt;&gt;"",IFERROR(VLOOKUP(TRIM(B1138),'Full Inventory'!F:F,1,0),0)=0),"X","_")</f>
        <v>_</v>
      </c>
      <c r="E1138" t="str">
        <f t="shared" si="72"/>
        <v>X</v>
      </c>
      <c r="F1138" t="str">
        <f ca="1">IFERROR(IF(AND(C1138&amp;D1138&amp;E1138="___",INDIRECT("Inventory!A"&amp;MATCH(VLOOKUP(B1138,Inventory!E:E,1,0),Inventory!E:E,0))&lt;&gt;INDIRECT("'Full Inventory'!B"&amp;MATCH(VLOOKUP(B1138,'Full Inventory'!F:F,1,0),'Full Inventory'!F:F,0))),"X","_"),"_")</f>
        <v>_</v>
      </c>
      <c r="L1138" t="str">
        <f t="shared" ca="1" si="70"/>
        <v>__X_</v>
      </c>
      <c r="M1138" t="str">
        <f t="shared" ca="1" si="71"/>
        <v/>
      </c>
    </row>
    <row r="1139" spans="1:13" x14ac:dyDescent="0.25">
      <c r="A1139" s="5"/>
      <c r="B1139" s="4" t="str">
        <f t="shared" si="69"/>
        <v/>
      </c>
      <c r="C1139" t="str">
        <f>IF(AND(TRIM(A1139)&lt;&gt;"",IFERROR(VLOOKUP(TRIM(B1139),Inventory!E:E,1,0),0)=0),"X","_")</f>
        <v>_</v>
      </c>
      <c r="D1139" t="str">
        <f>IF(AND(TRIM(A1139)&lt;&gt;"",IFERROR(VLOOKUP(TRIM(B1139),'Full Inventory'!F:F,1,0),0)=0),"X","_")</f>
        <v>_</v>
      </c>
      <c r="E1139" t="str">
        <f t="shared" si="72"/>
        <v>X</v>
      </c>
      <c r="F1139" t="str">
        <f ca="1">IFERROR(IF(AND(C1139&amp;D1139&amp;E1139="___",INDIRECT("Inventory!A"&amp;MATCH(VLOOKUP(B1139,Inventory!E:E,1,0),Inventory!E:E,0))&lt;&gt;INDIRECT("'Full Inventory'!B"&amp;MATCH(VLOOKUP(B1139,'Full Inventory'!F:F,1,0),'Full Inventory'!F:F,0))),"X","_"),"_")</f>
        <v>_</v>
      </c>
      <c r="L1139" t="str">
        <f t="shared" ca="1" si="70"/>
        <v>__X_</v>
      </c>
      <c r="M1139" t="str">
        <f t="shared" ca="1" si="71"/>
        <v/>
      </c>
    </row>
    <row r="1140" spans="1:13" x14ac:dyDescent="0.25">
      <c r="A1140" s="5"/>
      <c r="B1140" s="4" t="str">
        <f t="shared" si="69"/>
        <v/>
      </c>
      <c r="C1140" t="str">
        <f>IF(AND(TRIM(A1140)&lt;&gt;"",IFERROR(VLOOKUP(TRIM(B1140),Inventory!E:E,1,0),0)=0),"X","_")</f>
        <v>_</v>
      </c>
      <c r="D1140" t="str">
        <f>IF(AND(TRIM(A1140)&lt;&gt;"",IFERROR(VLOOKUP(TRIM(B1140),'Full Inventory'!F:F,1,0),0)=0),"X","_")</f>
        <v>_</v>
      </c>
      <c r="E1140" t="str">
        <f t="shared" si="72"/>
        <v>X</v>
      </c>
      <c r="F1140" t="str">
        <f ca="1">IFERROR(IF(AND(C1140&amp;D1140&amp;E1140="___",INDIRECT("Inventory!A"&amp;MATCH(VLOOKUP(B1140,Inventory!E:E,1,0),Inventory!E:E,0))&lt;&gt;INDIRECT("'Full Inventory'!B"&amp;MATCH(VLOOKUP(B1140,'Full Inventory'!F:F,1,0),'Full Inventory'!F:F,0))),"X","_"),"_")</f>
        <v>_</v>
      </c>
      <c r="L1140" t="str">
        <f t="shared" ca="1" si="70"/>
        <v>__X_</v>
      </c>
      <c r="M1140" t="str">
        <f t="shared" ca="1" si="71"/>
        <v/>
      </c>
    </row>
    <row r="1141" spans="1:13" x14ac:dyDescent="0.25">
      <c r="A1141" s="5"/>
      <c r="B1141" s="4" t="str">
        <f t="shared" si="69"/>
        <v/>
      </c>
      <c r="C1141" t="str">
        <f>IF(AND(TRIM(A1141)&lt;&gt;"",IFERROR(VLOOKUP(TRIM(B1141),Inventory!E:E,1,0),0)=0),"X","_")</f>
        <v>_</v>
      </c>
      <c r="D1141" t="str">
        <f>IF(AND(TRIM(A1141)&lt;&gt;"",IFERROR(VLOOKUP(TRIM(B1141),'Full Inventory'!F:F,1,0),0)=0),"X","_")</f>
        <v>_</v>
      </c>
      <c r="E1141" t="str">
        <f t="shared" si="72"/>
        <v>X</v>
      </c>
      <c r="F1141" t="str">
        <f ca="1">IFERROR(IF(AND(C1141&amp;D1141&amp;E1141="___",INDIRECT("Inventory!A"&amp;MATCH(VLOOKUP(B1141,Inventory!E:E,1,0),Inventory!E:E,0))&lt;&gt;INDIRECT("'Full Inventory'!B"&amp;MATCH(VLOOKUP(B1141,'Full Inventory'!F:F,1,0),'Full Inventory'!F:F,0))),"X","_"),"_")</f>
        <v>_</v>
      </c>
      <c r="L1141" t="str">
        <f t="shared" ca="1" si="70"/>
        <v>__X_</v>
      </c>
      <c r="M1141" t="str">
        <f t="shared" ca="1" si="71"/>
        <v/>
      </c>
    </row>
    <row r="1142" spans="1:13" x14ac:dyDescent="0.25">
      <c r="A1142" s="5"/>
      <c r="B1142" s="4" t="str">
        <f t="shared" si="69"/>
        <v/>
      </c>
      <c r="C1142" t="str">
        <f>IF(AND(TRIM(A1142)&lt;&gt;"",IFERROR(VLOOKUP(TRIM(B1142),Inventory!E:E,1,0),0)=0),"X","_")</f>
        <v>_</v>
      </c>
      <c r="D1142" t="str">
        <f>IF(AND(TRIM(A1142)&lt;&gt;"",IFERROR(VLOOKUP(TRIM(B1142),'Full Inventory'!F:F,1,0),0)=0),"X","_")</f>
        <v>_</v>
      </c>
      <c r="E1142" t="str">
        <f t="shared" si="72"/>
        <v>X</v>
      </c>
      <c r="F1142" t="str">
        <f ca="1">IFERROR(IF(AND(C1142&amp;D1142&amp;E1142="___",INDIRECT("Inventory!A"&amp;MATCH(VLOOKUP(B1142,Inventory!E:E,1,0),Inventory!E:E,0))&lt;&gt;INDIRECT("'Full Inventory'!B"&amp;MATCH(VLOOKUP(B1142,'Full Inventory'!F:F,1,0),'Full Inventory'!F:F,0))),"X","_"),"_")</f>
        <v>_</v>
      </c>
      <c r="L1142" t="str">
        <f t="shared" ca="1" si="70"/>
        <v>__X_</v>
      </c>
      <c r="M1142" t="str">
        <f t="shared" ca="1" si="71"/>
        <v/>
      </c>
    </row>
    <row r="1143" spans="1:13" x14ac:dyDescent="0.25">
      <c r="A1143" s="5"/>
      <c r="B1143" s="4" t="str">
        <f t="shared" si="69"/>
        <v/>
      </c>
      <c r="C1143" t="str">
        <f>IF(AND(TRIM(A1143)&lt;&gt;"",IFERROR(VLOOKUP(TRIM(B1143),Inventory!E:E,1,0),0)=0),"X","_")</f>
        <v>_</v>
      </c>
      <c r="D1143" t="str">
        <f>IF(AND(TRIM(A1143)&lt;&gt;"",IFERROR(VLOOKUP(TRIM(B1143),'Full Inventory'!F:F,1,0),0)=0),"X","_")</f>
        <v>_</v>
      </c>
      <c r="E1143" t="str">
        <f t="shared" si="72"/>
        <v>X</v>
      </c>
      <c r="F1143" t="str">
        <f ca="1">IFERROR(IF(AND(C1143&amp;D1143&amp;E1143="___",INDIRECT("Inventory!A"&amp;MATCH(VLOOKUP(B1143,Inventory!E:E,1,0),Inventory!E:E,0))&lt;&gt;INDIRECT("'Full Inventory'!B"&amp;MATCH(VLOOKUP(B1143,'Full Inventory'!F:F,1,0),'Full Inventory'!F:F,0))),"X","_"),"_")</f>
        <v>_</v>
      </c>
      <c r="L1143" t="str">
        <f t="shared" ca="1" si="70"/>
        <v>__X_</v>
      </c>
      <c r="M1143" t="str">
        <f t="shared" ca="1" si="71"/>
        <v/>
      </c>
    </row>
    <row r="1144" spans="1:13" x14ac:dyDescent="0.25">
      <c r="A1144" s="5"/>
      <c r="B1144" s="4" t="str">
        <f t="shared" si="69"/>
        <v/>
      </c>
      <c r="C1144" t="str">
        <f>IF(AND(TRIM(A1144)&lt;&gt;"",IFERROR(VLOOKUP(TRIM(B1144),Inventory!E:E,1,0),0)=0),"X","_")</f>
        <v>_</v>
      </c>
      <c r="D1144" t="str">
        <f>IF(AND(TRIM(A1144)&lt;&gt;"",IFERROR(VLOOKUP(TRIM(B1144),'Full Inventory'!F:F,1,0),0)=0),"X","_")</f>
        <v>_</v>
      </c>
      <c r="E1144" t="str">
        <f t="shared" si="72"/>
        <v>X</v>
      </c>
      <c r="F1144" t="str">
        <f ca="1">IFERROR(IF(AND(C1144&amp;D1144&amp;E1144="___",INDIRECT("Inventory!A"&amp;MATCH(VLOOKUP(B1144,Inventory!E:E,1,0),Inventory!E:E,0))&lt;&gt;INDIRECT("'Full Inventory'!B"&amp;MATCH(VLOOKUP(B1144,'Full Inventory'!F:F,1,0),'Full Inventory'!F:F,0))),"X","_"),"_")</f>
        <v>_</v>
      </c>
      <c r="L1144" t="str">
        <f t="shared" ca="1" si="70"/>
        <v>__X_</v>
      </c>
      <c r="M1144" t="str">
        <f t="shared" ca="1" si="71"/>
        <v/>
      </c>
    </row>
    <row r="1145" spans="1:13" x14ac:dyDescent="0.25">
      <c r="A1145" s="5"/>
      <c r="B1145" s="4" t="str">
        <f t="shared" si="69"/>
        <v/>
      </c>
      <c r="C1145" t="str">
        <f>IF(AND(TRIM(A1145)&lt;&gt;"",IFERROR(VLOOKUP(TRIM(B1145),Inventory!E:E,1,0),0)=0),"X","_")</f>
        <v>_</v>
      </c>
      <c r="D1145" t="str">
        <f>IF(AND(TRIM(A1145)&lt;&gt;"",IFERROR(VLOOKUP(TRIM(B1145),'Full Inventory'!F:F,1,0),0)=0),"X","_")</f>
        <v>_</v>
      </c>
      <c r="E1145" t="str">
        <f t="shared" si="72"/>
        <v>X</v>
      </c>
      <c r="F1145" t="str">
        <f ca="1">IFERROR(IF(AND(C1145&amp;D1145&amp;E1145="___",INDIRECT("Inventory!A"&amp;MATCH(VLOOKUP(B1145,Inventory!E:E,1,0),Inventory!E:E,0))&lt;&gt;INDIRECT("'Full Inventory'!B"&amp;MATCH(VLOOKUP(B1145,'Full Inventory'!F:F,1,0),'Full Inventory'!F:F,0))),"X","_"),"_")</f>
        <v>_</v>
      </c>
      <c r="L1145" t="str">
        <f t="shared" ca="1" si="70"/>
        <v>__X_</v>
      </c>
      <c r="M1145" t="str">
        <f t="shared" ca="1" si="71"/>
        <v/>
      </c>
    </row>
    <row r="1146" spans="1:13" x14ac:dyDescent="0.25">
      <c r="A1146" s="5"/>
      <c r="B1146" s="4" t="str">
        <f t="shared" si="69"/>
        <v/>
      </c>
      <c r="C1146" t="str">
        <f>IF(AND(TRIM(A1146)&lt;&gt;"",IFERROR(VLOOKUP(TRIM(B1146),Inventory!E:E,1,0),0)=0),"X","_")</f>
        <v>_</v>
      </c>
      <c r="D1146" t="str">
        <f>IF(AND(TRIM(A1146)&lt;&gt;"",IFERROR(VLOOKUP(TRIM(B1146),'Full Inventory'!F:F,1,0),0)=0),"X","_")</f>
        <v>_</v>
      </c>
      <c r="E1146" t="str">
        <f t="shared" si="72"/>
        <v>X</v>
      </c>
      <c r="F1146" t="str">
        <f ca="1">IFERROR(IF(AND(C1146&amp;D1146&amp;E1146="___",INDIRECT("Inventory!A"&amp;MATCH(VLOOKUP(B1146,Inventory!E:E,1,0),Inventory!E:E,0))&lt;&gt;INDIRECT("'Full Inventory'!B"&amp;MATCH(VLOOKUP(B1146,'Full Inventory'!F:F,1,0),'Full Inventory'!F:F,0))),"X","_"),"_")</f>
        <v>_</v>
      </c>
      <c r="L1146" t="str">
        <f t="shared" ca="1" si="70"/>
        <v>__X_</v>
      </c>
      <c r="M1146" t="str">
        <f t="shared" ca="1" si="71"/>
        <v/>
      </c>
    </row>
    <row r="1147" spans="1:13" x14ac:dyDescent="0.25">
      <c r="A1147" s="5"/>
      <c r="B1147" s="4" t="str">
        <f t="shared" si="69"/>
        <v/>
      </c>
      <c r="C1147" t="str">
        <f>IF(AND(TRIM(A1147)&lt;&gt;"",IFERROR(VLOOKUP(TRIM(B1147),Inventory!E:E,1,0),0)=0),"X","_")</f>
        <v>_</v>
      </c>
      <c r="D1147" t="str">
        <f>IF(AND(TRIM(A1147)&lt;&gt;"",IFERROR(VLOOKUP(TRIM(B1147),'Full Inventory'!F:F,1,0),0)=0),"X","_")</f>
        <v>_</v>
      </c>
      <c r="E1147" t="str">
        <f t="shared" si="72"/>
        <v>X</v>
      </c>
      <c r="F1147" t="str">
        <f ca="1">IFERROR(IF(AND(C1147&amp;D1147&amp;E1147="___",INDIRECT("Inventory!A"&amp;MATCH(VLOOKUP(B1147,Inventory!E:E,1,0),Inventory!E:E,0))&lt;&gt;INDIRECT("'Full Inventory'!B"&amp;MATCH(VLOOKUP(B1147,'Full Inventory'!F:F,1,0),'Full Inventory'!F:F,0))),"X","_"),"_")</f>
        <v>_</v>
      </c>
      <c r="L1147" t="str">
        <f t="shared" ca="1" si="70"/>
        <v>__X_</v>
      </c>
      <c r="M1147" t="str">
        <f t="shared" ca="1" si="71"/>
        <v/>
      </c>
    </row>
    <row r="1148" spans="1:13" x14ac:dyDescent="0.25">
      <c r="A1148" s="5"/>
      <c r="B1148" s="4" t="str">
        <f t="shared" si="69"/>
        <v/>
      </c>
      <c r="C1148" t="str">
        <f>IF(AND(TRIM(A1148)&lt;&gt;"",IFERROR(VLOOKUP(TRIM(B1148),Inventory!E:E,1,0),0)=0),"X","_")</f>
        <v>_</v>
      </c>
      <c r="D1148" t="str">
        <f>IF(AND(TRIM(A1148)&lt;&gt;"",IFERROR(VLOOKUP(TRIM(B1148),'Full Inventory'!F:F,1,0),0)=0),"X","_")</f>
        <v>_</v>
      </c>
      <c r="E1148" t="str">
        <f t="shared" si="72"/>
        <v>X</v>
      </c>
      <c r="F1148" t="str">
        <f ca="1">IFERROR(IF(AND(C1148&amp;D1148&amp;E1148="___",INDIRECT("Inventory!A"&amp;MATCH(VLOOKUP(B1148,Inventory!E:E,1,0),Inventory!E:E,0))&lt;&gt;INDIRECT("'Full Inventory'!B"&amp;MATCH(VLOOKUP(B1148,'Full Inventory'!F:F,1,0),'Full Inventory'!F:F,0))),"X","_"),"_")</f>
        <v>_</v>
      </c>
      <c r="L1148" t="str">
        <f t="shared" ca="1" si="70"/>
        <v>__X_</v>
      </c>
      <c r="M1148" t="str">
        <f t="shared" ca="1" si="71"/>
        <v/>
      </c>
    </row>
    <row r="1149" spans="1:13" x14ac:dyDescent="0.25">
      <c r="A1149" s="5"/>
      <c r="B1149" s="4" t="str">
        <f t="shared" si="69"/>
        <v/>
      </c>
      <c r="C1149" t="str">
        <f>IF(AND(TRIM(A1149)&lt;&gt;"",IFERROR(VLOOKUP(TRIM(B1149),Inventory!E:E,1,0),0)=0),"X","_")</f>
        <v>_</v>
      </c>
      <c r="D1149" t="str">
        <f>IF(AND(TRIM(A1149)&lt;&gt;"",IFERROR(VLOOKUP(TRIM(B1149),'Full Inventory'!F:F,1,0),0)=0),"X","_")</f>
        <v>_</v>
      </c>
      <c r="E1149" t="str">
        <f t="shared" si="72"/>
        <v>X</v>
      </c>
      <c r="F1149" t="str">
        <f ca="1">IFERROR(IF(AND(C1149&amp;D1149&amp;E1149="___",INDIRECT("Inventory!A"&amp;MATCH(VLOOKUP(B1149,Inventory!E:E,1,0),Inventory!E:E,0))&lt;&gt;INDIRECT("'Full Inventory'!B"&amp;MATCH(VLOOKUP(B1149,'Full Inventory'!F:F,1,0),'Full Inventory'!F:F,0))),"X","_"),"_")</f>
        <v>_</v>
      </c>
      <c r="L1149" t="str">
        <f t="shared" ca="1" si="70"/>
        <v>__X_</v>
      </c>
      <c r="M1149" t="str">
        <f t="shared" ca="1" si="71"/>
        <v/>
      </c>
    </row>
    <row r="1150" spans="1:13" x14ac:dyDescent="0.25">
      <c r="A1150" s="5"/>
      <c r="B1150" s="4" t="str">
        <f t="shared" si="69"/>
        <v/>
      </c>
      <c r="C1150" t="str">
        <f>IF(AND(TRIM(A1150)&lt;&gt;"",IFERROR(VLOOKUP(TRIM(B1150),Inventory!E:E,1,0),0)=0),"X","_")</f>
        <v>_</v>
      </c>
      <c r="D1150" t="str">
        <f>IF(AND(TRIM(A1150)&lt;&gt;"",IFERROR(VLOOKUP(TRIM(B1150),'Full Inventory'!F:F,1,0),0)=0),"X","_")</f>
        <v>_</v>
      </c>
      <c r="E1150" t="str">
        <f t="shared" si="72"/>
        <v>X</v>
      </c>
      <c r="F1150" t="str">
        <f ca="1">IFERROR(IF(AND(C1150&amp;D1150&amp;E1150="___",INDIRECT("Inventory!A"&amp;MATCH(VLOOKUP(B1150,Inventory!E:E,1,0),Inventory!E:E,0))&lt;&gt;INDIRECT("'Full Inventory'!B"&amp;MATCH(VLOOKUP(B1150,'Full Inventory'!F:F,1,0),'Full Inventory'!F:F,0))),"X","_"),"_")</f>
        <v>_</v>
      </c>
      <c r="L1150" t="str">
        <f t="shared" ca="1" si="70"/>
        <v>__X_</v>
      </c>
      <c r="M1150" t="str">
        <f t="shared" ca="1" si="71"/>
        <v/>
      </c>
    </row>
    <row r="1151" spans="1:13" x14ac:dyDescent="0.25">
      <c r="A1151" s="5"/>
      <c r="B1151" s="4" t="str">
        <f t="shared" si="69"/>
        <v/>
      </c>
      <c r="C1151" t="str">
        <f>IF(AND(TRIM(A1151)&lt;&gt;"",IFERROR(VLOOKUP(TRIM(B1151),Inventory!E:E,1,0),0)=0),"X","_")</f>
        <v>_</v>
      </c>
      <c r="D1151" t="str">
        <f>IF(AND(TRIM(A1151)&lt;&gt;"",IFERROR(VLOOKUP(TRIM(B1151),'Full Inventory'!F:F,1,0),0)=0),"X","_")</f>
        <v>_</v>
      </c>
      <c r="E1151" t="str">
        <f t="shared" si="72"/>
        <v>X</v>
      </c>
      <c r="F1151" t="str">
        <f ca="1">IFERROR(IF(AND(C1151&amp;D1151&amp;E1151="___",INDIRECT("Inventory!A"&amp;MATCH(VLOOKUP(B1151,Inventory!E:E,1,0),Inventory!E:E,0))&lt;&gt;INDIRECT("'Full Inventory'!B"&amp;MATCH(VLOOKUP(B1151,'Full Inventory'!F:F,1,0),'Full Inventory'!F:F,0))),"X","_"),"_")</f>
        <v>_</v>
      </c>
      <c r="L1151" t="str">
        <f t="shared" ca="1" si="70"/>
        <v>__X_</v>
      </c>
      <c r="M1151" t="str">
        <f t="shared" ca="1" si="71"/>
        <v/>
      </c>
    </row>
    <row r="1152" spans="1:13" x14ac:dyDescent="0.25">
      <c r="A1152" s="5"/>
      <c r="B1152" s="4" t="str">
        <f t="shared" si="69"/>
        <v/>
      </c>
      <c r="C1152" t="str">
        <f>IF(AND(TRIM(A1152)&lt;&gt;"",IFERROR(VLOOKUP(TRIM(B1152),Inventory!E:E,1,0),0)=0),"X","_")</f>
        <v>_</v>
      </c>
      <c r="D1152" t="str">
        <f>IF(AND(TRIM(A1152)&lt;&gt;"",IFERROR(VLOOKUP(TRIM(B1152),'Full Inventory'!F:F,1,0),0)=0),"X","_")</f>
        <v>_</v>
      </c>
      <c r="E1152" t="str">
        <f t="shared" si="72"/>
        <v>X</v>
      </c>
      <c r="F1152" t="str">
        <f ca="1">IFERROR(IF(AND(C1152&amp;D1152&amp;E1152="___",INDIRECT("Inventory!A"&amp;MATCH(VLOOKUP(B1152,Inventory!E:E,1,0),Inventory!E:E,0))&lt;&gt;INDIRECT("'Full Inventory'!B"&amp;MATCH(VLOOKUP(B1152,'Full Inventory'!F:F,1,0),'Full Inventory'!F:F,0))),"X","_"),"_")</f>
        <v>_</v>
      </c>
      <c r="L1152" t="str">
        <f t="shared" ca="1" si="70"/>
        <v>__X_</v>
      </c>
      <c r="M1152" t="str">
        <f t="shared" ca="1" si="71"/>
        <v/>
      </c>
    </row>
    <row r="1153" spans="1:13" x14ac:dyDescent="0.25">
      <c r="A1153" s="5"/>
      <c r="B1153" s="4" t="str">
        <f t="shared" si="69"/>
        <v/>
      </c>
      <c r="C1153" t="str">
        <f>IF(AND(TRIM(A1153)&lt;&gt;"",IFERROR(VLOOKUP(TRIM(B1153),Inventory!E:E,1,0),0)=0),"X","_")</f>
        <v>_</v>
      </c>
      <c r="D1153" t="str">
        <f>IF(AND(TRIM(A1153)&lt;&gt;"",IFERROR(VLOOKUP(TRIM(B1153),'Full Inventory'!F:F,1,0),0)=0),"X","_")</f>
        <v>_</v>
      </c>
      <c r="E1153" t="str">
        <f t="shared" si="72"/>
        <v>X</v>
      </c>
      <c r="F1153" t="str">
        <f ca="1">IFERROR(IF(AND(C1153&amp;D1153&amp;E1153="___",INDIRECT("Inventory!A"&amp;MATCH(VLOOKUP(B1153,Inventory!E:E,1,0),Inventory!E:E,0))&lt;&gt;INDIRECT("'Full Inventory'!B"&amp;MATCH(VLOOKUP(B1153,'Full Inventory'!F:F,1,0),'Full Inventory'!F:F,0))),"X","_"),"_")</f>
        <v>_</v>
      </c>
      <c r="L1153" t="str">
        <f t="shared" ca="1" si="70"/>
        <v>__X_</v>
      </c>
      <c r="M1153" t="str">
        <f t="shared" ca="1" si="71"/>
        <v/>
      </c>
    </row>
    <row r="1154" spans="1:13" x14ac:dyDescent="0.25">
      <c r="A1154" s="5"/>
      <c r="B1154" s="4" t="str">
        <f t="shared" si="69"/>
        <v/>
      </c>
      <c r="C1154" t="str">
        <f>IF(AND(TRIM(A1154)&lt;&gt;"",IFERROR(VLOOKUP(TRIM(B1154),Inventory!E:E,1,0),0)=0),"X","_")</f>
        <v>_</v>
      </c>
      <c r="D1154" t="str">
        <f>IF(AND(TRIM(A1154)&lt;&gt;"",IFERROR(VLOOKUP(TRIM(B1154),'Full Inventory'!F:F,1,0),0)=0),"X","_")</f>
        <v>_</v>
      </c>
      <c r="E1154" t="str">
        <f t="shared" si="72"/>
        <v>X</v>
      </c>
      <c r="F1154" t="str">
        <f ca="1">IFERROR(IF(AND(C1154&amp;D1154&amp;E1154="___",INDIRECT("Inventory!A"&amp;MATCH(VLOOKUP(B1154,Inventory!E:E,1,0),Inventory!E:E,0))&lt;&gt;INDIRECT("'Full Inventory'!B"&amp;MATCH(VLOOKUP(B1154,'Full Inventory'!F:F,1,0),'Full Inventory'!F:F,0))),"X","_"),"_")</f>
        <v>_</v>
      </c>
      <c r="L1154" t="str">
        <f t="shared" ca="1" si="70"/>
        <v>__X_</v>
      </c>
      <c r="M1154" t="str">
        <f t="shared" ca="1" si="71"/>
        <v/>
      </c>
    </row>
    <row r="1155" spans="1:13" x14ac:dyDescent="0.25">
      <c r="A1155" s="5"/>
      <c r="B1155" s="4" t="str">
        <f t="shared" ref="B1155:B1218" si="73">SUBSTITUTE(SUBSTITUTE(A1155,"ö","0"),"Ö","0")</f>
        <v/>
      </c>
      <c r="C1155" t="str">
        <f>IF(AND(TRIM(A1155)&lt;&gt;"",IFERROR(VLOOKUP(TRIM(B1155),Inventory!E:E,1,0),0)=0),"X","_")</f>
        <v>_</v>
      </c>
      <c r="D1155" t="str">
        <f>IF(AND(TRIM(A1155)&lt;&gt;"",IFERROR(VLOOKUP(TRIM(B1155),'Full Inventory'!F:F,1,0),0)=0),"X","_")</f>
        <v>_</v>
      </c>
      <c r="E1155" t="str">
        <f t="shared" si="72"/>
        <v>X</v>
      </c>
      <c r="F1155" t="str">
        <f ca="1">IFERROR(IF(AND(C1155&amp;D1155&amp;E1155="___",INDIRECT("Inventory!A"&amp;MATCH(VLOOKUP(B1155,Inventory!E:E,1,0),Inventory!E:E,0))&lt;&gt;INDIRECT("'Full Inventory'!B"&amp;MATCH(VLOOKUP(B1155,'Full Inventory'!F:F,1,0),'Full Inventory'!F:F,0))),"X","_"),"_")</f>
        <v>_</v>
      </c>
      <c r="L1155" t="str">
        <f t="shared" ref="L1155:L1218" ca="1" si="74">C1155&amp;D1155&amp;E1155&amp;F1155</f>
        <v>__X_</v>
      </c>
      <c r="M1155" t="str">
        <f t="shared" ref="M1155:M1218" ca="1" si="75">IF(L1155="____","OK",IF(L1155="_X__","NOT IN FULL INVENTORY",IF(L1155="XX__","NOT IN FULL INVENTORY AND INVENTORY",IF(L1155="X___","NOT IN INVENTORY",IF(L1155="___X","DIFFERENT NAMES IN FULL INVENTORY AND INVENTORY","")))))</f>
        <v/>
      </c>
    </row>
    <row r="1156" spans="1:13" x14ac:dyDescent="0.25">
      <c r="A1156" s="5"/>
      <c r="B1156" s="4" t="str">
        <f t="shared" si="73"/>
        <v/>
      </c>
      <c r="C1156" t="str">
        <f>IF(AND(TRIM(A1156)&lt;&gt;"",IFERROR(VLOOKUP(TRIM(B1156),Inventory!E:E,1,0),0)=0),"X","_")</f>
        <v>_</v>
      </c>
      <c r="D1156" t="str">
        <f>IF(AND(TRIM(A1156)&lt;&gt;"",IFERROR(VLOOKUP(TRIM(B1156),'Full Inventory'!F:F,1,0),0)=0),"X","_")</f>
        <v>_</v>
      </c>
      <c r="E1156" t="str">
        <f t="shared" si="72"/>
        <v>X</v>
      </c>
      <c r="F1156" t="str">
        <f ca="1">IFERROR(IF(AND(C1156&amp;D1156&amp;E1156="___",INDIRECT("Inventory!A"&amp;MATCH(VLOOKUP(B1156,Inventory!E:E,1,0),Inventory!E:E,0))&lt;&gt;INDIRECT("'Full Inventory'!B"&amp;MATCH(VLOOKUP(B1156,'Full Inventory'!F:F,1,0),'Full Inventory'!F:F,0))),"X","_"),"_")</f>
        <v>_</v>
      </c>
      <c r="L1156" t="str">
        <f t="shared" ca="1" si="74"/>
        <v>__X_</v>
      </c>
      <c r="M1156" t="str">
        <f t="shared" ca="1" si="75"/>
        <v/>
      </c>
    </row>
    <row r="1157" spans="1:13" x14ac:dyDescent="0.25">
      <c r="A1157" s="5"/>
      <c r="B1157" s="4" t="str">
        <f t="shared" si="73"/>
        <v/>
      </c>
      <c r="C1157" t="str">
        <f>IF(AND(TRIM(A1157)&lt;&gt;"",IFERROR(VLOOKUP(TRIM(B1157),Inventory!E:E,1,0),0)=0),"X","_")</f>
        <v>_</v>
      </c>
      <c r="D1157" t="str">
        <f>IF(AND(TRIM(A1157)&lt;&gt;"",IFERROR(VLOOKUP(TRIM(B1157),'Full Inventory'!F:F,1,0),0)=0),"X","_")</f>
        <v>_</v>
      </c>
      <c r="E1157" t="str">
        <f t="shared" si="72"/>
        <v>X</v>
      </c>
      <c r="F1157" t="str">
        <f ca="1">IFERROR(IF(AND(C1157&amp;D1157&amp;E1157="___",INDIRECT("Inventory!A"&amp;MATCH(VLOOKUP(B1157,Inventory!E:E,1,0),Inventory!E:E,0))&lt;&gt;INDIRECT("'Full Inventory'!B"&amp;MATCH(VLOOKUP(B1157,'Full Inventory'!F:F,1,0),'Full Inventory'!F:F,0))),"X","_"),"_")</f>
        <v>_</v>
      </c>
      <c r="L1157" t="str">
        <f t="shared" ca="1" si="74"/>
        <v>__X_</v>
      </c>
      <c r="M1157" t="str">
        <f t="shared" ca="1" si="75"/>
        <v/>
      </c>
    </row>
    <row r="1158" spans="1:13" x14ac:dyDescent="0.25">
      <c r="A1158" s="5"/>
      <c r="B1158" s="4" t="str">
        <f t="shared" si="73"/>
        <v/>
      </c>
      <c r="C1158" t="str">
        <f>IF(AND(TRIM(A1158)&lt;&gt;"",IFERROR(VLOOKUP(TRIM(B1158),Inventory!E:E,1,0),0)=0),"X","_")</f>
        <v>_</v>
      </c>
      <c r="D1158" t="str">
        <f>IF(AND(TRIM(A1158)&lt;&gt;"",IFERROR(VLOOKUP(TRIM(B1158),'Full Inventory'!F:F,1,0),0)=0),"X","_")</f>
        <v>_</v>
      </c>
      <c r="E1158" t="str">
        <f t="shared" si="72"/>
        <v>X</v>
      </c>
      <c r="F1158" t="str">
        <f ca="1">IFERROR(IF(AND(C1158&amp;D1158&amp;E1158="___",INDIRECT("Inventory!A"&amp;MATCH(VLOOKUP(B1158,Inventory!E:E,1,0),Inventory!E:E,0))&lt;&gt;INDIRECT("'Full Inventory'!B"&amp;MATCH(VLOOKUP(B1158,'Full Inventory'!F:F,1,0),'Full Inventory'!F:F,0))),"X","_"),"_")</f>
        <v>_</v>
      </c>
      <c r="L1158" t="str">
        <f t="shared" ca="1" si="74"/>
        <v>__X_</v>
      </c>
      <c r="M1158" t="str">
        <f t="shared" ca="1" si="75"/>
        <v/>
      </c>
    </row>
    <row r="1159" spans="1:13" x14ac:dyDescent="0.25">
      <c r="A1159" s="5"/>
      <c r="B1159" s="4" t="str">
        <f t="shared" si="73"/>
        <v/>
      </c>
      <c r="C1159" t="str">
        <f>IF(AND(TRIM(A1159)&lt;&gt;"",IFERROR(VLOOKUP(TRIM(B1159),Inventory!E:E,1,0),0)=0),"X","_")</f>
        <v>_</v>
      </c>
      <c r="D1159" t="str">
        <f>IF(AND(TRIM(A1159)&lt;&gt;"",IFERROR(VLOOKUP(TRIM(B1159),'Full Inventory'!F:F,1,0),0)=0),"X","_")</f>
        <v>_</v>
      </c>
      <c r="E1159" t="str">
        <f t="shared" si="72"/>
        <v>X</v>
      </c>
      <c r="F1159" t="str">
        <f ca="1">IFERROR(IF(AND(C1159&amp;D1159&amp;E1159="___",INDIRECT("Inventory!A"&amp;MATCH(VLOOKUP(B1159,Inventory!E:E,1,0),Inventory!E:E,0))&lt;&gt;INDIRECT("'Full Inventory'!B"&amp;MATCH(VLOOKUP(B1159,'Full Inventory'!F:F,1,0),'Full Inventory'!F:F,0))),"X","_"),"_")</f>
        <v>_</v>
      </c>
      <c r="L1159" t="str">
        <f t="shared" ca="1" si="74"/>
        <v>__X_</v>
      </c>
      <c r="M1159" t="str">
        <f t="shared" ca="1" si="75"/>
        <v/>
      </c>
    </row>
    <row r="1160" spans="1:13" x14ac:dyDescent="0.25">
      <c r="A1160" s="5"/>
      <c r="B1160" s="4" t="str">
        <f t="shared" si="73"/>
        <v/>
      </c>
      <c r="C1160" t="str">
        <f>IF(AND(TRIM(A1160)&lt;&gt;"",IFERROR(VLOOKUP(TRIM(B1160),Inventory!E:E,1,0),0)=0),"X","_")</f>
        <v>_</v>
      </c>
      <c r="D1160" t="str">
        <f>IF(AND(TRIM(A1160)&lt;&gt;"",IFERROR(VLOOKUP(TRIM(B1160),'Full Inventory'!F:F,1,0),0)=0),"X","_")</f>
        <v>_</v>
      </c>
      <c r="E1160" t="str">
        <f t="shared" si="72"/>
        <v>X</v>
      </c>
      <c r="F1160" t="str">
        <f ca="1">IFERROR(IF(AND(C1160&amp;D1160&amp;E1160="___",INDIRECT("Inventory!A"&amp;MATCH(VLOOKUP(B1160,Inventory!E:E,1,0),Inventory!E:E,0))&lt;&gt;INDIRECT("'Full Inventory'!B"&amp;MATCH(VLOOKUP(B1160,'Full Inventory'!F:F,1,0),'Full Inventory'!F:F,0))),"X","_"),"_")</f>
        <v>_</v>
      </c>
      <c r="L1160" t="str">
        <f t="shared" ca="1" si="74"/>
        <v>__X_</v>
      </c>
      <c r="M1160" t="str">
        <f t="shared" ca="1" si="75"/>
        <v/>
      </c>
    </row>
    <row r="1161" spans="1:13" x14ac:dyDescent="0.25">
      <c r="A1161" s="5"/>
      <c r="B1161" s="4" t="str">
        <f t="shared" si="73"/>
        <v/>
      </c>
      <c r="C1161" t="str">
        <f>IF(AND(TRIM(A1161)&lt;&gt;"",IFERROR(VLOOKUP(TRIM(B1161),Inventory!E:E,1,0),0)=0),"X","_")</f>
        <v>_</v>
      </c>
      <c r="D1161" t="str">
        <f>IF(AND(TRIM(A1161)&lt;&gt;"",IFERROR(VLOOKUP(TRIM(B1161),'Full Inventory'!F:F,1,0),0)=0),"X","_")</f>
        <v>_</v>
      </c>
      <c r="E1161" t="str">
        <f t="shared" si="72"/>
        <v>X</v>
      </c>
      <c r="F1161" t="str">
        <f ca="1">IFERROR(IF(AND(C1161&amp;D1161&amp;E1161="___",INDIRECT("Inventory!A"&amp;MATCH(VLOOKUP(B1161,Inventory!E:E,1,0),Inventory!E:E,0))&lt;&gt;INDIRECT("'Full Inventory'!B"&amp;MATCH(VLOOKUP(B1161,'Full Inventory'!F:F,1,0),'Full Inventory'!F:F,0))),"X","_"),"_")</f>
        <v>_</v>
      </c>
      <c r="L1161" t="str">
        <f t="shared" ca="1" si="74"/>
        <v>__X_</v>
      </c>
      <c r="M1161" t="str">
        <f t="shared" ca="1" si="75"/>
        <v/>
      </c>
    </row>
    <row r="1162" spans="1:13" x14ac:dyDescent="0.25">
      <c r="A1162" s="5"/>
      <c r="B1162" s="4" t="str">
        <f t="shared" si="73"/>
        <v/>
      </c>
      <c r="C1162" t="str">
        <f>IF(AND(TRIM(A1162)&lt;&gt;"",IFERROR(VLOOKUP(TRIM(B1162),Inventory!E:E,1,0),0)=0),"X","_")</f>
        <v>_</v>
      </c>
      <c r="D1162" t="str">
        <f>IF(AND(TRIM(A1162)&lt;&gt;"",IFERROR(VLOOKUP(TRIM(B1162),'Full Inventory'!F:F,1,0),0)=0),"X","_")</f>
        <v>_</v>
      </c>
      <c r="E1162" t="str">
        <f t="shared" si="72"/>
        <v>X</v>
      </c>
      <c r="F1162" t="str">
        <f ca="1">IFERROR(IF(AND(C1162&amp;D1162&amp;E1162="___",INDIRECT("Inventory!A"&amp;MATCH(VLOOKUP(B1162,Inventory!E:E,1,0),Inventory!E:E,0))&lt;&gt;INDIRECT("'Full Inventory'!B"&amp;MATCH(VLOOKUP(B1162,'Full Inventory'!F:F,1,0),'Full Inventory'!F:F,0))),"X","_"),"_")</f>
        <v>_</v>
      </c>
      <c r="L1162" t="str">
        <f t="shared" ca="1" si="74"/>
        <v>__X_</v>
      </c>
      <c r="M1162" t="str">
        <f t="shared" ca="1" si="75"/>
        <v/>
      </c>
    </row>
    <row r="1163" spans="1:13" x14ac:dyDescent="0.25">
      <c r="A1163" s="5"/>
      <c r="B1163" s="4" t="str">
        <f t="shared" si="73"/>
        <v/>
      </c>
      <c r="C1163" t="str">
        <f>IF(AND(TRIM(A1163)&lt;&gt;"",IFERROR(VLOOKUP(TRIM(B1163),Inventory!E:E,1,0),0)=0),"X","_")</f>
        <v>_</v>
      </c>
      <c r="D1163" t="str">
        <f>IF(AND(TRIM(A1163)&lt;&gt;"",IFERROR(VLOOKUP(TRIM(B1163),'Full Inventory'!F:F,1,0),0)=0),"X","_")</f>
        <v>_</v>
      </c>
      <c r="E1163" t="str">
        <f t="shared" si="72"/>
        <v>X</v>
      </c>
      <c r="F1163" t="str">
        <f ca="1">IFERROR(IF(AND(C1163&amp;D1163&amp;E1163="___",INDIRECT("Inventory!A"&amp;MATCH(VLOOKUP(B1163,Inventory!E:E,1,0),Inventory!E:E,0))&lt;&gt;INDIRECT("'Full Inventory'!B"&amp;MATCH(VLOOKUP(B1163,'Full Inventory'!F:F,1,0),'Full Inventory'!F:F,0))),"X","_"),"_")</f>
        <v>_</v>
      </c>
      <c r="L1163" t="str">
        <f t="shared" ca="1" si="74"/>
        <v>__X_</v>
      </c>
      <c r="M1163" t="str">
        <f t="shared" ca="1" si="75"/>
        <v/>
      </c>
    </row>
    <row r="1164" spans="1:13" x14ac:dyDescent="0.25">
      <c r="A1164" s="5"/>
      <c r="B1164" s="4" t="str">
        <f t="shared" si="73"/>
        <v/>
      </c>
      <c r="C1164" t="str">
        <f>IF(AND(TRIM(A1164)&lt;&gt;"",IFERROR(VLOOKUP(TRIM(B1164),Inventory!E:E,1,0),0)=0),"X","_")</f>
        <v>_</v>
      </c>
      <c r="D1164" t="str">
        <f>IF(AND(TRIM(A1164)&lt;&gt;"",IFERROR(VLOOKUP(TRIM(B1164),'Full Inventory'!F:F,1,0),0)=0),"X","_")</f>
        <v>_</v>
      </c>
      <c r="E1164" t="str">
        <f t="shared" si="72"/>
        <v>X</v>
      </c>
      <c r="F1164" t="str">
        <f ca="1">IFERROR(IF(AND(C1164&amp;D1164&amp;E1164="___",INDIRECT("Inventory!A"&amp;MATCH(VLOOKUP(B1164,Inventory!E:E,1,0),Inventory!E:E,0))&lt;&gt;INDIRECT("'Full Inventory'!B"&amp;MATCH(VLOOKUP(B1164,'Full Inventory'!F:F,1,0),'Full Inventory'!F:F,0))),"X","_"),"_")</f>
        <v>_</v>
      </c>
      <c r="L1164" t="str">
        <f t="shared" ca="1" si="74"/>
        <v>__X_</v>
      </c>
      <c r="M1164" t="str">
        <f t="shared" ca="1" si="75"/>
        <v/>
      </c>
    </row>
    <row r="1165" spans="1:13" x14ac:dyDescent="0.25">
      <c r="A1165" s="5"/>
      <c r="B1165" s="4" t="str">
        <f t="shared" si="73"/>
        <v/>
      </c>
      <c r="C1165" t="str">
        <f>IF(AND(TRIM(A1165)&lt;&gt;"",IFERROR(VLOOKUP(TRIM(B1165),Inventory!E:E,1,0),0)=0),"X","_")</f>
        <v>_</v>
      </c>
      <c r="D1165" t="str">
        <f>IF(AND(TRIM(A1165)&lt;&gt;"",IFERROR(VLOOKUP(TRIM(B1165),'Full Inventory'!F:F,1,0),0)=0),"X","_")</f>
        <v>_</v>
      </c>
      <c r="E1165" t="str">
        <f t="shared" si="72"/>
        <v>X</v>
      </c>
      <c r="F1165" t="str">
        <f ca="1">IFERROR(IF(AND(C1165&amp;D1165&amp;E1165="___",INDIRECT("Inventory!A"&amp;MATCH(VLOOKUP(B1165,Inventory!E:E,1,0),Inventory!E:E,0))&lt;&gt;INDIRECT("'Full Inventory'!B"&amp;MATCH(VLOOKUP(B1165,'Full Inventory'!F:F,1,0),'Full Inventory'!F:F,0))),"X","_"),"_")</f>
        <v>_</v>
      </c>
      <c r="L1165" t="str">
        <f t="shared" ca="1" si="74"/>
        <v>__X_</v>
      </c>
      <c r="M1165" t="str">
        <f t="shared" ca="1" si="75"/>
        <v/>
      </c>
    </row>
    <row r="1166" spans="1:13" x14ac:dyDescent="0.25">
      <c r="A1166" s="5"/>
      <c r="B1166" s="4" t="str">
        <f t="shared" si="73"/>
        <v/>
      </c>
      <c r="C1166" t="str">
        <f>IF(AND(TRIM(A1166)&lt;&gt;"",IFERROR(VLOOKUP(TRIM(B1166),Inventory!E:E,1,0),0)=0),"X","_")</f>
        <v>_</v>
      </c>
      <c r="D1166" t="str">
        <f>IF(AND(TRIM(A1166)&lt;&gt;"",IFERROR(VLOOKUP(TRIM(B1166),'Full Inventory'!F:F,1,0),0)=0),"X","_")</f>
        <v>_</v>
      </c>
      <c r="E1166" t="str">
        <f t="shared" si="72"/>
        <v>X</v>
      </c>
      <c r="F1166" t="str">
        <f ca="1">IFERROR(IF(AND(C1166&amp;D1166&amp;E1166="___",INDIRECT("Inventory!A"&amp;MATCH(VLOOKUP(B1166,Inventory!E:E,1,0),Inventory!E:E,0))&lt;&gt;INDIRECT("'Full Inventory'!B"&amp;MATCH(VLOOKUP(B1166,'Full Inventory'!F:F,1,0),'Full Inventory'!F:F,0))),"X","_"),"_")</f>
        <v>_</v>
      </c>
      <c r="L1166" t="str">
        <f t="shared" ca="1" si="74"/>
        <v>__X_</v>
      </c>
      <c r="M1166" t="str">
        <f t="shared" ca="1" si="75"/>
        <v/>
      </c>
    </row>
    <row r="1167" spans="1:13" x14ac:dyDescent="0.25">
      <c r="A1167" s="5"/>
      <c r="B1167" s="4" t="str">
        <f t="shared" si="73"/>
        <v/>
      </c>
      <c r="C1167" t="str">
        <f>IF(AND(TRIM(A1167)&lt;&gt;"",IFERROR(VLOOKUP(TRIM(B1167),Inventory!E:E,1,0),0)=0),"X","_")</f>
        <v>_</v>
      </c>
      <c r="D1167" t="str">
        <f>IF(AND(TRIM(A1167)&lt;&gt;"",IFERROR(VLOOKUP(TRIM(B1167),'Full Inventory'!F:F,1,0),0)=0),"X","_")</f>
        <v>_</v>
      </c>
      <c r="E1167" t="str">
        <f t="shared" si="72"/>
        <v>X</v>
      </c>
      <c r="F1167" t="str">
        <f ca="1">IFERROR(IF(AND(C1167&amp;D1167&amp;E1167="___",INDIRECT("Inventory!A"&amp;MATCH(VLOOKUP(B1167,Inventory!E:E,1,0),Inventory!E:E,0))&lt;&gt;INDIRECT("'Full Inventory'!B"&amp;MATCH(VLOOKUP(B1167,'Full Inventory'!F:F,1,0),'Full Inventory'!F:F,0))),"X","_"),"_")</f>
        <v>_</v>
      </c>
      <c r="L1167" t="str">
        <f t="shared" ca="1" si="74"/>
        <v>__X_</v>
      </c>
      <c r="M1167" t="str">
        <f t="shared" ca="1" si="75"/>
        <v/>
      </c>
    </row>
    <row r="1168" spans="1:13" x14ac:dyDescent="0.25">
      <c r="A1168" s="5"/>
      <c r="B1168" s="4" t="str">
        <f t="shared" si="73"/>
        <v/>
      </c>
      <c r="C1168" t="str">
        <f>IF(AND(TRIM(A1168)&lt;&gt;"",IFERROR(VLOOKUP(TRIM(B1168),Inventory!E:E,1,0),0)=0),"X","_")</f>
        <v>_</v>
      </c>
      <c r="D1168" t="str">
        <f>IF(AND(TRIM(A1168)&lt;&gt;"",IFERROR(VLOOKUP(TRIM(B1168),'Full Inventory'!F:F,1,0),0)=0),"X","_")</f>
        <v>_</v>
      </c>
      <c r="E1168" t="str">
        <f t="shared" si="72"/>
        <v>X</v>
      </c>
      <c r="F1168" t="str">
        <f ca="1">IFERROR(IF(AND(C1168&amp;D1168&amp;E1168="___",INDIRECT("Inventory!A"&amp;MATCH(VLOOKUP(B1168,Inventory!E:E,1,0),Inventory!E:E,0))&lt;&gt;INDIRECT("'Full Inventory'!B"&amp;MATCH(VLOOKUP(B1168,'Full Inventory'!F:F,1,0),'Full Inventory'!F:F,0))),"X","_"),"_")</f>
        <v>_</v>
      </c>
      <c r="L1168" t="str">
        <f t="shared" ca="1" si="74"/>
        <v>__X_</v>
      </c>
      <c r="M1168" t="str">
        <f t="shared" ca="1" si="75"/>
        <v/>
      </c>
    </row>
    <row r="1169" spans="1:13" x14ac:dyDescent="0.25">
      <c r="A1169" s="5"/>
      <c r="B1169" s="4" t="str">
        <f t="shared" si="73"/>
        <v/>
      </c>
      <c r="C1169" t="str">
        <f>IF(AND(TRIM(A1169)&lt;&gt;"",IFERROR(VLOOKUP(TRIM(B1169),Inventory!E:E,1,0),0)=0),"X","_")</f>
        <v>_</v>
      </c>
      <c r="D1169" t="str">
        <f>IF(AND(TRIM(A1169)&lt;&gt;"",IFERROR(VLOOKUP(TRIM(B1169),'Full Inventory'!F:F,1,0),0)=0),"X","_")</f>
        <v>_</v>
      </c>
      <c r="E1169" t="str">
        <f t="shared" si="72"/>
        <v>X</v>
      </c>
      <c r="F1169" t="str">
        <f ca="1">IFERROR(IF(AND(C1169&amp;D1169&amp;E1169="___",INDIRECT("Inventory!A"&amp;MATCH(VLOOKUP(B1169,Inventory!E:E,1,0),Inventory!E:E,0))&lt;&gt;INDIRECT("'Full Inventory'!B"&amp;MATCH(VLOOKUP(B1169,'Full Inventory'!F:F,1,0),'Full Inventory'!F:F,0))),"X","_"),"_")</f>
        <v>_</v>
      </c>
      <c r="L1169" t="str">
        <f t="shared" ca="1" si="74"/>
        <v>__X_</v>
      </c>
      <c r="M1169" t="str">
        <f t="shared" ca="1" si="75"/>
        <v/>
      </c>
    </row>
    <row r="1170" spans="1:13" x14ac:dyDescent="0.25">
      <c r="A1170" s="5"/>
      <c r="B1170" s="4" t="str">
        <f t="shared" si="73"/>
        <v/>
      </c>
      <c r="C1170" t="str">
        <f>IF(AND(TRIM(A1170)&lt;&gt;"",IFERROR(VLOOKUP(TRIM(B1170),Inventory!E:E,1,0),0)=0),"X","_")</f>
        <v>_</v>
      </c>
      <c r="D1170" t="str">
        <f>IF(AND(TRIM(A1170)&lt;&gt;"",IFERROR(VLOOKUP(TRIM(B1170),'Full Inventory'!F:F,1,0),0)=0),"X","_")</f>
        <v>_</v>
      </c>
      <c r="E1170" t="str">
        <f t="shared" si="72"/>
        <v>X</v>
      </c>
      <c r="F1170" t="str">
        <f ca="1">IFERROR(IF(AND(C1170&amp;D1170&amp;E1170="___",INDIRECT("Inventory!A"&amp;MATCH(VLOOKUP(B1170,Inventory!E:E,1,0),Inventory!E:E,0))&lt;&gt;INDIRECT("'Full Inventory'!B"&amp;MATCH(VLOOKUP(B1170,'Full Inventory'!F:F,1,0),'Full Inventory'!F:F,0))),"X","_"),"_")</f>
        <v>_</v>
      </c>
      <c r="L1170" t="str">
        <f t="shared" ca="1" si="74"/>
        <v>__X_</v>
      </c>
      <c r="M1170" t="str">
        <f t="shared" ca="1" si="75"/>
        <v/>
      </c>
    </row>
    <row r="1171" spans="1:13" x14ac:dyDescent="0.25">
      <c r="A1171" s="5"/>
      <c r="B1171" s="4" t="str">
        <f t="shared" si="73"/>
        <v/>
      </c>
      <c r="C1171" t="str">
        <f>IF(AND(TRIM(A1171)&lt;&gt;"",IFERROR(VLOOKUP(TRIM(B1171),Inventory!E:E,1,0),0)=0),"X","_")</f>
        <v>_</v>
      </c>
      <c r="D1171" t="str">
        <f>IF(AND(TRIM(A1171)&lt;&gt;"",IFERROR(VLOOKUP(TRIM(B1171),'Full Inventory'!F:F,1,0),0)=0),"X","_")</f>
        <v>_</v>
      </c>
      <c r="E1171" t="str">
        <f t="shared" si="72"/>
        <v>X</v>
      </c>
      <c r="F1171" t="str">
        <f ca="1">IFERROR(IF(AND(C1171&amp;D1171&amp;E1171="___",INDIRECT("Inventory!A"&amp;MATCH(VLOOKUP(B1171,Inventory!E:E,1,0),Inventory!E:E,0))&lt;&gt;INDIRECT("'Full Inventory'!B"&amp;MATCH(VLOOKUP(B1171,'Full Inventory'!F:F,1,0),'Full Inventory'!F:F,0))),"X","_"),"_")</f>
        <v>_</v>
      </c>
      <c r="L1171" t="str">
        <f t="shared" ca="1" si="74"/>
        <v>__X_</v>
      </c>
      <c r="M1171" t="str">
        <f t="shared" ca="1" si="75"/>
        <v/>
      </c>
    </row>
    <row r="1172" spans="1:13" x14ac:dyDescent="0.25">
      <c r="A1172" s="5"/>
      <c r="B1172" s="4" t="str">
        <f t="shared" si="73"/>
        <v/>
      </c>
      <c r="C1172" t="str">
        <f>IF(AND(TRIM(A1172)&lt;&gt;"",IFERROR(VLOOKUP(TRIM(B1172),Inventory!E:E,1,0),0)=0),"X","_")</f>
        <v>_</v>
      </c>
      <c r="D1172" t="str">
        <f>IF(AND(TRIM(A1172)&lt;&gt;"",IFERROR(VLOOKUP(TRIM(B1172),'Full Inventory'!F:F,1,0),0)=0),"X","_")</f>
        <v>_</v>
      </c>
      <c r="E1172" t="str">
        <f t="shared" ref="E1172:E1235" si="76">IF(TRIM(A1172)&lt;&gt;"","_","X")</f>
        <v>X</v>
      </c>
      <c r="F1172" t="str">
        <f ca="1">IFERROR(IF(AND(C1172&amp;D1172&amp;E1172="___",INDIRECT("Inventory!A"&amp;MATCH(VLOOKUP(B1172,Inventory!E:E,1,0),Inventory!E:E,0))&lt;&gt;INDIRECT("'Full Inventory'!B"&amp;MATCH(VLOOKUP(B1172,'Full Inventory'!F:F,1,0),'Full Inventory'!F:F,0))),"X","_"),"_")</f>
        <v>_</v>
      </c>
      <c r="L1172" t="str">
        <f t="shared" ca="1" si="74"/>
        <v>__X_</v>
      </c>
      <c r="M1172" t="str">
        <f t="shared" ca="1" si="75"/>
        <v/>
      </c>
    </row>
    <row r="1173" spans="1:13" x14ac:dyDescent="0.25">
      <c r="A1173" s="5"/>
      <c r="B1173" s="4" t="str">
        <f t="shared" si="73"/>
        <v/>
      </c>
      <c r="C1173" t="str">
        <f>IF(AND(TRIM(A1173)&lt;&gt;"",IFERROR(VLOOKUP(TRIM(B1173),Inventory!E:E,1,0),0)=0),"X","_")</f>
        <v>_</v>
      </c>
      <c r="D1173" t="str">
        <f>IF(AND(TRIM(A1173)&lt;&gt;"",IFERROR(VLOOKUP(TRIM(B1173),'Full Inventory'!F:F,1,0),0)=0),"X","_")</f>
        <v>_</v>
      </c>
      <c r="E1173" t="str">
        <f t="shared" si="76"/>
        <v>X</v>
      </c>
      <c r="F1173" t="str">
        <f ca="1">IFERROR(IF(AND(C1173&amp;D1173&amp;E1173="___",INDIRECT("Inventory!A"&amp;MATCH(VLOOKUP(B1173,Inventory!E:E,1,0),Inventory!E:E,0))&lt;&gt;INDIRECT("'Full Inventory'!B"&amp;MATCH(VLOOKUP(B1173,'Full Inventory'!F:F,1,0),'Full Inventory'!F:F,0))),"X","_"),"_")</f>
        <v>_</v>
      </c>
      <c r="L1173" t="str">
        <f t="shared" ca="1" si="74"/>
        <v>__X_</v>
      </c>
      <c r="M1173" t="str">
        <f t="shared" ca="1" si="75"/>
        <v/>
      </c>
    </row>
    <row r="1174" spans="1:13" x14ac:dyDescent="0.25">
      <c r="A1174" s="5"/>
      <c r="B1174" s="4" t="str">
        <f t="shared" si="73"/>
        <v/>
      </c>
      <c r="C1174" t="str">
        <f>IF(AND(TRIM(A1174)&lt;&gt;"",IFERROR(VLOOKUP(TRIM(B1174),Inventory!E:E,1,0),0)=0),"X","_")</f>
        <v>_</v>
      </c>
      <c r="D1174" t="str">
        <f>IF(AND(TRIM(A1174)&lt;&gt;"",IFERROR(VLOOKUP(TRIM(B1174),'Full Inventory'!F:F,1,0),0)=0),"X","_")</f>
        <v>_</v>
      </c>
      <c r="E1174" t="str">
        <f t="shared" si="76"/>
        <v>X</v>
      </c>
      <c r="F1174" t="str">
        <f ca="1">IFERROR(IF(AND(C1174&amp;D1174&amp;E1174="___",INDIRECT("Inventory!A"&amp;MATCH(VLOOKUP(B1174,Inventory!E:E,1,0),Inventory!E:E,0))&lt;&gt;INDIRECT("'Full Inventory'!B"&amp;MATCH(VLOOKUP(B1174,'Full Inventory'!F:F,1,0),'Full Inventory'!F:F,0))),"X","_"),"_")</f>
        <v>_</v>
      </c>
      <c r="L1174" t="str">
        <f t="shared" ca="1" si="74"/>
        <v>__X_</v>
      </c>
      <c r="M1174" t="str">
        <f t="shared" ca="1" si="75"/>
        <v/>
      </c>
    </row>
    <row r="1175" spans="1:13" x14ac:dyDescent="0.25">
      <c r="A1175" s="5"/>
      <c r="B1175" s="4" t="str">
        <f t="shared" si="73"/>
        <v/>
      </c>
      <c r="C1175" t="str">
        <f>IF(AND(TRIM(A1175)&lt;&gt;"",IFERROR(VLOOKUP(TRIM(B1175),Inventory!E:E,1,0),0)=0),"X","_")</f>
        <v>_</v>
      </c>
      <c r="D1175" t="str">
        <f>IF(AND(TRIM(A1175)&lt;&gt;"",IFERROR(VLOOKUP(TRIM(B1175),'Full Inventory'!F:F,1,0),0)=0),"X","_")</f>
        <v>_</v>
      </c>
      <c r="E1175" t="str">
        <f t="shared" si="76"/>
        <v>X</v>
      </c>
      <c r="F1175" t="str">
        <f ca="1">IFERROR(IF(AND(C1175&amp;D1175&amp;E1175="___",INDIRECT("Inventory!A"&amp;MATCH(VLOOKUP(B1175,Inventory!E:E,1,0),Inventory!E:E,0))&lt;&gt;INDIRECT("'Full Inventory'!B"&amp;MATCH(VLOOKUP(B1175,'Full Inventory'!F:F,1,0),'Full Inventory'!F:F,0))),"X","_"),"_")</f>
        <v>_</v>
      </c>
      <c r="L1175" t="str">
        <f t="shared" ca="1" si="74"/>
        <v>__X_</v>
      </c>
      <c r="M1175" t="str">
        <f t="shared" ca="1" si="75"/>
        <v/>
      </c>
    </row>
    <row r="1176" spans="1:13" x14ac:dyDescent="0.25">
      <c r="A1176" s="5"/>
      <c r="B1176" s="4" t="str">
        <f t="shared" si="73"/>
        <v/>
      </c>
      <c r="C1176" t="str">
        <f>IF(AND(TRIM(A1176)&lt;&gt;"",IFERROR(VLOOKUP(TRIM(B1176),Inventory!E:E,1,0),0)=0),"X","_")</f>
        <v>_</v>
      </c>
      <c r="D1176" t="str">
        <f>IF(AND(TRIM(A1176)&lt;&gt;"",IFERROR(VLOOKUP(TRIM(B1176),'Full Inventory'!F:F,1,0),0)=0),"X","_")</f>
        <v>_</v>
      </c>
      <c r="E1176" t="str">
        <f t="shared" si="76"/>
        <v>X</v>
      </c>
      <c r="F1176" t="str">
        <f ca="1">IFERROR(IF(AND(C1176&amp;D1176&amp;E1176="___",INDIRECT("Inventory!A"&amp;MATCH(VLOOKUP(B1176,Inventory!E:E,1,0),Inventory!E:E,0))&lt;&gt;INDIRECT("'Full Inventory'!B"&amp;MATCH(VLOOKUP(B1176,'Full Inventory'!F:F,1,0),'Full Inventory'!F:F,0))),"X","_"),"_")</f>
        <v>_</v>
      </c>
      <c r="L1176" t="str">
        <f t="shared" ca="1" si="74"/>
        <v>__X_</v>
      </c>
      <c r="M1176" t="str">
        <f t="shared" ca="1" si="75"/>
        <v/>
      </c>
    </row>
    <row r="1177" spans="1:13" x14ac:dyDescent="0.25">
      <c r="A1177" s="5"/>
      <c r="B1177" s="4" t="str">
        <f t="shared" si="73"/>
        <v/>
      </c>
      <c r="C1177" t="str">
        <f>IF(AND(TRIM(A1177)&lt;&gt;"",IFERROR(VLOOKUP(TRIM(B1177),Inventory!E:E,1,0),0)=0),"X","_")</f>
        <v>_</v>
      </c>
      <c r="D1177" t="str">
        <f>IF(AND(TRIM(A1177)&lt;&gt;"",IFERROR(VLOOKUP(TRIM(B1177),'Full Inventory'!F:F,1,0),0)=0),"X","_")</f>
        <v>_</v>
      </c>
      <c r="E1177" t="str">
        <f t="shared" si="76"/>
        <v>X</v>
      </c>
      <c r="F1177" t="str">
        <f ca="1">IFERROR(IF(AND(C1177&amp;D1177&amp;E1177="___",INDIRECT("Inventory!A"&amp;MATCH(VLOOKUP(B1177,Inventory!E:E,1,0),Inventory!E:E,0))&lt;&gt;INDIRECT("'Full Inventory'!B"&amp;MATCH(VLOOKUP(B1177,'Full Inventory'!F:F,1,0),'Full Inventory'!F:F,0))),"X","_"),"_")</f>
        <v>_</v>
      </c>
      <c r="L1177" t="str">
        <f t="shared" ca="1" si="74"/>
        <v>__X_</v>
      </c>
      <c r="M1177" t="str">
        <f t="shared" ca="1" si="75"/>
        <v/>
      </c>
    </row>
    <row r="1178" spans="1:13" x14ac:dyDescent="0.25">
      <c r="A1178" s="5"/>
      <c r="B1178" s="4" t="str">
        <f t="shared" si="73"/>
        <v/>
      </c>
      <c r="C1178" t="str">
        <f>IF(AND(TRIM(A1178)&lt;&gt;"",IFERROR(VLOOKUP(TRIM(B1178),Inventory!E:E,1,0),0)=0),"X","_")</f>
        <v>_</v>
      </c>
      <c r="D1178" t="str">
        <f>IF(AND(TRIM(A1178)&lt;&gt;"",IFERROR(VLOOKUP(TRIM(B1178),'Full Inventory'!F:F,1,0),0)=0),"X","_")</f>
        <v>_</v>
      </c>
      <c r="E1178" t="str">
        <f t="shared" si="76"/>
        <v>X</v>
      </c>
      <c r="F1178" t="str">
        <f ca="1">IFERROR(IF(AND(C1178&amp;D1178&amp;E1178="___",INDIRECT("Inventory!A"&amp;MATCH(VLOOKUP(B1178,Inventory!E:E,1,0),Inventory!E:E,0))&lt;&gt;INDIRECT("'Full Inventory'!B"&amp;MATCH(VLOOKUP(B1178,'Full Inventory'!F:F,1,0),'Full Inventory'!F:F,0))),"X","_"),"_")</f>
        <v>_</v>
      </c>
      <c r="L1178" t="str">
        <f t="shared" ca="1" si="74"/>
        <v>__X_</v>
      </c>
      <c r="M1178" t="str">
        <f t="shared" ca="1" si="75"/>
        <v/>
      </c>
    </row>
    <row r="1179" spans="1:13" x14ac:dyDescent="0.25">
      <c r="A1179" s="5"/>
      <c r="B1179" s="4" t="str">
        <f t="shared" si="73"/>
        <v/>
      </c>
      <c r="C1179" t="str">
        <f>IF(AND(TRIM(A1179)&lt;&gt;"",IFERROR(VLOOKUP(TRIM(B1179),Inventory!E:E,1,0),0)=0),"X","_")</f>
        <v>_</v>
      </c>
      <c r="D1179" t="str">
        <f>IF(AND(TRIM(A1179)&lt;&gt;"",IFERROR(VLOOKUP(TRIM(B1179),'Full Inventory'!F:F,1,0),0)=0),"X","_")</f>
        <v>_</v>
      </c>
      <c r="E1179" t="str">
        <f t="shared" si="76"/>
        <v>X</v>
      </c>
      <c r="F1179" t="str">
        <f ca="1">IFERROR(IF(AND(C1179&amp;D1179&amp;E1179="___",INDIRECT("Inventory!A"&amp;MATCH(VLOOKUP(B1179,Inventory!E:E,1,0),Inventory!E:E,0))&lt;&gt;INDIRECT("'Full Inventory'!B"&amp;MATCH(VLOOKUP(B1179,'Full Inventory'!F:F,1,0),'Full Inventory'!F:F,0))),"X","_"),"_")</f>
        <v>_</v>
      </c>
      <c r="L1179" t="str">
        <f t="shared" ca="1" si="74"/>
        <v>__X_</v>
      </c>
      <c r="M1179" t="str">
        <f t="shared" ca="1" si="75"/>
        <v/>
      </c>
    </row>
    <row r="1180" spans="1:13" x14ac:dyDescent="0.25">
      <c r="A1180" s="5"/>
      <c r="B1180" s="4" t="str">
        <f t="shared" si="73"/>
        <v/>
      </c>
      <c r="C1180" t="str">
        <f>IF(AND(TRIM(A1180)&lt;&gt;"",IFERROR(VLOOKUP(TRIM(B1180),Inventory!E:E,1,0),0)=0),"X","_")</f>
        <v>_</v>
      </c>
      <c r="D1180" t="str">
        <f>IF(AND(TRIM(A1180)&lt;&gt;"",IFERROR(VLOOKUP(TRIM(B1180),'Full Inventory'!F:F,1,0),0)=0),"X","_")</f>
        <v>_</v>
      </c>
      <c r="E1180" t="str">
        <f t="shared" si="76"/>
        <v>X</v>
      </c>
      <c r="F1180" t="str">
        <f ca="1">IFERROR(IF(AND(C1180&amp;D1180&amp;E1180="___",INDIRECT("Inventory!A"&amp;MATCH(VLOOKUP(B1180,Inventory!E:E,1,0),Inventory!E:E,0))&lt;&gt;INDIRECT("'Full Inventory'!B"&amp;MATCH(VLOOKUP(B1180,'Full Inventory'!F:F,1,0),'Full Inventory'!F:F,0))),"X","_"),"_")</f>
        <v>_</v>
      </c>
      <c r="L1180" t="str">
        <f t="shared" ca="1" si="74"/>
        <v>__X_</v>
      </c>
      <c r="M1180" t="str">
        <f t="shared" ca="1" si="75"/>
        <v/>
      </c>
    </row>
    <row r="1181" spans="1:13" x14ac:dyDescent="0.25">
      <c r="A1181" s="5"/>
      <c r="B1181" s="4" t="str">
        <f t="shared" si="73"/>
        <v/>
      </c>
      <c r="C1181" t="str">
        <f>IF(AND(TRIM(A1181)&lt;&gt;"",IFERROR(VLOOKUP(TRIM(B1181),Inventory!E:E,1,0),0)=0),"X","_")</f>
        <v>_</v>
      </c>
      <c r="D1181" t="str">
        <f>IF(AND(TRIM(A1181)&lt;&gt;"",IFERROR(VLOOKUP(TRIM(B1181),'Full Inventory'!F:F,1,0),0)=0),"X","_")</f>
        <v>_</v>
      </c>
      <c r="E1181" t="str">
        <f t="shared" si="76"/>
        <v>X</v>
      </c>
      <c r="F1181" t="str">
        <f ca="1">IFERROR(IF(AND(C1181&amp;D1181&amp;E1181="___",INDIRECT("Inventory!A"&amp;MATCH(VLOOKUP(B1181,Inventory!E:E,1,0),Inventory!E:E,0))&lt;&gt;INDIRECT("'Full Inventory'!B"&amp;MATCH(VLOOKUP(B1181,'Full Inventory'!F:F,1,0),'Full Inventory'!F:F,0))),"X","_"),"_")</f>
        <v>_</v>
      </c>
      <c r="L1181" t="str">
        <f t="shared" ca="1" si="74"/>
        <v>__X_</v>
      </c>
      <c r="M1181" t="str">
        <f t="shared" ca="1" si="75"/>
        <v/>
      </c>
    </row>
    <row r="1182" spans="1:13" x14ac:dyDescent="0.25">
      <c r="A1182" s="5"/>
      <c r="B1182" s="4" t="str">
        <f t="shared" si="73"/>
        <v/>
      </c>
      <c r="C1182" t="str">
        <f>IF(AND(TRIM(A1182)&lt;&gt;"",IFERROR(VLOOKUP(TRIM(B1182),Inventory!E:E,1,0),0)=0),"X","_")</f>
        <v>_</v>
      </c>
      <c r="D1182" t="str">
        <f>IF(AND(TRIM(A1182)&lt;&gt;"",IFERROR(VLOOKUP(TRIM(B1182),'Full Inventory'!F:F,1,0),0)=0),"X","_")</f>
        <v>_</v>
      </c>
      <c r="E1182" t="str">
        <f t="shared" si="76"/>
        <v>X</v>
      </c>
      <c r="F1182" t="str">
        <f ca="1">IFERROR(IF(AND(C1182&amp;D1182&amp;E1182="___",INDIRECT("Inventory!A"&amp;MATCH(VLOOKUP(B1182,Inventory!E:E,1,0),Inventory!E:E,0))&lt;&gt;INDIRECT("'Full Inventory'!B"&amp;MATCH(VLOOKUP(B1182,'Full Inventory'!F:F,1,0),'Full Inventory'!F:F,0))),"X","_"),"_")</f>
        <v>_</v>
      </c>
      <c r="L1182" t="str">
        <f t="shared" ca="1" si="74"/>
        <v>__X_</v>
      </c>
      <c r="M1182" t="str">
        <f t="shared" ca="1" si="75"/>
        <v/>
      </c>
    </row>
    <row r="1183" spans="1:13" x14ac:dyDescent="0.25">
      <c r="A1183" s="5"/>
      <c r="B1183" s="4" t="str">
        <f t="shared" si="73"/>
        <v/>
      </c>
      <c r="C1183" t="str">
        <f>IF(AND(TRIM(A1183)&lt;&gt;"",IFERROR(VLOOKUP(TRIM(B1183),Inventory!E:E,1,0),0)=0),"X","_")</f>
        <v>_</v>
      </c>
      <c r="D1183" t="str">
        <f>IF(AND(TRIM(A1183)&lt;&gt;"",IFERROR(VLOOKUP(TRIM(B1183),'Full Inventory'!F:F,1,0),0)=0),"X","_")</f>
        <v>_</v>
      </c>
      <c r="E1183" t="str">
        <f t="shared" si="76"/>
        <v>X</v>
      </c>
      <c r="F1183" t="str">
        <f ca="1">IFERROR(IF(AND(C1183&amp;D1183&amp;E1183="___",INDIRECT("Inventory!A"&amp;MATCH(VLOOKUP(B1183,Inventory!E:E,1,0),Inventory!E:E,0))&lt;&gt;INDIRECT("'Full Inventory'!B"&amp;MATCH(VLOOKUP(B1183,'Full Inventory'!F:F,1,0),'Full Inventory'!F:F,0))),"X","_"),"_")</f>
        <v>_</v>
      </c>
      <c r="L1183" t="str">
        <f t="shared" ca="1" si="74"/>
        <v>__X_</v>
      </c>
      <c r="M1183" t="str">
        <f t="shared" ca="1" si="75"/>
        <v/>
      </c>
    </row>
    <row r="1184" spans="1:13" x14ac:dyDescent="0.25">
      <c r="A1184" s="5"/>
      <c r="B1184" s="4" t="str">
        <f t="shared" si="73"/>
        <v/>
      </c>
      <c r="C1184" t="str">
        <f>IF(AND(TRIM(A1184)&lt;&gt;"",IFERROR(VLOOKUP(TRIM(B1184),Inventory!E:E,1,0),0)=0),"X","_")</f>
        <v>_</v>
      </c>
      <c r="D1184" t="str">
        <f>IF(AND(TRIM(A1184)&lt;&gt;"",IFERROR(VLOOKUP(TRIM(B1184),'Full Inventory'!F:F,1,0),0)=0),"X","_")</f>
        <v>_</v>
      </c>
      <c r="E1184" t="str">
        <f t="shared" si="76"/>
        <v>X</v>
      </c>
      <c r="F1184" t="str">
        <f ca="1">IFERROR(IF(AND(C1184&amp;D1184&amp;E1184="___",INDIRECT("Inventory!A"&amp;MATCH(VLOOKUP(B1184,Inventory!E:E,1,0),Inventory!E:E,0))&lt;&gt;INDIRECT("'Full Inventory'!B"&amp;MATCH(VLOOKUP(B1184,'Full Inventory'!F:F,1,0),'Full Inventory'!F:F,0))),"X","_"),"_")</f>
        <v>_</v>
      </c>
      <c r="L1184" t="str">
        <f t="shared" ca="1" si="74"/>
        <v>__X_</v>
      </c>
      <c r="M1184" t="str">
        <f t="shared" ca="1" si="75"/>
        <v/>
      </c>
    </row>
    <row r="1185" spans="1:13" x14ac:dyDescent="0.25">
      <c r="A1185" s="5"/>
      <c r="B1185" s="4" t="str">
        <f t="shared" si="73"/>
        <v/>
      </c>
      <c r="C1185" t="str">
        <f>IF(AND(TRIM(A1185)&lt;&gt;"",IFERROR(VLOOKUP(TRIM(B1185),Inventory!E:E,1,0),0)=0),"X","_")</f>
        <v>_</v>
      </c>
      <c r="D1185" t="str">
        <f>IF(AND(TRIM(A1185)&lt;&gt;"",IFERROR(VLOOKUP(TRIM(B1185),'Full Inventory'!F:F,1,0),0)=0),"X","_")</f>
        <v>_</v>
      </c>
      <c r="E1185" t="str">
        <f t="shared" si="76"/>
        <v>X</v>
      </c>
      <c r="F1185" t="str">
        <f ca="1">IFERROR(IF(AND(C1185&amp;D1185&amp;E1185="___",INDIRECT("Inventory!A"&amp;MATCH(VLOOKUP(B1185,Inventory!E:E,1,0),Inventory!E:E,0))&lt;&gt;INDIRECT("'Full Inventory'!B"&amp;MATCH(VLOOKUP(B1185,'Full Inventory'!F:F,1,0),'Full Inventory'!F:F,0))),"X","_"),"_")</f>
        <v>_</v>
      </c>
      <c r="L1185" t="str">
        <f t="shared" ca="1" si="74"/>
        <v>__X_</v>
      </c>
      <c r="M1185" t="str">
        <f t="shared" ca="1" si="75"/>
        <v/>
      </c>
    </row>
    <row r="1186" spans="1:13" x14ac:dyDescent="0.25">
      <c r="A1186" s="5"/>
      <c r="B1186" s="4" t="str">
        <f t="shared" si="73"/>
        <v/>
      </c>
      <c r="C1186" t="str">
        <f>IF(AND(TRIM(A1186)&lt;&gt;"",IFERROR(VLOOKUP(TRIM(B1186),Inventory!E:E,1,0),0)=0),"X","_")</f>
        <v>_</v>
      </c>
      <c r="D1186" t="str">
        <f>IF(AND(TRIM(A1186)&lt;&gt;"",IFERROR(VLOOKUP(TRIM(B1186),'Full Inventory'!F:F,1,0),0)=0),"X","_")</f>
        <v>_</v>
      </c>
      <c r="E1186" t="str">
        <f t="shared" si="76"/>
        <v>X</v>
      </c>
      <c r="F1186" t="str">
        <f ca="1">IFERROR(IF(AND(C1186&amp;D1186&amp;E1186="___",INDIRECT("Inventory!A"&amp;MATCH(VLOOKUP(B1186,Inventory!E:E,1,0),Inventory!E:E,0))&lt;&gt;INDIRECT("'Full Inventory'!B"&amp;MATCH(VLOOKUP(B1186,'Full Inventory'!F:F,1,0),'Full Inventory'!F:F,0))),"X","_"),"_")</f>
        <v>_</v>
      </c>
      <c r="L1186" t="str">
        <f t="shared" ca="1" si="74"/>
        <v>__X_</v>
      </c>
      <c r="M1186" t="str">
        <f t="shared" ca="1" si="75"/>
        <v/>
      </c>
    </row>
    <row r="1187" spans="1:13" x14ac:dyDescent="0.25">
      <c r="A1187" s="5"/>
      <c r="B1187" s="4" t="str">
        <f t="shared" si="73"/>
        <v/>
      </c>
      <c r="C1187" t="str">
        <f>IF(AND(TRIM(A1187)&lt;&gt;"",IFERROR(VLOOKUP(TRIM(B1187),Inventory!E:E,1,0),0)=0),"X","_")</f>
        <v>_</v>
      </c>
      <c r="D1187" t="str">
        <f>IF(AND(TRIM(A1187)&lt;&gt;"",IFERROR(VLOOKUP(TRIM(B1187),'Full Inventory'!F:F,1,0),0)=0),"X","_")</f>
        <v>_</v>
      </c>
      <c r="E1187" t="str">
        <f t="shared" si="76"/>
        <v>X</v>
      </c>
      <c r="F1187" t="str">
        <f ca="1">IFERROR(IF(AND(C1187&amp;D1187&amp;E1187="___",INDIRECT("Inventory!A"&amp;MATCH(VLOOKUP(B1187,Inventory!E:E,1,0),Inventory!E:E,0))&lt;&gt;INDIRECT("'Full Inventory'!B"&amp;MATCH(VLOOKUP(B1187,'Full Inventory'!F:F,1,0),'Full Inventory'!F:F,0))),"X","_"),"_")</f>
        <v>_</v>
      </c>
      <c r="L1187" t="str">
        <f t="shared" ca="1" si="74"/>
        <v>__X_</v>
      </c>
      <c r="M1187" t="str">
        <f t="shared" ca="1" si="75"/>
        <v/>
      </c>
    </row>
    <row r="1188" spans="1:13" x14ac:dyDescent="0.25">
      <c r="A1188" s="5"/>
      <c r="B1188" s="4" t="str">
        <f t="shared" si="73"/>
        <v/>
      </c>
      <c r="C1188" t="str">
        <f>IF(AND(TRIM(A1188)&lt;&gt;"",IFERROR(VLOOKUP(TRIM(B1188),Inventory!E:E,1,0),0)=0),"X","_")</f>
        <v>_</v>
      </c>
      <c r="D1188" t="str">
        <f>IF(AND(TRIM(A1188)&lt;&gt;"",IFERROR(VLOOKUP(TRIM(B1188),'Full Inventory'!F:F,1,0),0)=0),"X","_")</f>
        <v>_</v>
      </c>
      <c r="E1188" t="str">
        <f t="shared" si="76"/>
        <v>X</v>
      </c>
      <c r="F1188" t="str">
        <f ca="1">IFERROR(IF(AND(C1188&amp;D1188&amp;E1188="___",INDIRECT("Inventory!A"&amp;MATCH(VLOOKUP(B1188,Inventory!E:E,1,0),Inventory!E:E,0))&lt;&gt;INDIRECT("'Full Inventory'!B"&amp;MATCH(VLOOKUP(B1188,'Full Inventory'!F:F,1,0),'Full Inventory'!F:F,0))),"X","_"),"_")</f>
        <v>_</v>
      </c>
      <c r="L1188" t="str">
        <f t="shared" ca="1" si="74"/>
        <v>__X_</v>
      </c>
      <c r="M1188" t="str">
        <f t="shared" ca="1" si="75"/>
        <v/>
      </c>
    </row>
    <row r="1189" spans="1:13" x14ac:dyDescent="0.25">
      <c r="A1189" s="5"/>
      <c r="B1189" s="4" t="str">
        <f t="shared" si="73"/>
        <v/>
      </c>
      <c r="C1189" t="str">
        <f>IF(AND(TRIM(A1189)&lt;&gt;"",IFERROR(VLOOKUP(TRIM(B1189),Inventory!E:E,1,0),0)=0),"X","_")</f>
        <v>_</v>
      </c>
      <c r="D1189" t="str">
        <f>IF(AND(TRIM(A1189)&lt;&gt;"",IFERROR(VLOOKUP(TRIM(B1189),'Full Inventory'!F:F,1,0),0)=0),"X","_")</f>
        <v>_</v>
      </c>
      <c r="E1189" t="str">
        <f t="shared" si="76"/>
        <v>X</v>
      </c>
      <c r="F1189" t="str">
        <f ca="1">IFERROR(IF(AND(C1189&amp;D1189&amp;E1189="___",INDIRECT("Inventory!A"&amp;MATCH(VLOOKUP(B1189,Inventory!E:E,1,0),Inventory!E:E,0))&lt;&gt;INDIRECT("'Full Inventory'!B"&amp;MATCH(VLOOKUP(B1189,'Full Inventory'!F:F,1,0),'Full Inventory'!F:F,0))),"X","_"),"_")</f>
        <v>_</v>
      </c>
      <c r="L1189" t="str">
        <f t="shared" ca="1" si="74"/>
        <v>__X_</v>
      </c>
      <c r="M1189" t="str">
        <f t="shared" ca="1" si="75"/>
        <v/>
      </c>
    </row>
    <row r="1190" spans="1:13" x14ac:dyDescent="0.25">
      <c r="A1190" s="5"/>
      <c r="B1190" s="4" t="str">
        <f t="shared" si="73"/>
        <v/>
      </c>
      <c r="C1190" t="str">
        <f>IF(AND(TRIM(A1190)&lt;&gt;"",IFERROR(VLOOKUP(TRIM(B1190),Inventory!E:E,1,0),0)=0),"X","_")</f>
        <v>_</v>
      </c>
      <c r="D1190" t="str">
        <f>IF(AND(TRIM(A1190)&lt;&gt;"",IFERROR(VLOOKUP(TRIM(B1190),'Full Inventory'!F:F,1,0),0)=0),"X","_")</f>
        <v>_</v>
      </c>
      <c r="E1190" t="str">
        <f t="shared" si="76"/>
        <v>X</v>
      </c>
      <c r="F1190" t="str">
        <f ca="1">IFERROR(IF(AND(C1190&amp;D1190&amp;E1190="___",INDIRECT("Inventory!A"&amp;MATCH(VLOOKUP(B1190,Inventory!E:E,1,0),Inventory!E:E,0))&lt;&gt;INDIRECT("'Full Inventory'!B"&amp;MATCH(VLOOKUP(B1190,'Full Inventory'!F:F,1,0),'Full Inventory'!F:F,0))),"X","_"),"_")</f>
        <v>_</v>
      </c>
      <c r="L1190" t="str">
        <f t="shared" ca="1" si="74"/>
        <v>__X_</v>
      </c>
      <c r="M1190" t="str">
        <f t="shared" ca="1" si="75"/>
        <v/>
      </c>
    </row>
    <row r="1191" spans="1:13" x14ac:dyDescent="0.25">
      <c r="A1191" s="5"/>
      <c r="B1191" s="4" t="str">
        <f t="shared" si="73"/>
        <v/>
      </c>
      <c r="C1191" t="str">
        <f>IF(AND(TRIM(A1191)&lt;&gt;"",IFERROR(VLOOKUP(TRIM(B1191),Inventory!E:E,1,0),0)=0),"X","_")</f>
        <v>_</v>
      </c>
      <c r="D1191" t="str">
        <f>IF(AND(TRIM(A1191)&lt;&gt;"",IFERROR(VLOOKUP(TRIM(B1191),'Full Inventory'!F:F,1,0),0)=0),"X","_")</f>
        <v>_</v>
      </c>
      <c r="E1191" t="str">
        <f t="shared" si="76"/>
        <v>X</v>
      </c>
      <c r="F1191" t="str">
        <f ca="1">IFERROR(IF(AND(C1191&amp;D1191&amp;E1191="___",INDIRECT("Inventory!A"&amp;MATCH(VLOOKUP(B1191,Inventory!E:E,1,0),Inventory!E:E,0))&lt;&gt;INDIRECT("'Full Inventory'!B"&amp;MATCH(VLOOKUP(B1191,'Full Inventory'!F:F,1,0),'Full Inventory'!F:F,0))),"X","_"),"_")</f>
        <v>_</v>
      </c>
      <c r="L1191" t="str">
        <f t="shared" ca="1" si="74"/>
        <v>__X_</v>
      </c>
      <c r="M1191" t="str">
        <f t="shared" ca="1" si="75"/>
        <v/>
      </c>
    </row>
    <row r="1192" spans="1:13" x14ac:dyDescent="0.25">
      <c r="A1192" s="5"/>
      <c r="B1192" s="4" t="str">
        <f t="shared" si="73"/>
        <v/>
      </c>
      <c r="C1192" t="str">
        <f>IF(AND(TRIM(A1192)&lt;&gt;"",IFERROR(VLOOKUP(TRIM(B1192),Inventory!E:E,1,0),0)=0),"X","_")</f>
        <v>_</v>
      </c>
      <c r="D1192" t="str">
        <f>IF(AND(TRIM(A1192)&lt;&gt;"",IFERROR(VLOOKUP(TRIM(B1192),'Full Inventory'!F:F,1,0),0)=0),"X","_")</f>
        <v>_</v>
      </c>
      <c r="E1192" t="str">
        <f t="shared" si="76"/>
        <v>X</v>
      </c>
      <c r="F1192" t="str">
        <f ca="1">IFERROR(IF(AND(C1192&amp;D1192&amp;E1192="___",INDIRECT("Inventory!A"&amp;MATCH(VLOOKUP(B1192,Inventory!E:E,1,0),Inventory!E:E,0))&lt;&gt;INDIRECT("'Full Inventory'!B"&amp;MATCH(VLOOKUP(B1192,'Full Inventory'!F:F,1,0),'Full Inventory'!F:F,0))),"X","_"),"_")</f>
        <v>_</v>
      </c>
      <c r="L1192" t="str">
        <f t="shared" ca="1" si="74"/>
        <v>__X_</v>
      </c>
      <c r="M1192" t="str">
        <f t="shared" ca="1" si="75"/>
        <v/>
      </c>
    </row>
    <row r="1193" spans="1:13" x14ac:dyDescent="0.25">
      <c r="A1193" s="5"/>
      <c r="B1193" s="4" t="str">
        <f t="shared" si="73"/>
        <v/>
      </c>
      <c r="C1193" t="str">
        <f>IF(AND(TRIM(A1193)&lt;&gt;"",IFERROR(VLOOKUP(TRIM(B1193),Inventory!E:E,1,0),0)=0),"X","_")</f>
        <v>_</v>
      </c>
      <c r="D1193" t="str">
        <f>IF(AND(TRIM(A1193)&lt;&gt;"",IFERROR(VLOOKUP(TRIM(B1193),'Full Inventory'!F:F,1,0),0)=0),"X","_")</f>
        <v>_</v>
      </c>
      <c r="E1193" t="str">
        <f t="shared" si="76"/>
        <v>X</v>
      </c>
      <c r="F1193" t="str">
        <f ca="1">IFERROR(IF(AND(C1193&amp;D1193&amp;E1193="___",INDIRECT("Inventory!A"&amp;MATCH(VLOOKUP(B1193,Inventory!E:E,1,0),Inventory!E:E,0))&lt;&gt;INDIRECT("'Full Inventory'!B"&amp;MATCH(VLOOKUP(B1193,'Full Inventory'!F:F,1,0),'Full Inventory'!F:F,0))),"X","_"),"_")</f>
        <v>_</v>
      </c>
      <c r="L1193" t="str">
        <f t="shared" ca="1" si="74"/>
        <v>__X_</v>
      </c>
      <c r="M1193" t="str">
        <f t="shared" ca="1" si="75"/>
        <v/>
      </c>
    </row>
    <row r="1194" spans="1:13" x14ac:dyDescent="0.25">
      <c r="A1194" s="5"/>
      <c r="B1194" s="4" t="str">
        <f t="shared" si="73"/>
        <v/>
      </c>
      <c r="C1194" t="str">
        <f>IF(AND(TRIM(A1194)&lt;&gt;"",IFERROR(VLOOKUP(TRIM(B1194),Inventory!E:E,1,0),0)=0),"X","_")</f>
        <v>_</v>
      </c>
      <c r="D1194" t="str">
        <f>IF(AND(TRIM(A1194)&lt;&gt;"",IFERROR(VLOOKUP(TRIM(B1194),'Full Inventory'!F:F,1,0),0)=0),"X","_")</f>
        <v>_</v>
      </c>
      <c r="E1194" t="str">
        <f t="shared" si="76"/>
        <v>X</v>
      </c>
      <c r="F1194" t="str">
        <f ca="1">IFERROR(IF(AND(C1194&amp;D1194&amp;E1194="___",INDIRECT("Inventory!A"&amp;MATCH(VLOOKUP(B1194,Inventory!E:E,1,0),Inventory!E:E,0))&lt;&gt;INDIRECT("'Full Inventory'!B"&amp;MATCH(VLOOKUP(B1194,'Full Inventory'!F:F,1,0),'Full Inventory'!F:F,0))),"X","_"),"_")</f>
        <v>_</v>
      </c>
      <c r="L1194" t="str">
        <f t="shared" ca="1" si="74"/>
        <v>__X_</v>
      </c>
      <c r="M1194" t="str">
        <f t="shared" ca="1" si="75"/>
        <v/>
      </c>
    </row>
    <row r="1195" spans="1:13" x14ac:dyDescent="0.25">
      <c r="A1195" s="5"/>
      <c r="B1195" s="4" t="str">
        <f t="shared" si="73"/>
        <v/>
      </c>
      <c r="C1195" t="str">
        <f>IF(AND(TRIM(A1195)&lt;&gt;"",IFERROR(VLOOKUP(TRIM(B1195),Inventory!E:E,1,0),0)=0),"X","_")</f>
        <v>_</v>
      </c>
      <c r="D1195" t="str">
        <f>IF(AND(TRIM(A1195)&lt;&gt;"",IFERROR(VLOOKUP(TRIM(B1195),'Full Inventory'!F:F,1,0),0)=0),"X","_")</f>
        <v>_</v>
      </c>
      <c r="E1195" t="str">
        <f t="shared" si="76"/>
        <v>X</v>
      </c>
      <c r="F1195" t="str">
        <f ca="1">IFERROR(IF(AND(C1195&amp;D1195&amp;E1195="___",INDIRECT("Inventory!A"&amp;MATCH(VLOOKUP(B1195,Inventory!E:E,1,0),Inventory!E:E,0))&lt;&gt;INDIRECT("'Full Inventory'!B"&amp;MATCH(VLOOKUP(B1195,'Full Inventory'!F:F,1,0),'Full Inventory'!F:F,0))),"X","_"),"_")</f>
        <v>_</v>
      </c>
      <c r="L1195" t="str">
        <f t="shared" ca="1" si="74"/>
        <v>__X_</v>
      </c>
      <c r="M1195" t="str">
        <f t="shared" ca="1" si="75"/>
        <v/>
      </c>
    </row>
    <row r="1196" spans="1:13" x14ac:dyDescent="0.25">
      <c r="A1196" s="5"/>
      <c r="B1196" s="4" t="str">
        <f t="shared" si="73"/>
        <v/>
      </c>
      <c r="C1196" t="str">
        <f>IF(AND(TRIM(A1196)&lt;&gt;"",IFERROR(VLOOKUP(TRIM(B1196),Inventory!E:E,1,0),0)=0),"X","_")</f>
        <v>_</v>
      </c>
      <c r="D1196" t="str">
        <f>IF(AND(TRIM(A1196)&lt;&gt;"",IFERROR(VLOOKUP(TRIM(B1196),'Full Inventory'!F:F,1,0),0)=0),"X","_")</f>
        <v>_</v>
      </c>
      <c r="E1196" t="str">
        <f t="shared" si="76"/>
        <v>X</v>
      </c>
      <c r="F1196" t="str">
        <f ca="1">IFERROR(IF(AND(C1196&amp;D1196&amp;E1196="___",INDIRECT("Inventory!A"&amp;MATCH(VLOOKUP(B1196,Inventory!E:E,1,0),Inventory!E:E,0))&lt;&gt;INDIRECT("'Full Inventory'!B"&amp;MATCH(VLOOKUP(B1196,'Full Inventory'!F:F,1,0),'Full Inventory'!F:F,0))),"X","_"),"_")</f>
        <v>_</v>
      </c>
      <c r="L1196" t="str">
        <f t="shared" ca="1" si="74"/>
        <v>__X_</v>
      </c>
      <c r="M1196" t="str">
        <f t="shared" ca="1" si="75"/>
        <v/>
      </c>
    </row>
    <row r="1197" spans="1:13" x14ac:dyDescent="0.25">
      <c r="A1197" s="5"/>
      <c r="B1197" s="4" t="str">
        <f t="shared" si="73"/>
        <v/>
      </c>
      <c r="C1197" t="str">
        <f>IF(AND(TRIM(A1197)&lt;&gt;"",IFERROR(VLOOKUP(TRIM(B1197),Inventory!E:E,1,0),0)=0),"X","_")</f>
        <v>_</v>
      </c>
      <c r="D1197" t="str">
        <f>IF(AND(TRIM(A1197)&lt;&gt;"",IFERROR(VLOOKUP(TRIM(B1197),'Full Inventory'!F:F,1,0),0)=0),"X","_")</f>
        <v>_</v>
      </c>
      <c r="E1197" t="str">
        <f t="shared" si="76"/>
        <v>X</v>
      </c>
      <c r="F1197" t="str">
        <f ca="1">IFERROR(IF(AND(C1197&amp;D1197&amp;E1197="___",INDIRECT("Inventory!A"&amp;MATCH(VLOOKUP(B1197,Inventory!E:E,1,0),Inventory!E:E,0))&lt;&gt;INDIRECT("'Full Inventory'!B"&amp;MATCH(VLOOKUP(B1197,'Full Inventory'!F:F,1,0),'Full Inventory'!F:F,0))),"X","_"),"_")</f>
        <v>_</v>
      </c>
      <c r="L1197" t="str">
        <f t="shared" ca="1" si="74"/>
        <v>__X_</v>
      </c>
      <c r="M1197" t="str">
        <f t="shared" ca="1" si="75"/>
        <v/>
      </c>
    </row>
    <row r="1198" spans="1:13" x14ac:dyDescent="0.25">
      <c r="A1198" s="5"/>
      <c r="B1198" s="4" t="str">
        <f t="shared" si="73"/>
        <v/>
      </c>
      <c r="C1198" t="str">
        <f>IF(AND(TRIM(A1198)&lt;&gt;"",IFERROR(VLOOKUP(TRIM(B1198),Inventory!E:E,1,0),0)=0),"X","_")</f>
        <v>_</v>
      </c>
      <c r="D1198" t="str">
        <f>IF(AND(TRIM(A1198)&lt;&gt;"",IFERROR(VLOOKUP(TRIM(B1198),'Full Inventory'!F:F,1,0),0)=0),"X","_")</f>
        <v>_</v>
      </c>
      <c r="E1198" t="str">
        <f t="shared" si="76"/>
        <v>X</v>
      </c>
      <c r="F1198" t="str">
        <f ca="1">IFERROR(IF(AND(C1198&amp;D1198&amp;E1198="___",INDIRECT("Inventory!A"&amp;MATCH(VLOOKUP(B1198,Inventory!E:E,1,0),Inventory!E:E,0))&lt;&gt;INDIRECT("'Full Inventory'!B"&amp;MATCH(VLOOKUP(B1198,'Full Inventory'!F:F,1,0),'Full Inventory'!F:F,0))),"X","_"),"_")</f>
        <v>_</v>
      </c>
      <c r="L1198" t="str">
        <f t="shared" ca="1" si="74"/>
        <v>__X_</v>
      </c>
      <c r="M1198" t="str">
        <f t="shared" ca="1" si="75"/>
        <v/>
      </c>
    </row>
    <row r="1199" spans="1:13" x14ac:dyDescent="0.25">
      <c r="A1199" s="5"/>
      <c r="B1199" s="4" t="str">
        <f t="shared" si="73"/>
        <v/>
      </c>
      <c r="C1199" t="str">
        <f>IF(AND(TRIM(A1199)&lt;&gt;"",IFERROR(VLOOKUP(TRIM(B1199),Inventory!E:E,1,0),0)=0),"X","_")</f>
        <v>_</v>
      </c>
      <c r="D1199" t="str">
        <f>IF(AND(TRIM(A1199)&lt;&gt;"",IFERROR(VLOOKUP(TRIM(B1199),'Full Inventory'!F:F,1,0),0)=0),"X","_")</f>
        <v>_</v>
      </c>
      <c r="E1199" t="str">
        <f t="shared" si="76"/>
        <v>X</v>
      </c>
      <c r="F1199" t="str">
        <f ca="1">IFERROR(IF(AND(C1199&amp;D1199&amp;E1199="___",INDIRECT("Inventory!A"&amp;MATCH(VLOOKUP(B1199,Inventory!E:E,1,0),Inventory!E:E,0))&lt;&gt;INDIRECT("'Full Inventory'!B"&amp;MATCH(VLOOKUP(B1199,'Full Inventory'!F:F,1,0),'Full Inventory'!F:F,0))),"X","_"),"_")</f>
        <v>_</v>
      </c>
      <c r="L1199" t="str">
        <f t="shared" ca="1" si="74"/>
        <v>__X_</v>
      </c>
      <c r="M1199" t="str">
        <f t="shared" ca="1" si="75"/>
        <v/>
      </c>
    </row>
    <row r="1200" spans="1:13" x14ac:dyDescent="0.25">
      <c r="A1200" s="5"/>
      <c r="B1200" s="4" t="str">
        <f t="shared" si="73"/>
        <v/>
      </c>
      <c r="C1200" t="str">
        <f>IF(AND(TRIM(A1200)&lt;&gt;"",IFERROR(VLOOKUP(TRIM(B1200),Inventory!E:E,1,0),0)=0),"X","_")</f>
        <v>_</v>
      </c>
      <c r="D1200" t="str">
        <f>IF(AND(TRIM(A1200)&lt;&gt;"",IFERROR(VLOOKUP(TRIM(B1200),'Full Inventory'!F:F,1,0),0)=0),"X","_")</f>
        <v>_</v>
      </c>
      <c r="E1200" t="str">
        <f t="shared" si="76"/>
        <v>X</v>
      </c>
      <c r="F1200" t="str">
        <f ca="1">IFERROR(IF(AND(C1200&amp;D1200&amp;E1200="___",INDIRECT("Inventory!A"&amp;MATCH(VLOOKUP(B1200,Inventory!E:E,1,0),Inventory!E:E,0))&lt;&gt;INDIRECT("'Full Inventory'!B"&amp;MATCH(VLOOKUP(B1200,'Full Inventory'!F:F,1,0),'Full Inventory'!F:F,0))),"X","_"),"_")</f>
        <v>_</v>
      </c>
      <c r="L1200" t="str">
        <f t="shared" ca="1" si="74"/>
        <v>__X_</v>
      </c>
      <c r="M1200" t="str">
        <f t="shared" ca="1" si="75"/>
        <v/>
      </c>
    </row>
    <row r="1201" spans="1:13" x14ac:dyDescent="0.25">
      <c r="A1201" s="5"/>
      <c r="B1201" s="4" t="str">
        <f t="shared" si="73"/>
        <v/>
      </c>
      <c r="C1201" t="str">
        <f>IF(AND(TRIM(A1201)&lt;&gt;"",IFERROR(VLOOKUP(TRIM(B1201),Inventory!E:E,1,0),0)=0),"X","_")</f>
        <v>_</v>
      </c>
      <c r="D1201" t="str">
        <f>IF(AND(TRIM(A1201)&lt;&gt;"",IFERROR(VLOOKUP(TRIM(B1201),'Full Inventory'!F:F,1,0),0)=0),"X","_")</f>
        <v>_</v>
      </c>
      <c r="E1201" t="str">
        <f t="shared" si="76"/>
        <v>X</v>
      </c>
      <c r="F1201" t="str">
        <f ca="1">IFERROR(IF(AND(C1201&amp;D1201&amp;E1201="___",INDIRECT("Inventory!A"&amp;MATCH(VLOOKUP(B1201,Inventory!E:E,1,0),Inventory!E:E,0))&lt;&gt;INDIRECT("'Full Inventory'!B"&amp;MATCH(VLOOKUP(B1201,'Full Inventory'!F:F,1,0),'Full Inventory'!F:F,0))),"X","_"),"_")</f>
        <v>_</v>
      </c>
      <c r="L1201" t="str">
        <f t="shared" ca="1" si="74"/>
        <v>__X_</v>
      </c>
      <c r="M1201" t="str">
        <f t="shared" ca="1" si="75"/>
        <v/>
      </c>
    </row>
    <row r="1202" spans="1:13" x14ac:dyDescent="0.25">
      <c r="A1202" s="5"/>
      <c r="B1202" s="4" t="str">
        <f t="shared" si="73"/>
        <v/>
      </c>
      <c r="C1202" t="str">
        <f>IF(AND(TRIM(A1202)&lt;&gt;"",IFERROR(VLOOKUP(TRIM(B1202),Inventory!E:E,1,0),0)=0),"X","_")</f>
        <v>_</v>
      </c>
      <c r="D1202" t="str">
        <f>IF(AND(TRIM(A1202)&lt;&gt;"",IFERROR(VLOOKUP(TRIM(B1202),'Full Inventory'!F:F,1,0),0)=0),"X","_")</f>
        <v>_</v>
      </c>
      <c r="E1202" t="str">
        <f t="shared" si="76"/>
        <v>X</v>
      </c>
      <c r="F1202" t="str">
        <f ca="1">IFERROR(IF(AND(C1202&amp;D1202&amp;E1202="___",INDIRECT("Inventory!A"&amp;MATCH(VLOOKUP(B1202,Inventory!E:E,1,0),Inventory!E:E,0))&lt;&gt;INDIRECT("'Full Inventory'!B"&amp;MATCH(VLOOKUP(B1202,'Full Inventory'!F:F,1,0),'Full Inventory'!F:F,0))),"X","_"),"_")</f>
        <v>_</v>
      </c>
      <c r="L1202" t="str">
        <f t="shared" ca="1" si="74"/>
        <v>__X_</v>
      </c>
      <c r="M1202" t="str">
        <f t="shared" ca="1" si="75"/>
        <v/>
      </c>
    </row>
    <row r="1203" spans="1:13" x14ac:dyDescent="0.25">
      <c r="A1203" s="5"/>
      <c r="B1203" s="4" t="str">
        <f t="shared" si="73"/>
        <v/>
      </c>
      <c r="C1203" t="str">
        <f>IF(AND(TRIM(A1203)&lt;&gt;"",IFERROR(VLOOKUP(TRIM(B1203),Inventory!E:E,1,0),0)=0),"X","_")</f>
        <v>_</v>
      </c>
      <c r="D1203" t="str">
        <f>IF(AND(TRIM(A1203)&lt;&gt;"",IFERROR(VLOOKUP(TRIM(B1203),'Full Inventory'!F:F,1,0),0)=0),"X","_")</f>
        <v>_</v>
      </c>
      <c r="E1203" t="str">
        <f t="shared" si="76"/>
        <v>X</v>
      </c>
      <c r="F1203" t="str">
        <f ca="1">IFERROR(IF(AND(C1203&amp;D1203&amp;E1203="___",INDIRECT("Inventory!A"&amp;MATCH(VLOOKUP(B1203,Inventory!E:E,1,0),Inventory!E:E,0))&lt;&gt;INDIRECT("'Full Inventory'!B"&amp;MATCH(VLOOKUP(B1203,'Full Inventory'!F:F,1,0),'Full Inventory'!F:F,0))),"X","_"),"_")</f>
        <v>_</v>
      </c>
      <c r="L1203" t="str">
        <f t="shared" ca="1" si="74"/>
        <v>__X_</v>
      </c>
      <c r="M1203" t="str">
        <f t="shared" ca="1" si="75"/>
        <v/>
      </c>
    </row>
    <row r="1204" spans="1:13" x14ac:dyDescent="0.25">
      <c r="A1204" s="5"/>
      <c r="B1204" s="4" t="str">
        <f t="shared" si="73"/>
        <v/>
      </c>
      <c r="C1204" t="str">
        <f>IF(AND(TRIM(A1204)&lt;&gt;"",IFERROR(VLOOKUP(TRIM(B1204),Inventory!E:E,1,0),0)=0),"X","_")</f>
        <v>_</v>
      </c>
      <c r="D1204" t="str">
        <f>IF(AND(TRIM(A1204)&lt;&gt;"",IFERROR(VLOOKUP(TRIM(B1204),'Full Inventory'!F:F,1,0),0)=0),"X","_")</f>
        <v>_</v>
      </c>
      <c r="E1204" t="str">
        <f t="shared" si="76"/>
        <v>X</v>
      </c>
      <c r="F1204" t="str">
        <f ca="1">IFERROR(IF(AND(C1204&amp;D1204&amp;E1204="___",INDIRECT("Inventory!A"&amp;MATCH(VLOOKUP(B1204,Inventory!E:E,1,0),Inventory!E:E,0))&lt;&gt;INDIRECT("'Full Inventory'!B"&amp;MATCH(VLOOKUP(B1204,'Full Inventory'!F:F,1,0),'Full Inventory'!F:F,0))),"X","_"),"_")</f>
        <v>_</v>
      </c>
      <c r="L1204" t="str">
        <f t="shared" ca="1" si="74"/>
        <v>__X_</v>
      </c>
      <c r="M1204" t="str">
        <f t="shared" ca="1" si="75"/>
        <v/>
      </c>
    </row>
    <row r="1205" spans="1:13" x14ac:dyDescent="0.25">
      <c r="A1205" s="5"/>
      <c r="B1205" s="4" t="str">
        <f t="shared" si="73"/>
        <v/>
      </c>
      <c r="C1205" t="str">
        <f>IF(AND(TRIM(A1205)&lt;&gt;"",IFERROR(VLOOKUP(TRIM(B1205),Inventory!E:E,1,0),0)=0),"X","_")</f>
        <v>_</v>
      </c>
      <c r="D1205" t="str">
        <f>IF(AND(TRIM(A1205)&lt;&gt;"",IFERROR(VLOOKUP(TRIM(B1205),'Full Inventory'!F:F,1,0),0)=0),"X","_")</f>
        <v>_</v>
      </c>
      <c r="E1205" t="str">
        <f t="shared" si="76"/>
        <v>X</v>
      </c>
      <c r="F1205" t="str">
        <f ca="1">IFERROR(IF(AND(C1205&amp;D1205&amp;E1205="___",INDIRECT("Inventory!A"&amp;MATCH(VLOOKUP(B1205,Inventory!E:E,1,0),Inventory!E:E,0))&lt;&gt;INDIRECT("'Full Inventory'!B"&amp;MATCH(VLOOKUP(B1205,'Full Inventory'!F:F,1,0),'Full Inventory'!F:F,0))),"X","_"),"_")</f>
        <v>_</v>
      </c>
      <c r="L1205" t="str">
        <f t="shared" ca="1" si="74"/>
        <v>__X_</v>
      </c>
      <c r="M1205" t="str">
        <f t="shared" ca="1" si="75"/>
        <v/>
      </c>
    </row>
    <row r="1206" spans="1:13" x14ac:dyDescent="0.25">
      <c r="A1206" s="5"/>
      <c r="B1206" s="4" t="str">
        <f t="shared" si="73"/>
        <v/>
      </c>
      <c r="C1206" t="str">
        <f>IF(AND(TRIM(A1206)&lt;&gt;"",IFERROR(VLOOKUP(TRIM(B1206),Inventory!E:E,1,0),0)=0),"X","_")</f>
        <v>_</v>
      </c>
      <c r="D1206" t="str">
        <f>IF(AND(TRIM(A1206)&lt;&gt;"",IFERROR(VLOOKUP(TRIM(B1206),'Full Inventory'!F:F,1,0),0)=0),"X","_")</f>
        <v>_</v>
      </c>
      <c r="E1206" t="str">
        <f t="shared" si="76"/>
        <v>X</v>
      </c>
      <c r="F1206" t="str">
        <f ca="1">IFERROR(IF(AND(C1206&amp;D1206&amp;E1206="___",INDIRECT("Inventory!A"&amp;MATCH(VLOOKUP(B1206,Inventory!E:E,1,0),Inventory!E:E,0))&lt;&gt;INDIRECT("'Full Inventory'!B"&amp;MATCH(VLOOKUP(B1206,'Full Inventory'!F:F,1,0),'Full Inventory'!F:F,0))),"X","_"),"_")</f>
        <v>_</v>
      </c>
      <c r="L1206" t="str">
        <f t="shared" ca="1" si="74"/>
        <v>__X_</v>
      </c>
      <c r="M1206" t="str">
        <f t="shared" ca="1" si="75"/>
        <v/>
      </c>
    </row>
    <row r="1207" spans="1:13" x14ac:dyDescent="0.25">
      <c r="A1207" s="5"/>
      <c r="B1207" s="4" t="str">
        <f t="shared" si="73"/>
        <v/>
      </c>
      <c r="C1207" t="str">
        <f>IF(AND(TRIM(A1207)&lt;&gt;"",IFERROR(VLOOKUP(TRIM(B1207),Inventory!E:E,1,0),0)=0),"X","_")</f>
        <v>_</v>
      </c>
      <c r="D1207" t="str">
        <f>IF(AND(TRIM(A1207)&lt;&gt;"",IFERROR(VLOOKUP(TRIM(B1207),'Full Inventory'!F:F,1,0),0)=0),"X","_")</f>
        <v>_</v>
      </c>
      <c r="E1207" t="str">
        <f t="shared" si="76"/>
        <v>X</v>
      </c>
      <c r="F1207" t="str">
        <f ca="1">IFERROR(IF(AND(C1207&amp;D1207&amp;E1207="___",INDIRECT("Inventory!A"&amp;MATCH(VLOOKUP(B1207,Inventory!E:E,1,0),Inventory!E:E,0))&lt;&gt;INDIRECT("'Full Inventory'!B"&amp;MATCH(VLOOKUP(B1207,'Full Inventory'!F:F,1,0),'Full Inventory'!F:F,0))),"X","_"),"_")</f>
        <v>_</v>
      </c>
      <c r="L1207" t="str">
        <f t="shared" ca="1" si="74"/>
        <v>__X_</v>
      </c>
      <c r="M1207" t="str">
        <f t="shared" ca="1" si="75"/>
        <v/>
      </c>
    </row>
    <row r="1208" spans="1:13" x14ac:dyDescent="0.25">
      <c r="A1208" s="5"/>
      <c r="B1208" s="4" t="str">
        <f t="shared" si="73"/>
        <v/>
      </c>
      <c r="C1208" t="str">
        <f>IF(AND(TRIM(A1208)&lt;&gt;"",IFERROR(VLOOKUP(TRIM(B1208),Inventory!E:E,1,0),0)=0),"X","_")</f>
        <v>_</v>
      </c>
      <c r="D1208" t="str">
        <f>IF(AND(TRIM(A1208)&lt;&gt;"",IFERROR(VLOOKUP(TRIM(B1208),'Full Inventory'!F:F,1,0),0)=0),"X","_")</f>
        <v>_</v>
      </c>
      <c r="E1208" t="str">
        <f t="shared" si="76"/>
        <v>X</v>
      </c>
      <c r="F1208" t="str">
        <f ca="1">IFERROR(IF(AND(C1208&amp;D1208&amp;E1208="___",INDIRECT("Inventory!A"&amp;MATCH(VLOOKUP(B1208,Inventory!E:E,1,0),Inventory!E:E,0))&lt;&gt;INDIRECT("'Full Inventory'!B"&amp;MATCH(VLOOKUP(B1208,'Full Inventory'!F:F,1,0),'Full Inventory'!F:F,0))),"X","_"),"_")</f>
        <v>_</v>
      </c>
      <c r="L1208" t="str">
        <f t="shared" ca="1" si="74"/>
        <v>__X_</v>
      </c>
      <c r="M1208" t="str">
        <f t="shared" ca="1" si="75"/>
        <v/>
      </c>
    </row>
    <row r="1209" spans="1:13" x14ac:dyDescent="0.25">
      <c r="A1209" s="5"/>
      <c r="B1209" s="4" t="str">
        <f t="shared" si="73"/>
        <v/>
      </c>
      <c r="C1209" t="str">
        <f>IF(AND(TRIM(A1209)&lt;&gt;"",IFERROR(VLOOKUP(TRIM(B1209),Inventory!E:E,1,0),0)=0),"X","_")</f>
        <v>_</v>
      </c>
      <c r="D1209" t="str">
        <f>IF(AND(TRIM(A1209)&lt;&gt;"",IFERROR(VLOOKUP(TRIM(B1209),'Full Inventory'!F:F,1,0),0)=0),"X","_")</f>
        <v>_</v>
      </c>
      <c r="E1209" t="str">
        <f t="shared" si="76"/>
        <v>X</v>
      </c>
      <c r="F1209" t="str">
        <f ca="1">IFERROR(IF(AND(C1209&amp;D1209&amp;E1209="___",INDIRECT("Inventory!A"&amp;MATCH(VLOOKUP(B1209,Inventory!E:E,1,0),Inventory!E:E,0))&lt;&gt;INDIRECT("'Full Inventory'!B"&amp;MATCH(VLOOKUP(B1209,'Full Inventory'!F:F,1,0),'Full Inventory'!F:F,0))),"X","_"),"_")</f>
        <v>_</v>
      </c>
      <c r="L1209" t="str">
        <f t="shared" ca="1" si="74"/>
        <v>__X_</v>
      </c>
      <c r="M1209" t="str">
        <f t="shared" ca="1" si="75"/>
        <v/>
      </c>
    </row>
    <row r="1210" spans="1:13" x14ac:dyDescent="0.25">
      <c r="A1210" s="5"/>
      <c r="B1210" s="4" t="str">
        <f t="shared" si="73"/>
        <v/>
      </c>
      <c r="C1210" t="str">
        <f>IF(AND(TRIM(A1210)&lt;&gt;"",IFERROR(VLOOKUP(TRIM(B1210),Inventory!E:E,1,0),0)=0),"X","_")</f>
        <v>_</v>
      </c>
      <c r="D1210" t="str">
        <f>IF(AND(TRIM(A1210)&lt;&gt;"",IFERROR(VLOOKUP(TRIM(B1210),'Full Inventory'!F:F,1,0),0)=0),"X","_")</f>
        <v>_</v>
      </c>
      <c r="E1210" t="str">
        <f t="shared" si="76"/>
        <v>X</v>
      </c>
      <c r="F1210" t="str">
        <f ca="1">IFERROR(IF(AND(C1210&amp;D1210&amp;E1210="___",INDIRECT("Inventory!A"&amp;MATCH(VLOOKUP(B1210,Inventory!E:E,1,0),Inventory!E:E,0))&lt;&gt;INDIRECT("'Full Inventory'!B"&amp;MATCH(VLOOKUP(B1210,'Full Inventory'!F:F,1,0),'Full Inventory'!F:F,0))),"X","_"),"_")</f>
        <v>_</v>
      </c>
      <c r="L1210" t="str">
        <f t="shared" ca="1" si="74"/>
        <v>__X_</v>
      </c>
      <c r="M1210" t="str">
        <f t="shared" ca="1" si="75"/>
        <v/>
      </c>
    </row>
    <row r="1211" spans="1:13" x14ac:dyDescent="0.25">
      <c r="A1211" s="5"/>
      <c r="B1211" s="4" t="str">
        <f t="shared" si="73"/>
        <v/>
      </c>
      <c r="C1211" t="str">
        <f>IF(AND(TRIM(A1211)&lt;&gt;"",IFERROR(VLOOKUP(TRIM(B1211),Inventory!E:E,1,0),0)=0),"X","_")</f>
        <v>_</v>
      </c>
      <c r="D1211" t="str">
        <f>IF(AND(TRIM(A1211)&lt;&gt;"",IFERROR(VLOOKUP(TRIM(B1211),'Full Inventory'!F:F,1,0),0)=0),"X","_")</f>
        <v>_</v>
      </c>
      <c r="E1211" t="str">
        <f t="shared" si="76"/>
        <v>X</v>
      </c>
      <c r="F1211" t="str">
        <f ca="1">IFERROR(IF(AND(C1211&amp;D1211&amp;E1211="___",INDIRECT("Inventory!A"&amp;MATCH(VLOOKUP(B1211,Inventory!E:E,1,0),Inventory!E:E,0))&lt;&gt;INDIRECT("'Full Inventory'!B"&amp;MATCH(VLOOKUP(B1211,'Full Inventory'!F:F,1,0),'Full Inventory'!F:F,0))),"X","_"),"_")</f>
        <v>_</v>
      </c>
      <c r="L1211" t="str">
        <f t="shared" ca="1" si="74"/>
        <v>__X_</v>
      </c>
      <c r="M1211" t="str">
        <f t="shared" ca="1" si="75"/>
        <v/>
      </c>
    </row>
    <row r="1212" spans="1:13" x14ac:dyDescent="0.25">
      <c r="A1212" s="5"/>
      <c r="B1212" s="4" t="str">
        <f t="shared" si="73"/>
        <v/>
      </c>
      <c r="C1212" t="str">
        <f>IF(AND(TRIM(A1212)&lt;&gt;"",IFERROR(VLOOKUP(TRIM(B1212),Inventory!E:E,1,0),0)=0),"X","_")</f>
        <v>_</v>
      </c>
      <c r="D1212" t="str">
        <f>IF(AND(TRIM(A1212)&lt;&gt;"",IFERROR(VLOOKUP(TRIM(B1212),'Full Inventory'!F:F,1,0),0)=0),"X","_")</f>
        <v>_</v>
      </c>
      <c r="E1212" t="str">
        <f t="shared" si="76"/>
        <v>X</v>
      </c>
      <c r="F1212" t="str">
        <f ca="1">IFERROR(IF(AND(C1212&amp;D1212&amp;E1212="___",INDIRECT("Inventory!A"&amp;MATCH(VLOOKUP(B1212,Inventory!E:E,1,0),Inventory!E:E,0))&lt;&gt;INDIRECT("'Full Inventory'!B"&amp;MATCH(VLOOKUP(B1212,'Full Inventory'!F:F,1,0),'Full Inventory'!F:F,0))),"X","_"),"_")</f>
        <v>_</v>
      </c>
      <c r="L1212" t="str">
        <f t="shared" ca="1" si="74"/>
        <v>__X_</v>
      </c>
      <c r="M1212" t="str">
        <f t="shared" ca="1" si="75"/>
        <v/>
      </c>
    </row>
    <row r="1213" spans="1:13" x14ac:dyDescent="0.25">
      <c r="A1213" s="5"/>
      <c r="B1213" s="4" t="str">
        <f t="shared" si="73"/>
        <v/>
      </c>
      <c r="C1213" t="str">
        <f>IF(AND(TRIM(A1213)&lt;&gt;"",IFERROR(VLOOKUP(TRIM(B1213),Inventory!E:E,1,0),0)=0),"X","_")</f>
        <v>_</v>
      </c>
      <c r="D1213" t="str">
        <f>IF(AND(TRIM(A1213)&lt;&gt;"",IFERROR(VLOOKUP(TRIM(B1213),'Full Inventory'!F:F,1,0),0)=0),"X","_")</f>
        <v>_</v>
      </c>
      <c r="E1213" t="str">
        <f t="shared" si="76"/>
        <v>X</v>
      </c>
      <c r="F1213" t="str">
        <f ca="1">IFERROR(IF(AND(C1213&amp;D1213&amp;E1213="___",INDIRECT("Inventory!A"&amp;MATCH(VLOOKUP(B1213,Inventory!E:E,1,0),Inventory!E:E,0))&lt;&gt;INDIRECT("'Full Inventory'!B"&amp;MATCH(VLOOKUP(B1213,'Full Inventory'!F:F,1,0),'Full Inventory'!F:F,0))),"X","_"),"_")</f>
        <v>_</v>
      </c>
      <c r="L1213" t="str">
        <f t="shared" ca="1" si="74"/>
        <v>__X_</v>
      </c>
      <c r="M1213" t="str">
        <f t="shared" ca="1" si="75"/>
        <v/>
      </c>
    </row>
    <row r="1214" spans="1:13" x14ac:dyDescent="0.25">
      <c r="A1214" s="5"/>
      <c r="B1214" s="4" t="str">
        <f t="shared" si="73"/>
        <v/>
      </c>
      <c r="C1214" t="str">
        <f>IF(AND(TRIM(A1214)&lt;&gt;"",IFERROR(VLOOKUP(TRIM(B1214),Inventory!E:E,1,0),0)=0),"X","_")</f>
        <v>_</v>
      </c>
      <c r="D1214" t="str">
        <f>IF(AND(TRIM(A1214)&lt;&gt;"",IFERROR(VLOOKUP(TRIM(B1214),'Full Inventory'!F:F,1,0),0)=0),"X","_")</f>
        <v>_</v>
      </c>
      <c r="E1214" t="str">
        <f t="shared" si="76"/>
        <v>X</v>
      </c>
      <c r="F1214" t="str">
        <f ca="1">IFERROR(IF(AND(C1214&amp;D1214&amp;E1214="___",INDIRECT("Inventory!A"&amp;MATCH(VLOOKUP(B1214,Inventory!E:E,1,0),Inventory!E:E,0))&lt;&gt;INDIRECT("'Full Inventory'!B"&amp;MATCH(VLOOKUP(B1214,'Full Inventory'!F:F,1,0),'Full Inventory'!F:F,0))),"X","_"),"_")</f>
        <v>_</v>
      </c>
      <c r="L1214" t="str">
        <f t="shared" ca="1" si="74"/>
        <v>__X_</v>
      </c>
      <c r="M1214" t="str">
        <f t="shared" ca="1" si="75"/>
        <v/>
      </c>
    </row>
    <row r="1215" spans="1:13" x14ac:dyDescent="0.25">
      <c r="A1215" s="5"/>
      <c r="B1215" s="4" t="str">
        <f t="shared" si="73"/>
        <v/>
      </c>
      <c r="C1215" t="str">
        <f>IF(AND(TRIM(A1215)&lt;&gt;"",IFERROR(VLOOKUP(TRIM(B1215),Inventory!E:E,1,0),0)=0),"X","_")</f>
        <v>_</v>
      </c>
      <c r="D1215" t="str">
        <f>IF(AND(TRIM(A1215)&lt;&gt;"",IFERROR(VLOOKUP(TRIM(B1215),'Full Inventory'!F:F,1,0),0)=0),"X","_")</f>
        <v>_</v>
      </c>
      <c r="E1215" t="str">
        <f t="shared" si="76"/>
        <v>X</v>
      </c>
      <c r="F1215" t="str">
        <f ca="1">IFERROR(IF(AND(C1215&amp;D1215&amp;E1215="___",INDIRECT("Inventory!A"&amp;MATCH(VLOOKUP(B1215,Inventory!E:E,1,0),Inventory!E:E,0))&lt;&gt;INDIRECT("'Full Inventory'!B"&amp;MATCH(VLOOKUP(B1215,'Full Inventory'!F:F,1,0),'Full Inventory'!F:F,0))),"X","_"),"_")</f>
        <v>_</v>
      </c>
      <c r="L1215" t="str">
        <f t="shared" ca="1" si="74"/>
        <v>__X_</v>
      </c>
      <c r="M1215" t="str">
        <f t="shared" ca="1" si="75"/>
        <v/>
      </c>
    </row>
    <row r="1216" spans="1:13" x14ac:dyDescent="0.25">
      <c r="A1216" s="5"/>
      <c r="B1216" s="4" t="str">
        <f t="shared" si="73"/>
        <v/>
      </c>
      <c r="C1216" t="str">
        <f>IF(AND(TRIM(A1216)&lt;&gt;"",IFERROR(VLOOKUP(TRIM(B1216),Inventory!E:E,1,0),0)=0),"X","_")</f>
        <v>_</v>
      </c>
      <c r="D1216" t="str">
        <f>IF(AND(TRIM(A1216)&lt;&gt;"",IFERROR(VLOOKUP(TRIM(B1216),'Full Inventory'!F:F,1,0),0)=0),"X","_")</f>
        <v>_</v>
      </c>
      <c r="E1216" t="str">
        <f t="shared" si="76"/>
        <v>X</v>
      </c>
      <c r="F1216" t="str">
        <f ca="1">IFERROR(IF(AND(C1216&amp;D1216&amp;E1216="___",INDIRECT("Inventory!A"&amp;MATCH(VLOOKUP(B1216,Inventory!E:E,1,0),Inventory!E:E,0))&lt;&gt;INDIRECT("'Full Inventory'!B"&amp;MATCH(VLOOKUP(B1216,'Full Inventory'!F:F,1,0),'Full Inventory'!F:F,0))),"X","_"),"_")</f>
        <v>_</v>
      </c>
      <c r="L1216" t="str">
        <f t="shared" ca="1" si="74"/>
        <v>__X_</v>
      </c>
      <c r="M1216" t="str">
        <f t="shared" ca="1" si="75"/>
        <v/>
      </c>
    </row>
    <row r="1217" spans="1:13" x14ac:dyDescent="0.25">
      <c r="A1217" s="5"/>
      <c r="B1217" s="4" t="str">
        <f t="shared" si="73"/>
        <v/>
      </c>
      <c r="C1217" t="str">
        <f>IF(AND(TRIM(A1217)&lt;&gt;"",IFERROR(VLOOKUP(TRIM(B1217),Inventory!E:E,1,0),0)=0),"X","_")</f>
        <v>_</v>
      </c>
      <c r="D1217" t="str">
        <f>IF(AND(TRIM(A1217)&lt;&gt;"",IFERROR(VLOOKUP(TRIM(B1217),'Full Inventory'!F:F,1,0),0)=0),"X","_")</f>
        <v>_</v>
      </c>
      <c r="E1217" t="str">
        <f t="shared" si="76"/>
        <v>X</v>
      </c>
      <c r="F1217" t="str">
        <f ca="1">IFERROR(IF(AND(C1217&amp;D1217&amp;E1217="___",INDIRECT("Inventory!A"&amp;MATCH(VLOOKUP(B1217,Inventory!E:E,1,0),Inventory!E:E,0))&lt;&gt;INDIRECT("'Full Inventory'!B"&amp;MATCH(VLOOKUP(B1217,'Full Inventory'!F:F,1,0),'Full Inventory'!F:F,0))),"X","_"),"_")</f>
        <v>_</v>
      </c>
      <c r="L1217" t="str">
        <f t="shared" ca="1" si="74"/>
        <v>__X_</v>
      </c>
      <c r="M1217" t="str">
        <f t="shared" ca="1" si="75"/>
        <v/>
      </c>
    </row>
    <row r="1218" spans="1:13" x14ac:dyDescent="0.25">
      <c r="A1218" s="5"/>
      <c r="B1218" s="4" t="str">
        <f t="shared" si="73"/>
        <v/>
      </c>
      <c r="C1218" t="str">
        <f>IF(AND(TRIM(A1218)&lt;&gt;"",IFERROR(VLOOKUP(TRIM(B1218),Inventory!E:E,1,0),0)=0),"X","_")</f>
        <v>_</v>
      </c>
      <c r="D1218" t="str">
        <f>IF(AND(TRIM(A1218)&lt;&gt;"",IFERROR(VLOOKUP(TRIM(B1218),'Full Inventory'!F:F,1,0),0)=0),"X","_")</f>
        <v>_</v>
      </c>
      <c r="E1218" t="str">
        <f t="shared" si="76"/>
        <v>X</v>
      </c>
      <c r="F1218" t="str">
        <f ca="1">IFERROR(IF(AND(C1218&amp;D1218&amp;E1218="___",INDIRECT("Inventory!A"&amp;MATCH(VLOOKUP(B1218,Inventory!E:E,1,0),Inventory!E:E,0))&lt;&gt;INDIRECT("'Full Inventory'!B"&amp;MATCH(VLOOKUP(B1218,'Full Inventory'!F:F,1,0),'Full Inventory'!F:F,0))),"X","_"),"_")</f>
        <v>_</v>
      </c>
      <c r="L1218" t="str">
        <f t="shared" ca="1" si="74"/>
        <v>__X_</v>
      </c>
      <c r="M1218" t="str">
        <f t="shared" ca="1" si="75"/>
        <v/>
      </c>
    </row>
    <row r="1219" spans="1:13" x14ac:dyDescent="0.25">
      <c r="A1219" s="5"/>
      <c r="B1219" s="4" t="str">
        <f t="shared" ref="B1219:B1282" si="77">SUBSTITUTE(SUBSTITUTE(A1219,"ö","0"),"Ö","0")</f>
        <v/>
      </c>
      <c r="C1219" t="str">
        <f>IF(AND(TRIM(A1219)&lt;&gt;"",IFERROR(VLOOKUP(TRIM(B1219),Inventory!E:E,1,0),0)=0),"X","_")</f>
        <v>_</v>
      </c>
      <c r="D1219" t="str">
        <f>IF(AND(TRIM(A1219)&lt;&gt;"",IFERROR(VLOOKUP(TRIM(B1219),'Full Inventory'!F:F,1,0),0)=0),"X","_")</f>
        <v>_</v>
      </c>
      <c r="E1219" t="str">
        <f t="shared" si="76"/>
        <v>X</v>
      </c>
      <c r="F1219" t="str">
        <f ca="1">IFERROR(IF(AND(C1219&amp;D1219&amp;E1219="___",INDIRECT("Inventory!A"&amp;MATCH(VLOOKUP(B1219,Inventory!E:E,1,0),Inventory!E:E,0))&lt;&gt;INDIRECT("'Full Inventory'!B"&amp;MATCH(VLOOKUP(B1219,'Full Inventory'!F:F,1,0),'Full Inventory'!F:F,0))),"X","_"),"_")</f>
        <v>_</v>
      </c>
      <c r="L1219" t="str">
        <f t="shared" ref="L1219:L1282" ca="1" si="78">C1219&amp;D1219&amp;E1219&amp;F1219</f>
        <v>__X_</v>
      </c>
      <c r="M1219" t="str">
        <f t="shared" ref="M1219:M1282" ca="1" si="79">IF(L1219="____","OK",IF(L1219="_X__","NOT IN FULL INVENTORY",IF(L1219="XX__","NOT IN FULL INVENTORY AND INVENTORY",IF(L1219="X___","NOT IN INVENTORY",IF(L1219="___X","DIFFERENT NAMES IN FULL INVENTORY AND INVENTORY","")))))</f>
        <v/>
      </c>
    </row>
    <row r="1220" spans="1:13" x14ac:dyDescent="0.25">
      <c r="A1220" s="5"/>
      <c r="B1220" s="4" t="str">
        <f t="shared" si="77"/>
        <v/>
      </c>
      <c r="C1220" t="str">
        <f>IF(AND(TRIM(A1220)&lt;&gt;"",IFERROR(VLOOKUP(TRIM(B1220),Inventory!E:E,1,0),0)=0),"X","_")</f>
        <v>_</v>
      </c>
      <c r="D1220" t="str">
        <f>IF(AND(TRIM(A1220)&lt;&gt;"",IFERROR(VLOOKUP(TRIM(B1220),'Full Inventory'!F:F,1,0),0)=0),"X","_")</f>
        <v>_</v>
      </c>
      <c r="E1220" t="str">
        <f t="shared" si="76"/>
        <v>X</v>
      </c>
      <c r="F1220" t="str">
        <f ca="1">IFERROR(IF(AND(C1220&amp;D1220&amp;E1220="___",INDIRECT("Inventory!A"&amp;MATCH(VLOOKUP(B1220,Inventory!E:E,1,0),Inventory!E:E,0))&lt;&gt;INDIRECT("'Full Inventory'!B"&amp;MATCH(VLOOKUP(B1220,'Full Inventory'!F:F,1,0),'Full Inventory'!F:F,0))),"X","_"),"_")</f>
        <v>_</v>
      </c>
      <c r="L1220" t="str">
        <f t="shared" ca="1" si="78"/>
        <v>__X_</v>
      </c>
      <c r="M1220" t="str">
        <f t="shared" ca="1" si="79"/>
        <v/>
      </c>
    </row>
    <row r="1221" spans="1:13" x14ac:dyDescent="0.25">
      <c r="A1221" s="5"/>
      <c r="B1221" s="4" t="str">
        <f t="shared" si="77"/>
        <v/>
      </c>
      <c r="C1221" t="str">
        <f>IF(AND(TRIM(A1221)&lt;&gt;"",IFERROR(VLOOKUP(TRIM(B1221),Inventory!E:E,1,0),0)=0),"X","_")</f>
        <v>_</v>
      </c>
      <c r="D1221" t="str">
        <f>IF(AND(TRIM(A1221)&lt;&gt;"",IFERROR(VLOOKUP(TRIM(B1221),'Full Inventory'!F:F,1,0),0)=0),"X","_")</f>
        <v>_</v>
      </c>
      <c r="E1221" t="str">
        <f t="shared" si="76"/>
        <v>X</v>
      </c>
      <c r="F1221" t="str">
        <f ca="1">IFERROR(IF(AND(C1221&amp;D1221&amp;E1221="___",INDIRECT("Inventory!A"&amp;MATCH(VLOOKUP(B1221,Inventory!E:E,1,0),Inventory!E:E,0))&lt;&gt;INDIRECT("'Full Inventory'!B"&amp;MATCH(VLOOKUP(B1221,'Full Inventory'!F:F,1,0),'Full Inventory'!F:F,0))),"X","_"),"_")</f>
        <v>_</v>
      </c>
      <c r="L1221" t="str">
        <f t="shared" ca="1" si="78"/>
        <v>__X_</v>
      </c>
      <c r="M1221" t="str">
        <f t="shared" ca="1" si="79"/>
        <v/>
      </c>
    </row>
    <row r="1222" spans="1:13" x14ac:dyDescent="0.25">
      <c r="A1222" s="5"/>
      <c r="B1222" s="4" t="str">
        <f t="shared" si="77"/>
        <v/>
      </c>
      <c r="C1222" t="str">
        <f>IF(AND(TRIM(A1222)&lt;&gt;"",IFERROR(VLOOKUP(TRIM(B1222),Inventory!E:E,1,0),0)=0),"X","_")</f>
        <v>_</v>
      </c>
      <c r="D1222" t="str">
        <f>IF(AND(TRIM(A1222)&lt;&gt;"",IFERROR(VLOOKUP(TRIM(B1222),'Full Inventory'!F:F,1,0),0)=0),"X","_")</f>
        <v>_</v>
      </c>
      <c r="E1222" t="str">
        <f t="shared" si="76"/>
        <v>X</v>
      </c>
      <c r="F1222" t="str">
        <f ca="1">IFERROR(IF(AND(C1222&amp;D1222&amp;E1222="___",INDIRECT("Inventory!A"&amp;MATCH(VLOOKUP(B1222,Inventory!E:E,1,0),Inventory!E:E,0))&lt;&gt;INDIRECT("'Full Inventory'!B"&amp;MATCH(VLOOKUP(B1222,'Full Inventory'!F:F,1,0),'Full Inventory'!F:F,0))),"X","_"),"_")</f>
        <v>_</v>
      </c>
      <c r="L1222" t="str">
        <f t="shared" ca="1" si="78"/>
        <v>__X_</v>
      </c>
      <c r="M1222" t="str">
        <f t="shared" ca="1" si="79"/>
        <v/>
      </c>
    </row>
    <row r="1223" spans="1:13" x14ac:dyDescent="0.25">
      <c r="A1223" s="5"/>
      <c r="B1223" s="4" t="str">
        <f t="shared" si="77"/>
        <v/>
      </c>
      <c r="C1223" t="str">
        <f>IF(AND(TRIM(A1223)&lt;&gt;"",IFERROR(VLOOKUP(TRIM(B1223),Inventory!E:E,1,0),0)=0),"X","_")</f>
        <v>_</v>
      </c>
      <c r="D1223" t="str">
        <f>IF(AND(TRIM(A1223)&lt;&gt;"",IFERROR(VLOOKUP(TRIM(B1223),'Full Inventory'!F:F,1,0),0)=0),"X","_")</f>
        <v>_</v>
      </c>
      <c r="E1223" t="str">
        <f t="shared" si="76"/>
        <v>X</v>
      </c>
      <c r="F1223" t="str">
        <f ca="1">IFERROR(IF(AND(C1223&amp;D1223&amp;E1223="___",INDIRECT("Inventory!A"&amp;MATCH(VLOOKUP(B1223,Inventory!E:E,1,0),Inventory!E:E,0))&lt;&gt;INDIRECT("'Full Inventory'!B"&amp;MATCH(VLOOKUP(B1223,'Full Inventory'!F:F,1,0),'Full Inventory'!F:F,0))),"X","_"),"_")</f>
        <v>_</v>
      </c>
      <c r="L1223" t="str">
        <f t="shared" ca="1" si="78"/>
        <v>__X_</v>
      </c>
      <c r="M1223" t="str">
        <f t="shared" ca="1" si="79"/>
        <v/>
      </c>
    </row>
    <row r="1224" spans="1:13" x14ac:dyDescent="0.25">
      <c r="A1224" s="5"/>
      <c r="B1224" s="4" t="str">
        <f t="shared" si="77"/>
        <v/>
      </c>
      <c r="C1224" t="str">
        <f>IF(AND(TRIM(A1224)&lt;&gt;"",IFERROR(VLOOKUP(TRIM(B1224),Inventory!E:E,1,0),0)=0),"X","_")</f>
        <v>_</v>
      </c>
      <c r="D1224" t="str">
        <f>IF(AND(TRIM(A1224)&lt;&gt;"",IFERROR(VLOOKUP(TRIM(B1224),'Full Inventory'!F:F,1,0),0)=0),"X","_")</f>
        <v>_</v>
      </c>
      <c r="E1224" t="str">
        <f t="shared" si="76"/>
        <v>X</v>
      </c>
      <c r="F1224" t="str">
        <f ca="1">IFERROR(IF(AND(C1224&amp;D1224&amp;E1224="___",INDIRECT("Inventory!A"&amp;MATCH(VLOOKUP(B1224,Inventory!E:E,1,0),Inventory!E:E,0))&lt;&gt;INDIRECT("'Full Inventory'!B"&amp;MATCH(VLOOKUP(B1224,'Full Inventory'!F:F,1,0),'Full Inventory'!F:F,0))),"X","_"),"_")</f>
        <v>_</v>
      </c>
      <c r="L1224" t="str">
        <f t="shared" ca="1" si="78"/>
        <v>__X_</v>
      </c>
      <c r="M1224" t="str">
        <f t="shared" ca="1" si="79"/>
        <v/>
      </c>
    </row>
    <row r="1225" spans="1:13" x14ac:dyDescent="0.25">
      <c r="A1225" s="5"/>
      <c r="B1225" s="4" t="str">
        <f t="shared" si="77"/>
        <v/>
      </c>
      <c r="C1225" t="str">
        <f>IF(AND(TRIM(A1225)&lt;&gt;"",IFERROR(VLOOKUP(TRIM(B1225),Inventory!E:E,1,0),0)=0),"X","_")</f>
        <v>_</v>
      </c>
      <c r="D1225" t="str">
        <f>IF(AND(TRIM(A1225)&lt;&gt;"",IFERROR(VLOOKUP(TRIM(B1225),'Full Inventory'!F:F,1,0),0)=0),"X","_")</f>
        <v>_</v>
      </c>
      <c r="E1225" t="str">
        <f t="shared" si="76"/>
        <v>X</v>
      </c>
      <c r="F1225" t="str">
        <f ca="1">IFERROR(IF(AND(C1225&amp;D1225&amp;E1225="___",INDIRECT("Inventory!A"&amp;MATCH(VLOOKUP(B1225,Inventory!E:E,1,0),Inventory!E:E,0))&lt;&gt;INDIRECT("'Full Inventory'!B"&amp;MATCH(VLOOKUP(B1225,'Full Inventory'!F:F,1,0),'Full Inventory'!F:F,0))),"X","_"),"_")</f>
        <v>_</v>
      </c>
      <c r="L1225" t="str">
        <f t="shared" ca="1" si="78"/>
        <v>__X_</v>
      </c>
      <c r="M1225" t="str">
        <f t="shared" ca="1" si="79"/>
        <v/>
      </c>
    </row>
    <row r="1226" spans="1:13" x14ac:dyDescent="0.25">
      <c r="A1226" s="5"/>
      <c r="B1226" s="4" t="str">
        <f t="shared" si="77"/>
        <v/>
      </c>
      <c r="C1226" t="str">
        <f>IF(AND(TRIM(A1226)&lt;&gt;"",IFERROR(VLOOKUP(TRIM(B1226),Inventory!E:E,1,0),0)=0),"X","_")</f>
        <v>_</v>
      </c>
      <c r="D1226" t="str">
        <f>IF(AND(TRIM(A1226)&lt;&gt;"",IFERROR(VLOOKUP(TRIM(B1226),'Full Inventory'!F:F,1,0),0)=0),"X","_")</f>
        <v>_</v>
      </c>
      <c r="E1226" t="str">
        <f t="shared" si="76"/>
        <v>X</v>
      </c>
      <c r="F1226" t="str">
        <f ca="1">IFERROR(IF(AND(C1226&amp;D1226&amp;E1226="___",INDIRECT("Inventory!A"&amp;MATCH(VLOOKUP(B1226,Inventory!E:E,1,0),Inventory!E:E,0))&lt;&gt;INDIRECT("'Full Inventory'!B"&amp;MATCH(VLOOKUP(B1226,'Full Inventory'!F:F,1,0),'Full Inventory'!F:F,0))),"X","_"),"_")</f>
        <v>_</v>
      </c>
      <c r="L1226" t="str">
        <f t="shared" ca="1" si="78"/>
        <v>__X_</v>
      </c>
      <c r="M1226" t="str">
        <f t="shared" ca="1" si="79"/>
        <v/>
      </c>
    </row>
    <row r="1227" spans="1:13" x14ac:dyDescent="0.25">
      <c r="A1227" s="5"/>
      <c r="B1227" s="4" t="str">
        <f t="shared" si="77"/>
        <v/>
      </c>
      <c r="C1227" t="str">
        <f>IF(AND(TRIM(A1227)&lt;&gt;"",IFERROR(VLOOKUP(TRIM(B1227),Inventory!E:E,1,0),0)=0),"X","_")</f>
        <v>_</v>
      </c>
      <c r="D1227" t="str">
        <f>IF(AND(TRIM(A1227)&lt;&gt;"",IFERROR(VLOOKUP(TRIM(B1227),'Full Inventory'!F:F,1,0),0)=0),"X","_")</f>
        <v>_</v>
      </c>
      <c r="E1227" t="str">
        <f t="shared" si="76"/>
        <v>X</v>
      </c>
      <c r="F1227" t="str">
        <f ca="1">IFERROR(IF(AND(C1227&amp;D1227&amp;E1227="___",INDIRECT("Inventory!A"&amp;MATCH(VLOOKUP(B1227,Inventory!E:E,1,0),Inventory!E:E,0))&lt;&gt;INDIRECT("'Full Inventory'!B"&amp;MATCH(VLOOKUP(B1227,'Full Inventory'!F:F,1,0),'Full Inventory'!F:F,0))),"X","_"),"_")</f>
        <v>_</v>
      </c>
      <c r="L1227" t="str">
        <f t="shared" ca="1" si="78"/>
        <v>__X_</v>
      </c>
      <c r="M1227" t="str">
        <f t="shared" ca="1" si="79"/>
        <v/>
      </c>
    </row>
    <row r="1228" spans="1:13" x14ac:dyDescent="0.25">
      <c r="A1228" s="5"/>
      <c r="B1228" s="4" t="str">
        <f t="shared" si="77"/>
        <v/>
      </c>
      <c r="C1228" t="str">
        <f>IF(AND(TRIM(A1228)&lt;&gt;"",IFERROR(VLOOKUP(TRIM(B1228),Inventory!E:E,1,0),0)=0),"X","_")</f>
        <v>_</v>
      </c>
      <c r="D1228" t="str">
        <f>IF(AND(TRIM(A1228)&lt;&gt;"",IFERROR(VLOOKUP(TRIM(B1228),'Full Inventory'!F:F,1,0),0)=0),"X","_")</f>
        <v>_</v>
      </c>
      <c r="E1228" t="str">
        <f t="shared" si="76"/>
        <v>X</v>
      </c>
      <c r="F1228" t="str">
        <f ca="1">IFERROR(IF(AND(C1228&amp;D1228&amp;E1228="___",INDIRECT("Inventory!A"&amp;MATCH(VLOOKUP(B1228,Inventory!E:E,1,0),Inventory!E:E,0))&lt;&gt;INDIRECT("'Full Inventory'!B"&amp;MATCH(VLOOKUP(B1228,'Full Inventory'!F:F,1,0),'Full Inventory'!F:F,0))),"X","_"),"_")</f>
        <v>_</v>
      </c>
      <c r="L1228" t="str">
        <f t="shared" ca="1" si="78"/>
        <v>__X_</v>
      </c>
      <c r="M1228" t="str">
        <f t="shared" ca="1" si="79"/>
        <v/>
      </c>
    </row>
    <row r="1229" spans="1:13" x14ac:dyDescent="0.25">
      <c r="A1229" s="5"/>
      <c r="B1229" s="4" t="str">
        <f t="shared" si="77"/>
        <v/>
      </c>
      <c r="C1229" t="str">
        <f>IF(AND(TRIM(A1229)&lt;&gt;"",IFERROR(VLOOKUP(TRIM(B1229),Inventory!E:E,1,0),0)=0),"X","_")</f>
        <v>_</v>
      </c>
      <c r="D1229" t="str">
        <f>IF(AND(TRIM(A1229)&lt;&gt;"",IFERROR(VLOOKUP(TRIM(B1229),'Full Inventory'!F:F,1,0),0)=0),"X","_")</f>
        <v>_</v>
      </c>
      <c r="E1229" t="str">
        <f t="shared" si="76"/>
        <v>X</v>
      </c>
      <c r="F1229" t="str">
        <f ca="1">IFERROR(IF(AND(C1229&amp;D1229&amp;E1229="___",INDIRECT("Inventory!A"&amp;MATCH(VLOOKUP(B1229,Inventory!E:E,1,0),Inventory!E:E,0))&lt;&gt;INDIRECT("'Full Inventory'!B"&amp;MATCH(VLOOKUP(B1229,'Full Inventory'!F:F,1,0),'Full Inventory'!F:F,0))),"X","_"),"_")</f>
        <v>_</v>
      </c>
      <c r="L1229" t="str">
        <f t="shared" ca="1" si="78"/>
        <v>__X_</v>
      </c>
      <c r="M1229" t="str">
        <f t="shared" ca="1" si="79"/>
        <v/>
      </c>
    </row>
    <row r="1230" spans="1:13" x14ac:dyDescent="0.25">
      <c r="A1230" s="5"/>
      <c r="B1230" s="4" t="str">
        <f t="shared" si="77"/>
        <v/>
      </c>
      <c r="C1230" t="str">
        <f>IF(AND(TRIM(A1230)&lt;&gt;"",IFERROR(VLOOKUP(TRIM(B1230),Inventory!E:E,1,0),0)=0),"X","_")</f>
        <v>_</v>
      </c>
      <c r="D1230" t="str">
        <f>IF(AND(TRIM(A1230)&lt;&gt;"",IFERROR(VLOOKUP(TRIM(B1230),'Full Inventory'!F:F,1,0),0)=0),"X","_")</f>
        <v>_</v>
      </c>
      <c r="E1230" t="str">
        <f t="shared" si="76"/>
        <v>X</v>
      </c>
      <c r="F1230" t="str">
        <f ca="1">IFERROR(IF(AND(C1230&amp;D1230&amp;E1230="___",INDIRECT("Inventory!A"&amp;MATCH(VLOOKUP(B1230,Inventory!E:E,1,0),Inventory!E:E,0))&lt;&gt;INDIRECT("'Full Inventory'!B"&amp;MATCH(VLOOKUP(B1230,'Full Inventory'!F:F,1,0),'Full Inventory'!F:F,0))),"X","_"),"_")</f>
        <v>_</v>
      </c>
      <c r="L1230" t="str">
        <f t="shared" ca="1" si="78"/>
        <v>__X_</v>
      </c>
      <c r="M1230" t="str">
        <f t="shared" ca="1" si="79"/>
        <v/>
      </c>
    </row>
    <row r="1231" spans="1:13" x14ac:dyDescent="0.25">
      <c r="A1231" s="5"/>
      <c r="B1231" s="4" t="str">
        <f t="shared" si="77"/>
        <v/>
      </c>
      <c r="C1231" t="str">
        <f>IF(AND(TRIM(A1231)&lt;&gt;"",IFERROR(VLOOKUP(TRIM(B1231),Inventory!E:E,1,0),0)=0),"X","_")</f>
        <v>_</v>
      </c>
      <c r="D1231" t="str">
        <f>IF(AND(TRIM(A1231)&lt;&gt;"",IFERROR(VLOOKUP(TRIM(B1231),'Full Inventory'!F:F,1,0),0)=0),"X","_")</f>
        <v>_</v>
      </c>
      <c r="E1231" t="str">
        <f t="shared" si="76"/>
        <v>X</v>
      </c>
      <c r="F1231" t="str">
        <f ca="1">IFERROR(IF(AND(C1231&amp;D1231&amp;E1231="___",INDIRECT("Inventory!A"&amp;MATCH(VLOOKUP(B1231,Inventory!E:E,1,0),Inventory!E:E,0))&lt;&gt;INDIRECT("'Full Inventory'!B"&amp;MATCH(VLOOKUP(B1231,'Full Inventory'!F:F,1,0),'Full Inventory'!F:F,0))),"X","_"),"_")</f>
        <v>_</v>
      </c>
      <c r="L1231" t="str">
        <f t="shared" ca="1" si="78"/>
        <v>__X_</v>
      </c>
      <c r="M1231" t="str">
        <f t="shared" ca="1" si="79"/>
        <v/>
      </c>
    </row>
    <row r="1232" spans="1:13" x14ac:dyDescent="0.25">
      <c r="A1232" s="5"/>
      <c r="B1232" s="4" t="str">
        <f t="shared" si="77"/>
        <v/>
      </c>
      <c r="C1232" t="str">
        <f>IF(AND(TRIM(A1232)&lt;&gt;"",IFERROR(VLOOKUP(TRIM(B1232),Inventory!E:E,1,0),0)=0),"X","_")</f>
        <v>_</v>
      </c>
      <c r="D1232" t="str">
        <f>IF(AND(TRIM(A1232)&lt;&gt;"",IFERROR(VLOOKUP(TRIM(B1232),'Full Inventory'!F:F,1,0),0)=0),"X","_")</f>
        <v>_</v>
      </c>
      <c r="E1232" t="str">
        <f t="shared" si="76"/>
        <v>X</v>
      </c>
      <c r="F1232" t="str">
        <f ca="1">IFERROR(IF(AND(C1232&amp;D1232&amp;E1232="___",INDIRECT("Inventory!A"&amp;MATCH(VLOOKUP(B1232,Inventory!E:E,1,0),Inventory!E:E,0))&lt;&gt;INDIRECT("'Full Inventory'!B"&amp;MATCH(VLOOKUP(B1232,'Full Inventory'!F:F,1,0),'Full Inventory'!F:F,0))),"X","_"),"_")</f>
        <v>_</v>
      </c>
      <c r="L1232" t="str">
        <f t="shared" ca="1" si="78"/>
        <v>__X_</v>
      </c>
      <c r="M1232" t="str">
        <f t="shared" ca="1" si="79"/>
        <v/>
      </c>
    </row>
    <row r="1233" spans="1:13" x14ac:dyDescent="0.25">
      <c r="A1233" s="5"/>
      <c r="B1233" s="4" t="str">
        <f t="shared" si="77"/>
        <v/>
      </c>
      <c r="C1233" t="str">
        <f>IF(AND(TRIM(A1233)&lt;&gt;"",IFERROR(VLOOKUP(TRIM(B1233),Inventory!E:E,1,0),0)=0),"X","_")</f>
        <v>_</v>
      </c>
      <c r="D1233" t="str">
        <f>IF(AND(TRIM(A1233)&lt;&gt;"",IFERROR(VLOOKUP(TRIM(B1233),'Full Inventory'!F:F,1,0),0)=0),"X","_")</f>
        <v>_</v>
      </c>
      <c r="E1233" t="str">
        <f t="shared" si="76"/>
        <v>X</v>
      </c>
      <c r="F1233" t="str">
        <f ca="1">IFERROR(IF(AND(C1233&amp;D1233&amp;E1233="___",INDIRECT("Inventory!A"&amp;MATCH(VLOOKUP(B1233,Inventory!E:E,1,0),Inventory!E:E,0))&lt;&gt;INDIRECT("'Full Inventory'!B"&amp;MATCH(VLOOKUP(B1233,'Full Inventory'!F:F,1,0),'Full Inventory'!F:F,0))),"X","_"),"_")</f>
        <v>_</v>
      </c>
      <c r="L1233" t="str">
        <f t="shared" ca="1" si="78"/>
        <v>__X_</v>
      </c>
      <c r="M1233" t="str">
        <f t="shared" ca="1" si="79"/>
        <v/>
      </c>
    </row>
    <row r="1234" spans="1:13" x14ac:dyDescent="0.25">
      <c r="A1234" s="5"/>
      <c r="B1234" s="4" t="str">
        <f t="shared" si="77"/>
        <v/>
      </c>
      <c r="C1234" t="str">
        <f>IF(AND(TRIM(A1234)&lt;&gt;"",IFERROR(VLOOKUP(TRIM(B1234),Inventory!E:E,1,0),0)=0),"X","_")</f>
        <v>_</v>
      </c>
      <c r="D1234" t="str">
        <f>IF(AND(TRIM(A1234)&lt;&gt;"",IFERROR(VLOOKUP(TRIM(B1234),'Full Inventory'!F:F,1,0),0)=0),"X","_")</f>
        <v>_</v>
      </c>
      <c r="E1234" t="str">
        <f t="shared" si="76"/>
        <v>X</v>
      </c>
      <c r="F1234" t="str">
        <f ca="1">IFERROR(IF(AND(C1234&amp;D1234&amp;E1234="___",INDIRECT("Inventory!A"&amp;MATCH(VLOOKUP(B1234,Inventory!E:E,1,0),Inventory!E:E,0))&lt;&gt;INDIRECT("'Full Inventory'!B"&amp;MATCH(VLOOKUP(B1234,'Full Inventory'!F:F,1,0),'Full Inventory'!F:F,0))),"X","_"),"_")</f>
        <v>_</v>
      </c>
      <c r="L1234" t="str">
        <f t="shared" ca="1" si="78"/>
        <v>__X_</v>
      </c>
      <c r="M1234" t="str">
        <f t="shared" ca="1" si="79"/>
        <v/>
      </c>
    </row>
    <row r="1235" spans="1:13" x14ac:dyDescent="0.25">
      <c r="A1235" s="5"/>
      <c r="B1235" s="4" t="str">
        <f t="shared" si="77"/>
        <v/>
      </c>
      <c r="C1235" t="str">
        <f>IF(AND(TRIM(A1235)&lt;&gt;"",IFERROR(VLOOKUP(TRIM(B1235),Inventory!E:E,1,0),0)=0),"X","_")</f>
        <v>_</v>
      </c>
      <c r="D1235" t="str">
        <f>IF(AND(TRIM(A1235)&lt;&gt;"",IFERROR(VLOOKUP(TRIM(B1235),'Full Inventory'!F:F,1,0),0)=0),"X","_")</f>
        <v>_</v>
      </c>
      <c r="E1235" t="str">
        <f t="shared" si="76"/>
        <v>X</v>
      </c>
      <c r="F1235" t="str">
        <f ca="1">IFERROR(IF(AND(C1235&amp;D1235&amp;E1235="___",INDIRECT("Inventory!A"&amp;MATCH(VLOOKUP(B1235,Inventory!E:E,1,0),Inventory!E:E,0))&lt;&gt;INDIRECT("'Full Inventory'!B"&amp;MATCH(VLOOKUP(B1235,'Full Inventory'!F:F,1,0),'Full Inventory'!F:F,0))),"X","_"),"_")</f>
        <v>_</v>
      </c>
      <c r="L1235" t="str">
        <f t="shared" ca="1" si="78"/>
        <v>__X_</v>
      </c>
      <c r="M1235" t="str">
        <f t="shared" ca="1" si="79"/>
        <v/>
      </c>
    </row>
    <row r="1236" spans="1:13" x14ac:dyDescent="0.25">
      <c r="A1236" s="5"/>
      <c r="B1236" s="4" t="str">
        <f t="shared" si="77"/>
        <v/>
      </c>
      <c r="C1236" t="str">
        <f>IF(AND(TRIM(A1236)&lt;&gt;"",IFERROR(VLOOKUP(TRIM(B1236),Inventory!E:E,1,0),0)=0),"X","_")</f>
        <v>_</v>
      </c>
      <c r="D1236" t="str">
        <f>IF(AND(TRIM(A1236)&lt;&gt;"",IFERROR(VLOOKUP(TRIM(B1236),'Full Inventory'!F:F,1,0),0)=0),"X","_")</f>
        <v>_</v>
      </c>
      <c r="E1236" t="str">
        <f t="shared" ref="E1236:E1299" si="80">IF(TRIM(A1236)&lt;&gt;"","_","X")</f>
        <v>X</v>
      </c>
      <c r="F1236" t="str">
        <f ca="1">IFERROR(IF(AND(C1236&amp;D1236&amp;E1236="___",INDIRECT("Inventory!A"&amp;MATCH(VLOOKUP(B1236,Inventory!E:E,1,0),Inventory!E:E,0))&lt;&gt;INDIRECT("'Full Inventory'!B"&amp;MATCH(VLOOKUP(B1236,'Full Inventory'!F:F,1,0),'Full Inventory'!F:F,0))),"X","_"),"_")</f>
        <v>_</v>
      </c>
      <c r="L1236" t="str">
        <f t="shared" ca="1" si="78"/>
        <v>__X_</v>
      </c>
      <c r="M1236" t="str">
        <f t="shared" ca="1" si="79"/>
        <v/>
      </c>
    </row>
    <row r="1237" spans="1:13" x14ac:dyDescent="0.25">
      <c r="A1237" s="5"/>
      <c r="B1237" s="4" t="str">
        <f t="shared" si="77"/>
        <v/>
      </c>
      <c r="C1237" t="str">
        <f>IF(AND(TRIM(A1237)&lt;&gt;"",IFERROR(VLOOKUP(TRIM(B1237),Inventory!E:E,1,0),0)=0),"X","_")</f>
        <v>_</v>
      </c>
      <c r="D1237" t="str">
        <f>IF(AND(TRIM(A1237)&lt;&gt;"",IFERROR(VLOOKUP(TRIM(B1237),'Full Inventory'!F:F,1,0),0)=0),"X","_")</f>
        <v>_</v>
      </c>
      <c r="E1237" t="str">
        <f t="shared" si="80"/>
        <v>X</v>
      </c>
      <c r="F1237" t="str">
        <f ca="1">IFERROR(IF(AND(C1237&amp;D1237&amp;E1237="___",INDIRECT("Inventory!A"&amp;MATCH(VLOOKUP(B1237,Inventory!E:E,1,0),Inventory!E:E,0))&lt;&gt;INDIRECT("'Full Inventory'!B"&amp;MATCH(VLOOKUP(B1237,'Full Inventory'!F:F,1,0),'Full Inventory'!F:F,0))),"X","_"),"_")</f>
        <v>_</v>
      </c>
      <c r="L1237" t="str">
        <f t="shared" ca="1" si="78"/>
        <v>__X_</v>
      </c>
      <c r="M1237" t="str">
        <f t="shared" ca="1" si="79"/>
        <v/>
      </c>
    </row>
    <row r="1238" spans="1:13" x14ac:dyDescent="0.25">
      <c r="A1238" s="5"/>
      <c r="B1238" s="4" t="str">
        <f t="shared" si="77"/>
        <v/>
      </c>
      <c r="C1238" t="str">
        <f>IF(AND(TRIM(A1238)&lt;&gt;"",IFERROR(VLOOKUP(TRIM(B1238),Inventory!E:E,1,0),0)=0),"X","_")</f>
        <v>_</v>
      </c>
      <c r="D1238" t="str">
        <f>IF(AND(TRIM(A1238)&lt;&gt;"",IFERROR(VLOOKUP(TRIM(B1238),'Full Inventory'!F:F,1,0),0)=0),"X","_")</f>
        <v>_</v>
      </c>
      <c r="E1238" t="str">
        <f t="shared" si="80"/>
        <v>X</v>
      </c>
      <c r="F1238" t="str">
        <f ca="1">IFERROR(IF(AND(C1238&amp;D1238&amp;E1238="___",INDIRECT("Inventory!A"&amp;MATCH(VLOOKUP(B1238,Inventory!E:E,1,0),Inventory!E:E,0))&lt;&gt;INDIRECT("'Full Inventory'!B"&amp;MATCH(VLOOKUP(B1238,'Full Inventory'!F:F,1,0),'Full Inventory'!F:F,0))),"X","_"),"_")</f>
        <v>_</v>
      </c>
      <c r="L1238" t="str">
        <f t="shared" ca="1" si="78"/>
        <v>__X_</v>
      </c>
      <c r="M1238" t="str">
        <f t="shared" ca="1" si="79"/>
        <v/>
      </c>
    </row>
    <row r="1239" spans="1:13" x14ac:dyDescent="0.25">
      <c r="A1239" s="5"/>
      <c r="B1239" s="4" t="str">
        <f t="shared" si="77"/>
        <v/>
      </c>
      <c r="C1239" t="str">
        <f>IF(AND(TRIM(A1239)&lt;&gt;"",IFERROR(VLOOKUP(TRIM(B1239),Inventory!E:E,1,0),0)=0),"X","_")</f>
        <v>_</v>
      </c>
      <c r="D1239" t="str">
        <f>IF(AND(TRIM(A1239)&lt;&gt;"",IFERROR(VLOOKUP(TRIM(B1239),'Full Inventory'!F:F,1,0),0)=0),"X","_")</f>
        <v>_</v>
      </c>
      <c r="E1239" t="str">
        <f t="shared" si="80"/>
        <v>X</v>
      </c>
      <c r="F1239" t="str">
        <f ca="1">IFERROR(IF(AND(C1239&amp;D1239&amp;E1239="___",INDIRECT("Inventory!A"&amp;MATCH(VLOOKUP(B1239,Inventory!E:E,1,0),Inventory!E:E,0))&lt;&gt;INDIRECT("'Full Inventory'!B"&amp;MATCH(VLOOKUP(B1239,'Full Inventory'!F:F,1,0),'Full Inventory'!F:F,0))),"X","_"),"_")</f>
        <v>_</v>
      </c>
      <c r="L1239" t="str">
        <f t="shared" ca="1" si="78"/>
        <v>__X_</v>
      </c>
      <c r="M1239" t="str">
        <f t="shared" ca="1" si="79"/>
        <v/>
      </c>
    </row>
    <row r="1240" spans="1:13" x14ac:dyDescent="0.25">
      <c r="A1240" s="5"/>
      <c r="B1240" s="4" t="str">
        <f t="shared" si="77"/>
        <v/>
      </c>
      <c r="C1240" t="str">
        <f>IF(AND(TRIM(A1240)&lt;&gt;"",IFERROR(VLOOKUP(TRIM(B1240),Inventory!E:E,1,0),0)=0),"X","_")</f>
        <v>_</v>
      </c>
      <c r="D1240" t="str">
        <f>IF(AND(TRIM(A1240)&lt;&gt;"",IFERROR(VLOOKUP(TRIM(B1240),'Full Inventory'!F:F,1,0),0)=0),"X","_")</f>
        <v>_</v>
      </c>
      <c r="E1240" t="str">
        <f t="shared" si="80"/>
        <v>X</v>
      </c>
      <c r="F1240" t="str">
        <f ca="1">IFERROR(IF(AND(C1240&amp;D1240&amp;E1240="___",INDIRECT("Inventory!A"&amp;MATCH(VLOOKUP(B1240,Inventory!E:E,1,0),Inventory!E:E,0))&lt;&gt;INDIRECT("'Full Inventory'!B"&amp;MATCH(VLOOKUP(B1240,'Full Inventory'!F:F,1,0),'Full Inventory'!F:F,0))),"X","_"),"_")</f>
        <v>_</v>
      </c>
      <c r="L1240" t="str">
        <f t="shared" ca="1" si="78"/>
        <v>__X_</v>
      </c>
      <c r="M1240" t="str">
        <f t="shared" ca="1" si="79"/>
        <v/>
      </c>
    </row>
    <row r="1241" spans="1:13" x14ac:dyDescent="0.25">
      <c r="A1241" s="5"/>
      <c r="B1241" s="4" t="str">
        <f t="shared" si="77"/>
        <v/>
      </c>
      <c r="C1241" t="str">
        <f>IF(AND(TRIM(A1241)&lt;&gt;"",IFERROR(VLOOKUP(TRIM(B1241),Inventory!E:E,1,0),0)=0),"X","_")</f>
        <v>_</v>
      </c>
      <c r="D1241" t="str">
        <f>IF(AND(TRIM(A1241)&lt;&gt;"",IFERROR(VLOOKUP(TRIM(B1241),'Full Inventory'!F:F,1,0),0)=0),"X","_")</f>
        <v>_</v>
      </c>
      <c r="E1241" t="str">
        <f t="shared" si="80"/>
        <v>X</v>
      </c>
      <c r="F1241" t="str">
        <f ca="1">IFERROR(IF(AND(C1241&amp;D1241&amp;E1241="___",INDIRECT("Inventory!A"&amp;MATCH(VLOOKUP(B1241,Inventory!E:E,1,0),Inventory!E:E,0))&lt;&gt;INDIRECT("'Full Inventory'!B"&amp;MATCH(VLOOKUP(B1241,'Full Inventory'!F:F,1,0),'Full Inventory'!F:F,0))),"X","_"),"_")</f>
        <v>_</v>
      </c>
      <c r="L1241" t="str">
        <f t="shared" ca="1" si="78"/>
        <v>__X_</v>
      </c>
      <c r="M1241" t="str">
        <f t="shared" ca="1" si="79"/>
        <v/>
      </c>
    </row>
    <row r="1242" spans="1:13" x14ac:dyDescent="0.25">
      <c r="A1242" s="5"/>
      <c r="B1242" s="4" t="str">
        <f t="shared" si="77"/>
        <v/>
      </c>
      <c r="C1242" t="str">
        <f>IF(AND(TRIM(A1242)&lt;&gt;"",IFERROR(VLOOKUP(TRIM(B1242),Inventory!E:E,1,0),0)=0),"X","_")</f>
        <v>_</v>
      </c>
      <c r="D1242" t="str">
        <f>IF(AND(TRIM(A1242)&lt;&gt;"",IFERROR(VLOOKUP(TRIM(B1242),'Full Inventory'!F:F,1,0),0)=0),"X","_")</f>
        <v>_</v>
      </c>
      <c r="E1242" t="str">
        <f t="shared" si="80"/>
        <v>X</v>
      </c>
      <c r="F1242" t="str">
        <f ca="1">IFERROR(IF(AND(C1242&amp;D1242&amp;E1242="___",INDIRECT("Inventory!A"&amp;MATCH(VLOOKUP(B1242,Inventory!E:E,1,0),Inventory!E:E,0))&lt;&gt;INDIRECT("'Full Inventory'!B"&amp;MATCH(VLOOKUP(B1242,'Full Inventory'!F:F,1,0),'Full Inventory'!F:F,0))),"X","_"),"_")</f>
        <v>_</v>
      </c>
      <c r="L1242" t="str">
        <f t="shared" ca="1" si="78"/>
        <v>__X_</v>
      </c>
      <c r="M1242" t="str">
        <f t="shared" ca="1" si="79"/>
        <v/>
      </c>
    </row>
    <row r="1243" spans="1:13" x14ac:dyDescent="0.25">
      <c r="A1243" s="5"/>
      <c r="B1243" s="4" t="str">
        <f t="shared" si="77"/>
        <v/>
      </c>
      <c r="C1243" t="str">
        <f>IF(AND(TRIM(A1243)&lt;&gt;"",IFERROR(VLOOKUP(TRIM(B1243),Inventory!E:E,1,0),0)=0),"X","_")</f>
        <v>_</v>
      </c>
      <c r="D1243" t="str">
        <f>IF(AND(TRIM(A1243)&lt;&gt;"",IFERROR(VLOOKUP(TRIM(B1243),'Full Inventory'!F:F,1,0),0)=0),"X","_")</f>
        <v>_</v>
      </c>
      <c r="E1243" t="str">
        <f t="shared" si="80"/>
        <v>X</v>
      </c>
      <c r="F1243" t="str">
        <f ca="1">IFERROR(IF(AND(C1243&amp;D1243&amp;E1243="___",INDIRECT("Inventory!A"&amp;MATCH(VLOOKUP(B1243,Inventory!E:E,1,0),Inventory!E:E,0))&lt;&gt;INDIRECT("'Full Inventory'!B"&amp;MATCH(VLOOKUP(B1243,'Full Inventory'!F:F,1,0),'Full Inventory'!F:F,0))),"X","_"),"_")</f>
        <v>_</v>
      </c>
      <c r="L1243" t="str">
        <f t="shared" ca="1" si="78"/>
        <v>__X_</v>
      </c>
      <c r="M1243" t="str">
        <f t="shared" ca="1" si="79"/>
        <v/>
      </c>
    </row>
    <row r="1244" spans="1:13" x14ac:dyDescent="0.25">
      <c r="A1244" s="5"/>
      <c r="B1244" s="4" t="str">
        <f t="shared" si="77"/>
        <v/>
      </c>
      <c r="C1244" t="str">
        <f>IF(AND(TRIM(A1244)&lt;&gt;"",IFERROR(VLOOKUP(TRIM(B1244),Inventory!E:E,1,0),0)=0),"X","_")</f>
        <v>_</v>
      </c>
      <c r="D1244" t="str">
        <f>IF(AND(TRIM(A1244)&lt;&gt;"",IFERROR(VLOOKUP(TRIM(B1244),'Full Inventory'!F:F,1,0),0)=0),"X","_")</f>
        <v>_</v>
      </c>
      <c r="E1244" t="str">
        <f t="shared" si="80"/>
        <v>X</v>
      </c>
      <c r="F1244" t="str">
        <f ca="1">IFERROR(IF(AND(C1244&amp;D1244&amp;E1244="___",INDIRECT("Inventory!A"&amp;MATCH(VLOOKUP(B1244,Inventory!E:E,1,0),Inventory!E:E,0))&lt;&gt;INDIRECT("'Full Inventory'!B"&amp;MATCH(VLOOKUP(B1244,'Full Inventory'!F:F,1,0),'Full Inventory'!F:F,0))),"X","_"),"_")</f>
        <v>_</v>
      </c>
      <c r="L1244" t="str">
        <f t="shared" ca="1" si="78"/>
        <v>__X_</v>
      </c>
      <c r="M1244" t="str">
        <f t="shared" ca="1" si="79"/>
        <v/>
      </c>
    </row>
    <row r="1245" spans="1:13" x14ac:dyDescent="0.25">
      <c r="A1245" s="5"/>
      <c r="B1245" s="4" t="str">
        <f t="shared" si="77"/>
        <v/>
      </c>
      <c r="C1245" t="str">
        <f>IF(AND(TRIM(A1245)&lt;&gt;"",IFERROR(VLOOKUP(TRIM(B1245),Inventory!E:E,1,0),0)=0),"X","_")</f>
        <v>_</v>
      </c>
      <c r="D1245" t="str">
        <f>IF(AND(TRIM(A1245)&lt;&gt;"",IFERROR(VLOOKUP(TRIM(B1245),'Full Inventory'!F:F,1,0),0)=0),"X","_")</f>
        <v>_</v>
      </c>
      <c r="E1245" t="str">
        <f t="shared" si="80"/>
        <v>X</v>
      </c>
      <c r="F1245" t="str">
        <f ca="1">IFERROR(IF(AND(C1245&amp;D1245&amp;E1245="___",INDIRECT("Inventory!A"&amp;MATCH(VLOOKUP(B1245,Inventory!E:E,1,0),Inventory!E:E,0))&lt;&gt;INDIRECT("'Full Inventory'!B"&amp;MATCH(VLOOKUP(B1245,'Full Inventory'!F:F,1,0),'Full Inventory'!F:F,0))),"X","_"),"_")</f>
        <v>_</v>
      </c>
      <c r="L1245" t="str">
        <f t="shared" ca="1" si="78"/>
        <v>__X_</v>
      </c>
      <c r="M1245" t="str">
        <f t="shared" ca="1" si="79"/>
        <v/>
      </c>
    </row>
    <row r="1246" spans="1:13" x14ac:dyDescent="0.25">
      <c r="A1246" s="5"/>
      <c r="B1246" s="4" t="str">
        <f t="shared" si="77"/>
        <v/>
      </c>
      <c r="C1246" t="str">
        <f>IF(AND(TRIM(A1246)&lt;&gt;"",IFERROR(VLOOKUP(TRIM(B1246),Inventory!E:E,1,0),0)=0),"X","_")</f>
        <v>_</v>
      </c>
      <c r="D1246" t="str">
        <f>IF(AND(TRIM(A1246)&lt;&gt;"",IFERROR(VLOOKUP(TRIM(B1246),'Full Inventory'!F:F,1,0),0)=0),"X","_")</f>
        <v>_</v>
      </c>
      <c r="E1246" t="str">
        <f t="shared" si="80"/>
        <v>X</v>
      </c>
      <c r="F1246" t="str">
        <f ca="1">IFERROR(IF(AND(C1246&amp;D1246&amp;E1246="___",INDIRECT("Inventory!A"&amp;MATCH(VLOOKUP(B1246,Inventory!E:E,1,0),Inventory!E:E,0))&lt;&gt;INDIRECT("'Full Inventory'!B"&amp;MATCH(VLOOKUP(B1246,'Full Inventory'!F:F,1,0),'Full Inventory'!F:F,0))),"X","_"),"_")</f>
        <v>_</v>
      </c>
      <c r="L1246" t="str">
        <f t="shared" ca="1" si="78"/>
        <v>__X_</v>
      </c>
      <c r="M1246" t="str">
        <f t="shared" ca="1" si="79"/>
        <v/>
      </c>
    </row>
    <row r="1247" spans="1:13" x14ac:dyDescent="0.25">
      <c r="A1247" s="5"/>
      <c r="B1247" s="4" t="str">
        <f t="shared" si="77"/>
        <v/>
      </c>
      <c r="C1247" t="str">
        <f>IF(AND(TRIM(A1247)&lt;&gt;"",IFERROR(VLOOKUP(TRIM(B1247),Inventory!E:E,1,0),0)=0),"X","_")</f>
        <v>_</v>
      </c>
      <c r="D1247" t="str">
        <f>IF(AND(TRIM(A1247)&lt;&gt;"",IFERROR(VLOOKUP(TRIM(B1247),'Full Inventory'!F:F,1,0),0)=0),"X","_")</f>
        <v>_</v>
      </c>
      <c r="E1247" t="str">
        <f t="shared" si="80"/>
        <v>X</v>
      </c>
      <c r="F1247" t="str">
        <f ca="1">IFERROR(IF(AND(C1247&amp;D1247&amp;E1247="___",INDIRECT("Inventory!A"&amp;MATCH(VLOOKUP(B1247,Inventory!E:E,1,0),Inventory!E:E,0))&lt;&gt;INDIRECT("'Full Inventory'!B"&amp;MATCH(VLOOKUP(B1247,'Full Inventory'!F:F,1,0),'Full Inventory'!F:F,0))),"X","_"),"_")</f>
        <v>_</v>
      </c>
      <c r="L1247" t="str">
        <f t="shared" ca="1" si="78"/>
        <v>__X_</v>
      </c>
      <c r="M1247" t="str">
        <f t="shared" ca="1" si="79"/>
        <v/>
      </c>
    </row>
    <row r="1248" spans="1:13" x14ac:dyDescent="0.25">
      <c r="A1248" s="5"/>
      <c r="B1248" s="4" t="str">
        <f t="shared" si="77"/>
        <v/>
      </c>
      <c r="C1248" t="str">
        <f>IF(AND(TRIM(A1248)&lt;&gt;"",IFERROR(VLOOKUP(TRIM(B1248),Inventory!E:E,1,0),0)=0),"X","_")</f>
        <v>_</v>
      </c>
      <c r="D1248" t="str">
        <f>IF(AND(TRIM(A1248)&lt;&gt;"",IFERROR(VLOOKUP(TRIM(B1248),'Full Inventory'!F:F,1,0),0)=0),"X","_")</f>
        <v>_</v>
      </c>
      <c r="E1248" t="str">
        <f t="shared" si="80"/>
        <v>X</v>
      </c>
      <c r="F1248" t="str">
        <f ca="1">IFERROR(IF(AND(C1248&amp;D1248&amp;E1248="___",INDIRECT("Inventory!A"&amp;MATCH(VLOOKUP(B1248,Inventory!E:E,1,0),Inventory!E:E,0))&lt;&gt;INDIRECT("'Full Inventory'!B"&amp;MATCH(VLOOKUP(B1248,'Full Inventory'!F:F,1,0),'Full Inventory'!F:F,0))),"X","_"),"_")</f>
        <v>_</v>
      </c>
      <c r="L1248" t="str">
        <f t="shared" ca="1" si="78"/>
        <v>__X_</v>
      </c>
      <c r="M1248" t="str">
        <f t="shared" ca="1" si="79"/>
        <v/>
      </c>
    </row>
    <row r="1249" spans="1:13" x14ac:dyDescent="0.25">
      <c r="A1249" s="5"/>
      <c r="B1249" s="4" t="str">
        <f t="shared" si="77"/>
        <v/>
      </c>
      <c r="C1249" t="str">
        <f>IF(AND(TRIM(A1249)&lt;&gt;"",IFERROR(VLOOKUP(TRIM(B1249),Inventory!E:E,1,0),0)=0),"X","_")</f>
        <v>_</v>
      </c>
      <c r="D1249" t="str">
        <f>IF(AND(TRIM(A1249)&lt;&gt;"",IFERROR(VLOOKUP(TRIM(B1249),'Full Inventory'!F:F,1,0),0)=0),"X","_")</f>
        <v>_</v>
      </c>
      <c r="E1249" t="str">
        <f t="shared" si="80"/>
        <v>X</v>
      </c>
      <c r="F1249" t="str">
        <f ca="1">IFERROR(IF(AND(C1249&amp;D1249&amp;E1249="___",INDIRECT("Inventory!A"&amp;MATCH(VLOOKUP(B1249,Inventory!E:E,1,0),Inventory!E:E,0))&lt;&gt;INDIRECT("'Full Inventory'!B"&amp;MATCH(VLOOKUP(B1249,'Full Inventory'!F:F,1,0),'Full Inventory'!F:F,0))),"X","_"),"_")</f>
        <v>_</v>
      </c>
      <c r="L1249" t="str">
        <f t="shared" ca="1" si="78"/>
        <v>__X_</v>
      </c>
      <c r="M1249" t="str">
        <f t="shared" ca="1" si="79"/>
        <v/>
      </c>
    </row>
    <row r="1250" spans="1:13" x14ac:dyDescent="0.25">
      <c r="A1250" s="5"/>
      <c r="B1250" s="4" t="str">
        <f t="shared" si="77"/>
        <v/>
      </c>
      <c r="C1250" t="str">
        <f>IF(AND(TRIM(A1250)&lt;&gt;"",IFERROR(VLOOKUP(TRIM(B1250),Inventory!E:E,1,0),0)=0),"X","_")</f>
        <v>_</v>
      </c>
      <c r="D1250" t="str">
        <f>IF(AND(TRIM(A1250)&lt;&gt;"",IFERROR(VLOOKUP(TRIM(B1250),'Full Inventory'!F:F,1,0),0)=0),"X","_")</f>
        <v>_</v>
      </c>
      <c r="E1250" t="str">
        <f t="shared" si="80"/>
        <v>X</v>
      </c>
      <c r="F1250" t="str">
        <f ca="1">IFERROR(IF(AND(C1250&amp;D1250&amp;E1250="___",INDIRECT("Inventory!A"&amp;MATCH(VLOOKUP(B1250,Inventory!E:E,1,0),Inventory!E:E,0))&lt;&gt;INDIRECT("'Full Inventory'!B"&amp;MATCH(VLOOKUP(B1250,'Full Inventory'!F:F,1,0),'Full Inventory'!F:F,0))),"X","_"),"_")</f>
        <v>_</v>
      </c>
      <c r="L1250" t="str">
        <f t="shared" ca="1" si="78"/>
        <v>__X_</v>
      </c>
      <c r="M1250" t="str">
        <f t="shared" ca="1" si="79"/>
        <v/>
      </c>
    </row>
    <row r="1251" spans="1:13" x14ac:dyDescent="0.25">
      <c r="A1251" s="5"/>
      <c r="B1251" s="4" t="str">
        <f t="shared" si="77"/>
        <v/>
      </c>
      <c r="C1251" t="str">
        <f>IF(AND(TRIM(A1251)&lt;&gt;"",IFERROR(VLOOKUP(TRIM(B1251),Inventory!E:E,1,0),0)=0),"X","_")</f>
        <v>_</v>
      </c>
      <c r="D1251" t="str">
        <f>IF(AND(TRIM(A1251)&lt;&gt;"",IFERROR(VLOOKUP(TRIM(B1251),'Full Inventory'!F:F,1,0),0)=0),"X","_")</f>
        <v>_</v>
      </c>
      <c r="E1251" t="str">
        <f t="shared" si="80"/>
        <v>X</v>
      </c>
      <c r="F1251" t="str">
        <f ca="1">IFERROR(IF(AND(C1251&amp;D1251&amp;E1251="___",INDIRECT("Inventory!A"&amp;MATCH(VLOOKUP(B1251,Inventory!E:E,1,0),Inventory!E:E,0))&lt;&gt;INDIRECT("'Full Inventory'!B"&amp;MATCH(VLOOKUP(B1251,'Full Inventory'!F:F,1,0),'Full Inventory'!F:F,0))),"X","_"),"_")</f>
        <v>_</v>
      </c>
      <c r="L1251" t="str">
        <f t="shared" ca="1" si="78"/>
        <v>__X_</v>
      </c>
      <c r="M1251" t="str">
        <f t="shared" ca="1" si="79"/>
        <v/>
      </c>
    </row>
    <row r="1252" spans="1:13" x14ac:dyDescent="0.25">
      <c r="A1252" s="5"/>
      <c r="B1252" s="4" t="str">
        <f t="shared" si="77"/>
        <v/>
      </c>
      <c r="C1252" t="str">
        <f>IF(AND(TRIM(A1252)&lt;&gt;"",IFERROR(VLOOKUP(TRIM(B1252),Inventory!E:E,1,0),0)=0),"X","_")</f>
        <v>_</v>
      </c>
      <c r="D1252" t="str">
        <f>IF(AND(TRIM(A1252)&lt;&gt;"",IFERROR(VLOOKUP(TRIM(B1252),'Full Inventory'!F:F,1,0),0)=0),"X","_")</f>
        <v>_</v>
      </c>
      <c r="E1252" t="str">
        <f t="shared" si="80"/>
        <v>X</v>
      </c>
      <c r="F1252" t="str">
        <f ca="1">IFERROR(IF(AND(C1252&amp;D1252&amp;E1252="___",INDIRECT("Inventory!A"&amp;MATCH(VLOOKUP(B1252,Inventory!E:E,1,0),Inventory!E:E,0))&lt;&gt;INDIRECT("'Full Inventory'!B"&amp;MATCH(VLOOKUP(B1252,'Full Inventory'!F:F,1,0),'Full Inventory'!F:F,0))),"X","_"),"_")</f>
        <v>_</v>
      </c>
      <c r="L1252" t="str">
        <f t="shared" ca="1" si="78"/>
        <v>__X_</v>
      </c>
      <c r="M1252" t="str">
        <f t="shared" ca="1" si="79"/>
        <v/>
      </c>
    </row>
    <row r="1253" spans="1:13" x14ac:dyDescent="0.25">
      <c r="A1253" s="5"/>
      <c r="B1253" s="4" t="str">
        <f t="shared" si="77"/>
        <v/>
      </c>
      <c r="C1253" t="str">
        <f>IF(AND(TRIM(A1253)&lt;&gt;"",IFERROR(VLOOKUP(TRIM(B1253),Inventory!E:E,1,0),0)=0),"X","_")</f>
        <v>_</v>
      </c>
      <c r="D1253" t="str">
        <f>IF(AND(TRIM(A1253)&lt;&gt;"",IFERROR(VLOOKUP(TRIM(B1253),'Full Inventory'!F:F,1,0),0)=0),"X","_")</f>
        <v>_</v>
      </c>
      <c r="E1253" t="str">
        <f t="shared" si="80"/>
        <v>X</v>
      </c>
      <c r="F1253" t="str">
        <f ca="1">IFERROR(IF(AND(C1253&amp;D1253&amp;E1253="___",INDIRECT("Inventory!A"&amp;MATCH(VLOOKUP(B1253,Inventory!E:E,1,0),Inventory!E:E,0))&lt;&gt;INDIRECT("'Full Inventory'!B"&amp;MATCH(VLOOKUP(B1253,'Full Inventory'!F:F,1,0),'Full Inventory'!F:F,0))),"X","_"),"_")</f>
        <v>_</v>
      </c>
      <c r="L1253" t="str">
        <f t="shared" ca="1" si="78"/>
        <v>__X_</v>
      </c>
      <c r="M1253" t="str">
        <f t="shared" ca="1" si="79"/>
        <v/>
      </c>
    </row>
    <row r="1254" spans="1:13" x14ac:dyDescent="0.25">
      <c r="A1254" s="5"/>
      <c r="B1254" s="4" t="str">
        <f t="shared" si="77"/>
        <v/>
      </c>
      <c r="C1254" t="str">
        <f>IF(AND(TRIM(A1254)&lt;&gt;"",IFERROR(VLOOKUP(TRIM(B1254),Inventory!E:E,1,0),0)=0),"X","_")</f>
        <v>_</v>
      </c>
      <c r="D1254" t="str">
        <f>IF(AND(TRIM(A1254)&lt;&gt;"",IFERROR(VLOOKUP(TRIM(B1254),'Full Inventory'!F:F,1,0),0)=0),"X","_")</f>
        <v>_</v>
      </c>
      <c r="E1254" t="str">
        <f t="shared" si="80"/>
        <v>X</v>
      </c>
      <c r="F1254" t="str">
        <f ca="1">IFERROR(IF(AND(C1254&amp;D1254&amp;E1254="___",INDIRECT("Inventory!A"&amp;MATCH(VLOOKUP(B1254,Inventory!E:E,1,0),Inventory!E:E,0))&lt;&gt;INDIRECT("'Full Inventory'!B"&amp;MATCH(VLOOKUP(B1254,'Full Inventory'!F:F,1,0),'Full Inventory'!F:F,0))),"X","_"),"_")</f>
        <v>_</v>
      </c>
      <c r="L1254" t="str">
        <f t="shared" ca="1" si="78"/>
        <v>__X_</v>
      </c>
      <c r="M1254" t="str">
        <f t="shared" ca="1" si="79"/>
        <v/>
      </c>
    </row>
    <row r="1255" spans="1:13" x14ac:dyDescent="0.25">
      <c r="A1255" s="5"/>
      <c r="B1255" s="4" t="str">
        <f t="shared" si="77"/>
        <v/>
      </c>
      <c r="C1255" t="str">
        <f>IF(AND(TRIM(A1255)&lt;&gt;"",IFERROR(VLOOKUP(TRIM(B1255),Inventory!E:E,1,0),0)=0),"X","_")</f>
        <v>_</v>
      </c>
      <c r="D1255" t="str">
        <f>IF(AND(TRIM(A1255)&lt;&gt;"",IFERROR(VLOOKUP(TRIM(B1255),'Full Inventory'!F:F,1,0),0)=0),"X","_")</f>
        <v>_</v>
      </c>
      <c r="E1255" t="str">
        <f t="shared" si="80"/>
        <v>X</v>
      </c>
      <c r="F1255" t="str">
        <f ca="1">IFERROR(IF(AND(C1255&amp;D1255&amp;E1255="___",INDIRECT("Inventory!A"&amp;MATCH(VLOOKUP(B1255,Inventory!E:E,1,0),Inventory!E:E,0))&lt;&gt;INDIRECT("'Full Inventory'!B"&amp;MATCH(VLOOKUP(B1255,'Full Inventory'!F:F,1,0),'Full Inventory'!F:F,0))),"X","_"),"_")</f>
        <v>_</v>
      </c>
      <c r="L1255" t="str">
        <f t="shared" ca="1" si="78"/>
        <v>__X_</v>
      </c>
      <c r="M1255" t="str">
        <f t="shared" ca="1" si="79"/>
        <v/>
      </c>
    </row>
    <row r="1256" spans="1:13" x14ac:dyDescent="0.25">
      <c r="A1256" s="5"/>
      <c r="B1256" s="4" t="str">
        <f t="shared" si="77"/>
        <v/>
      </c>
      <c r="C1256" t="str">
        <f>IF(AND(TRIM(A1256)&lt;&gt;"",IFERROR(VLOOKUP(TRIM(B1256),Inventory!E:E,1,0),0)=0),"X","_")</f>
        <v>_</v>
      </c>
      <c r="D1256" t="str">
        <f>IF(AND(TRIM(A1256)&lt;&gt;"",IFERROR(VLOOKUP(TRIM(B1256),'Full Inventory'!F:F,1,0),0)=0),"X","_")</f>
        <v>_</v>
      </c>
      <c r="E1256" t="str">
        <f t="shared" si="80"/>
        <v>X</v>
      </c>
      <c r="F1256" t="str">
        <f ca="1">IFERROR(IF(AND(C1256&amp;D1256&amp;E1256="___",INDIRECT("Inventory!A"&amp;MATCH(VLOOKUP(B1256,Inventory!E:E,1,0),Inventory!E:E,0))&lt;&gt;INDIRECT("'Full Inventory'!B"&amp;MATCH(VLOOKUP(B1256,'Full Inventory'!F:F,1,0),'Full Inventory'!F:F,0))),"X","_"),"_")</f>
        <v>_</v>
      </c>
      <c r="L1256" t="str">
        <f t="shared" ca="1" si="78"/>
        <v>__X_</v>
      </c>
      <c r="M1256" t="str">
        <f t="shared" ca="1" si="79"/>
        <v/>
      </c>
    </row>
    <row r="1257" spans="1:13" x14ac:dyDescent="0.25">
      <c r="A1257" s="5"/>
      <c r="B1257" s="4" t="str">
        <f t="shared" si="77"/>
        <v/>
      </c>
      <c r="C1257" t="str">
        <f>IF(AND(TRIM(A1257)&lt;&gt;"",IFERROR(VLOOKUP(TRIM(B1257),Inventory!E:E,1,0),0)=0),"X","_")</f>
        <v>_</v>
      </c>
      <c r="D1257" t="str">
        <f>IF(AND(TRIM(A1257)&lt;&gt;"",IFERROR(VLOOKUP(TRIM(B1257),'Full Inventory'!F:F,1,0),0)=0),"X","_")</f>
        <v>_</v>
      </c>
      <c r="E1257" t="str">
        <f t="shared" si="80"/>
        <v>X</v>
      </c>
      <c r="F1257" t="str">
        <f ca="1">IFERROR(IF(AND(C1257&amp;D1257&amp;E1257="___",INDIRECT("Inventory!A"&amp;MATCH(VLOOKUP(B1257,Inventory!E:E,1,0),Inventory!E:E,0))&lt;&gt;INDIRECT("'Full Inventory'!B"&amp;MATCH(VLOOKUP(B1257,'Full Inventory'!F:F,1,0),'Full Inventory'!F:F,0))),"X","_"),"_")</f>
        <v>_</v>
      </c>
      <c r="L1257" t="str">
        <f t="shared" ca="1" si="78"/>
        <v>__X_</v>
      </c>
      <c r="M1257" t="str">
        <f t="shared" ca="1" si="79"/>
        <v/>
      </c>
    </row>
    <row r="1258" spans="1:13" x14ac:dyDescent="0.25">
      <c r="A1258" s="5"/>
      <c r="B1258" s="4" t="str">
        <f t="shared" si="77"/>
        <v/>
      </c>
      <c r="C1258" t="str">
        <f>IF(AND(TRIM(A1258)&lt;&gt;"",IFERROR(VLOOKUP(TRIM(B1258),Inventory!E:E,1,0),0)=0),"X","_")</f>
        <v>_</v>
      </c>
      <c r="D1258" t="str">
        <f>IF(AND(TRIM(A1258)&lt;&gt;"",IFERROR(VLOOKUP(TRIM(B1258),'Full Inventory'!F:F,1,0),0)=0),"X","_")</f>
        <v>_</v>
      </c>
      <c r="E1258" t="str">
        <f t="shared" si="80"/>
        <v>X</v>
      </c>
      <c r="F1258" t="str">
        <f ca="1">IFERROR(IF(AND(C1258&amp;D1258&amp;E1258="___",INDIRECT("Inventory!A"&amp;MATCH(VLOOKUP(B1258,Inventory!E:E,1,0),Inventory!E:E,0))&lt;&gt;INDIRECT("'Full Inventory'!B"&amp;MATCH(VLOOKUP(B1258,'Full Inventory'!F:F,1,0),'Full Inventory'!F:F,0))),"X","_"),"_")</f>
        <v>_</v>
      </c>
      <c r="L1258" t="str">
        <f t="shared" ca="1" si="78"/>
        <v>__X_</v>
      </c>
      <c r="M1258" t="str">
        <f t="shared" ca="1" si="79"/>
        <v/>
      </c>
    </row>
    <row r="1259" spans="1:13" x14ac:dyDescent="0.25">
      <c r="A1259" s="5"/>
      <c r="B1259" s="4" t="str">
        <f t="shared" si="77"/>
        <v/>
      </c>
      <c r="C1259" t="str">
        <f>IF(AND(TRIM(A1259)&lt;&gt;"",IFERROR(VLOOKUP(TRIM(B1259),Inventory!E:E,1,0),0)=0),"X","_")</f>
        <v>_</v>
      </c>
      <c r="D1259" t="str">
        <f>IF(AND(TRIM(A1259)&lt;&gt;"",IFERROR(VLOOKUP(TRIM(B1259),'Full Inventory'!F:F,1,0),0)=0),"X","_")</f>
        <v>_</v>
      </c>
      <c r="E1259" t="str">
        <f t="shared" si="80"/>
        <v>X</v>
      </c>
      <c r="F1259" t="str">
        <f ca="1">IFERROR(IF(AND(C1259&amp;D1259&amp;E1259="___",INDIRECT("Inventory!A"&amp;MATCH(VLOOKUP(B1259,Inventory!E:E,1,0),Inventory!E:E,0))&lt;&gt;INDIRECT("'Full Inventory'!B"&amp;MATCH(VLOOKUP(B1259,'Full Inventory'!F:F,1,0),'Full Inventory'!F:F,0))),"X","_"),"_")</f>
        <v>_</v>
      </c>
      <c r="L1259" t="str">
        <f t="shared" ca="1" si="78"/>
        <v>__X_</v>
      </c>
      <c r="M1259" t="str">
        <f t="shared" ca="1" si="79"/>
        <v/>
      </c>
    </row>
    <row r="1260" spans="1:13" x14ac:dyDescent="0.25">
      <c r="A1260" s="5"/>
      <c r="B1260" s="4" t="str">
        <f t="shared" si="77"/>
        <v/>
      </c>
      <c r="C1260" t="str">
        <f>IF(AND(TRIM(A1260)&lt;&gt;"",IFERROR(VLOOKUP(TRIM(B1260),Inventory!E:E,1,0),0)=0),"X","_")</f>
        <v>_</v>
      </c>
      <c r="D1260" t="str">
        <f>IF(AND(TRIM(A1260)&lt;&gt;"",IFERROR(VLOOKUP(TRIM(B1260),'Full Inventory'!F:F,1,0),0)=0),"X","_")</f>
        <v>_</v>
      </c>
      <c r="E1260" t="str">
        <f t="shared" si="80"/>
        <v>X</v>
      </c>
      <c r="F1260" t="str">
        <f ca="1">IFERROR(IF(AND(C1260&amp;D1260&amp;E1260="___",INDIRECT("Inventory!A"&amp;MATCH(VLOOKUP(B1260,Inventory!E:E,1,0),Inventory!E:E,0))&lt;&gt;INDIRECT("'Full Inventory'!B"&amp;MATCH(VLOOKUP(B1260,'Full Inventory'!F:F,1,0),'Full Inventory'!F:F,0))),"X","_"),"_")</f>
        <v>_</v>
      </c>
      <c r="L1260" t="str">
        <f t="shared" ca="1" si="78"/>
        <v>__X_</v>
      </c>
      <c r="M1260" t="str">
        <f t="shared" ca="1" si="79"/>
        <v/>
      </c>
    </row>
    <row r="1261" spans="1:13" x14ac:dyDescent="0.25">
      <c r="A1261" s="5"/>
      <c r="B1261" s="4" t="str">
        <f t="shared" si="77"/>
        <v/>
      </c>
      <c r="C1261" t="str">
        <f>IF(AND(TRIM(A1261)&lt;&gt;"",IFERROR(VLOOKUP(TRIM(B1261),Inventory!E:E,1,0),0)=0),"X","_")</f>
        <v>_</v>
      </c>
      <c r="D1261" t="str">
        <f>IF(AND(TRIM(A1261)&lt;&gt;"",IFERROR(VLOOKUP(TRIM(B1261),'Full Inventory'!F:F,1,0),0)=0),"X","_")</f>
        <v>_</v>
      </c>
      <c r="E1261" t="str">
        <f t="shared" si="80"/>
        <v>X</v>
      </c>
      <c r="F1261" t="str">
        <f ca="1">IFERROR(IF(AND(C1261&amp;D1261&amp;E1261="___",INDIRECT("Inventory!A"&amp;MATCH(VLOOKUP(B1261,Inventory!E:E,1,0),Inventory!E:E,0))&lt;&gt;INDIRECT("'Full Inventory'!B"&amp;MATCH(VLOOKUP(B1261,'Full Inventory'!F:F,1,0),'Full Inventory'!F:F,0))),"X","_"),"_")</f>
        <v>_</v>
      </c>
      <c r="L1261" t="str">
        <f t="shared" ca="1" si="78"/>
        <v>__X_</v>
      </c>
      <c r="M1261" t="str">
        <f t="shared" ca="1" si="79"/>
        <v/>
      </c>
    </row>
    <row r="1262" spans="1:13" x14ac:dyDescent="0.25">
      <c r="A1262" s="5"/>
      <c r="B1262" s="4" t="str">
        <f t="shared" si="77"/>
        <v/>
      </c>
      <c r="C1262" t="str">
        <f>IF(AND(TRIM(A1262)&lt;&gt;"",IFERROR(VLOOKUP(TRIM(B1262),Inventory!E:E,1,0),0)=0),"X","_")</f>
        <v>_</v>
      </c>
      <c r="D1262" t="str">
        <f>IF(AND(TRIM(A1262)&lt;&gt;"",IFERROR(VLOOKUP(TRIM(B1262),'Full Inventory'!F:F,1,0),0)=0),"X","_")</f>
        <v>_</v>
      </c>
      <c r="E1262" t="str">
        <f t="shared" si="80"/>
        <v>X</v>
      </c>
      <c r="F1262" t="str">
        <f ca="1">IFERROR(IF(AND(C1262&amp;D1262&amp;E1262="___",INDIRECT("Inventory!A"&amp;MATCH(VLOOKUP(B1262,Inventory!E:E,1,0),Inventory!E:E,0))&lt;&gt;INDIRECT("'Full Inventory'!B"&amp;MATCH(VLOOKUP(B1262,'Full Inventory'!F:F,1,0),'Full Inventory'!F:F,0))),"X","_"),"_")</f>
        <v>_</v>
      </c>
      <c r="L1262" t="str">
        <f t="shared" ca="1" si="78"/>
        <v>__X_</v>
      </c>
      <c r="M1262" t="str">
        <f t="shared" ca="1" si="79"/>
        <v/>
      </c>
    </row>
    <row r="1263" spans="1:13" x14ac:dyDescent="0.25">
      <c r="A1263" s="5"/>
      <c r="B1263" s="4" t="str">
        <f t="shared" si="77"/>
        <v/>
      </c>
      <c r="C1263" t="str">
        <f>IF(AND(TRIM(A1263)&lt;&gt;"",IFERROR(VLOOKUP(TRIM(B1263),Inventory!E:E,1,0),0)=0),"X","_")</f>
        <v>_</v>
      </c>
      <c r="D1263" t="str">
        <f>IF(AND(TRIM(A1263)&lt;&gt;"",IFERROR(VLOOKUP(TRIM(B1263),'Full Inventory'!F:F,1,0),0)=0),"X","_")</f>
        <v>_</v>
      </c>
      <c r="E1263" t="str">
        <f t="shared" si="80"/>
        <v>X</v>
      </c>
      <c r="F1263" t="str">
        <f ca="1">IFERROR(IF(AND(C1263&amp;D1263&amp;E1263="___",INDIRECT("Inventory!A"&amp;MATCH(VLOOKUP(B1263,Inventory!E:E,1,0),Inventory!E:E,0))&lt;&gt;INDIRECT("'Full Inventory'!B"&amp;MATCH(VLOOKUP(B1263,'Full Inventory'!F:F,1,0),'Full Inventory'!F:F,0))),"X","_"),"_")</f>
        <v>_</v>
      </c>
      <c r="L1263" t="str">
        <f t="shared" ca="1" si="78"/>
        <v>__X_</v>
      </c>
      <c r="M1263" t="str">
        <f t="shared" ca="1" si="79"/>
        <v/>
      </c>
    </row>
    <row r="1264" spans="1:13" x14ac:dyDescent="0.25">
      <c r="A1264" s="5"/>
      <c r="B1264" s="4" t="str">
        <f t="shared" si="77"/>
        <v/>
      </c>
      <c r="C1264" t="str">
        <f>IF(AND(TRIM(A1264)&lt;&gt;"",IFERROR(VLOOKUP(TRIM(B1264),Inventory!E:E,1,0),0)=0),"X","_")</f>
        <v>_</v>
      </c>
      <c r="D1264" t="str">
        <f>IF(AND(TRIM(A1264)&lt;&gt;"",IFERROR(VLOOKUP(TRIM(B1264),'Full Inventory'!F:F,1,0),0)=0),"X","_")</f>
        <v>_</v>
      </c>
      <c r="E1264" t="str">
        <f t="shared" si="80"/>
        <v>X</v>
      </c>
      <c r="F1264" t="str">
        <f ca="1">IFERROR(IF(AND(C1264&amp;D1264&amp;E1264="___",INDIRECT("Inventory!A"&amp;MATCH(VLOOKUP(B1264,Inventory!E:E,1,0),Inventory!E:E,0))&lt;&gt;INDIRECT("'Full Inventory'!B"&amp;MATCH(VLOOKUP(B1264,'Full Inventory'!F:F,1,0),'Full Inventory'!F:F,0))),"X","_"),"_")</f>
        <v>_</v>
      </c>
      <c r="L1264" t="str">
        <f t="shared" ca="1" si="78"/>
        <v>__X_</v>
      </c>
      <c r="M1264" t="str">
        <f t="shared" ca="1" si="79"/>
        <v/>
      </c>
    </row>
    <row r="1265" spans="1:13" x14ac:dyDescent="0.25">
      <c r="A1265" s="5"/>
      <c r="B1265" s="4" t="str">
        <f t="shared" si="77"/>
        <v/>
      </c>
      <c r="C1265" t="str">
        <f>IF(AND(TRIM(A1265)&lt;&gt;"",IFERROR(VLOOKUP(TRIM(B1265),Inventory!E:E,1,0),0)=0),"X","_")</f>
        <v>_</v>
      </c>
      <c r="D1265" t="str">
        <f>IF(AND(TRIM(A1265)&lt;&gt;"",IFERROR(VLOOKUP(TRIM(B1265),'Full Inventory'!F:F,1,0),0)=0),"X","_")</f>
        <v>_</v>
      </c>
      <c r="E1265" t="str">
        <f t="shared" si="80"/>
        <v>X</v>
      </c>
      <c r="F1265" t="str">
        <f ca="1">IFERROR(IF(AND(C1265&amp;D1265&amp;E1265="___",INDIRECT("Inventory!A"&amp;MATCH(VLOOKUP(B1265,Inventory!E:E,1,0),Inventory!E:E,0))&lt;&gt;INDIRECT("'Full Inventory'!B"&amp;MATCH(VLOOKUP(B1265,'Full Inventory'!F:F,1,0),'Full Inventory'!F:F,0))),"X","_"),"_")</f>
        <v>_</v>
      </c>
      <c r="L1265" t="str">
        <f t="shared" ca="1" si="78"/>
        <v>__X_</v>
      </c>
      <c r="M1265" t="str">
        <f t="shared" ca="1" si="79"/>
        <v/>
      </c>
    </row>
    <row r="1266" spans="1:13" x14ac:dyDescent="0.25">
      <c r="A1266" s="5"/>
      <c r="B1266" s="4" t="str">
        <f t="shared" si="77"/>
        <v/>
      </c>
      <c r="C1266" t="str">
        <f>IF(AND(TRIM(A1266)&lt;&gt;"",IFERROR(VLOOKUP(TRIM(B1266),Inventory!E:E,1,0),0)=0),"X","_")</f>
        <v>_</v>
      </c>
      <c r="D1266" t="str">
        <f>IF(AND(TRIM(A1266)&lt;&gt;"",IFERROR(VLOOKUP(TRIM(B1266),'Full Inventory'!F:F,1,0),0)=0),"X","_")</f>
        <v>_</v>
      </c>
      <c r="E1266" t="str">
        <f t="shared" si="80"/>
        <v>X</v>
      </c>
      <c r="F1266" t="str">
        <f ca="1">IFERROR(IF(AND(C1266&amp;D1266&amp;E1266="___",INDIRECT("Inventory!A"&amp;MATCH(VLOOKUP(B1266,Inventory!E:E,1,0),Inventory!E:E,0))&lt;&gt;INDIRECT("'Full Inventory'!B"&amp;MATCH(VLOOKUP(B1266,'Full Inventory'!F:F,1,0),'Full Inventory'!F:F,0))),"X","_"),"_")</f>
        <v>_</v>
      </c>
      <c r="L1266" t="str">
        <f t="shared" ca="1" si="78"/>
        <v>__X_</v>
      </c>
      <c r="M1266" t="str">
        <f t="shared" ca="1" si="79"/>
        <v/>
      </c>
    </row>
    <row r="1267" spans="1:13" x14ac:dyDescent="0.25">
      <c r="A1267" s="5"/>
      <c r="B1267" s="4" t="str">
        <f t="shared" si="77"/>
        <v/>
      </c>
      <c r="C1267" t="str">
        <f>IF(AND(TRIM(A1267)&lt;&gt;"",IFERROR(VLOOKUP(TRIM(B1267),Inventory!E:E,1,0),0)=0),"X","_")</f>
        <v>_</v>
      </c>
      <c r="D1267" t="str">
        <f>IF(AND(TRIM(A1267)&lt;&gt;"",IFERROR(VLOOKUP(TRIM(B1267),'Full Inventory'!F:F,1,0),0)=0),"X","_")</f>
        <v>_</v>
      </c>
      <c r="E1267" t="str">
        <f t="shared" si="80"/>
        <v>X</v>
      </c>
      <c r="F1267" t="str">
        <f ca="1">IFERROR(IF(AND(C1267&amp;D1267&amp;E1267="___",INDIRECT("Inventory!A"&amp;MATCH(VLOOKUP(B1267,Inventory!E:E,1,0),Inventory!E:E,0))&lt;&gt;INDIRECT("'Full Inventory'!B"&amp;MATCH(VLOOKUP(B1267,'Full Inventory'!F:F,1,0),'Full Inventory'!F:F,0))),"X","_"),"_")</f>
        <v>_</v>
      </c>
      <c r="L1267" t="str">
        <f t="shared" ca="1" si="78"/>
        <v>__X_</v>
      </c>
      <c r="M1267" t="str">
        <f t="shared" ca="1" si="79"/>
        <v/>
      </c>
    </row>
    <row r="1268" spans="1:13" x14ac:dyDescent="0.25">
      <c r="A1268" s="5"/>
      <c r="B1268" s="4" t="str">
        <f t="shared" si="77"/>
        <v/>
      </c>
      <c r="C1268" t="str">
        <f>IF(AND(TRIM(A1268)&lt;&gt;"",IFERROR(VLOOKUP(TRIM(B1268),Inventory!E:E,1,0),0)=0),"X","_")</f>
        <v>_</v>
      </c>
      <c r="D1268" t="str">
        <f>IF(AND(TRIM(A1268)&lt;&gt;"",IFERROR(VLOOKUP(TRIM(B1268),'Full Inventory'!F:F,1,0),0)=0),"X","_")</f>
        <v>_</v>
      </c>
      <c r="E1268" t="str">
        <f t="shared" si="80"/>
        <v>X</v>
      </c>
      <c r="F1268" t="str">
        <f ca="1">IFERROR(IF(AND(C1268&amp;D1268&amp;E1268="___",INDIRECT("Inventory!A"&amp;MATCH(VLOOKUP(B1268,Inventory!E:E,1,0),Inventory!E:E,0))&lt;&gt;INDIRECT("'Full Inventory'!B"&amp;MATCH(VLOOKUP(B1268,'Full Inventory'!F:F,1,0),'Full Inventory'!F:F,0))),"X","_"),"_")</f>
        <v>_</v>
      </c>
      <c r="L1268" t="str">
        <f t="shared" ca="1" si="78"/>
        <v>__X_</v>
      </c>
      <c r="M1268" t="str">
        <f t="shared" ca="1" si="79"/>
        <v/>
      </c>
    </row>
    <row r="1269" spans="1:13" x14ac:dyDescent="0.25">
      <c r="A1269" s="5"/>
      <c r="B1269" s="4" t="str">
        <f t="shared" si="77"/>
        <v/>
      </c>
      <c r="C1269" t="str">
        <f>IF(AND(TRIM(A1269)&lt;&gt;"",IFERROR(VLOOKUP(TRIM(B1269),Inventory!E:E,1,0),0)=0),"X","_")</f>
        <v>_</v>
      </c>
      <c r="D1269" t="str">
        <f>IF(AND(TRIM(A1269)&lt;&gt;"",IFERROR(VLOOKUP(TRIM(B1269),'Full Inventory'!F:F,1,0),0)=0),"X","_")</f>
        <v>_</v>
      </c>
      <c r="E1269" t="str">
        <f t="shared" si="80"/>
        <v>X</v>
      </c>
      <c r="F1269" t="str">
        <f ca="1">IFERROR(IF(AND(C1269&amp;D1269&amp;E1269="___",INDIRECT("Inventory!A"&amp;MATCH(VLOOKUP(B1269,Inventory!E:E,1,0),Inventory!E:E,0))&lt;&gt;INDIRECT("'Full Inventory'!B"&amp;MATCH(VLOOKUP(B1269,'Full Inventory'!F:F,1,0),'Full Inventory'!F:F,0))),"X","_"),"_")</f>
        <v>_</v>
      </c>
      <c r="L1269" t="str">
        <f t="shared" ca="1" si="78"/>
        <v>__X_</v>
      </c>
      <c r="M1269" t="str">
        <f t="shared" ca="1" si="79"/>
        <v/>
      </c>
    </row>
    <row r="1270" spans="1:13" x14ac:dyDescent="0.25">
      <c r="A1270" s="5"/>
      <c r="B1270" s="4" t="str">
        <f t="shared" si="77"/>
        <v/>
      </c>
      <c r="C1270" t="str">
        <f>IF(AND(TRIM(A1270)&lt;&gt;"",IFERROR(VLOOKUP(TRIM(B1270),Inventory!E:E,1,0),0)=0),"X","_")</f>
        <v>_</v>
      </c>
      <c r="D1270" t="str">
        <f>IF(AND(TRIM(A1270)&lt;&gt;"",IFERROR(VLOOKUP(TRIM(B1270),'Full Inventory'!F:F,1,0),0)=0),"X","_")</f>
        <v>_</v>
      </c>
      <c r="E1270" t="str">
        <f t="shared" si="80"/>
        <v>X</v>
      </c>
      <c r="F1270" t="str">
        <f ca="1">IFERROR(IF(AND(C1270&amp;D1270&amp;E1270="___",INDIRECT("Inventory!A"&amp;MATCH(VLOOKUP(B1270,Inventory!E:E,1,0),Inventory!E:E,0))&lt;&gt;INDIRECT("'Full Inventory'!B"&amp;MATCH(VLOOKUP(B1270,'Full Inventory'!F:F,1,0),'Full Inventory'!F:F,0))),"X","_"),"_")</f>
        <v>_</v>
      </c>
      <c r="L1270" t="str">
        <f t="shared" ca="1" si="78"/>
        <v>__X_</v>
      </c>
      <c r="M1270" t="str">
        <f t="shared" ca="1" si="79"/>
        <v/>
      </c>
    </row>
    <row r="1271" spans="1:13" x14ac:dyDescent="0.25">
      <c r="A1271" s="5"/>
      <c r="B1271" s="4" t="str">
        <f t="shared" si="77"/>
        <v/>
      </c>
      <c r="C1271" t="str">
        <f>IF(AND(TRIM(A1271)&lt;&gt;"",IFERROR(VLOOKUP(TRIM(B1271),Inventory!E:E,1,0),0)=0),"X","_")</f>
        <v>_</v>
      </c>
      <c r="D1271" t="str">
        <f>IF(AND(TRIM(A1271)&lt;&gt;"",IFERROR(VLOOKUP(TRIM(B1271),'Full Inventory'!F:F,1,0),0)=0),"X","_")</f>
        <v>_</v>
      </c>
      <c r="E1271" t="str">
        <f t="shared" si="80"/>
        <v>X</v>
      </c>
      <c r="F1271" t="str">
        <f ca="1">IFERROR(IF(AND(C1271&amp;D1271&amp;E1271="___",INDIRECT("Inventory!A"&amp;MATCH(VLOOKUP(B1271,Inventory!E:E,1,0),Inventory!E:E,0))&lt;&gt;INDIRECT("'Full Inventory'!B"&amp;MATCH(VLOOKUP(B1271,'Full Inventory'!F:F,1,0),'Full Inventory'!F:F,0))),"X","_"),"_")</f>
        <v>_</v>
      </c>
      <c r="L1271" t="str">
        <f t="shared" ca="1" si="78"/>
        <v>__X_</v>
      </c>
      <c r="M1271" t="str">
        <f t="shared" ca="1" si="79"/>
        <v/>
      </c>
    </row>
    <row r="1272" spans="1:13" x14ac:dyDescent="0.25">
      <c r="A1272" s="5"/>
      <c r="B1272" s="4" t="str">
        <f t="shared" si="77"/>
        <v/>
      </c>
      <c r="C1272" t="str">
        <f>IF(AND(TRIM(A1272)&lt;&gt;"",IFERROR(VLOOKUP(TRIM(B1272),Inventory!E:E,1,0),0)=0),"X","_")</f>
        <v>_</v>
      </c>
      <c r="D1272" t="str">
        <f>IF(AND(TRIM(A1272)&lt;&gt;"",IFERROR(VLOOKUP(TRIM(B1272),'Full Inventory'!F:F,1,0),0)=0),"X","_")</f>
        <v>_</v>
      </c>
      <c r="E1272" t="str">
        <f t="shared" si="80"/>
        <v>X</v>
      </c>
      <c r="F1272" t="str">
        <f ca="1">IFERROR(IF(AND(C1272&amp;D1272&amp;E1272="___",INDIRECT("Inventory!A"&amp;MATCH(VLOOKUP(B1272,Inventory!E:E,1,0),Inventory!E:E,0))&lt;&gt;INDIRECT("'Full Inventory'!B"&amp;MATCH(VLOOKUP(B1272,'Full Inventory'!F:F,1,0),'Full Inventory'!F:F,0))),"X","_"),"_")</f>
        <v>_</v>
      </c>
      <c r="L1272" t="str">
        <f t="shared" ca="1" si="78"/>
        <v>__X_</v>
      </c>
      <c r="M1272" t="str">
        <f t="shared" ca="1" si="79"/>
        <v/>
      </c>
    </row>
    <row r="1273" spans="1:13" x14ac:dyDescent="0.25">
      <c r="A1273" s="5"/>
      <c r="B1273" s="4" t="str">
        <f t="shared" si="77"/>
        <v/>
      </c>
      <c r="C1273" t="str">
        <f>IF(AND(TRIM(A1273)&lt;&gt;"",IFERROR(VLOOKUP(TRIM(B1273),Inventory!E:E,1,0),0)=0),"X","_")</f>
        <v>_</v>
      </c>
      <c r="D1273" t="str">
        <f>IF(AND(TRIM(A1273)&lt;&gt;"",IFERROR(VLOOKUP(TRIM(B1273),'Full Inventory'!F:F,1,0),0)=0),"X","_")</f>
        <v>_</v>
      </c>
      <c r="E1273" t="str">
        <f t="shared" si="80"/>
        <v>X</v>
      </c>
      <c r="F1273" t="str">
        <f ca="1">IFERROR(IF(AND(C1273&amp;D1273&amp;E1273="___",INDIRECT("Inventory!A"&amp;MATCH(VLOOKUP(B1273,Inventory!E:E,1,0),Inventory!E:E,0))&lt;&gt;INDIRECT("'Full Inventory'!B"&amp;MATCH(VLOOKUP(B1273,'Full Inventory'!F:F,1,0),'Full Inventory'!F:F,0))),"X","_"),"_")</f>
        <v>_</v>
      </c>
      <c r="L1273" t="str">
        <f t="shared" ca="1" si="78"/>
        <v>__X_</v>
      </c>
      <c r="M1273" t="str">
        <f t="shared" ca="1" si="79"/>
        <v/>
      </c>
    </row>
    <row r="1274" spans="1:13" x14ac:dyDescent="0.25">
      <c r="A1274" s="5"/>
      <c r="B1274" s="4" t="str">
        <f t="shared" si="77"/>
        <v/>
      </c>
      <c r="C1274" t="str">
        <f>IF(AND(TRIM(A1274)&lt;&gt;"",IFERROR(VLOOKUP(TRIM(B1274),Inventory!E:E,1,0),0)=0),"X","_")</f>
        <v>_</v>
      </c>
      <c r="D1274" t="str">
        <f>IF(AND(TRIM(A1274)&lt;&gt;"",IFERROR(VLOOKUP(TRIM(B1274),'Full Inventory'!F:F,1,0),0)=0),"X","_")</f>
        <v>_</v>
      </c>
      <c r="E1274" t="str">
        <f t="shared" si="80"/>
        <v>X</v>
      </c>
      <c r="F1274" t="str">
        <f ca="1">IFERROR(IF(AND(C1274&amp;D1274&amp;E1274="___",INDIRECT("Inventory!A"&amp;MATCH(VLOOKUP(B1274,Inventory!E:E,1,0),Inventory!E:E,0))&lt;&gt;INDIRECT("'Full Inventory'!B"&amp;MATCH(VLOOKUP(B1274,'Full Inventory'!F:F,1,0),'Full Inventory'!F:F,0))),"X","_"),"_")</f>
        <v>_</v>
      </c>
      <c r="L1274" t="str">
        <f t="shared" ca="1" si="78"/>
        <v>__X_</v>
      </c>
      <c r="M1274" t="str">
        <f t="shared" ca="1" si="79"/>
        <v/>
      </c>
    </row>
    <row r="1275" spans="1:13" x14ac:dyDescent="0.25">
      <c r="A1275" s="5"/>
      <c r="B1275" s="4" t="str">
        <f t="shared" si="77"/>
        <v/>
      </c>
      <c r="C1275" t="str">
        <f>IF(AND(TRIM(A1275)&lt;&gt;"",IFERROR(VLOOKUP(TRIM(B1275),Inventory!E:E,1,0),0)=0),"X","_")</f>
        <v>_</v>
      </c>
      <c r="D1275" t="str">
        <f>IF(AND(TRIM(A1275)&lt;&gt;"",IFERROR(VLOOKUP(TRIM(B1275),'Full Inventory'!F:F,1,0),0)=0),"X","_")</f>
        <v>_</v>
      </c>
      <c r="E1275" t="str">
        <f t="shared" si="80"/>
        <v>X</v>
      </c>
      <c r="F1275" t="str">
        <f ca="1">IFERROR(IF(AND(C1275&amp;D1275&amp;E1275="___",INDIRECT("Inventory!A"&amp;MATCH(VLOOKUP(B1275,Inventory!E:E,1,0),Inventory!E:E,0))&lt;&gt;INDIRECT("'Full Inventory'!B"&amp;MATCH(VLOOKUP(B1275,'Full Inventory'!F:F,1,0),'Full Inventory'!F:F,0))),"X","_"),"_")</f>
        <v>_</v>
      </c>
      <c r="L1275" t="str">
        <f t="shared" ca="1" si="78"/>
        <v>__X_</v>
      </c>
      <c r="M1275" t="str">
        <f t="shared" ca="1" si="79"/>
        <v/>
      </c>
    </row>
    <row r="1276" spans="1:13" x14ac:dyDescent="0.25">
      <c r="A1276" s="5"/>
      <c r="B1276" s="4" t="str">
        <f t="shared" si="77"/>
        <v/>
      </c>
      <c r="C1276" t="str">
        <f>IF(AND(TRIM(A1276)&lt;&gt;"",IFERROR(VLOOKUP(TRIM(B1276),Inventory!E:E,1,0),0)=0),"X","_")</f>
        <v>_</v>
      </c>
      <c r="D1276" t="str">
        <f>IF(AND(TRIM(A1276)&lt;&gt;"",IFERROR(VLOOKUP(TRIM(B1276),'Full Inventory'!F:F,1,0),0)=0),"X","_")</f>
        <v>_</v>
      </c>
      <c r="E1276" t="str">
        <f t="shared" si="80"/>
        <v>X</v>
      </c>
      <c r="F1276" t="str">
        <f ca="1">IFERROR(IF(AND(C1276&amp;D1276&amp;E1276="___",INDIRECT("Inventory!A"&amp;MATCH(VLOOKUP(B1276,Inventory!E:E,1,0),Inventory!E:E,0))&lt;&gt;INDIRECT("'Full Inventory'!B"&amp;MATCH(VLOOKUP(B1276,'Full Inventory'!F:F,1,0),'Full Inventory'!F:F,0))),"X","_"),"_")</f>
        <v>_</v>
      </c>
      <c r="L1276" t="str">
        <f t="shared" ca="1" si="78"/>
        <v>__X_</v>
      </c>
      <c r="M1276" t="str">
        <f t="shared" ca="1" si="79"/>
        <v/>
      </c>
    </row>
    <row r="1277" spans="1:13" x14ac:dyDescent="0.25">
      <c r="A1277" s="5"/>
      <c r="B1277" s="4" t="str">
        <f t="shared" si="77"/>
        <v/>
      </c>
      <c r="C1277" t="str">
        <f>IF(AND(TRIM(A1277)&lt;&gt;"",IFERROR(VLOOKUP(TRIM(B1277),Inventory!E:E,1,0),0)=0),"X","_")</f>
        <v>_</v>
      </c>
      <c r="D1277" t="str">
        <f>IF(AND(TRIM(A1277)&lt;&gt;"",IFERROR(VLOOKUP(TRIM(B1277),'Full Inventory'!F:F,1,0),0)=0),"X","_")</f>
        <v>_</v>
      </c>
      <c r="E1277" t="str">
        <f t="shared" si="80"/>
        <v>X</v>
      </c>
      <c r="F1277" t="str">
        <f ca="1">IFERROR(IF(AND(C1277&amp;D1277&amp;E1277="___",INDIRECT("Inventory!A"&amp;MATCH(VLOOKUP(B1277,Inventory!E:E,1,0),Inventory!E:E,0))&lt;&gt;INDIRECT("'Full Inventory'!B"&amp;MATCH(VLOOKUP(B1277,'Full Inventory'!F:F,1,0),'Full Inventory'!F:F,0))),"X","_"),"_")</f>
        <v>_</v>
      </c>
      <c r="L1277" t="str">
        <f t="shared" ca="1" si="78"/>
        <v>__X_</v>
      </c>
      <c r="M1277" t="str">
        <f t="shared" ca="1" si="79"/>
        <v/>
      </c>
    </row>
    <row r="1278" spans="1:13" x14ac:dyDescent="0.25">
      <c r="A1278" s="5"/>
      <c r="B1278" s="4" t="str">
        <f t="shared" si="77"/>
        <v/>
      </c>
      <c r="C1278" t="str">
        <f>IF(AND(TRIM(A1278)&lt;&gt;"",IFERROR(VLOOKUP(TRIM(B1278),Inventory!E:E,1,0),0)=0),"X","_")</f>
        <v>_</v>
      </c>
      <c r="D1278" t="str">
        <f>IF(AND(TRIM(A1278)&lt;&gt;"",IFERROR(VLOOKUP(TRIM(B1278),'Full Inventory'!F:F,1,0),0)=0),"X","_")</f>
        <v>_</v>
      </c>
      <c r="E1278" t="str">
        <f t="shared" si="80"/>
        <v>X</v>
      </c>
      <c r="F1278" t="str">
        <f ca="1">IFERROR(IF(AND(C1278&amp;D1278&amp;E1278="___",INDIRECT("Inventory!A"&amp;MATCH(VLOOKUP(B1278,Inventory!E:E,1,0),Inventory!E:E,0))&lt;&gt;INDIRECT("'Full Inventory'!B"&amp;MATCH(VLOOKUP(B1278,'Full Inventory'!F:F,1,0),'Full Inventory'!F:F,0))),"X","_"),"_")</f>
        <v>_</v>
      </c>
      <c r="L1278" t="str">
        <f t="shared" ca="1" si="78"/>
        <v>__X_</v>
      </c>
      <c r="M1278" t="str">
        <f t="shared" ca="1" si="79"/>
        <v/>
      </c>
    </row>
    <row r="1279" spans="1:13" x14ac:dyDescent="0.25">
      <c r="A1279" s="5"/>
      <c r="B1279" s="4" t="str">
        <f t="shared" si="77"/>
        <v/>
      </c>
      <c r="C1279" t="str">
        <f>IF(AND(TRIM(A1279)&lt;&gt;"",IFERROR(VLOOKUP(TRIM(B1279),Inventory!E:E,1,0),0)=0),"X","_")</f>
        <v>_</v>
      </c>
      <c r="D1279" t="str">
        <f>IF(AND(TRIM(A1279)&lt;&gt;"",IFERROR(VLOOKUP(TRIM(B1279),'Full Inventory'!F:F,1,0),0)=0),"X","_")</f>
        <v>_</v>
      </c>
      <c r="E1279" t="str">
        <f t="shared" si="80"/>
        <v>X</v>
      </c>
      <c r="F1279" t="str">
        <f ca="1">IFERROR(IF(AND(C1279&amp;D1279&amp;E1279="___",INDIRECT("Inventory!A"&amp;MATCH(VLOOKUP(B1279,Inventory!E:E,1,0),Inventory!E:E,0))&lt;&gt;INDIRECT("'Full Inventory'!B"&amp;MATCH(VLOOKUP(B1279,'Full Inventory'!F:F,1,0),'Full Inventory'!F:F,0))),"X","_"),"_")</f>
        <v>_</v>
      </c>
      <c r="L1279" t="str">
        <f t="shared" ca="1" si="78"/>
        <v>__X_</v>
      </c>
      <c r="M1279" t="str">
        <f t="shared" ca="1" si="79"/>
        <v/>
      </c>
    </row>
    <row r="1280" spans="1:13" x14ac:dyDescent="0.25">
      <c r="A1280" s="5"/>
      <c r="B1280" s="4" t="str">
        <f t="shared" si="77"/>
        <v/>
      </c>
      <c r="C1280" t="str">
        <f>IF(AND(TRIM(A1280)&lt;&gt;"",IFERROR(VLOOKUP(TRIM(B1280),Inventory!E:E,1,0),0)=0),"X","_")</f>
        <v>_</v>
      </c>
      <c r="D1280" t="str">
        <f>IF(AND(TRIM(A1280)&lt;&gt;"",IFERROR(VLOOKUP(TRIM(B1280),'Full Inventory'!F:F,1,0),0)=0),"X","_")</f>
        <v>_</v>
      </c>
      <c r="E1280" t="str">
        <f t="shared" si="80"/>
        <v>X</v>
      </c>
      <c r="F1280" t="str">
        <f ca="1">IFERROR(IF(AND(C1280&amp;D1280&amp;E1280="___",INDIRECT("Inventory!A"&amp;MATCH(VLOOKUP(B1280,Inventory!E:E,1,0),Inventory!E:E,0))&lt;&gt;INDIRECT("'Full Inventory'!B"&amp;MATCH(VLOOKUP(B1280,'Full Inventory'!F:F,1,0),'Full Inventory'!F:F,0))),"X","_"),"_")</f>
        <v>_</v>
      </c>
      <c r="L1280" t="str">
        <f t="shared" ca="1" si="78"/>
        <v>__X_</v>
      </c>
      <c r="M1280" t="str">
        <f t="shared" ca="1" si="79"/>
        <v/>
      </c>
    </row>
    <row r="1281" spans="1:13" x14ac:dyDescent="0.25">
      <c r="A1281" s="5"/>
      <c r="B1281" s="4" t="str">
        <f t="shared" si="77"/>
        <v/>
      </c>
      <c r="C1281" t="str">
        <f>IF(AND(TRIM(A1281)&lt;&gt;"",IFERROR(VLOOKUP(TRIM(B1281),Inventory!E:E,1,0),0)=0),"X","_")</f>
        <v>_</v>
      </c>
      <c r="D1281" t="str">
        <f>IF(AND(TRIM(A1281)&lt;&gt;"",IFERROR(VLOOKUP(TRIM(B1281),'Full Inventory'!F:F,1,0),0)=0),"X","_")</f>
        <v>_</v>
      </c>
      <c r="E1281" t="str">
        <f t="shared" si="80"/>
        <v>X</v>
      </c>
      <c r="F1281" t="str">
        <f ca="1">IFERROR(IF(AND(C1281&amp;D1281&amp;E1281="___",INDIRECT("Inventory!A"&amp;MATCH(VLOOKUP(B1281,Inventory!E:E,1,0),Inventory!E:E,0))&lt;&gt;INDIRECT("'Full Inventory'!B"&amp;MATCH(VLOOKUP(B1281,'Full Inventory'!F:F,1,0),'Full Inventory'!F:F,0))),"X","_"),"_")</f>
        <v>_</v>
      </c>
      <c r="L1281" t="str">
        <f t="shared" ca="1" si="78"/>
        <v>__X_</v>
      </c>
      <c r="M1281" t="str">
        <f t="shared" ca="1" si="79"/>
        <v/>
      </c>
    </row>
    <row r="1282" spans="1:13" x14ac:dyDescent="0.25">
      <c r="A1282" s="5"/>
      <c r="B1282" s="4" t="str">
        <f t="shared" si="77"/>
        <v/>
      </c>
      <c r="C1282" t="str">
        <f>IF(AND(TRIM(A1282)&lt;&gt;"",IFERROR(VLOOKUP(TRIM(B1282),Inventory!E:E,1,0),0)=0),"X","_")</f>
        <v>_</v>
      </c>
      <c r="D1282" t="str">
        <f>IF(AND(TRIM(A1282)&lt;&gt;"",IFERROR(VLOOKUP(TRIM(B1282),'Full Inventory'!F:F,1,0),0)=0),"X","_")</f>
        <v>_</v>
      </c>
      <c r="E1282" t="str">
        <f t="shared" si="80"/>
        <v>X</v>
      </c>
      <c r="F1282" t="str">
        <f ca="1">IFERROR(IF(AND(C1282&amp;D1282&amp;E1282="___",INDIRECT("Inventory!A"&amp;MATCH(VLOOKUP(B1282,Inventory!E:E,1,0),Inventory!E:E,0))&lt;&gt;INDIRECT("'Full Inventory'!B"&amp;MATCH(VLOOKUP(B1282,'Full Inventory'!F:F,1,0),'Full Inventory'!F:F,0))),"X","_"),"_")</f>
        <v>_</v>
      </c>
      <c r="L1282" t="str">
        <f t="shared" ca="1" si="78"/>
        <v>__X_</v>
      </c>
      <c r="M1282" t="str">
        <f t="shared" ca="1" si="79"/>
        <v/>
      </c>
    </row>
    <row r="1283" spans="1:13" x14ac:dyDescent="0.25">
      <c r="A1283" s="5"/>
      <c r="B1283" s="4" t="str">
        <f t="shared" ref="B1283:B1346" si="81">SUBSTITUTE(SUBSTITUTE(A1283,"ö","0"),"Ö","0")</f>
        <v/>
      </c>
      <c r="C1283" t="str">
        <f>IF(AND(TRIM(A1283)&lt;&gt;"",IFERROR(VLOOKUP(TRIM(B1283),Inventory!E:E,1,0),0)=0),"X","_")</f>
        <v>_</v>
      </c>
      <c r="D1283" t="str">
        <f>IF(AND(TRIM(A1283)&lt;&gt;"",IFERROR(VLOOKUP(TRIM(B1283),'Full Inventory'!F:F,1,0),0)=0),"X","_")</f>
        <v>_</v>
      </c>
      <c r="E1283" t="str">
        <f t="shared" si="80"/>
        <v>X</v>
      </c>
      <c r="F1283" t="str">
        <f ca="1">IFERROR(IF(AND(C1283&amp;D1283&amp;E1283="___",INDIRECT("Inventory!A"&amp;MATCH(VLOOKUP(B1283,Inventory!E:E,1,0),Inventory!E:E,0))&lt;&gt;INDIRECT("'Full Inventory'!B"&amp;MATCH(VLOOKUP(B1283,'Full Inventory'!F:F,1,0),'Full Inventory'!F:F,0))),"X","_"),"_")</f>
        <v>_</v>
      </c>
      <c r="L1283" t="str">
        <f t="shared" ref="L1283:L1346" ca="1" si="82">C1283&amp;D1283&amp;E1283&amp;F1283</f>
        <v>__X_</v>
      </c>
      <c r="M1283" t="str">
        <f t="shared" ref="M1283:M1346" ca="1" si="83">IF(L1283="____","OK",IF(L1283="_X__","NOT IN FULL INVENTORY",IF(L1283="XX__","NOT IN FULL INVENTORY AND INVENTORY",IF(L1283="X___","NOT IN INVENTORY",IF(L1283="___X","DIFFERENT NAMES IN FULL INVENTORY AND INVENTORY","")))))</f>
        <v/>
      </c>
    </row>
    <row r="1284" spans="1:13" x14ac:dyDescent="0.25">
      <c r="A1284" s="5"/>
      <c r="B1284" s="4" t="str">
        <f t="shared" si="81"/>
        <v/>
      </c>
      <c r="C1284" t="str">
        <f>IF(AND(TRIM(A1284)&lt;&gt;"",IFERROR(VLOOKUP(TRIM(B1284),Inventory!E:E,1,0),0)=0),"X","_")</f>
        <v>_</v>
      </c>
      <c r="D1284" t="str">
        <f>IF(AND(TRIM(A1284)&lt;&gt;"",IFERROR(VLOOKUP(TRIM(B1284),'Full Inventory'!F:F,1,0),0)=0),"X","_")</f>
        <v>_</v>
      </c>
      <c r="E1284" t="str">
        <f t="shared" si="80"/>
        <v>X</v>
      </c>
      <c r="F1284" t="str">
        <f ca="1">IFERROR(IF(AND(C1284&amp;D1284&amp;E1284="___",INDIRECT("Inventory!A"&amp;MATCH(VLOOKUP(B1284,Inventory!E:E,1,0),Inventory!E:E,0))&lt;&gt;INDIRECT("'Full Inventory'!B"&amp;MATCH(VLOOKUP(B1284,'Full Inventory'!F:F,1,0),'Full Inventory'!F:F,0))),"X","_"),"_")</f>
        <v>_</v>
      </c>
      <c r="L1284" t="str">
        <f t="shared" ca="1" si="82"/>
        <v>__X_</v>
      </c>
      <c r="M1284" t="str">
        <f t="shared" ca="1" si="83"/>
        <v/>
      </c>
    </row>
    <row r="1285" spans="1:13" x14ac:dyDescent="0.25">
      <c r="A1285" s="5"/>
      <c r="B1285" s="4" t="str">
        <f t="shared" si="81"/>
        <v/>
      </c>
      <c r="C1285" t="str">
        <f>IF(AND(TRIM(A1285)&lt;&gt;"",IFERROR(VLOOKUP(TRIM(B1285),Inventory!E:E,1,0),0)=0),"X","_")</f>
        <v>_</v>
      </c>
      <c r="D1285" t="str">
        <f>IF(AND(TRIM(A1285)&lt;&gt;"",IFERROR(VLOOKUP(TRIM(B1285),'Full Inventory'!F:F,1,0),0)=0),"X","_")</f>
        <v>_</v>
      </c>
      <c r="E1285" t="str">
        <f t="shared" si="80"/>
        <v>X</v>
      </c>
      <c r="F1285" t="str">
        <f ca="1">IFERROR(IF(AND(C1285&amp;D1285&amp;E1285="___",INDIRECT("Inventory!A"&amp;MATCH(VLOOKUP(B1285,Inventory!E:E,1,0),Inventory!E:E,0))&lt;&gt;INDIRECT("'Full Inventory'!B"&amp;MATCH(VLOOKUP(B1285,'Full Inventory'!F:F,1,0),'Full Inventory'!F:F,0))),"X","_"),"_")</f>
        <v>_</v>
      </c>
      <c r="L1285" t="str">
        <f t="shared" ca="1" si="82"/>
        <v>__X_</v>
      </c>
      <c r="M1285" t="str">
        <f t="shared" ca="1" si="83"/>
        <v/>
      </c>
    </row>
    <row r="1286" spans="1:13" x14ac:dyDescent="0.25">
      <c r="A1286" s="5"/>
      <c r="B1286" s="4" t="str">
        <f t="shared" si="81"/>
        <v/>
      </c>
      <c r="C1286" t="str">
        <f>IF(AND(TRIM(A1286)&lt;&gt;"",IFERROR(VLOOKUP(TRIM(B1286),Inventory!E:E,1,0),0)=0),"X","_")</f>
        <v>_</v>
      </c>
      <c r="D1286" t="str">
        <f>IF(AND(TRIM(A1286)&lt;&gt;"",IFERROR(VLOOKUP(TRIM(B1286),'Full Inventory'!F:F,1,0),0)=0),"X","_")</f>
        <v>_</v>
      </c>
      <c r="E1286" t="str">
        <f t="shared" si="80"/>
        <v>X</v>
      </c>
      <c r="F1286" t="str">
        <f ca="1">IFERROR(IF(AND(C1286&amp;D1286&amp;E1286="___",INDIRECT("Inventory!A"&amp;MATCH(VLOOKUP(B1286,Inventory!E:E,1,0),Inventory!E:E,0))&lt;&gt;INDIRECT("'Full Inventory'!B"&amp;MATCH(VLOOKUP(B1286,'Full Inventory'!F:F,1,0),'Full Inventory'!F:F,0))),"X","_"),"_")</f>
        <v>_</v>
      </c>
      <c r="L1286" t="str">
        <f t="shared" ca="1" si="82"/>
        <v>__X_</v>
      </c>
      <c r="M1286" t="str">
        <f t="shared" ca="1" si="83"/>
        <v/>
      </c>
    </row>
    <row r="1287" spans="1:13" x14ac:dyDescent="0.25">
      <c r="A1287" s="5"/>
      <c r="B1287" s="4" t="str">
        <f t="shared" si="81"/>
        <v/>
      </c>
      <c r="C1287" t="str">
        <f>IF(AND(TRIM(A1287)&lt;&gt;"",IFERROR(VLOOKUP(TRIM(B1287),Inventory!E:E,1,0),0)=0),"X","_")</f>
        <v>_</v>
      </c>
      <c r="D1287" t="str">
        <f>IF(AND(TRIM(A1287)&lt;&gt;"",IFERROR(VLOOKUP(TRIM(B1287),'Full Inventory'!F:F,1,0),0)=0),"X","_")</f>
        <v>_</v>
      </c>
      <c r="E1287" t="str">
        <f t="shared" si="80"/>
        <v>X</v>
      </c>
      <c r="F1287" t="str">
        <f ca="1">IFERROR(IF(AND(C1287&amp;D1287&amp;E1287="___",INDIRECT("Inventory!A"&amp;MATCH(VLOOKUP(B1287,Inventory!E:E,1,0),Inventory!E:E,0))&lt;&gt;INDIRECT("'Full Inventory'!B"&amp;MATCH(VLOOKUP(B1287,'Full Inventory'!F:F,1,0),'Full Inventory'!F:F,0))),"X","_"),"_")</f>
        <v>_</v>
      </c>
      <c r="L1287" t="str">
        <f t="shared" ca="1" si="82"/>
        <v>__X_</v>
      </c>
      <c r="M1287" t="str">
        <f t="shared" ca="1" si="83"/>
        <v/>
      </c>
    </row>
    <row r="1288" spans="1:13" x14ac:dyDescent="0.25">
      <c r="A1288" s="5"/>
      <c r="B1288" s="4" t="str">
        <f t="shared" si="81"/>
        <v/>
      </c>
      <c r="C1288" t="str">
        <f>IF(AND(TRIM(A1288)&lt;&gt;"",IFERROR(VLOOKUP(TRIM(B1288),Inventory!E:E,1,0),0)=0),"X","_")</f>
        <v>_</v>
      </c>
      <c r="D1288" t="str">
        <f>IF(AND(TRIM(A1288)&lt;&gt;"",IFERROR(VLOOKUP(TRIM(B1288),'Full Inventory'!F:F,1,0),0)=0),"X","_")</f>
        <v>_</v>
      </c>
      <c r="E1288" t="str">
        <f t="shared" si="80"/>
        <v>X</v>
      </c>
      <c r="F1288" t="str">
        <f ca="1">IFERROR(IF(AND(C1288&amp;D1288&amp;E1288="___",INDIRECT("Inventory!A"&amp;MATCH(VLOOKUP(B1288,Inventory!E:E,1,0),Inventory!E:E,0))&lt;&gt;INDIRECT("'Full Inventory'!B"&amp;MATCH(VLOOKUP(B1288,'Full Inventory'!F:F,1,0),'Full Inventory'!F:F,0))),"X","_"),"_")</f>
        <v>_</v>
      </c>
      <c r="L1288" t="str">
        <f t="shared" ca="1" si="82"/>
        <v>__X_</v>
      </c>
      <c r="M1288" t="str">
        <f t="shared" ca="1" si="83"/>
        <v/>
      </c>
    </row>
    <row r="1289" spans="1:13" x14ac:dyDescent="0.25">
      <c r="A1289" s="5"/>
      <c r="B1289" s="4" t="str">
        <f t="shared" si="81"/>
        <v/>
      </c>
      <c r="C1289" t="str">
        <f>IF(AND(TRIM(A1289)&lt;&gt;"",IFERROR(VLOOKUP(TRIM(B1289),Inventory!E:E,1,0),0)=0),"X","_")</f>
        <v>_</v>
      </c>
      <c r="D1289" t="str">
        <f>IF(AND(TRIM(A1289)&lt;&gt;"",IFERROR(VLOOKUP(TRIM(B1289),'Full Inventory'!F:F,1,0),0)=0),"X","_")</f>
        <v>_</v>
      </c>
      <c r="E1289" t="str">
        <f t="shared" si="80"/>
        <v>X</v>
      </c>
      <c r="F1289" t="str">
        <f ca="1">IFERROR(IF(AND(C1289&amp;D1289&amp;E1289="___",INDIRECT("Inventory!A"&amp;MATCH(VLOOKUP(B1289,Inventory!E:E,1,0),Inventory!E:E,0))&lt;&gt;INDIRECT("'Full Inventory'!B"&amp;MATCH(VLOOKUP(B1289,'Full Inventory'!F:F,1,0),'Full Inventory'!F:F,0))),"X","_"),"_")</f>
        <v>_</v>
      </c>
      <c r="L1289" t="str">
        <f t="shared" ca="1" si="82"/>
        <v>__X_</v>
      </c>
      <c r="M1289" t="str">
        <f t="shared" ca="1" si="83"/>
        <v/>
      </c>
    </row>
    <row r="1290" spans="1:13" x14ac:dyDescent="0.25">
      <c r="A1290" s="5"/>
      <c r="B1290" s="4" t="str">
        <f t="shared" si="81"/>
        <v/>
      </c>
      <c r="C1290" t="str">
        <f>IF(AND(TRIM(A1290)&lt;&gt;"",IFERROR(VLOOKUP(TRIM(B1290),Inventory!E:E,1,0),0)=0),"X","_")</f>
        <v>_</v>
      </c>
      <c r="D1290" t="str">
        <f>IF(AND(TRIM(A1290)&lt;&gt;"",IFERROR(VLOOKUP(TRIM(B1290),'Full Inventory'!F:F,1,0),0)=0),"X","_")</f>
        <v>_</v>
      </c>
      <c r="E1290" t="str">
        <f t="shared" si="80"/>
        <v>X</v>
      </c>
      <c r="F1290" t="str">
        <f ca="1">IFERROR(IF(AND(C1290&amp;D1290&amp;E1290="___",INDIRECT("Inventory!A"&amp;MATCH(VLOOKUP(B1290,Inventory!E:E,1,0),Inventory!E:E,0))&lt;&gt;INDIRECT("'Full Inventory'!B"&amp;MATCH(VLOOKUP(B1290,'Full Inventory'!F:F,1,0),'Full Inventory'!F:F,0))),"X","_"),"_")</f>
        <v>_</v>
      </c>
      <c r="L1290" t="str">
        <f t="shared" ca="1" si="82"/>
        <v>__X_</v>
      </c>
      <c r="M1290" t="str">
        <f t="shared" ca="1" si="83"/>
        <v/>
      </c>
    </row>
    <row r="1291" spans="1:13" x14ac:dyDescent="0.25">
      <c r="A1291" s="5"/>
      <c r="B1291" s="4" t="str">
        <f t="shared" si="81"/>
        <v/>
      </c>
      <c r="C1291" t="str">
        <f>IF(AND(TRIM(A1291)&lt;&gt;"",IFERROR(VLOOKUP(TRIM(B1291),Inventory!E:E,1,0),0)=0),"X","_")</f>
        <v>_</v>
      </c>
      <c r="D1291" t="str">
        <f>IF(AND(TRIM(A1291)&lt;&gt;"",IFERROR(VLOOKUP(TRIM(B1291),'Full Inventory'!F:F,1,0),0)=0),"X","_")</f>
        <v>_</v>
      </c>
      <c r="E1291" t="str">
        <f t="shared" si="80"/>
        <v>X</v>
      </c>
      <c r="F1291" t="str">
        <f ca="1">IFERROR(IF(AND(C1291&amp;D1291&amp;E1291="___",INDIRECT("Inventory!A"&amp;MATCH(VLOOKUP(B1291,Inventory!E:E,1,0),Inventory!E:E,0))&lt;&gt;INDIRECT("'Full Inventory'!B"&amp;MATCH(VLOOKUP(B1291,'Full Inventory'!F:F,1,0),'Full Inventory'!F:F,0))),"X","_"),"_")</f>
        <v>_</v>
      </c>
      <c r="L1291" t="str">
        <f t="shared" ca="1" si="82"/>
        <v>__X_</v>
      </c>
      <c r="M1291" t="str">
        <f t="shared" ca="1" si="83"/>
        <v/>
      </c>
    </row>
    <row r="1292" spans="1:13" x14ac:dyDescent="0.25">
      <c r="A1292" s="5"/>
      <c r="B1292" s="4" t="str">
        <f t="shared" si="81"/>
        <v/>
      </c>
      <c r="C1292" t="str">
        <f>IF(AND(TRIM(A1292)&lt;&gt;"",IFERROR(VLOOKUP(TRIM(B1292),Inventory!E:E,1,0),0)=0),"X","_")</f>
        <v>_</v>
      </c>
      <c r="D1292" t="str">
        <f>IF(AND(TRIM(A1292)&lt;&gt;"",IFERROR(VLOOKUP(TRIM(B1292),'Full Inventory'!F:F,1,0),0)=0),"X","_")</f>
        <v>_</v>
      </c>
      <c r="E1292" t="str">
        <f t="shared" si="80"/>
        <v>X</v>
      </c>
      <c r="F1292" t="str">
        <f ca="1">IFERROR(IF(AND(C1292&amp;D1292&amp;E1292="___",INDIRECT("Inventory!A"&amp;MATCH(VLOOKUP(B1292,Inventory!E:E,1,0),Inventory!E:E,0))&lt;&gt;INDIRECT("'Full Inventory'!B"&amp;MATCH(VLOOKUP(B1292,'Full Inventory'!F:F,1,0),'Full Inventory'!F:F,0))),"X","_"),"_")</f>
        <v>_</v>
      </c>
      <c r="L1292" t="str">
        <f t="shared" ca="1" si="82"/>
        <v>__X_</v>
      </c>
      <c r="M1292" t="str">
        <f t="shared" ca="1" si="83"/>
        <v/>
      </c>
    </row>
    <row r="1293" spans="1:13" x14ac:dyDescent="0.25">
      <c r="A1293" s="5"/>
      <c r="B1293" s="4" t="str">
        <f t="shared" si="81"/>
        <v/>
      </c>
      <c r="C1293" t="str">
        <f>IF(AND(TRIM(A1293)&lt;&gt;"",IFERROR(VLOOKUP(TRIM(B1293),Inventory!E:E,1,0),0)=0),"X","_")</f>
        <v>_</v>
      </c>
      <c r="D1293" t="str">
        <f>IF(AND(TRIM(A1293)&lt;&gt;"",IFERROR(VLOOKUP(TRIM(B1293),'Full Inventory'!F:F,1,0),0)=0),"X","_")</f>
        <v>_</v>
      </c>
      <c r="E1293" t="str">
        <f t="shared" si="80"/>
        <v>X</v>
      </c>
      <c r="F1293" t="str">
        <f ca="1">IFERROR(IF(AND(C1293&amp;D1293&amp;E1293="___",INDIRECT("Inventory!A"&amp;MATCH(VLOOKUP(B1293,Inventory!E:E,1,0),Inventory!E:E,0))&lt;&gt;INDIRECT("'Full Inventory'!B"&amp;MATCH(VLOOKUP(B1293,'Full Inventory'!F:F,1,0),'Full Inventory'!F:F,0))),"X","_"),"_")</f>
        <v>_</v>
      </c>
      <c r="L1293" t="str">
        <f t="shared" ca="1" si="82"/>
        <v>__X_</v>
      </c>
      <c r="M1293" t="str">
        <f t="shared" ca="1" si="83"/>
        <v/>
      </c>
    </row>
    <row r="1294" spans="1:13" x14ac:dyDescent="0.25">
      <c r="A1294" s="5"/>
      <c r="B1294" s="4" t="str">
        <f t="shared" si="81"/>
        <v/>
      </c>
      <c r="C1294" t="str">
        <f>IF(AND(TRIM(A1294)&lt;&gt;"",IFERROR(VLOOKUP(TRIM(B1294),Inventory!E:E,1,0),0)=0),"X","_")</f>
        <v>_</v>
      </c>
      <c r="D1294" t="str">
        <f>IF(AND(TRIM(A1294)&lt;&gt;"",IFERROR(VLOOKUP(TRIM(B1294),'Full Inventory'!F:F,1,0),0)=0),"X","_")</f>
        <v>_</v>
      </c>
      <c r="E1294" t="str">
        <f t="shared" si="80"/>
        <v>X</v>
      </c>
      <c r="F1294" t="str">
        <f ca="1">IFERROR(IF(AND(C1294&amp;D1294&amp;E1294="___",INDIRECT("Inventory!A"&amp;MATCH(VLOOKUP(B1294,Inventory!E:E,1,0),Inventory!E:E,0))&lt;&gt;INDIRECT("'Full Inventory'!B"&amp;MATCH(VLOOKUP(B1294,'Full Inventory'!F:F,1,0),'Full Inventory'!F:F,0))),"X","_"),"_")</f>
        <v>_</v>
      </c>
      <c r="L1294" t="str">
        <f t="shared" ca="1" si="82"/>
        <v>__X_</v>
      </c>
      <c r="M1294" t="str">
        <f t="shared" ca="1" si="83"/>
        <v/>
      </c>
    </row>
    <row r="1295" spans="1:13" x14ac:dyDescent="0.25">
      <c r="A1295" s="5"/>
      <c r="B1295" s="4" t="str">
        <f t="shared" si="81"/>
        <v/>
      </c>
      <c r="C1295" t="str">
        <f>IF(AND(TRIM(A1295)&lt;&gt;"",IFERROR(VLOOKUP(TRIM(B1295),Inventory!E:E,1,0),0)=0),"X","_")</f>
        <v>_</v>
      </c>
      <c r="D1295" t="str">
        <f>IF(AND(TRIM(A1295)&lt;&gt;"",IFERROR(VLOOKUP(TRIM(B1295),'Full Inventory'!F:F,1,0),0)=0),"X","_")</f>
        <v>_</v>
      </c>
      <c r="E1295" t="str">
        <f t="shared" si="80"/>
        <v>X</v>
      </c>
      <c r="F1295" t="str">
        <f ca="1">IFERROR(IF(AND(C1295&amp;D1295&amp;E1295="___",INDIRECT("Inventory!A"&amp;MATCH(VLOOKUP(B1295,Inventory!E:E,1,0),Inventory!E:E,0))&lt;&gt;INDIRECT("'Full Inventory'!B"&amp;MATCH(VLOOKUP(B1295,'Full Inventory'!F:F,1,0),'Full Inventory'!F:F,0))),"X","_"),"_")</f>
        <v>_</v>
      </c>
      <c r="L1295" t="str">
        <f t="shared" ca="1" si="82"/>
        <v>__X_</v>
      </c>
      <c r="M1295" t="str">
        <f t="shared" ca="1" si="83"/>
        <v/>
      </c>
    </row>
    <row r="1296" spans="1:13" x14ac:dyDescent="0.25">
      <c r="A1296" s="5"/>
      <c r="B1296" s="4" t="str">
        <f t="shared" si="81"/>
        <v/>
      </c>
      <c r="C1296" t="str">
        <f>IF(AND(TRIM(A1296)&lt;&gt;"",IFERROR(VLOOKUP(TRIM(B1296),Inventory!E:E,1,0),0)=0),"X","_")</f>
        <v>_</v>
      </c>
      <c r="D1296" t="str">
        <f>IF(AND(TRIM(A1296)&lt;&gt;"",IFERROR(VLOOKUP(TRIM(B1296),'Full Inventory'!F:F,1,0),0)=0),"X","_")</f>
        <v>_</v>
      </c>
      <c r="E1296" t="str">
        <f t="shared" si="80"/>
        <v>X</v>
      </c>
      <c r="F1296" t="str">
        <f ca="1">IFERROR(IF(AND(C1296&amp;D1296&amp;E1296="___",INDIRECT("Inventory!A"&amp;MATCH(VLOOKUP(B1296,Inventory!E:E,1,0),Inventory!E:E,0))&lt;&gt;INDIRECT("'Full Inventory'!B"&amp;MATCH(VLOOKUP(B1296,'Full Inventory'!F:F,1,0),'Full Inventory'!F:F,0))),"X","_"),"_")</f>
        <v>_</v>
      </c>
      <c r="L1296" t="str">
        <f t="shared" ca="1" si="82"/>
        <v>__X_</v>
      </c>
      <c r="M1296" t="str">
        <f t="shared" ca="1" si="83"/>
        <v/>
      </c>
    </row>
    <row r="1297" spans="1:13" x14ac:dyDescent="0.25">
      <c r="A1297" s="5"/>
      <c r="B1297" s="4" t="str">
        <f t="shared" si="81"/>
        <v/>
      </c>
      <c r="C1297" t="str">
        <f>IF(AND(TRIM(A1297)&lt;&gt;"",IFERROR(VLOOKUP(TRIM(B1297),Inventory!E:E,1,0),0)=0),"X","_")</f>
        <v>_</v>
      </c>
      <c r="D1297" t="str">
        <f>IF(AND(TRIM(A1297)&lt;&gt;"",IFERROR(VLOOKUP(TRIM(B1297),'Full Inventory'!F:F,1,0),0)=0),"X","_")</f>
        <v>_</v>
      </c>
      <c r="E1297" t="str">
        <f t="shared" si="80"/>
        <v>X</v>
      </c>
      <c r="F1297" t="str">
        <f ca="1">IFERROR(IF(AND(C1297&amp;D1297&amp;E1297="___",INDIRECT("Inventory!A"&amp;MATCH(VLOOKUP(B1297,Inventory!E:E,1,0),Inventory!E:E,0))&lt;&gt;INDIRECT("'Full Inventory'!B"&amp;MATCH(VLOOKUP(B1297,'Full Inventory'!F:F,1,0),'Full Inventory'!F:F,0))),"X","_"),"_")</f>
        <v>_</v>
      </c>
      <c r="L1297" t="str">
        <f t="shared" ca="1" si="82"/>
        <v>__X_</v>
      </c>
      <c r="M1297" t="str">
        <f t="shared" ca="1" si="83"/>
        <v/>
      </c>
    </row>
    <row r="1298" spans="1:13" x14ac:dyDescent="0.25">
      <c r="A1298" s="5"/>
      <c r="B1298" s="4" t="str">
        <f t="shared" si="81"/>
        <v/>
      </c>
      <c r="C1298" t="str">
        <f>IF(AND(TRIM(A1298)&lt;&gt;"",IFERROR(VLOOKUP(TRIM(B1298),Inventory!E:E,1,0),0)=0),"X","_")</f>
        <v>_</v>
      </c>
      <c r="D1298" t="str">
        <f>IF(AND(TRIM(A1298)&lt;&gt;"",IFERROR(VLOOKUP(TRIM(B1298),'Full Inventory'!F:F,1,0),0)=0),"X","_")</f>
        <v>_</v>
      </c>
      <c r="E1298" t="str">
        <f t="shared" si="80"/>
        <v>X</v>
      </c>
      <c r="F1298" t="str">
        <f ca="1">IFERROR(IF(AND(C1298&amp;D1298&amp;E1298="___",INDIRECT("Inventory!A"&amp;MATCH(VLOOKUP(B1298,Inventory!E:E,1,0),Inventory!E:E,0))&lt;&gt;INDIRECT("'Full Inventory'!B"&amp;MATCH(VLOOKUP(B1298,'Full Inventory'!F:F,1,0),'Full Inventory'!F:F,0))),"X","_"),"_")</f>
        <v>_</v>
      </c>
      <c r="L1298" t="str">
        <f t="shared" ca="1" si="82"/>
        <v>__X_</v>
      </c>
      <c r="M1298" t="str">
        <f t="shared" ca="1" si="83"/>
        <v/>
      </c>
    </row>
    <row r="1299" spans="1:13" x14ac:dyDescent="0.25">
      <c r="A1299" s="5"/>
      <c r="B1299" s="4" t="str">
        <f t="shared" si="81"/>
        <v/>
      </c>
      <c r="C1299" t="str">
        <f>IF(AND(TRIM(A1299)&lt;&gt;"",IFERROR(VLOOKUP(TRIM(B1299),Inventory!E:E,1,0),0)=0),"X","_")</f>
        <v>_</v>
      </c>
      <c r="D1299" t="str">
        <f>IF(AND(TRIM(A1299)&lt;&gt;"",IFERROR(VLOOKUP(TRIM(B1299),'Full Inventory'!F:F,1,0),0)=0),"X","_")</f>
        <v>_</v>
      </c>
      <c r="E1299" t="str">
        <f t="shared" si="80"/>
        <v>X</v>
      </c>
      <c r="F1299" t="str">
        <f ca="1">IFERROR(IF(AND(C1299&amp;D1299&amp;E1299="___",INDIRECT("Inventory!A"&amp;MATCH(VLOOKUP(B1299,Inventory!E:E,1,0),Inventory!E:E,0))&lt;&gt;INDIRECT("'Full Inventory'!B"&amp;MATCH(VLOOKUP(B1299,'Full Inventory'!F:F,1,0),'Full Inventory'!F:F,0))),"X","_"),"_")</f>
        <v>_</v>
      </c>
      <c r="L1299" t="str">
        <f t="shared" ca="1" si="82"/>
        <v>__X_</v>
      </c>
      <c r="M1299" t="str">
        <f t="shared" ca="1" si="83"/>
        <v/>
      </c>
    </row>
    <row r="1300" spans="1:13" x14ac:dyDescent="0.25">
      <c r="A1300" s="5"/>
      <c r="B1300" s="4" t="str">
        <f t="shared" si="81"/>
        <v/>
      </c>
      <c r="C1300" t="str">
        <f>IF(AND(TRIM(A1300)&lt;&gt;"",IFERROR(VLOOKUP(TRIM(B1300),Inventory!E:E,1,0),0)=0),"X","_")</f>
        <v>_</v>
      </c>
      <c r="D1300" t="str">
        <f>IF(AND(TRIM(A1300)&lt;&gt;"",IFERROR(VLOOKUP(TRIM(B1300),'Full Inventory'!F:F,1,0),0)=0),"X","_")</f>
        <v>_</v>
      </c>
      <c r="E1300" t="str">
        <f t="shared" ref="E1300:E1363" si="84">IF(TRIM(A1300)&lt;&gt;"","_","X")</f>
        <v>X</v>
      </c>
      <c r="F1300" t="str">
        <f ca="1">IFERROR(IF(AND(C1300&amp;D1300&amp;E1300="___",INDIRECT("Inventory!A"&amp;MATCH(VLOOKUP(B1300,Inventory!E:E,1,0),Inventory!E:E,0))&lt;&gt;INDIRECT("'Full Inventory'!B"&amp;MATCH(VLOOKUP(B1300,'Full Inventory'!F:F,1,0),'Full Inventory'!F:F,0))),"X","_"),"_")</f>
        <v>_</v>
      </c>
      <c r="L1300" t="str">
        <f t="shared" ca="1" si="82"/>
        <v>__X_</v>
      </c>
      <c r="M1300" t="str">
        <f t="shared" ca="1" si="83"/>
        <v/>
      </c>
    </row>
    <row r="1301" spans="1:13" x14ac:dyDescent="0.25">
      <c r="A1301" s="5"/>
      <c r="B1301" s="4" t="str">
        <f t="shared" si="81"/>
        <v/>
      </c>
      <c r="C1301" t="str">
        <f>IF(AND(TRIM(A1301)&lt;&gt;"",IFERROR(VLOOKUP(TRIM(B1301),Inventory!E:E,1,0),0)=0),"X","_")</f>
        <v>_</v>
      </c>
      <c r="D1301" t="str">
        <f>IF(AND(TRIM(A1301)&lt;&gt;"",IFERROR(VLOOKUP(TRIM(B1301),'Full Inventory'!F:F,1,0),0)=0),"X","_")</f>
        <v>_</v>
      </c>
      <c r="E1301" t="str">
        <f t="shared" si="84"/>
        <v>X</v>
      </c>
      <c r="F1301" t="str">
        <f ca="1">IFERROR(IF(AND(C1301&amp;D1301&amp;E1301="___",INDIRECT("Inventory!A"&amp;MATCH(VLOOKUP(B1301,Inventory!E:E,1,0),Inventory!E:E,0))&lt;&gt;INDIRECT("'Full Inventory'!B"&amp;MATCH(VLOOKUP(B1301,'Full Inventory'!F:F,1,0),'Full Inventory'!F:F,0))),"X","_"),"_")</f>
        <v>_</v>
      </c>
      <c r="L1301" t="str">
        <f t="shared" ca="1" si="82"/>
        <v>__X_</v>
      </c>
      <c r="M1301" t="str">
        <f t="shared" ca="1" si="83"/>
        <v/>
      </c>
    </row>
    <row r="1302" spans="1:13" x14ac:dyDescent="0.25">
      <c r="A1302" s="5"/>
      <c r="B1302" s="4" t="str">
        <f t="shared" si="81"/>
        <v/>
      </c>
      <c r="C1302" t="str">
        <f>IF(AND(TRIM(A1302)&lt;&gt;"",IFERROR(VLOOKUP(TRIM(B1302),Inventory!E:E,1,0),0)=0),"X","_")</f>
        <v>_</v>
      </c>
      <c r="D1302" t="str">
        <f>IF(AND(TRIM(A1302)&lt;&gt;"",IFERROR(VLOOKUP(TRIM(B1302),'Full Inventory'!F:F,1,0),0)=0),"X","_")</f>
        <v>_</v>
      </c>
      <c r="E1302" t="str">
        <f t="shared" si="84"/>
        <v>X</v>
      </c>
      <c r="F1302" t="str">
        <f ca="1">IFERROR(IF(AND(C1302&amp;D1302&amp;E1302="___",INDIRECT("Inventory!A"&amp;MATCH(VLOOKUP(B1302,Inventory!E:E,1,0),Inventory!E:E,0))&lt;&gt;INDIRECT("'Full Inventory'!B"&amp;MATCH(VLOOKUP(B1302,'Full Inventory'!F:F,1,0),'Full Inventory'!F:F,0))),"X","_"),"_")</f>
        <v>_</v>
      </c>
      <c r="L1302" t="str">
        <f t="shared" ca="1" si="82"/>
        <v>__X_</v>
      </c>
      <c r="M1302" t="str">
        <f t="shared" ca="1" si="83"/>
        <v/>
      </c>
    </row>
    <row r="1303" spans="1:13" x14ac:dyDescent="0.25">
      <c r="A1303" s="5"/>
      <c r="B1303" s="4" t="str">
        <f t="shared" si="81"/>
        <v/>
      </c>
      <c r="C1303" t="str">
        <f>IF(AND(TRIM(A1303)&lt;&gt;"",IFERROR(VLOOKUP(TRIM(B1303),Inventory!E:E,1,0),0)=0),"X","_")</f>
        <v>_</v>
      </c>
      <c r="D1303" t="str">
        <f>IF(AND(TRIM(A1303)&lt;&gt;"",IFERROR(VLOOKUP(TRIM(B1303),'Full Inventory'!F:F,1,0),0)=0),"X","_")</f>
        <v>_</v>
      </c>
      <c r="E1303" t="str">
        <f t="shared" si="84"/>
        <v>X</v>
      </c>
      <c r="F1303" t="str">
        <f ca="1">IFERROR(IF(AND(C1303&amp;D1303&amp;E1303="___",INDIRECT("Inventory!A"&amp;MATCH(VLOOKUP(B1303,Inventory!E:E,1,0),Inventory!E:E,0))&lt;&gt;INDIRECT("'Full Inventory'!B"&amp;MATCH(VLOOKUP(B1303,'Full Inventory'!F:F,1,0),'Full Inventory'!F:F,0))),"X","_"),"_")</f>
        <v>_</v>
      </c>
      <c r="L1303" t="str">
        <f t="shared" ca="1" si="82"/>
        <v>__X_</v>
      </c>
      <c r="M1303" t="str">
        <f t="shared" ca="1" si="83"/>
        <v/>
      </c>
    </row>
    <row r="1304" spans="1:13" x14ac:dyDescent="0.25">
      <c r="A1304" s="5"/>
      <c r="B1304" s="4" t="str">
        <f t="shared" si="81"/>
        <v/>
      </c>
      <c r="C1304" t="str">
        <f>IF(AND(TRIM(A1304)&lt;&gt;"",IFERROR(VLOOKUP(TRIM(B1304),Inventory!E:E,1,0),0)=0),"X","_")</f>
        <v>_</v>
      </c>
      <c r="D1304" t="str">
        <f>IF(AND(TRIM(A1304)&lt;&gt;"",IFERROR(VLOOKUP(TRIM(B1304),'Full Inventory'!F:F,1,0),0)=0),"X","_")</f>
        <v>_</v>
      </c>
      <c r="E1304" t="str">
        <f t="shared" si="84"/>
        <v>X</v>
      </c>
      <c r="F1304" t="str">
        <f ca="1">IFERROR(IF(AND(C1304&amp;D1304&amp;E1304="___",INDIRECT("Inventory!A"&amp;MATCH(VLOOKUP(B1304,Inventory!E:E,1,0),Inventory!E:E,0))&lt;&gt;INDIRECT("'Full Inventory'!B"&amp;MATCH(VLOOKUP(B1304,'Full Inventory'!F:F,1,0),'Full Inventory'!F:F,0))),"X","_"),"_")</f>
        <v>_</v>
      </c>
      <c r="L1304" t="str">
        <f t="shared" ca="1" si="82"/>
        <v>__X_</v>
      </c>
      <c r="M1304" t="str">
        <f t="shared" ca="1" si="83"/>
        <v/>
      </c>
    </row>
    <row r="1305" spans="1:13" x14ac:dyDescent="0.25">
      <c r="A1305" s="5"/>
      <c r="B1305" s="4" t="str">
        <f t="shared" si="81"/>
        <v/>
      </c>
      <c r="C1305" t="str">
        <f>IF(AND(TRIM(A1305)&lt;&gt;"",IFERROR(VLOOKUP(TRIM(B1305),Inventory!E:E,1,0),0)=0),"X","_")</f>
        <v>_</v>
      </c>
      <c r="D1305" t="str">
        <f>IF(AND(TRIM(A1305)&lt;&gt;"",IFERROR(VLOOKUP(TRIM(B1305),'Full Inventory'!F:F,1,0),0)=0),"X","_")</f>
        <v>_</v>
      </c>
      <c r="E1305" t="str">
        <f t="shared" si="84"/>
        <v>X</v>
      </c>
      <c r="F1305" t="str">
        <f ca="1">IFERROR(IF(AND(C1305&amp;D1305&amp;E1305="___",INDIRECT("Inventory!A"&amp;MATCH(VLOOKUP(B1305,Inventory!E:E,1,0),Inventory!E:E,0))&lt;&gt;INDIRECT("'Full Inventory'!B"&amp;MATCH(VLOOKUP(B1305,'Full Inventory'!F:F,1,0),'Full Inventory'!F:F,0))),"X","_"),"_")</f>
        <v>_</v>
      </c>
      <c r="L1305" t="str">
        <f t="shared" ca="1" si="82"/>
        <v>__X_</v>
      </c>
      <c r="M1305" t="str">
        <f t="shared" ca="1" si="83"/>
        <v/>
      </c>
    </row>
    <row r="1306" spans="1:13" x14ac:dyDescent="0.25">
      <c r="A1306" s="5"/>
      <c r="B1306" s="4" t="str">
        <f t="shared" si="81"/>
        <v/>
      </c>
      <c r="C1306" t="str">
        <f>IF(AND(TRIM(A1306)&lt;&gt;"",IFERROR(VLOOKUP(TRIM(B1306),Inventory!E:E,1,0),0)=0),"X","_")</f>
        <v>_</v>
      </c>
      <c r="D1306" t="str">
        <f>IF(AND(TRIM(A1306)&lt;&gt;"",IFERROR(VLOOKUP(TRIM(B1306),'Full Inventory'!F:F,1,0),0)=0),"X","_")</f>
        <v>_</v>
      </c>
      <c r="E1306" t="str">
        <f t="shared" si="84"/>
        <v>X</v>
      </c>
      <c r="F1306" t="str">
        <f ca="1">IFERROR(IF(AND(C1306&amp;D1306&amp;E1306="___",INDIRECT("Inventory!A"&amp;MATCH(VLOOKUP(B1306,Inventory!E:E,1,0),Inventory!E:E,0))&lt;&gt;INDIRECT("'Full Inventory'!B"&amp;MATCH(VLOOKUP(B1306,'Full Inventory'!F:F,1,0),'Full Inventory'!F:F,0))),"X","_"),"_")</f>
        <v>_</v>
      </c>
      <c r="L1306" t="str">
        <f t="shared" ca="1" si="82"/>
        <v>__X_</v>
      </c>
      <c r="M1306" t="str">
        <f t="shared" ca="1" si="83"/>
        <v/>
      </c>
    </row>
    <row r="1307" spans="1:13" x14ac:dyDescent="0.25">
      <c r="A1307" s="5"/>
      <c r="B1307" s="4" t="str">
        <f t="shared" si="81"/>
        <v/>
      </c>
      <c r="C1307" t="str">
        <f>IF(AND(TRIM(A1307)&lt;&gt;"",IFERROR(VLOOKUP(TRIM(B1307),Inventory!E:E,1,0),0)=0),"X","_")</f>
        <v>_</v>
      </c>
      <c r="D1307" t="str">
        <f>IF(AND(TRIM(A1307)&lt;&gt;"",IFERROR(VLOOKUP(TRIM(B1307),'Full Inventory'!F:F,1,0),0)=0),"X","_")</f>
        <v>_</v>
      </c>
      <c r="E1307" t="str">
        <f t="shared" si="84"/>
        <v>X</v>
      </c>
      <c r="F1307" t="str">
        <f ca="1">IFERROR(IF(AND(C1307&amp;D1307&amp;E1307="___",INDIRECT("Inventory!A"&amp;MATCH(VLOOKUP(B1307,Inventory!E:E,1,0),Inventory!E:E,0))&lt;&gt;INDIRECT("'Full Inventory'!B"&amp;MATCH(VLOOKUP(B1307,'Full Inventory'!F:F,1,0),'Full Inventory'!F:F,0))),"X","_"),"_")</f>
        <v>_</v>
      </c>
      <c r="L1307" t="str">
        <f t="shared" ca="1" si="82"/>
        <v>__X_</v>
      </c>
      <c r="M1307" t="str">
        <f t="shared" ca="1" si="83"/>
        <v/>
      </c>
    </row>
    <row r="1308" spans="1:13" x14ac:dyDescent="0.25">
      <c r="A1308" s="5"/>
      <c r="B1308" s="4" t="str">
        <f t="shared" si="81"/>
        <v/>
      </c>
      <c r="C1308" t="str">
        <f>IF(AND(TRIM(A1308)&lt;&gt;"",IFERROR(VLOOKUP(TRIM(B1308),Inventory!E:E,1,0),0)=0),"X","_")</f>
        <v>_</v>
      </c>
      <c r="D1308" t="str">
        <f>IF(AND(TRIM(A1308)&lt;&gt;"",IFERROR(VLOOKUP(TRIM(B1308),'Full Inventory'!F:F,1,0),0)=0),"X","_")</f>
        <v>_</v>
      </c>
      <c r="E1308" t="str">
        <f t="shared" si="84"/>
        <v>X</v>
      </c>
      <c r="F1308" t="str">
        <f ca="1">IFERROR(IF(AND(C1308&amp;D1308&amp;E1308="___",INDIRECT("Inventory!A"&amp;MATCH(VLOOKUP(B1308,Inventory!E:E,1,0),Inventory!E:E,0))&lt;&gt;INDIRECT("'Full Inventory'!B"&amp;MATCH(VLOOKUP(B1308,'Full Inventory'!F:F,1,0),'Full Inventory'!F:F,0))),"X","_"),"_")</f>
        <v>_</v>
      </c>
      <c r="L1308" t="str">
        <f t="shared" ca="1" si="82"/>
        <v>__X_</v>
      </c>
      <c r="M1308" t="str">
        <f t="shared" ca="1" si="83"/>
        <v/>
      </c>
    </row>
    <row r="1309" spans="1:13" x14ac:dyDescent="0.25">
      <c r="A1309" s="5"/>
      <c r="B1309" s="4" t="str">
        <f t="shared" si="81"/>
        <v/>
      </c>
      <c r="C1309" t="str">
        <f>IF(AND(TRIM(A1309)&lt;&gt;"",IFERROR(VLOOKUP(TRIM(B1309),Inventory!E:E,1,0),0)=0),"X","_")</f>
        <v>_</v>
      </c>
      <c r="D1309" t="str">
        <f>IF(AND(TRIM(A1309)&lt;&gt;"",IFERROR(VLOOKUP(TRIM(B1309),'Full Inventory'!F:F,1,0),0)=0),"X","_")</f>
        <v>_</v>
      </c>
      <c r="E1309" t="str">
        <f t="shared" si="84"/>
        <v>X</v>
      </c>
      <c r="F1309" t="str">
        <f ca="1">IFERROR(IF(AND(C1309&amp;D1309&amp;E1309="___",INDIRECT("Inventory!A"&amp;MATCH(VLOOKUP(B1309,Inventory!E:E,1,0),Inventory!E:E,0))&lt;&gt;INDIRECT("'Full Inventory'!B"&amp;MATCH(VLOOKUP(B1309,'Full Inventory'!F:F,1,0),'Full Inventory'!F:F,0))),"X","_"),"_")</f>
        <v>_</v>
      </c>
      <c r="L1309" t="str">
        <f t="shared" ca="1" si="82"/>
        <v>__X_</v>
      </c>
      <c r="M1309" t="str">
        <f t="shared" ca="1" si="83"/>
        <v/>
      </c>
    </row>
    <row r="1310" spans="1:13" x14ac:dyDescent="0.25">
      <c r="A1310" s="5"/>
      <c r="B1310" s="4" t="str">
        <f t="shared" si="81"/>
        <v/>
      </c>
      <c r="C1310" t="str">
        <f>IF(AND(TRIM(A1310)&lt;&gt;"",IFERROR(VLOOKUP(TRIM(B1310),Inventory!E:E,1,0),0)=0),"X","_")</f>
        <v>_</v>
      </c>
      <c r="D1310" t="str">
        <f>IF(AND(TRIM(A1310)&lt;&gt;"",IFERROR(VLOOKUP(TRIM(B1310),'Full Inventory'!F:F,1,0),0)=0),"X","_")</f>
        <v>_</v>
      </c>
      <c r="E1310" t="str">
        <f t="shared" si="84"/>
        <v>X</v>
      </c>
      <c r="F1310" t="str">
        <f ca="1">IFERROR(IF(AND(C1310&amp;D1310&amp;E1310="___",INDIRECT("Inventory!A"&amp;MATCH(VLOOKUP(B1310,Inventory!E:E,1,0),Inventory!E:E,0))&lt;&gt;INDIRECT("'Full Inventory'!B"&amp;MATCH(VLOOKUP(B1310,'Full Inventory'!F:F,1,0),'Full Inventory'!F:F,0))),"X","_"),"_")</f>
        <v>_</v>
      </c>
      <c r="L1310" t="str">
        <f t="shared" ca="1" si="82"/>
        <v>__X_</v>
      </c>
      <c r="M1310" t="str">
        <f t="shared" ca="1" si="83"/>
        <v/>
      </c>
    </row>
    <row r="1311" spans="1:13" x14ac:dyDescent="0.25">
      <c r="A1311" s="5"/>
      <c r="B1311" s="4" t="str">
        <f t="shared" si="81"/>
        <v/>
      </c>
      <c r="C1311" t="str">
        <f>IF(AND(TRIM(A1311)&lt;&gt;"",IFERROR(VLOOKUP(TRIM(B1311),Inventory!E:E,1,0),0)=0),"X","_")</f>
        <v>_</v>
      </c>
      <c r="D1311" t="str">
        <f>IF(AND(TRIM(A1311)&lt;&gt;"",IFERROR(VLOOKUP(TRIM(B1311),'Full Inventory'!F:F,1,0),0)=0),"X","_")</f>
        <v>_</v>
      </c>
      <c r="E1311" t="str">
        <f t="shared" si="84"/>
        <v>X</v>
      </c>
      <c r="F1311" t="str">
        <f ca="1">IFERROR(IF(AND(C1311&amp;D1311&amp;E1311="___",INDIRECT("Inventory!A"&amp;MATCH(VLOOKUP(B1311,Inventory!E:E,1,0),Inventory!E:E,0))&lt;&gt;INDIRECT("'Full Inventory'!B"&amp;MATCH(VLOOKUP(B1311,'Full Inventory'!F:F,1,0),'Full Inventory'!F:F,0))),"X","_"),"_")</f>
        <v>_</v>
      </c>
      <c r="L1311" t="str">
        <f t="shared" ca="1" si="82"/>
        <v>__X_</v>
      </c>
      <c r="M1311" t="str">
        <f t="shared" ca="1" si="83"/>
        <v/>
      </c>
    </row>
    <row r="1312" spans="1:13" x14ac:dyDescent="0.25">
      <c r="A1312" s="5"/>
      <c r="B1312" s="4" t="str">
        <f t="shared" si="81"/>
        <v/>
      </c>
      <c r="C1312" t="str">
        <f>IF(AND(TRIM(A1312)&lt;&gt;"",IFERROR(VLOOKUP(TRIM(B1312),Inventory!E:E,1,0),0)=0),"X","_")</f>
        <v>_</v>
      </c>
      <c r="D1312" t="str">
        <f>IF(AND(TRIM(A1312)&lt;&gt;"",IFERROR(VLOOKUP(TRIM(B1312),'Full Inventory'!F:F,1,0),0)=0),"X","_")</f>
        <v>_</v>
      </c>
      <c r="E1312" t="str">
        <f t="shared" si="84"/>
        <v>X</v>
      </c>
      <c r="F1312" t="str">
        <f ca="1">IFERROR(IF(AND(C1312&amp;D1312&amp;E1312="___",INDIRECT("Inventory!A"&amp;MATCH(VLOOKUP(B1312,Inventory!E:E,1,0),Inventory!E:E,0))&lt;&gt;INDIRECT("'Full Inventory'!B"&amp;MATCH(VLOOKUP(B1312,'Full Inventory'!F:F,1,0),'Full Inventory'!F:F,0))),"X","_"),"_")</f>
        <v>_</v>
      </c>
      <c r="L1312" t="str">
        <f t="shared" ca="1" si="82"/>
        <v>__X_</v>
      </c>
      <c r="M1312" t="str">
        <f t="shared" ca="1" si="83"/>
        <v/>
      </c>
    </row>
    <row r="1313" spans="1:13" x14ac:dyDescent="0.25">
      <c r="A1313" s="5"/>
      <c r="B1313" s="4" t="str">
        <f t="shared" si="81"/>
        <v/>
      </c>
      <c r="C1313" t="str">
        <f>IF(AND(TRIM(A1313)&lt;&gt;"",IFERROR(VLOOKUP(TRIM(B1313),Inventory!E:E,1,0),0)=0),"X","_")</f>
        <v>_</v>
      </c>
      <c r="D1313" t="str">
        <f>IF(AND(TRIM(A1313)&lt;&gt;"",IFERROR(VLOOKUP(TRIM(B1313),'Full Inventory'!F:F,1,0),0)=0),"X","_")</f>
        <v>_</v>
      </c>
      <c r="E1313" t="str">
        <f t="shared" si="84"/>
        <v>X</v>
      </c>
      <c r="F1313" t="str">
        <f ca="1">IFERROR(IF(AND(C1313&amp;D1313&amp;E1313="___",INDIRECT("Inventory!A"&amp;MATCH(VLOOKUP(B1313,Inventory!E:E,1,0),Inventory!E:E,0))&lt;&gt;INDIRECT("'Full Inventory'!B"&amp;MATCH(VLOOKUP(B1313,'Full Inventory'!F:F,1,0),'Full Inventory'!F:F,0))),"X","_"),"_")</f>
        <v>_</v>
      </c>
      <c r="L1313" t="str">
        <f t="shared" ca="1" si="82"/>
        <v>__X_</v>
      </c>
      <c r="M1313" t="str">
        <f t="shared" ca="1" si="83"/>
        <v/>
      </c>
    </row>
    <row r="1314" spans="1:13" x14ac:dyDescent="0.25">
      <c r="A1314" s="5"/>
      <c r="B1314" s="4" t="str">
        <f t="shared" si="81"/>
        <v/>
      </c>
      <c r="C1314" t="str">
        <f>IF(AND(TRIM(A1314)&lt;&gt;"",IFERROR(VLOOKUP(TRIM(B1314),Inventory!E:E,1,0),0)=0),"X","_")</f>
        <v>_</v>
      </c>
      <c r="D1314" t="str">
        <f>IF(AND(TRIM(A1314)&lt;&gt;"",IFERROR(VLOOKUP(TRIM(B1314),'Full Inventory'!F:F,1,0),0)=0),"X","_")</f>
        <v>_</v>
      </c>
      <c r="E1314" t="str">
        <f t="shared" si="84"/>
        <v>X</v>
      </c>
      <c r="F1314" t="str">
        <f ca="1">IFERROR(IF(AND(C1314&amp;D1314&amp;E1314="___",INDIRECT("Inventory!A"&amp;MATCH(VLOOKUP(B1314,Inventory!E:E,1,0),Inventory!E:E,0))&lt;&gt;INDIRECT("'Full Inventory'!B"&amp;MATCH(VLOOKUP(B1314,'Full Inventory'!F:F,1,0),'Full Inventory'!F:F,0))),"X","_"),"_")</f>
        <v>_</v>
      </c>
      <c r="L1314" t="str">
        <f t="shared" ca="1" si="82"/>
        <v>__X_</v>
      </c>
      <c r="M1314" t="str">
        <f t="shared" ca="1" si="83"/>
        <v/>
      </c>
    </row>
    <row r="1315" spans="1:13" x14ac:dyDescent="0.25">
      <c r="A1315" s="5"/>
      <c r="B1315" s="4" t="str">
        <f t="shared" si="81"/>
        <v/>
      </c>
      <c r="C1315" t="str">
        <f>IF(AND(TRIM(A1315)&lt;&gt;"",IFERROR(VLOOKUP(TRIM(B1315),Inventory!E:E,1,0),0)=0),"X","_")</f>
        <v>_</v>
      </c>
      <c r="D1315" t="str">
        <f>IF(AND(TRIM(A1315)&lt;&gt;"",IFERROR(VLOOKUP(TRIM(B1315),'Full Inventory'!F:F,1,0),0)=0),"X","_")</f>
        <v>_</v>
      </c>
      <c r="E1315" t="str">
        <f t="shared" si="84"/>
        <v>X</v>
      </c>
      <c r="F1315" t="str">
        <f ca="1">IFERROR(IF(AND(C1315&amp;D1315&amp;E1315="___",INDIRECT("Inventory!A"&amp;MATCH(VLOOKUP(B1315,Inventory!E:E,1,0),Inventory!E:E,0))&lt;&gt;INDIRECT("'Full Inventory'!B"&amp;MATCH(VLOOKUP(B1315,'Full Inventory'!F:F,1,0),'Full Inventory'!F:F,0))),"X","_"),"_")</f>
        <v>_</v>
      </c>
      <c r="L1315" t="str">
        <f t="shared" ca="1" si="82"/>
        <v>__X_</v>
      </c>
      <c r="M1315" t="str">
        <f t="shared" ca="1" si="83"/>
        <v/>
      </c>
    </row>
    <row r="1316" spans="1:13" x14ac:dyDescent="0.25">
      <c r="A1316" s="5"/>
      <c r="B1316" s="4" t="str">
        <f t="shared" si="81"/>
        <v/>
      </c>
      <c r="C1316" t="str">
        <f>IF(AND(TRIM(A1316)&lt;&gt;"",IFERROR(VLOOKUP(TRIM(B1316),Inventory!E:E,1,0),0)=0),"X","_")</f>
        <v>_</v>
      </c>
      <c r="D1316" t="str">
        <f>IF(AND(TRIM(A1316)&lt;&gt;"",IFERROR(VLOOKUP(TRIM(B1316),'Full Inventory'!F:F,1,0),0)=0),"X","_")</f>
        <v>_</v>
      </c>
      <c r="E1316" t="str">
        <f t="shared" si="84"/>
        <v>X</v>
      </c>
      <c r="F1316" t="str">
        <f ca="1">IFERROR(IF(AND(C1316&amp;D1316&amp;E1316="___",INDIRECT("Inventory!A"&amp;MATCH(VLOOKUP(B1316,Inventory!E:E,1,0),Inventory!E:E,0))&lt;&gt;INDIRECT("'Full Inventory'!B"&amp;MATCH(VLOOKUP(B1316,'Full Inventory'!F:F,1,0),'Full Inventory'!F:F,0))),"X","_"),"_")</f>
        <v>_</v>
      </c>
      <c r="L1316" t="str">
        <f t="shared" ca="1" si="82"/>
        <v>__X_</v>
      </c>
      <c r="M1316" t="str">
        <f t="shared" ca="1" si="83"/>
        <v/>
      </c>
    </row>
    <row r="1317" spans="1:13" x14ac:dyDescent="0.25">
      <c r="A1317" s="5"/>
      <c r="B1317" s="4" t="str">
        <f t="shared" si="81"/>
        <v/>
      </c>
      <c r="C1317" t="str">
        <f>IF(AND(TRIM(A1317)&lt;&gt;"",IFERROR(VLOOKUP(TRIM(B1317),Inventory!E:E,1,0),0)=0),"X","_")</f>
        <v>_</v>
      </c>
      <c r="D1317" t="str">
        <f>IF(AND(TRIM(A1317)&lt;&gt;"",IFERROR(VLOOKUP(TRIM(B1317),'Full Inventory'!F:F,1,0),0)=0),"X","_")</f>
        <v>_</v>
      </c>
      <c r="E1317" t="str">
        <f t="shared" si="84"/>
        <v>X</v>
      </c>
      <c r="F1317" t="str">
        <f ca="1">IFERROR(IF(AND(C1317&amp;D1317&amp;E1317="___",INDIRECT("Inventory!A"&amp;MATCH(VLOOKUP(B1317,Inventory!E:E,1,0),Inventory!E:E,0))&lt;&gt;INDIRECT("'Full Inventory'!B"&amp;MATCH(VLOOKUP(B1317,'Full Inventory'!F:F,1,0),'Full Inventory'!F:F,0))),"X","_"),"_")</f>
        <v>_</v>
      </c>
      <c r="L1317" t="str">
        <f t="shared" ca="1" si="82"/>
        <v>__X_</v>
      </c>
      <c r="M1317" t="str">
        <f t="shared" ca="1" si="83"/>
        <v/>
      </c>
    </row>
    <row r="1318" spans="1:13" x14ac:dyDescent="0.25">
      <c r="A1318" s="5"/>
      <c r="B1318" s="4" t="str">
        <f t="shared" si="81"/>
        <v/>
      </c>
      <c r="C1318" t="str">
        <f>IF(AND(TRIM(A1318)&lt;&gt;"",IFERROR(VLOOKUP(TRIM(B1318),Inventory!E:E,1,0),0)=0),"X","_")</f>
        <v>_</v>
      </c>
      <c r="D1318" t="str">
        <f>IF(AND(TRIM(A1318)&lt;&gt;"",IFERROR(VLOOKUP(TRIM(B1318),'Full Inventory'!F:F,1,0),0)=0),"X","_")</f>
        <v>_</v>
      </c>
      <c r="E1318" t="str">
        <f t="shared" si="84"/>
        <v>X</v>
      </c>
      <c r="F1318" t="str">
        <f ca="1">IFERROR(IF(AND(C1318&amp;D1318&amp;E1318="___",INDIRECT("Inventory!A"&amp;MATCH(VLOOKUP(B1318,Inventory!E:E,1,0),Inventory!E:E,0))&lt;&gt;INDIRECT("'Full Inventory'!B"&amp;MATCH(VLOOKUP(B1318,'Full Inventory'!F:F,1,0),'Full Inventory'!F:F,0))),"X","_"),"_")</f>
        <v>_</v>
      </c>
      <c r="L1318" t="str">
        <f t="shared" ca="1" si="82"/>
        <v>__X_</v>
      </c>
      <c r="M1318" t="str">
        <f t="shared" ca="1" si="83"/>
        <v/>
      </c>
    </row>
    <row r="1319" spans="1:13" x14ac:dyDescent="0.25">
      <c r="A1319" s="5"/>
      <c r="B1319" s="4" t="str">
        <f t="shared" si="81"/>
        <v/>
      </c>
      <c r="C1319" t="str">
        <f>IF(AND(TRIM(A1319)&lt;&gt;"",IFERROR(VLOOKUP(TRIM(B1319),Inventory!E:E,1,0),0)=0),"X","_")</f>
        <v>_</v>
      </c>
      <c r="D1319" t="str">
        <f>IF(AND(TRIM(A1319)&lt;&gt;"",IFERROR(VLOOKUP(TRIM(B1319),'Full Inventory'!F:F,1,0),0)=0),"X","_")</f>
        <v>_</v>
      </c>
      <c r="E1319" t="str">
        <f t="shared" si="84"/>
        <v>X</v>
      </c>
      <c r="F1319" t="str">
        <f ca="1">IFERROR(IF(AND(C1319&amp;D1319&amp;E1319="___",INDIRECT("Inventory!A"&amp;MATCH(VLOOKUP(B1319,Inventory!E:E,1,0),Inventory!E:E,0))&lt;&gt;INDIRECT("'Full Inventory'!B"&amp;MATCH(VLOOKUP(B1319,'Full Inventory'!F:F,1,0),'Full Inventory'!F:F,0))),"X","_"),"_")</f>
        <v>_</v>
      </c>
      <c r="L1319" t="str">
        <f t="shared" ca="1" si="82"/>
        <v>__X_</v>
      </c>
      <c r="M1319" t="str">
        <f t="shared" ca="1" si="83"/>
        <v/>
      </c>
    </row>
    <row r="1320" spans="1:13" x14ac:dyDescent="0.25">
      <c r="A1320" s="5"/>
      <c r="B1320" s="4" t="str">
        <f t="shared" si="81"/>
        <v/>
      </c>
      <c r="C1320" t="str">
        <f>IF(AND(TRIM(A1320)&lt;&gt;"",IFERROR(VLOOKUP(TRIM(B1320),Inventory!E:E,1,0),0)=0),"X","_")</f>
        <v>_</v>
      </c>
      <c r="D1320" t="str">
        <f>IF(AND(TRIM(A1320)&lt;&gt;"",IFERROR(VLOOKUP(TRIM(B1320),'Full Inventory'!F:F,1,0),0)=0),"X","_")</f>
        <v>_</v>
      </c>
      <c r="E1320" t="str">
        <f t="shared" si="84"/>
        <v>X</v>
      </c>
      <c r="F1320" t="str">
        <f ca="1">IFERROR(IF(AND(C1320&amp;D1320&amp;E1320="___",INDIRECT("Inventory!A"&amp;MATCH(VLOOKUP(B1320,Inventory!E:E,1,0),Inventory!E:E,0))&lt;&gt;INDIRECT("'Full Inventory'!B"&amp;MATCH(VLOOKUP(B1320,'Full Inventory'!F:F,1,0),'Full Inventory'!F:F,0))),"X","_"),"_")</f>
        <v>_</v>
      </c>
      <c r="L1320" t="str">
        <f t="shared" ca="1" si="82"/>
        <v>__X_</v>
      </c>
      <c r="M1320" t="str">
        <f t="shared" ca="1" si="83"/>
        <v/>
      </c>
    </row>
    <row r="1321" spans="1:13" x14ac:dyDescent="0.25">
      <c r="A1321" s="5"/>
      <c r="B1321" s="4" t="str">
        <f t="shared" si="81"/>
        <v/>
      </c>
      <c r="C1321" t="str">
        <f>IF(AND(TRIM(A1321)&lt;&gt;"",IFERROR(VLOOKUP(TRIM(B1321),Inventory!E:E,1,0),0)=0),"X","_")</f>
        <v>_</v>
      </c>
      <c r="D1321" t="str">
        <f>IF(AND(TRIM(A1321)&lt;&gt;"",IFERROR(VLOOKUP(TRIM(B1321),'Full Inventory'!F:F,1,0),0)=0),"X","_")</f>
        <v>_</v>
      </c>
      <c r="E1321" t="str">
        <f t="shared" si="84"/>
        <v>X</v>
      </c>
      <c r="F1321" t="str">
        <f ca="1">IFERROR(IF(AND(C1321&amp;D1321&amp;E1321="___",INDIRECT("Inventory!A"&amp;MATCH(VLOOKUP(B1321,Inventory!E:E,1,0),Inventory!E:E,0))&lt;&gt;INDIRECT("'Full Inventory'!B"&amp;MATCH(VLOOKUP(B1321,'Full Inventory'!F:F,1,0),'Full Inventory'!F:F,0))),"X","_"),"_")</f>
        <v>_</v>
      </c>
      <c r="L1321" t="str">
        <f t="shared" ca="1" si="82"/>
        <v>__X_</v>
      </c>
      <c r="M1321" t="str">
        <f t="shared" ca="1" si="83"/>
        <v/>
      </c>
    </row>
    <row r="1322" spans="1:13" x14ac:dyDescent="0.25">
      <c r="A1322" s="5"/>
      <c r="B1322" s="4" t="str">
        <f t="shared" si="81"/>
        <v/>
      </c>
      <c r="C1322" t="str">
        <f>IF(AND(TRIM(A1322)&lt;&gt;"",IFERROR(VLOOKUP(TRIM(B1322),Inventory!E:E,1,0),0)=0),"X","_")</f>
        <v>_</v>
      </c>
      <c r="D1322" t="str">
        <f>IF(AND(TRIM(A1322)&lt;&gt;"",IFERROR(VLOOKUP(TRIM(B1322),'Full Inventory'!F:F,1,0),0)=0),"X","_")</f>
        <v>_</v>
      </c>
      <c r="E1322" t="str">
        <f t="shared" si="84"/>
        <v>X</v>
      </c>
      <c r="F1322" t="str">
        <f ca="1">IFERROR(IF(AND(C1322&amp;D1322&amp;E1322="___",INDIRECT("Inventory!A"&amp;MATCH(VLOOKUP(B1322,Inventory!E:E,1,0),Inventory!E:E,0))&lt;&gt;INDIRECT("'Full Inventory'!B"&amp;MATCH(VLOOKUP(B1322,'Full Inventory'!F:F,1,0),'Full Inventory'!F:F,0))),"X","_"),"_")</f>
        <v>_</v>
      </c>
      <c r="L1322" t="str">
        <f t="shared" ca="1" si="82"/>
        <v>__X_</v>
      </c>
      <c r="M1322" t="str">
        <f t="shared" ca="1" si="83"/>
        <v/>
      </c>
    </row>
    <row r="1323" spans="1:13" x14ac:dyDescent="0.25">
      <c r="A1323" s="5"/>
      <c r="B1323" s="4" t="str">
        <f t="shared" si="81"/>
        <v/>
      </c>
      <c r="C1323" t="str">
        <f>IF(AND(TRIM(A1323)&lt;&gt;"",IFERROR(VLOOKUP(TRIM(B1323),Inventory!E:E,1,0),0)=0),"X","_")</f>
        <v>_</v>
      </c>
      <c r="D1323" t="str">
        <f>IF(AND(TRIM(A1323)&lt;&gt;"",IFERROR(VLOOKUP(TRIM(B1323),'Full Inventory'!F:F,1,0),0)=0),"X","_")</f>
        <v>_</v>
      </c>
      <c r="E1323" t="str">
        <f t="shared" si="84"/>
        <v>X</v>
      </c>
      <c r="F1323" t="str">
        <f ca="1">IFERROR(IF(AND(C1323&amp;D1323&amp;E1323="___",INDIRECT("Inventory!A"&amp;MATCH(VLOOKUP(B1323,Inventory!E:E,1,0),Inventory!E:E,0))&lt;&gt;INDIRECT("'Full Inventory'!B"&amp;MATCH(VLOOKUP(B1323,'Full Inventory'!F:F,1,0),'Full Inventory'!F:F,0))),"X","_"),"_")</f>
        <v>_</v>
      </c>
      <c r="L1323" t="str">
        <f t="shared" ca="1" si="82"/>
        <v>__X_</v>
      </c>
      <c r="M1323" t="str">
        <f t="shared" ca="1" si="83"/>
        <v/>
      </c>
    </row>
    <row r="1324" spans="1:13" x14ac:dyDescent="0.25">
      <c r="A1324" s="5"/>
      <c r="B1324" s="4" t="str">
        <f t="shared" si="81"/>
        <v/>
      </c>
      <c r="C1324" t="str">
        <f>IF(AND(TRIM(A1324)&lt;&gt;"",IFERROR(VLOOKUP(TRIM(B1324),Inventory!E:E,1,0),0)=0),"X","_")</f>
        <v>_</v>
      </c>
      <c r="D1324" t="str">
        <f>IF(AND(TRIM(A1324)&lt;&gt;"",IFERROR(VLOOKUP(TRIM(B1324),'Full Inventory'!F:F,1,0),0)=0),"X","_")</f>
        <v>_</v>
      </c>
      <c r="E1324" t="str">
        <f t="shared" si="84"/>
        <v>X</v>
      </c>
      <c r="F1324" t="str">
        <f ca="1">IFERROR(IF(AND(C1324&amp;D1324&amp;E1324="___",INDIRECT("Inventory!A"&amp;MATCH(VLOOKUP(B1324,Inventory!E:E,1,0),Inventory!E:E,0))&lt;&gt;INDIRECT("'Full Inventory'!B"&amp;MATCH(VLOOKUP(B1324,'Full Inventory'!F:F,1,0),'Full Inventory'!F:F,0))),"X","_"),"_")</f>
        <v>_</v>
      </c>
      <c r="L1324" t="str">
        <f t="shared" ca="1" si="82"/>
        <v>__X_</v>
      </c>
      <c r="M1324" t="str">
        <f t="shared" ca="1" si="83"/>
        <v/>
      </c>
    </row>
    <row r="1325" spans="1:13" x14ac:dyDescent="0.25">
      <c r="A1325" s="5"/>
      <c r="B1325" s="4" t="str">
        <f t="shared" si="81"/>
        <v/>
      </c>
      <c r="C1325" t="str">
        <f>IF(AND(TRIM(A1325)&lt;&gt;"",IFERROR(VLOOKUP(TRIM(B1325),Inventory!E:E,1,0),0)=0),"X","_")</f>
        <v>_</v>
      </c>
      <c r="D1325" t="str">
        <f>IF(AND(TRIM(A1325)&lt;&gt;"",IFERROR(VLOOKUP(TRIM(B1325),'Full Inventory'!F:F,1,0),0)=0),"X","_")</f>
        <v>_</v>
      </c>
      <c r="E1325" t="str">
        <f t="shared" si="84"/>
        <v>X</v>
      </c>
      <c r="F1325" t="str">
        <f ca="1">IFERROR(IF(AND(C1325&amp;D1325&amp;E1325="___",INDIRECT("Inventory!A"&amp;MATCH(VLOOKUP(B1325,Inventory!E:E,1,0),Inventory!E:E,0))&lt;&gt;INDIRECT("'Full Inventory'!B"&amp;MATCH(VLOOKUP(B1325,'Full Inventory'!F:F,1,0),'Full Inventory'!F:F,0))),"X","_"),"_")</f>
        <v>_</v>
      </c>
      <c r="L1325" t="str">
        <f t="shared" ca="1" si="82"/>
        <v>__X_</v>
      </c>
      <c r="M1325" t="str">
        <f t="shared" ca="1" si="83"/>
        <v/>
      </c>
    </row>
    <row r="1326" spans="1:13" x14ac:dyDescent="0.25">
      <c r="A1326" s="5"/>
      <c r="B1326" s="4" t="str">
        <f t="shared" si="81"/>
        <v/>
      </c>
      <c r="C1326" t="str">
        <f>IF(AND(TRIM(A1326)&lt;&gt;"",IFERROR(VLOOKUP(TRIM(B1326),Inventory!E:E,1,0),0)=0),"X","_")</f>
        <v>_</v>
      </c>
      <c r="D1326" t="str">
        <f>IF(AND(TRIM(A1326)&lt;&gt;"",IFERROR(VLOOKUP(TRIM(B1326),'Full Inventory'!F:F,1,0),0)=0),"X","_")</f>
        <v>_</v>
      </c>
      <c r="E1326" t="str">
        <f t="shared" si="84"/>
        <v>X</v>
      </c>
      <c r="F1326" t="str">
        <f ca="1">IFERROR(IF(AND(C1326&amp;D1326&amp;E1326="___",INDIRECT("Inventory!A"&amp;MATCH(VLOOKUP(B1326,Inventory!E:E,1,0),Inventory!E:E,0))&lt;&gt;INDIRECT("'Full Inventory'!B"&amp;MATCH(VLOOKUP(B1326,'Full Inventory'!F:F,1,0),'Full Inventory'!F:F,0))),"X","_"),"_")</f>
        <v>_</v>
      </c>
      <c r="L1326" t="str">
        <f t="shared" ca="1" si="82"/>
        <v>__X_</v>
      </c>
      <c r="M1326" t="str">
        <f t="shared" ca="1" si="83"/>
        <v/>
      </c>
    </row>
    <row r="1327" spans="1:13" x14ac:dyDescent="0.25">
      <c r="A1327" s="5"/>
      <c r="B1327" s="4" t="str">
        <f t="shared" si="81"/>
        <v/>
      </c>
      <c r="C1327" t="str">
        <f>IF(AND(TRIM(A1327)&lt;&gt;"",IFERROR(VLOOKUP(TRIM(B1327),Inventory!E:E,1,0),0)=0),"X","_")</f>
        <v>_</v>
      </c>
      <c r="D1327" t="str">
        <f>IF(AND(TRIM(A1327)&lt;&gt;"",IFERROR(VLOOKUP(TRIM(B1327),'Full Inventory'!F:F,1,0),0)=0),"X","_")</f>
        <v>_</v>
      </c>
      <c r="E1327" t="str">
        <f t="shared" si="84"/>
        <v>X</v>
      </c>
      <c r="F1327" t="str">
        <f ca="1">IFERROR(IF(AND(C1327&amp;D1327&amp;E1327="___",INDIRECT("Inventory!A"&amp;MATCH(VLOOKUP(B1327,Inventory!E:E,1,0),Inventory!E:E,0))&lt;&gt;INDIRECT("'Full Inventory'!B"&amp;MATCH(VLOOKUP(B1327,'Full Inventory'!F:F,1,0),'Full Inventory'!F:F,0))),"X","_"),"_")</f>
        <v>_</v>
      </c>
      <c r="L1327" t="str">
        <f t="shared" ca="1" si="82"/>
        <v>__X_</v>
      </c>
      <c r="M1327" t="str">
        <f t="shared" ca="1" si="83"/>
        <v/>
      </c>
    </row>
    <row r="1328" spans="1:13" x14ac:dyDescent="0.25">
      <c r="A1328" s="5"/>
      <c r="B1328" s="4" t="str">
        <f t="shared" si="81"/>
        <v/>
      </c>
      <c r="C1328" t="str">
        <f>IF(AND(TRIM(A1328)&lt;&gt;"",IFERROR(VLOOKUP(TRIM(B1328),Inventory!E:E,1,0),0)=0),"X","_")</f>
        <v>_</v>
      </c>
      <c r="D1328" t="str">
        <f>IF(AND(TRIM(A1328)&lt;&gt;"",IFERROR(VLOOKUP(TRIM(B1328),'Full Inventory'!F:F,1,0),0)=0),"X","_")</f>
        <v>_</v>
      </c>
      <c r="E1328" t="str">
        <f t="shared" si="84"/>
        <v>X</v>
      </c>
      <c r="F1328" t="str">
        <f ca="1">IFERROR(IF(AND(C1328&amp;D1328&amp;E1328="___",INDIRECT("Inventory!A"&amp;MATCH(VLOOKUP(B1328,Inventory!E:E,1,0),Inventory!E:E,0))&lt;&gt;INDIRECT("'Full Inventory'!B"&amp;MATCH(VLOOKUP(B1328,'Full Inventory'!F:F,1,0),'Full Inventory'!F:F,0))),"X","_"),"_")</f>
        <v>_</v>
      </c>
      <c r="L1328" t="str">
        <f t="shared" ca="1" si="82"/>
        <v>__X_</v>
      </c>
      <c r="M1328" t="str">
        <f t="shared" ca="1" si="83"/>
        <v/>
      </c>
    </row>
    <row r="1329" spans="1:13" x14ac:dyDescent="0.25">
      <c r="A1329" s="5"/>
      <c r="B1329" s="4" t="str">
        <f t="shared" si="81"/>
        <v/>
      </c>
      <c r="C1329" t="str">
        <f>IF(AND(TRIM(A1329)&lt;&gt;"",IFERROR(VLOOKUP(TRIM(B1329),Inventory!E:E,1,0),0)=0),"X","_")</f>
        <v>_</v>
      </c>
      <c r="D1329" t="str">
        <f>IF(AND(TRIM(A1329)&lt;&gt;"",IFERROR(VLOOKUP(TRIM(B1329),'Full Inventory'!F:F,1,0),0)=0),"X","_")</f>
        <v>_</v>
      </c>
      <c r="E1329" t="str">
        <f t="shared" si="84"/>
        <v>X</v>
      </c>
      <c r="F1329" t="str">
        <f ca="1">IFERROR(IF(AND(C1329&amp;D1329&amp;E1329="___",INDIRECT("Inventory!A"&amp;MATCH(VLOOKUP(B1329,Inventory!E:E,1,0),Inventory!E:E,0))&lt;&gt;INDIRECT("'Full Inventory'!B"&amp;MATCH(VLOOKUP(B1329,'Full Inventory'!F:F,1,0),'Full Inventory'!F:F,0))),"X","_"),"_")</f>
        <v>_</v>
      </c>
      <c r="L1329" t="str">
        <f t="shared" ca="1" si="82"/>
        <v>__X_</v>
      </c>
      <c r="M1329" t="str">
        <f t="shared" ca="1" si="83"/>
        <v/>
      </c>
    </row>
    <row r="1330" spans="1:13" x14ac:dyDescent="0.25">
      <c r="A1330" s="5"/>
      <c r="B1330" s="4" t="str">
        <f t="shared" si="81"/>
        <v/>
      </c>
      <c r="C1330" t="str">
        <f>IF(AND(TRIM(A1330)&lt;&gt;"",IFERROR(VLOOKUP(TRIM(B1330),Inventory!E:E,1,0),0)=0),"X","_")</f>
        <v>_</v>
      </c>
      <c r="D1330" t="str">
        <f>IF(AND(TRIM(A1330)&lt;&gt;"",IFERROR(VLOOKUP(TRIM(B1330),'Full Inventory'!F:F,1,0),0)=0),"X","_")</f>
        <v>_</v>
      </c>
      <c r="E1330" t="str">
        <f t="shared" si="84"/>
        <v>X</v>
      </c>
      <c r="F1330" t="str">
        <f ca="1">IFERROR(IF(AND(C1330&amp;D1330&amp;E1330="___",INDIRECT("Inventory!A"&amp;MATCH(VLOOKUP(B1330,Inventory!E:E,1,0),Inventory!E:E,0))&lt;&gt;INDIRECT("'Full Inventory'!B"&amp;MATCH(VLOOKUP(B1330,'Full Inventory'!F:F,1,0),'Full Inventory'!F:F,0))),"X","_"),"_")</f>
        <v>_</v>
      </c>
      <c r="L1330" t="str">
        <f t="shared" ca="1" si="82"/>
        <v>__X_</v>
      </c>
      <c r="M1330" t="str">
        <f t="shared" ca="1" si="83"/>
        <v/>
      </c>
    </row>
    <row r="1331" spans="1:13" x14ac:dyDescent="0.25">
      <c r="A1331" s="5"/>
      <c r="B1331" s="4" t="str">
        <f t="shared" si="81"/>
        <v/>
      </c>
      <c r="C1331" t="str">
        <f>IF(AND(TRIM(A1331)&lt;&gt;"",IFERROR(VLOOKUP(TRIM(B1331),Inventory!E:E,1,0),0)=0),"X","_")</f>
        <v>_</v>
      </c>
      <c r="D1331" t="str">
        <f>IF(AND(TRIM(A1331)&lt;&gt;"",IFERROR(VLOOKUP(TRIM(B1331),'Full Inventory'!F:F,1,0),0)=0),"X","_")</f>
        <v>_</v>
      </c>
      <c r="E1331" t="str">
        <f t="shared" si="84"/>
        <v>X</v>
      </c>
      <c r="F1331" t="str">
        <f ca="1">IFERROR(IF(AND(C1331&amp;D1331&amp;E1331="___",INDIRECT("Inventory!A"&amp;MATCH(VLOOKUP(B1331,Inventory!E:E,1,0),Inventory!E:E,0))&lt;&gt;INDIRECT("'Full Inventory'!B"&amp;MATCH(VLOOKUP(B1331,'Full Inventory'!F:F,1,0),'Full Inventory'!F:F,0))),"X","_"),"_")</f>
        <v>_</v>
      </c>
      <c r="L1331" t="str">
        <f t="shared" ca="1" si="82"/>
        <v>__X_</v>
      </c>
      <c r="M1331" t="str">
        <f t="shared" ca="1" si="83"/>
        <v/>
      </c>
    </row>
    <row r="1332" spans="1:13" x14ac:dyDescent="0.25">
      <c r="A1332" s="5"/>
      <c r="B1332" s="4" t="str">
        <f t="shared" si="81"/>
        <v/>
      </c>
      <c r="C1332" t="str">
        <f>IF(AND(TRIM(A1332)&lt;&gt;"",IFERROR(VLOOKUP(TRIM(B1332),Inventory!E:E,1,0),0)=0),"X","_")</f>
        <v>_</v>
      </c>
      <c r="D1332" t="str">
        <f>IF(AND(TRIM(A1332)&lt;&gt;"",IFERROR(VLOOKUP(TRIM(B1332),'Full Inventory'!F:F,1,0),0)=0),"X","_")</f>
        <v>_</v>
      </c>
      <c r="E1332" t="str">
        <f t="shared" si="84"/>
        <v>X</v>
      </c>
      <c r="F1332" t="str">
        <f ca="1">IFERROR(IF(AND(C1332&amp;D1332&amp;E1332="___",INDIRECT("Inventory!A"&amp;MATCH(VLOOKUP(B1332,Inventory!E:E,1,0),Inventory!E:E,0))&lt;&gt;INDIRECT("'Full Inventory'!B"&amp;MATCH(VLOOKUP(B1332,'Full Inventory'!F:F,1,0),'Full Inventory'!F:F,0))),"X","_"),"_")</f>
        <v>_</v>
      </c>
      <c r="L1332" t="str">
        <f t="shared" ca="1" si="82"/>
        <v>__X_</v>
      </c>
      <c r="M1332" t="str">
        <f t="shared" ca="1" si="83"/>
        <v/>
      </c>
    </row>
    <row r="1333" spans="1:13" x14ac:dyDescent="0.25">
      <c r="A1333" s="5"/>
      <c r="B1333" s="4" t="str">
        <f t="shared" si="81"/>
        <v/>
      </c>
      <c r="C1333" t="str">
        <f>IF(AND(TRIM(A1333)&lt;&gt;"",IFERROR(VLOOKUP(TRIM(B1333),Inventory!E:E,1,0),0)=0),"X","_")</f>
        <v>_</v>
      </c>
      <c r="D1333" t="str">
        <f>IF(AND(TRIM(A1333)&lt;&gt;"",IFERROR(VLOOKUP(TRIM(B1333),'Full Inventory'!F:F,1,0),0)=0),"X","_")</f>
        <v>_</v>
      </c>
      <c r="E1333" t="str">
        <f t="shared" si="84"/>
        <v>X</v>
      </c>
      <c r="F1333" t="str">
        <f ca="1">IFERROR(IF(AND(C1333&amp;D1333&amp;E1333="___",INDIRECT("Inventory!A"&amp;MATCH(VLOOKUP(B1333,Inventory!E:E,1,0),Inventory!E:E,0))&lt;&gt;INDIRECT("'Full Inventory'!B"&amp;MATCH(VLOOKUP(B1333,'Full Inventory'!F:F,1,0),'Full Inventory'!F:F,0))),"X","_"),"_")</f>
        <v>_</v>
      </c>
      <c r="L1333" t="str">
        <f t="shared" ca="1" si="82"/>
        <v>__X_</v>
      </c>
      <c r="M1333" t="str">
        <f t="shared" ca="1" si="83"/>
        <v/>
      </c>
    </row>
    <row r="1334" spans="1:13" x14ac:dyDescent="0.25">
      <c r="A1334" s="5"/>
      <c r="B1334" s="4" t="str">
        <f t="shared" si="81"/>
        <v/>
      </c>
      <c r="C1334" t="str">
        <f>IF(AND(TRIM(A1334)&lt;&gt;"",IFERROR(VLOOKUP(TRIM(B1334),Inventory!E:E,1,0),0)=0),"X","_")</f>
        <v>_</v>
      </c>
      <c r="D1334" t="str">
        <f>IF(AND(TRIM(A1334)&lt;&gt;"",IFERROR(VLOOKUP(TRIM(B1334),'Full Inventory'!F:F,1,0),0)=0),"X","_")</f>
        <v>_</v>
      </c>
      <c r="E1334" t="str">
        <f t="shared" si="84"/>
        <v>X</v>
      </c>
      <c r="F1334" t="str">
        <f ca="1">IFERROR(IF(AND(C1334&amp;D1334&amp;E1334="___",INDIRECT("Inventory!A"&amp;MATCH(VLOOKUP(B1334,Inventory!E:E,1,0),Inventory!E:E,0))&lt;&gt;INDIRECT("'Full Inventory'!B"&amp;MATCH(VLOOKUP(B1334,'Full Inventory'!F:F,1,0),'Full Inventory'!F:F,0))),"X","_"),"_")</f>
        <v>_</v>
      </c>
      <c r="L1334" t="str">
        <f t="shared" ca="1" si="82"/>
        <v>__X_</v>
      </c>
      <c r="M1334" t="str">
        <f t="shared" ca="1" si="83"/>
        <v/>
      </c>
    </row>
    <row r="1335" spans="1:13" x14ac:dyDescent="0.25">
      <c r="A1335" s="5"/>
      <c r="B1335" s="4" t="str">
        <f t="shared" si="81"/>
        <v/>
      </c>
      <c r="C1335" t="str">
        <f>IF(AND(TRIM(A1335)&lt;&gt;"",IFERROR(VLOOKUP(TRIM(B1335),Inventory!E:E,1,0),0)=0),"X","_")</f>
        <v>_</v>
      </c>
      <c r="D1335" t="str">
        <f>IF(AND(TRIM(A1335)&lt;&gt;"",IFERROR(VLOOKUP(TRIM(B1335),'Full Inventory'!F:F,1,0),0)=0),"X","_")</f>
        <v>_</v>
      </c>
      <c r="E1335" t="str">
        <f t="shared" si="84"/>
        <v>X</v>
      </c>
      <c r="F1335" t="str">
        <f ca="1">IFERROR(IF(AND(C1335&amp;D1335&amp;E1335="___",INDIRECT("Inventory!A"&amp;MATCH(VLOOKUP(B1335,Inventory!E:E,1,0),Inventory!E:E,0))&lt;&gt;INDIRECT("'Full Inventory'!B"&amp;MATCH(VLOOKUP(B1335,'Full Inventory'!F:F,1,0),'Full Inventory'!F:F,0))),"X","_"),"_")</f>
        <v>_</v>
      </c>
      <c r="L1335" t="str">
        <f t="shared" ca="1" si="82"/>
        <v>__X_</v>
      </c>
      <c r="M1335" t="str">
        <f t="shared" ca="1" si="83"/>
        <v/>
      </c>
    </row>
    <row r="1336" spans="1:13" x14ac:dyDescent="0.25">
      <c r="A1336" s="5"/>
      <c r="B1336" s="4" t="str">
        <f t="shared" si="81"/>
        <v/>
      </c>
      <c r="C1336" t="str">
        <f>IF(AND(TRIM(A1336)&lt;&gt;"",IFERROR(VLOOKUP(TRIM(B1336),Inventory!E:E,1,0),0)=0),"X","_")</f>
        <v>_</v>
      </c>
      <c r="D1336" t="str">
        <f>IF(AND(TRIM(A1336)&lt;&gt;"",IFERROR(VLOOKUP(TRIM(B1336),'Full Inventory'!F:F,1,0),0)=0),"X","_")</f>
        <v>_</v>
      </c>
      <c r="E1336" t="str">
        <f t="shared" si="84"/>
        <v>X</v>
      </c>
      <c r="F1336" t="str">
        <f ca="1">IFERROR(IF(AND(C1336&amp;D1336&amp;E1336="___",INDIRECT("Inventory!A"&amp;MATCH(VLOOKUP(B1336,Inventory!E:E,1,0),Inventory!E:E,0))&lt;&gt;INDIRECT("'Full Inventory'!B"&amp;MATCH(VLOOKUP(B1336,'Full Inventory'!F:F,1,0),'Full Inventory'!F:F,0))),"X","_"),"_")</f>
        <v>_</v>
      </c>
      <c r="L1336" t="str">
        <f t="shared" ca="1" si="82"/>
        <v>__X_</v>
      </c>
      <c r="M1336" t="str">
        <f t="shared" ca="1" si="83"/>
        <v/>
      </c>
    </row>
    <row r="1337" spans="1:13" x14ac:dyDescent="0.25">
      <c r="A1337" s="5"/>
      <c r="B1337" s="4" t="str">
        <f t="shared" si="81"/>
        <v/>
      </c>
      <c r="C1337" t="str">
        <f>IF(AND(TRIM(A1337)&lt;&gt;"",IFERROR(VLOOKUP(TRIM(B1337),Inventory!E:E,1,0),0)=0),"X","_")</f>
        <v>_</v>
      </c>
      <c r="D1337" t="str">
        <f>IF(AND(TRIM(A1337)&lt;&gt;"",IFERROR(VLOOKUP(TRIM(B1337),'Full Inventory'!F:F,1,0),0)=0),"X","_")</f>
        <v>_</v>
      </c>
      <c r="E1337" t="str">
        <f t="shared" si="84"/>
        <v>X</v>
      </c>
      <c r="F1337" t="str">
        <f ca="1">IFERROR(IF(AND(C1337&amp;D1337&amp;E1337="___",INDIRECT("Inventory!A"&amp;MATCH(VLOOKUP(B1337,Inventory!E:E,1,0),Inventory!E:E,0))&lt;&gt;INDIRECT("'Full Inventory'!B"&amp;MATCH(VLOOKUP(B1337,'Full Inventory'!F:F,1,0),'Full Inventory'!F:F,0))),"X","_"),"_")</f>
        <v>_</v>
      </c>
      <c r="L1337" t="str">
        <f t="shared" ca="1" si="82"/>
        <v>__X_</v>
      </c>
      <c r="M1337" t="str">
        <f t="shared" ca="1" si="83"/>
        <v/>
      </c>
    </row>
    <row r="1338" spans="1:13" x14ac:dyDescent="0.25">
      <c r="A1338" s="5"/>
      <c r="B1338" s="4" t="str">
        <f t="shared" si="81"/>
        <v/>
      </c>
      <c r="C1338" t="str">
        <f>IF(AND(TRIM(A1338)&lt;&gt;"",IFERROR(VLOOKUP(TRIM(B1338),Inventory!E:E,1,0),0)=0),"X","_")</f>
        <v>_</v>
      </c>
      <c r="D1338" t="str">
        <f>IF(AND(TRIM(A1338)&lt;&gt;"",IFERROR(VLOOKUP(TRIM(B1338),'Full Inventory'!F:F,1,0),0)=0),"X","_")</f>
        <v>_</v>
      </c>
      <c r="E1338" t="str">
        <f t="shared" si="84"/>
        <v>X</v>
      </c>
      <c r="F1338" t="str">
        <f ca="1">IFERROR(IF(AND(C1338&amp;D1338&amp;E1338="___",INDIRECT("Inventory!A"&amp;MATCH(VLOOKUP(B1338,Inventory!E:E,1,0),Inventory!E:E,0))&lt;&gt;INDIRECT("'Full Inventory'!B"&amp;MATCH(VLOOKUP(B1338,'Full Inventory'!F:F,1,0),'Full Inventory'!F:F,0))),"X","_"),"_")</f>
        <v>_</v>
      </c>
      <c r="L1338" t="str">
        <f t="shared" ca="1" si="82"/>
        <v>__X_</v>
      </c>
      <c r="M1338" t="str">
        <f t="shared" ca="1" si="83"/>
        <v/>
      </c>
    </row>
    <row r="1339" spans="1:13" x14ac:dyDescent="0.25">
      <c r="A1339" s="5"/>
      <c r="B1339" s="4" t="str">
        <f t="shared" si="81"/>
        <v/>
      </c>
      <c r="C1339" t="str">
        <f>IF(AND(TRIM(A1339)&lt;&gt;"",IFERROR(VLOOKUP(TRIM(B1339),Inventory!E:E,1,0),0)=0),"X","_")</f>
        <v>_</v>
      </c>
      <c r="D1339" t="str">
        <f>IF(AND(TRIM(A1339)&lt;&gt;"",IFERROR(VLOOKUP(TRIM(B1339),'Full Inventory'!F:F,1,0),0)=0),"X","_")</f>
        <v>_</v>
      </c>
      <c r="E1339" t="str">
        <f t="shared" si="84"/>
        <v>X</v>
      </c>
      <c r="F1339" t="str">
        <f ca="1">IFERROR(IF(AND(C1339&amp;D1339&amp;E1339="___",INDIRECT("Inventory!A"&amp;MATCH(VLOOKUP(B1339,Inventory!E:E,1,0),Inventory!E:E,0))&lt;&gt;INDIRECT("'Full Inventory'!B"&amp;MATCH(VLOOKUP(B1339,'Full Inventory'!F:F,1,0),'Full Inventory'!F:F,0))),"X","_"),"_")</f>
        <v>_</v>
      </c>
      <c r="L1339" t="str">
        <f t="shared" ca="1" si="82"/>
        <v>__X_</v>
      </c>
      <c r="M1339" t="str">
        <f t="shared" ca="1" si="83"/>
        <v/>
      </c>
    </row>
    <row r="1340" spans="1:13" x14ac:dyDescent="0.25">
      <c r="A1340" s="5"/>
      <c r="B1340" s="4" t="str">
        <f t="shared" si="81"/>
        <v/>
      </c>
      <c r="C1340" t="str">
        <f>IF(AND(TRIM(A1340)&lt;&gt;"",IFERROR(VLOOKUP(TRIM(B1340),Inventory!E:E,1,0),0)=0),"X","_")</f>
        <v>_</v>
      </c>
      <c r="D1340" t="str">
        <f>IF(AND(TRIM(A1340)&lt;&gt;"",IFERROR(VLOOKUP(TRIM(B1340),'Full Inventory'!F:F,1,0),0)=0),"X","_")</f>
        <v>_</v>
      </c>
      <c r="E1340" t="str">
        <f t="shared" si="84"/>
        <v>X</v>
      </c>
      <c r="F1340" t="str">
        <f ca="1">IFERROR(IF(AND(C1340&amp;D1340&amp;E1340="___",INDIRECT("Inventory!A"&amp;MATCH(VLOOKUP(B1340,Inventory!E:E,1,0),Inventory!E:E,0))&lt;&gt;INDIRECT("'Full Inventory'!B"&amp;MATCH(VLOOKUP(B1340,'Full Inventory'!F:F,1,0),'Full Inventory'!F:F,0))),"X","_"),"_")</f>
        <v>_</v>
      </c>
      <c r="L1340" t="str">
        <f t="shared" ca="1" si="82"/>
        <v>__X_</v>
      </c>
      <c r="M1340" t="str">
        <f t="shared" ca="1" si="83"/>
        <v/>
      </c>
    </row>
    <row r="1341" spans="1:13" x14ac:dyDescent="0.25">
      <c r="A1341" s="5"/>
      <c r="B1341" s="4" t="str">
        <f t="shared" si="81"/>
        <v/>
      </c>
      <c r="C1341" t="str">
        <f>IF(AND(TRIM(A1341)&lt;&gt;"",IFERROR(VLOOKUP(TRIM(B1341),Inventory!E:E,1,0),0)=0),"X","_")</f>
        <v>_</v>
      </c>
      <c r="D1341" t="str">
        <f>IF(AND(TRIM(A1341)&lt;&gt;"",IFERROR(VLOOKUP(TRIM(B1341),'Full Inventory'!F:F,1,0),0)=0),"X","_")</f>
        <v>_</v>
      </c>
      <c r="E1341" t="str">
        <f t="shared" si="84"/>
        <v>X</v>
      </c>
      <c r="F1341" t="str">
        <f ca="1">IFERROR(IF(AND(C1341&amp;D1341&amp;E1341="___",INDIRECT("Inventory!A"&amp;MATCH(VLOOKUP(B1341,Inventory!E:E,1,0),Inventory!E:E,0))&lt;&gt;INDIRECT("'Full Inventory'!B"&amp;MATCH(VLOOKUP(B1341,'Full Inventory'!F:F,1,0),'Full Inventory'!F:F,0))),"X","_"),"_")</f>
        <v>_</v>
      </c>
      <c r="L1341" t="str">
        <f t="shared" ca="1" si="82"/>
        <v>__X_</v>
      </c>
      <c r="M1341" t="str">
        <f t="shared" ca="1" si="83"/>
        <v/>
      </c>
    </row>
    <row r="1342" spans="1:13" x14ac:dyDescent="0.25">
      <c r="A1342" s="5"/>
      <c r="B1342" s="4" t="str">
        <f t="shared" si="81"/>
        <v/>
      </c>
      <c r="C1342" t="str">
        <f>IF(AND(TRIM(A1342)&lt;&gt;"",IFERROR(VLOOKUP(TRIM(B1342),Inventory!E:E,1,0),0)=0),"X","_")</f>
        <v>_</v>
      </c>
      <c r="D1342" t="str">
        <f>IF(AND(TRIM(A1342)&lt;&gt;"",IFERROR(VLOOKUP(TRIM(B1342),'Full Inventory'!F:F,1,0),0)=0),"X","_")</f>
        <v>_</v>
      </c>
      <c r="E1342" t="str">
        <f t="shared" si="84"/>
        <v>X</v>
      </c>
      <c r="F1342" t="str">
        <f ca="1">IFERROR(IF(AND(C1342&amp;D1342&amp;E1342="___",INDIRECT("Inventory!A"&amp;MATCH(VLOOKUP(B1342,Inventory!E:E,1,0),Inventory!E:E,0))&lt;&gt;INDIRECT("'Full Inventory'!B"&amp;MATCH(VLOOKUP(B1342,'Full Inventory'!F:F,1,0),'Full Inventory'!F:F,0))),"X","_"),"_")</f>
        <v>_</v>
      </c>
      <c r="L1342" t="str">
        <f t="shared" ca="1" si="82"/>
        <v>__X_</v>
      </c>
      <c r="M1342" t="str">
        <f t="shared" ca="1" si="83"/>
        <v/>
      </c>
    </row>
    <row r="1343" spans="1:13" x14ac:dyDescent="0.25">
      <c r="A1343" s="5"/>
      <c r="B1343" s="4" t="str">
        <f t="shared" si="81"/>
        <v/>
      </c>
      <c r="C1343" t="str">
        <f>IF(AND(TRIM(A1343)&lt;&gt;"",IFERROR(VLOOKUP(TRIM(B1343),Inventory!E:E,1,0),0)=0),"X","_")</f>
        <v>_</v>
      </c>
      <c r="D1343" t="str">
        <f>IF(AND(TRIM(A1343)&lt;&gt;"",IFERROR(VLOOKUP(TRIM(B1343),'Full Inventory'!F:F,1,0),0)=0),"X","_")</f>
        <v>_</v>
      </c>
      <c r="E1343" t="str">
        <f t="shared" si="84"/>
        <v>X</v>
      </c>
      <c r="F1343" t="str">
        <f ca="1">IFERROR(IF(AND(C1343&amp;D1343&amp;E1343="___",INDIRECT("Inventory!A"&amp;MATCH(VLOOKUP(B1343,Inventory!E:E,1,0),Inventory!E:E,0))&lt;&gt;INDIRECT("'Full Inventory'!B"&amp;MATCH(VLOOKUP(B1343,'Full Inventory'!F:F,1,0),'Full Inventory'!F:F,0))),"X","_"),"_")</f>
        <v>_</v>
      </c>
      <c r="L1343" t="str">
        <f t="shared" ca="1" si="82"/>
        <v>__X_</v>
      </c>
      <c r="M1343" t="str">
        <f t="shared" ca="1" si="83"/>
        <v/>
      </c>
    </row>
    <row r="1344" spans="1:13" x14ac:dyDescent="0.25">
      <c r="A1344" s="5"/>
      <c r="B1344" s="4" t="str">
        <f t="shared" si="81"/>
        <v/>
      </c>
      <c r="C1344" t="str">
        <f>IF(AND(TRIM(A1344)&lt;&gt;"",IFERROR(VLOOKUP(TRIM(B1344),Inventory!E:E,1,0),0)=0),"X","_")</f>
        <v>_</v>
      </c>
      <c r="D1344" t="str">
        <f>IF(AND(TRIM(A1344)&lt;&gt;"",IFERROR(VLOOKUP(TRIM(B1344),'Full Inventory'!F:F,1,0),0)=0),"X","_")</f>
        <v>_</v>
      </c>
      <c r="E1344" t="str">
        <f t="shared" si="84"/>
        <v>X</v>
      </c>
      <c r="F1344" t="str">
        <f ca="1">IFERROR(IF(AND(C1344&amp;D1344&amp;E1344="___",INDIRECT("Inventory!A"&amp;MATCH(VLOOKUP(B1344,Inventory!E:E,1,0),Inventory!E:E,0))&lt;&gt;INDIRECT("'Full Inventory'!B"&amp;MATCH(VLOOKUP(B1344,'Full Inventory'!F:F,1,0),'Full Inventory'!F:F,0))),"X","_"),"_")</f>
        <v>_</v>
      </c>
      <c r="L1344" t="str">
        <f t="shared" ca="1" si="82"/>
        <v>__X_</v>
      </c>
      <c r="M1344" t="str">
        <f t="shared" ca="1" si="83"/>
        <v/>
      </c>
    </row>
    <row r="1345" spans="1:13" x14ac:dyDescent="0.25">
      <c r="A1345" s="5"/>
      <c r="B1345" s="4" t="str">
        <f t="shared" si="81"/>
        <v/>
      </c>
      <c r="C1345" t="str">
        <f>IF(AND(TRIM(A1345)&lt;&gt;"",IFERROR(VLOOKUP(TRIM(B1345),Inventory!E:E,1,0),0)=0),"X","_")</f>
        <v>_</v>
      </c>
      <c r="D1345" t="str">
        <f>IF(AND(TRIM(A1345)&lt;&gt;"",IFERROR(VLOOKUP(TRIM(B1345),'Full Inventory'!F:F,1,0),0)=0),"X","_")</f>
        <v>_</v>
      </c>
      <c r="E1345" t="str">
        <f t="shared" si="84"/>
        <v>X</v>
      </c>
      <c r="F1345" t="str">
        <f ca="1">IFERROR(IF(AND(C1345&amp;D1345&amp;E1345="___",INDIRECT("Inventory!A"&amp;MATCH(VLOOKUP(B1345,Inventory!E:E,1,0),Inventory!E:E,0))&lt;&gt;INDIRECT("'Full Inventory'!B"&amp;MATCH(VLOOKUP(B1345,'Full Inventory'!F:F,1,0),'Full Inventory'!F:F,0))),"X","_"),"_")</f>
        <v>_</v>
      </c>
      <c r="L1345" t="str">
        <f t="shared" ca="1" si="82"/>
        <v>__X_</v>
      </c>
      <c r="M1345" t="str">
        <f t="shared" ca="1" si="83"/>
        <v/>
      </c>
    </row>
    <row r="1346" spans="1:13" x14ac:dyDescent="0.25">
      <c r="A1346" s="5"/>
      <c r="B1346" s="4" t="str">
        <f t="shared" si="81"/>
        <v/>
      </c>
      <c r="C1346" t="str">
        <f>IF(AND(TRIM(A1346)&lt;&gt;"",IFERROR(VLOOKUP(TRIM(B1346),Inventory!E:E,1,0),0)=0),"X","_")</f>
        <v>_</v>
      </c>
      <c r="D1346" t="str">
        <f>IF(AND(TRIM(A1346)&lt;&gt;"",IFERROR(VLOOKUP(TRIM(B1346),'Full Inventory'!F:F,1,0),0)=0),"X","_")</f>
        <v>_</v>
      </c>
      <c r="E1346" t="str">
        <f t="shared" si="84"/>
        <v>X</v>
      </c>
      <c r="F1346" t="str">
        <f ca="1">IFERROR(IF(AND(C1346&amp;D1346&amp;E1346="___",INDIRECT("Inventory!A"&amp;MATCH(VLOOKUP(B1346,Inventory!E:E,1,0),Inventory!E:E,0))&lt;&gt;INDIRECT("'Full Inventory'!B"&amp;MATCH(VLOOKUP(B1346,'Full Inventory'!F:F,1,0),'Full Inventory'!F:F,0))),"X","_"),"_")</f>
        <v>_</v>
      </c>
      <c r="L1346" t="str">
        <f t="shared" ca="1" si="82"/>
        <v>__X_</v>
      </c>
      <c r="M1346" t="str">
        <f t="shared" ca="1" si="83"/>
        <v/>
      </c>
    </row>
    <row r="1347" spans="1:13" x14ac:dyDescent="0.25">
      <c r="A1347" s="5"/>
      <c r="B1347" s="4" t="str">
        <f t="shared" ref="B1347:B1410" si="85">SUBSTITUTE(SUBSTITUTE(A1347,"ö","0"),"Ö","0")</f>
        <v/>
      </c>
      <c r="C1347" t="str">
        <f>IF(AND(TRIM(A1347)&lt;&gt;"",IFERROR(VLOOKUP(TRIM(B1347),Inventory!E:E,1,0),0)=0),"X","_")</f>
        <v>_</v>
      </c>
      <c r="D1347" t="str">
        <f>IF(AND(TRIM(A1347)&lt;&gt;"",IFERROR(VLOOKUP(TRIM(B1347),'Full Inventory'!F:F,1,0),0)=0),"X","_")</f>
        <v>_</v>
      </c>
      <c r="E1347" t="str">
        <f t="shared" si="84"/>
        <v>X</v>
      </c>
      <c r="F1347" t="str">
        <f ca="1">IFERROR(IF(AND(C1347&amp;D1347&amp;E1347="___",INDIRECT("Inventory!A"&amp;MATCH(VLOOKUP(B1347,Inventory!E:E,1,0),Inventory!E:E,0))&lt;&gt;INDIRECT("'Full Inventory'!B"&amp;MATCH(VLOOKUP(B1347,'Full Inventory'!F:F,1,0),'Full Inventory'!F:F,0))),"X","_"),"_")</f>
        <v>_</v>
      </c>
      <c r="L1347" t="str">
        <f t="shared" ref="L1347:L1410" ca="1" si="86">C1347&amp;D1347&amp;E1347&amp;F1347</f>
        <v>__X_</v>
      </c>
      <c r="M1347" t="str">
        <f t="shared" ref="M1347:M1410" ca="1" si="87">IF(L1347="____","OK",IF(L1347="_X__","NOT IN FULL INVENTORY",IF(L1347="XX__","NOT IN FULL INVENTORY AND INVENTORY",IF(L1347="X___","NOT IN INVENTORY",IF(L1347="___X","DIFFERENT NAMES IN FULL INVENTORY AND INVENTORY","")))))</f>
        <v/>
      </c>
    </row>
    <row r="1348" spans="1:13" x14ac:dyDescent="0.25">
      <c r="A1348" s="5"/>
      <c r="B1348" s="4" t="str">
        <f t="shared" si="85"/>
        <v/>
      </c>
      <c r="C1348" t="str">
        <f>IF(AND(TRIM(A1348)&lt;&gt;"",IFERROR(VLOOKUP(TRIM(B1348),Inventory!E:E,1,0),0)=0),"X","_")</f>
        <v>_</v>
      </c>
      <c r="D1348" t="str">
        <f>IF(AND(TRIM(A1348)&lt;&gt;"",IFERROR(VLOOKUP(TRIM(B1348),'Full Inventory'!F:F,1,0),0)=0),"X","_")</f>
        <v>_</v>
      </c>
      <c r="E1348" t="str">
        <f t="shared" si="84"/>
        <v>X</v>
      </c>
      <c r="F1348" t="str">
        <f ca="1">IFERROR(IF(AND(C1348&amp;D1348&amp;E1348="___",INDIRECT("Inventory!A"&amp;MATCH(VLOOKUP(B1348,Inventory!E:E,1,0),Inventory!E:E,0))&lt;&gt;INDIRECT("'Full Inventory'!B"&amp;MATCH(VLOOKUP(B1348,'Full Inventory'!F:F,1,0),'Full Inventory'!F:F,0))),"X","_"),"_")</f>
        <v>_</v>
      </c>
      <c r="L1348" t="str">
        <f t="shared" ca="1" si="86"/>
        <v>__X_</v>
      </c>
      <c r="M1348" t="str">
        <f t="shared" ca="1" si="87"/>
        <v/>
      </c>
    </row>
    <row r="1349" spans="1:13" x14ac:dyDescent="0.25">
      <c r="A1349" s="5"/>
      <c r="B1349" s="4" t="str">
        <f t="shared" si="85"/>
        <v/>
      </c>
      <c r="C1349" t="str">
        <f>IF(AND(TRIM(A1349)&lt;&gt;"",IFERROR(VLOOKUP(TRIM(B1349),Inventory!E:E,1,0),0)=0),"X","_")</f>
        <v>_</v>
      </c>
      <c r="D1349" t="str">
        <f>IF(AND(TRIM(A1349)&lt;&gt;"",IFERROR(VLOOKUP(TRIM(B1349),'Full Inventory'!F:F,1,0),0)=0),"X","_")</f>
        <v>_</v>
      </c>
      <c r="E1349" t="str">
        <f t="shared" si="84"/>
        <v>X</v>
      </c>
      <c r="F1349" t="str">
        <f ca="1">IFERROR(IF(AND(C1349&amp;D1349&amp;E1349="___",INDIRECT("Inventory!A"&amp;MATCH(VLOOKUP(B1349,Inventory!E:E,1,0),Inventory!E:E,0))&lt;&gt;INDIRECT("'Full Inventory'!B"&amp;MATCH(VLOOKUP(B1349,'Full Inventory'!F:F,1,0),'Full Inventory'!F:F,0))),"X","_"),"_")</f>
        <v>_</v>
      </c>
      <c r="L1349" t="str">
        <f t="shared" ca="1" si="86"/>
        <v>__X_</v>
      </c>
      <c r="M1349" t="str">
        <f t="shared" ca="1" si="87"/>
        <v/>
      </c>
    </row>
    <row r="1350" spans="1:13" x14ac:dyDescent="0.25">
      <c r="A1350" s="5"/>
      <c r="B1350" s="4" t="str">
        <f t="shared" si="85"/>
        <v/>
      </c>
      <c r="C1350" t="str">
        <f>IF(AND(TRIM(A1350)&lt;&gt;"",IFERROR(VLOOKUP(TRIM(B1350),Inventory!E:E,1,0),0)=0),"X","_")</f>
        <v>_</v>
      </c>
      <c r="D1350" t="str">
        <f>IF(AND(TRIM(A1350)&lt;&gt;"",IFERROR(VLOOKUP(TRIM(B1350),'Full Inventory'!F:F,1,0),0)=0),"X","_")</f>
        <v>_</v>
      </c>
      <c r="E1350" t="str">
        <f t="shared" si="84"/>
        <v>X</v>
      </c>
      <c r="F1350" t="str">
        <f ca="1">IFERROR(IF(AND(C1350&amp;D1350&amp;E1350="___",INDIRECT("Inventory!A"&amp;MATCH(VLOOKUP(B1350,Inventory!E:E,1,0),Inventory!E:E,0))&lt;&gt;INDIRECT("'Full Inventory'!B"&amp;MATCH(VLOOKUP(B1350,'Full Inventory'!F:F,1,0),'Full Inventory'!F:F,0))),"X","_"),"_")</f>
        <v>_</v>
      </c>
      <c r="L1350" t="str">
        <f t="shared" ca="1" si="86"/>
        <v>__X_</v>
      </c>
      <c r="M1350" t="str">
        <f t="shared" ca="1" si="87"/>
        <v/>
      </c>
    </row>
    <row r="1351" spans="1:13" x14ac:dyDescent="0.25">
      <c r="A1351" s="5"/>
      <c r="B1351" s="4" t="str">
        <f t="shared" si="85"/>
        <v/>
      </c>
      <c r="C1351" t="str">
        <f>IF(AND(TRIM(A1351)&lt;&gt;"",IFERROR(VLOOKUP(TRIM(B1351),Inventory!E:E,1,0),0)=0),"X","_")</f>
        <v>_</v>
      </c>
      <c r="D1351" t="str">
        <f>IF(AND(TRIM(A1351)&lt;&gt;"",IFERROR(VLOOKUP(TRIM(B1351),'Full Inventory'!F:F,1,0),0)=0),"X","_")</f>
        <v>_</v>
      </c>
      <c r="E1351" t="str">
        <f t="shared" si="84"/>
        <v>X</v>
      </c>
      <c r="F1351" t="str">
        <f ca="1">IFERROR(IF(AND(C1351&amp;D1351&amp;E1351="___",INDIRECT("Inventory!A"&amp;MATCH(VLOOKUP(B1351,Inventory!E:E,1,0),Inventory!E:E,0))&lt;&gt;INDIRECT("'Full Inventory'!B"&amp;MATCH(VLOOKUP(B1351,'Full Inventory'!F:F,1,0),'Full Inventory'!F:F,0))),"X","_"),"_")</f>
        <v>_</v>
      </c>
      <c r="L1351" t="str">
        <f t="shared" ca="1" si="86"/>
        <v>__X_</v>
      </c>
      <c r="M1351" t="str">
        <f t="shared" ca="1" si="87"/>
        <v/>
      </c>
    </row>
    <row r="1352" spans="1:13" x14ac:dyDescent="0.25">
      <c r="A1352" s="5"/>
      <c r="B1352" s="4" t="str">
        <f t="shared" si="85"/>
        <v/>
      </c>
      <c r="C1352" t="str">
        <f>IF(AND(TRIM(A1352)&lt;&gt;"",IFERROR(VLOOKUP(TRIM(B1352),Inventory!E:E,1,0),0)=0),"X","_")</f>
        <v>_</v>
      </c>
      <c r="D1352" t="str">
        <f>IF(AND(TRIM(A1352)&lt;&gt;"",IFERROR(VLOOKUP(TRIM(B1352),'Full Inventory'!F:F,1,0),0)=0),"X","_")</f>
        <v>_</v>
      </c>
      <c r="E1352" t="str">
        <f t="shared" si="84"/>
        <v>X</v>
      </c>
      <c r="F1352" t="str">
        <f ca="1">IFERROR(IF(AND(C1352&amp;D1352&amp;E1352="___",INDIRECT("Inventory!A"&amp;MATCH(VLOOKUP(B1352,Inventory!E:E,1,0),Inventory!E:E,0))&lt;&gt;INDIRECT("'Full Inventory'!B"&amp;MATCH(VLOOKUP(B1352,'Full Inventory'!F:F,1,0),'Full Inventory'!F:F,0))),"X","_"),"_")</f>
        <v>_</v>
      </c>
      <c r="L1352" t="str">
        <f t="shared" ca="1" si="86"/>
        <v>__X_</v>
      </c>
      <c r="M1352" t="str">
        <f t="shared" ca="1" si="87"/>
        <v/>
      </c>
    </row>
    <row r="1353" spans="1:13" x14ac:dyDescent="0.25">
      <c r="A1353" s="5"/>
      <c r="B1353" s="4" t="str">
        <f t="shared" si="85"/>
        <v/>
      </c>
      <c r="C1353" t="str">
        <f>IF(AND(TRIM(A1353)&lt;&gt;"",IFERROR(VLOOKUP(TRIM(B1353),Inventory!E:E,1,0),0)=0),"X","_")</f>
        <v>_</v>
      </c>
      <c r="D1353" t="str">
        <f>IF(AND(TRIM(A1353)&lt;&gt;"",IFERROR(VLOOKUP(TRIM(B1353),'Full Inventory'!F:F,1,0),0)=0),"X","_")</f>
        <v>_</v>
      </c>
      <c r="E1353" t="str">
        <f t="shared" si="84"/>
        <v>X</v>
      </c>
      <c r="F1353" t="str">
        <f ca="1">IFERROR(IF(AND(C1353&amp;D1353&amp;E1353="___",INDIRECT("Inventory!A"&amp;MATCH(VLOOKUP(B1353,Inventory!E:E,1,0),Inventory!E:E,0))&lt;&gt;INDIRECT("'Full Inventory'!B"&amp;MATCH(VLOOKUP(B1353,'Full Inventory'!F:F,1,0),'Full Inventory'!F:F,0))),"X","_"),"_")</f>
        <v>_</v>
      </c>
      <c r="L1353" t="str">
        <f t="shared" ca="1" si="86"/>
        <v>__X_</v>
      </c>
      <c r="M1353" t="str">
        <f t="shared" ca="1" si="87"/>
        <v/>
      </c>
    </row>
    <row r="1354" spans="1:13" x14ac:dyDescent="0.25">
      <c r="A1354" s="5"/>
      <c r="B1354" s="4" t="str">
        <f t="shared" si="85"/>
        <v/>
      </c>
      <c r="C1354" t="str">
        <f>IF(AND(TRIM(A1354)&lt;&gt;"",IFERROR(VLOOKUP(TRIM(B1354),Inventory!E:E,1,0),0)=0),"X","_")</f>
        <v>_</v>
      </c>
      <c r="D1354" t="str">
        <f>IF(AND(TRIM(A1354)&lt;&gt;"",IFERROR(VLOOKUP(TRIM(B1354),'Full Inventory'!F:F,1,0),0)=0),"X","_")</f>
        <v>_</v>
      </c>
      <c r="E1354" t="str">
        <f t="shared" si="84"/>
        <v>X</v>
      </c>
      <c r="F1354" t="str">
        <f ca="1">IFERROR(IF(AND(C1354&amp;D1354&amp;E1354="___",INDIRECT("Inventory!A"&amp;MATCH(VLOOKUP(B1354,Inventory!E:E,1,0),Inventory!E:E,0))&lt;&gt;INDIRECT("'Full Inventory'!B"&amp;MATCH(VLOOKUP(B1354,'Full Inventory'!F:F,1,0),'Full Inventory'!F:F,0))),"X","_"),"_")</f>
        <v>_</v>
      </c>
      <c r="L1354" t="str">
        <f t="shared" ca="1" si="86"/>
        <v>__X_</v>
      </c>
      <c r="M1354" t="str">
        <f t="shared" ca="1" si="87"/>
        <v/>
      </c>
    </row>
    <row r="1355" spans="1:13" x14ac:dyDescent="0.25">
      <c r="A1355" s="5"/>
      <c r="B1355" s="4" t="str">
        <f t="shared" si="85"/>
        <v/>
      </c>
      <c r="C1355" t="str">
        <f>IF(AND(TRIM(A1355)&lt;&gt;"",IFERROR(VLOOKUP(TRIM(B1355),Inventory!E:E,1,0),0)=0),"X","_")</f>
        <v>_</v>
      </c>
      <c r="D1355" t="str">
        <f>IF(AND(TRIM(A1355)&lt;&gt;"",IFERROR(VLOOKUP(TRIM(B1355),'Full Inventory'!F:F,1,0),0)=0),"X","_")</f>
        <v>_</v>
      </c>
      <c r="E1355" t="str">
        <f t="shared" si="84"/>
        <v>X</v>
      </c>
      <c r="F1355" t="str">
        <f ca="1">IFERROR(IF(AND(C1355&amp;D1355&amp;E1355="___",INDIRECT("Inventory!A"&amp;MATCH(VLOOKUP(B1355,Inventory!E:E,1,0),Inventory!E:E,0))&lt;&gt;INDIRECT("'Full Inventory'!B"&amp;MATCH(VLOOKUP(B1355,'Full Inventory'!F:F,1,0),'Full Inventory'!F:F,0))),"X","_"),"_")</f>
        <v>_</v>
      </c>
      <c r="L1355" t="str">
        <f t="shared" ca="1" si="86"/>
        <v>__X_</v>
      </c>
      <c r="M1355" t="str">
        <f t="shared" ca="1" si="87"/>
        <v/>
      </c>
    </row>
    <row r="1356" spans="1:13" x14ac:dyDescent="0.25">
      <c r="A1356" s="5"/>
      <c r="B1356" s="4" t="str">
        <f t="shared" si="85"/>
        <v/>
      </c>
      <c r="C1356" t="str">
        <f>IF(AND(TRIM(A1356)&lt;&gt;"",IFERROR(VLOOKUP(TRIM(B1356),Inventory!E:E,1,0),0)=0),"X","_")</f>
        <v>_</v>
      </c>
      <c r="D1356" t="str">
        <f>IF(AND(TRIM(A1356)&lt;&gt;"",IFERROR(VLOOKUP(TRIM(B1356),'Full Inventory'!F:F,1,0),0)=0),"X","_")</f>
        <v>_</v>
      </c>
      <c r="E1356" t="str">
        <f t="shared" si="84"/>
        <v>X</v>
      </c>
      <c r="F1356" t="str">
        <f ca="1">IFERROR(IF(AND(C1356&amp;D1356&amp;E1356="___",INDIRECT("Inventory!A"&amp;MATCH(VLOOKUP(B1356,Inventory!E:E,1,0),Inventory!E:E,0))&lt;&gt;INDIRECT("'Full Inventory'!B"&amp;MATCH(VLOOKUP(B1356,'Full Inventory'!F:F,1,0),'Full Inventory'!F:F,0))),"X","_"),"_")</f>
        <v>_</v>
      </c>
      <c r="L1356" t="str">
        <f t="shared" ca="1" si="86"/>
        <v>__X_</v>
      </c>
      <c r="M1356" t="str">
        <f t="shared" ca="1" si="87"/>
        <v/>
      </c>
    </row>
    <row r="1357" spans="1:13" x14ac:dyDescent="0.25">
      <c r="A1357" s="5"/>
      <c r="B1357" s="4" t="str">
        <f t="shared" si="85"/>
        <v/>
      </c>
      <c r="C1357" t="str">
        <f>IF(AND(TRIM(A1357)&lt;&gt;"",IFERROR(VLOOKUP(TRIM(B1357),Inventory!E:E,1,0),0)=0),"X","_")</f>
        <v>_</v>
      </c>
      <c r="D1357" t="str">
        <f>IF(AND(TRIM(A1357)&lt;&gt;"",IFERROR(VLOOKUP(TRIM(B1357),'Full Inventory'!F:F,1,0),0)=0),"X","_")</f>
        <v>_</v>
      </c>
      <c r="E1357" t="str">
        <f t="shared" si="84"/>
        <v>X</v>
      </c>
      <c r="F1357" t="str">
        <f ca="1">IFERROR(IF(AND(C1357&amp;D1357&amp;E1357="___",INDIRECT("Inventory!A"&amp;MATCH(VLOOKUP(B1357,Inventory!E:E,1,0),Inventory!E:E,0))&lt;&gt;INDIRECT("'Full Inventory'!B"&amp;MATCH(VLOOKUP(B1357,'Full Inventory'!F:F,1,0),'Full Inventory'!F:F,0))),"X","_"),"_")</f>
        <v>_</v>
      </c>
      <c r="L1357" t="str">
        <f t="shared" ca="1" si="86"/>
        <v>__X_</v>
      </c>
      <c r="M1357" t="str">
        <f t="shared" ca="1" si="87"/>
        <v/>
      </c>
    </row>
    <row r="1358" spans="1:13" x14ac:dyDescent="0.25">
      <c r="A1358" s="5"/>
      <c r="B1358" s="4" t="str">
        <f t="shared" si="85"/>
        <v/>
      </c>
      <c r="C1358" t="str">
        <f>IF(AND(TRIM(A1358)&lt;&gt;"",IFERROR(VLOOKUP(TRIM(B1358),Inventory!E:E,1,0),0)=0),"X","_")</f>
        <v>_</v>
      </c>
      <c r="D1358" t="str">
        <f>IF(AND(TRIM(A1358)&lt;&gt;"",IFERROR(VLOOKUP(TRIM(B1358),'Full Inventory'!F:F,1,0),0)=0),"X","_")</f>
        <v>_</v>
      </c>
      <c r="E1358" t="str">
        <f t="shared" si="84"/>
        <v>X</v>
      </c>
      <c r="F1358" t="str">
        <f ca="1">IFERROR(IF(AND(C1358&amp;D1358&amp;E1358="___",INDIRECT("Inventory!A"&amp;MATCH(VLOOKUP(B1358,Inventory!E:E,1,0),Inventory!E:E,0))&lt;&gt;INDIRECT("'Full Inventory'!B"&amp;MATCH(VLOOKUP(B1358,'Full Inventory'!F:F,1,0),'Full Inventory'!F:F,0))),"X","_"),"_")</f>
        <v>_</v>
      </c>
      <c r="L1358" t="str">
        <f t="shared" ca="1" si="86"/>
        <v>__X_</v>
      </c>
      <c r="M1358" t="str">
        <f t="shared" ca="1" si="87"/>
        <v/>
      </c>
    </row>
    <row r="1359" spans="1:13" x14ac:dyDescent="0.25">
      <c r="A1359" s="5"/>
      <c r="B1359" s="4" t="str">
        <f t="shared" si="85"/>
        <v/>
      </c>
      <c r="C1359" t="str">
        <f>IF(AND(TRIM(A1359)&lt;&gt;"",IFERROR(VLOOKUP(TRIM(B1359),Inventory!E:E,1,0),0)=0),"X","_")</f>
        <v>_</v>
      </c>
      <c r="D1359" t="str">
        <f>IF(AND(TRIM(A1359)&lt;&gt;"",IFERROR(VLOOKUP(TRIM(B1359),'Full Inventory'!F:F,1,0),0)=0),"X","_")</f>
        <v>_</v>
      </c>
      <c r="E1359" t="str">
        <f t="shared" si="84"/>
        <v>X</v>
      </c>
      <c r="F1359" t="str">
        <f ca="1">IFERROR(IF(AND(C1359&amp;D1359&amp;E1359="___",INDIRECT("Inventory!A"&amp;MATCH(VLOOKUP(B1359,Inventory!E:E,1,0),Inventory!E:E,0))&lt;&gt;INDIRECT("'Full Inventory'!B"&amp;MATCH(VLOOKUP(B1359,'Full Inventory'!F:F,1,0),'Full Inventory'!F:F,0))),"X","_"),"_")</f>
        <v>_</v>
      </c>
      <c r="L1359" t="str">
        <f t="shared" ca="1" si="86"/>
        <v>__X_</v>
      </c>
      <c r="M1359" t="str">
        <f t="shared" ca="1" si="87"/>
        <v/>
      </c>
    </row>
    <row r="1360" spans="1:13" x14ac:dyDescent="0.25">
      <c r="A1360" s="5"/>
      <c r="B1360" s="4" t="str">
        <f t="shared" si="85"/>
        <v/>
      </c>
      <c r="C1360" t="str">
        <f>IF(AND(TRIM(A1360)&lt;&gt;"",IFERROR(VLOOKUP(TRIM(B1360),Inventory!E:E,1,0),0)=0),"X","_")</f>
        <v>_</v>
      </c>
      <c r="D1360" t="str">
        <f>IF(AND(TRIM(A1360)&lt;&gt;"",IFERROR(VLOOKUP(TRIM(B1360),'Full Inventory'!F:F,1,0),0)=0),"X","_")</f>
        <v>_</v>
      </c>
      <c r="E1360" t="str">
        <f t="shared" si="84"/>
        <v>X</v>
      </c>
      <c r="F1360" t="str">
        <f ca="1">IFERROR(IF(AND(C1360&amp;D1360&amp;E1360="___",INDIRECT("Inventory!A"&amp;MATCH(VLOOKUP(B1360,Inventory!E:E,1,0),Inventory!E:E,0))&lt;&gt;INDIRECT("'Full Inventory'!B"&amp;MATCH(VLOOKUP(B1360,'Full Inventory'!F:F,1,0),'Full Inventory'!F:F,0))),"X","_"),"_")</f>
        <v>_</v>
      </c>
      <c r="L1360" t="str">
        <f t="shared" ca="1" si="86"/>
        <v>__X_</v>
      </c>
      <c r="M1360" t="str">
        <f t="shared" ca="1" si="87"/>
        <v/>
      </c>
    </row>
    <row r="1361" spans="1:13" x14ac:dyDescent="0.25">
      <c r="A1361" s="5"/>
      <c r="B1361" s="4" t="str">
        <f t="shared" si="85"/>
        <v/>
      </c>
      <c r="C1361" t="str">
        <f>IF(AND(TRIM(A1361)&lt;&gt;"",IFERROR(VLOOKUP(TRIM(B1361),Inventory!E:E,1,0),0)=0),"X","_")</f>
        <v>_</v>
      </c>
      <c r="D1361" t="str">
        <f>IF(AND(TRIM(A1361)&lt;&gt;"",IFERROR(VLOOKUP(TRIM(B1361),'Full Inventory'!F:F,1,0),0)=0),"X","_")</f>
        <v>_</v>
      </c>
      <c r="E1361" t="str">
        <f t="shared" si="84"/>
        <v>X</v>
      </c>
      <c r="F1361" t="str">
        <f ca="1">IFERROR(IF(AND(C1361&amp;D1361&amp;E1361="___",INDIRECT("Inventory!A"&amp;MATCH(VLOOKUP(B1361,Inventory!E:E,1,0),Inventory!E:E,0))&lt;&gt;INDIRECT("'Full Inventory'!B"&amp;MATCH(VLOOKUP(B1361,'Full Inventory'!F:F,1,0),'Full Inventory'!F:F,0))),"X","_"),"_")</f>
        <v>_</v>
      </c>
      <c r="L1361" t="str">
        <f t="shared" ca="1" si="86"/>
        <v>__X_</v>
      </c>
      <c r="M1361" t="str">
        <f t="shared" ca="1" si="87"/>
        <v/>
      </c>
    </row>
    <row r="1362" spans="1:13" x14ac:dyDescent="0.25">
      <c r="A1362" s="5"/>
      <c r="B1362" s="4" t="str">
        <f t="shared" si="85"/>
        <v/>
      </c>
      <c r="C1362" t="str">
        <f>IF(AND(TRIM(A1362)&lt;&gt;"",IFERROR(VLOOKUP(TRIM(B1362),Inventory!E:E,1,0),0)=0),"X","_")</f>
        <v>_</v>
      </c>
      <c r="D1362" t="str">
        <f>IF(AND(TRIM(A1362)&lt;&gt;"",IFERROR(VLOOKUP(TRIM(B1362),'Full Inventory'!F:F,1,0),0)=0),"X","_")</f>
        <v>_</v>
      </c>
      <c r="E1362" t="str">
        <f t="shared" si="84"/>
        <v>X</v>
      </c>
      <c r="F1362" t="str">
        <f ca="1">IFERROR(IF(AND(C1362&amp;D1362&amp;E1362="___",INDIRECT("Inventory!A"&amp;MATCH(VLOOKUP(B1362,Inventory!E:E,1,0),Inventory!E:E,0))&lt;&gt;INDIRECT("'Full Inventory'!B"&amp;MATCH(VLOOKUP(B1362,'Full Inventory'!F:F,1,0),'Full Inventory'!F:F,0))),"X","_"),"_")</f>
        <v>_</v>
      </c>
      <c r="L1362" t="str">
        <f t="shared" ca="1" si="86"/>
        <v>__X_</v>
      </c>
      <c r="M1362" t="str">
        <f t="shared" ca="1" si="87"/>
        <v/>
      </c>
    </row>
    <row r="1363" spans="1:13" x14ac:dyDescent="0.25">
      <c r="A1363" s="5"/>
      <c r="B1363" s="4" t="str">
        <f t="shared" si="85"/>
        <v/>
      </c>
      <c r="C1363" t="str">
        <f>IF(AND(TRIM(A1363)&lt;&gt;"",IFERROR(VLOOKUP(TRIM(B1363),Inventory!E:E,1,0),0)=0),"X","_")</f>
        <v>_</v>
      </c>
      <c r="D1363" t="str">
        <f>IF(AND(TRIM(A1363)&lt;&gt;"",IFERROR(VLOOKUP(TRIM(B1363),'Full Inventory'!F:F,1,0),0)=0),"X","_")</f>
        <v>_</v>
      </c>
      <c r="E1363" t="str">
        <f t="shared" si="84"/>
        <v>X</v>
      </c>
      <c r="F1363" t="str">
        <f ca="1">IFERROR(IF(AND(C1363&amp;D1363&amp;E1363="___",INDIRECT("Inventory!A"&amp;MATCH(VLOOKUP(B1363,Inventory!E:E,1,0),Inventory!E:E,0))&lt;&gt;INDIRECT("'Full Inventory'!B"&amp;MATCH(VLOOKUP(B1363,'Full Inventory'!F:F,1,0),'Full Inventory'!F:F,0))),"X","_"),"_")</f>
        <v>_</v>
      </c>
      <c r="L1363" t="str">
        <f t="shared" ca="1" si="86"/>
        <v>__X_</v>
      </c>
      <c r="M1363" t="str">
        <f t="shared" ca="1" si="87"/>
        <v/>
      </c>
    </row>
    <row r="1364" spans="1:13" x14ac:dyDescent="0.25">
      <c r="A1364" s="5"/>
      <c r="B1364" s="4" t="str">
        <f t="shared" si="85"/>
        <v/>
      </c>
      <c r="C1364" t="str">
        <f>IF(AND(TRIM(A1364)&lt;&gt;"",IFERROR(VLOOKUP(TRIM(B1364),Inventory!E:E,1,0),0)=0),"X","_")</f>
        <v>_</v>
      </c>
      <c r="D1364" t="str">
        <f>IF(AND(TRIM(A1364)&lt;&gt;"",IFERROR(VLOOKUP(TRIM(B1364),'Full Inventory'!F:F,1,0),0)=0),"X","_")</f>
        <v>_</v>
      </c>
      <c r="E1364" t="str">
        <f t="shared" ref="E1364:E1427" si="88">IF(TRIM(A1364)&lt;&gt;"","_","X")</f>
        <v>X</v>
      </c>
      <c r="F1364" t="str">
        <f ca="1">IFERROR(IF(AND(C1364&amp;D1364&amp;E1364="___",INDIRECT("Inventory!A"&amp;MATCH(VLOOKUP(B1364,Inventory!E:E,1,0),Inventory!E:E,0))&lt;&gt;INDIRECT("'Full Inventory'!B"&amp;MATCH(VLOOKUP(B1364,'Full Inventory'!F:F,1,0),'Full Inventory'!F:F,0))),"X","_"),"_")</f>
        <v>_</v>
      </c>
      <c r="L1364" t="str">
        <f t="shared" ca="1" si="86"/>
        <v>__X_</v>
      </c>
      <c r="M1364" t="str">
        <f t="shared" ca="1" si="87"/>
        <v/>
      </c>
    </row>
    <row r="1365" spans="1:13" x14ac:dyDescent="0.25">
      <c r="A1365" s="5"/>
      <c r="B1365" s="4" t="str">
        <f t="shared" si="85"/>
        <v/>
      </c>
      <c r="C1365" t="str">
        <f>IF(AND(TRIM(A1365)&lt;&gt;"",IFERROR(VLOOKUP(TRIM(B1365),Inventory!E:E,1,0),0)=0),"X","_")</f>
        <v>_</v>
      </c>
      <c r="D1365" t="str">
        <f>IF(AND(TRIM(A1365)&lt;&gt;"",IFERROR(VLOOKUP(TRIM(B1365),'Full Inventory'!F:F,1,0),0)=0),"X","_")</f>
        <v>_</v>
      </c>
      <c r="E1365" t="str">
        <f t="shared" si="88"/>
        <v>X</v>
      </c>
      <c r="F1365" t="str">
        <f ca="1">IFERROR(IF(AND(C1365&amp;D1365&amp;E1365="___",INDIRECT("Inventory!A"&amp;MATCH(VLOOKUP(B1365,Inventory!E:E,1,0),Inventory!E:E,0))&lt;&gt;INDIRECT("'Full Inventory'!B"&amp;MATCH(VLOOKUP(B1365,'Full Inventory'!F:F,1,0),'Full Inventory'!F:F,0))),"X","_"),"_")</f>
        <v>_</v>
      </c>
      <c r="L1365" t="str">
        <f t="shared" ca="1" si="86"/>
        <v>__X_</v>
      </c>
      <c r="M1365" t="str">
        <f t="shared" ca="1" si="87"/>
        <v/>
      </c>
    </row>
    <row r="1366" spans="1:13" x14ac:dyDescent="0.25">
      <c r="A1366" s="5"/>
      <c r="B1366" s="4" t="str">
        <f t="shared" si="85"/>
        <v/>
      </c>
      <c r="C1366" t="str">
        <f>IF(AND(TRIM(A1366)&lt;&gt;"",IFERROR(VLOOKUP(TRIM(B1366),Inventory!E:E,1,0),0)=0),"X","_")</f>
        <v>_</v>
      </c>
      <c r="D1366" t="str">
        <f>IF(AND(TRIM(A1366)&lt;&gt;"",IFERROR(VLOOKUP(TRIM(B1366),'Full Inventory'!F:F,1,0),0)=0),"X","_")</f>
        <v>_</v>
      </c>
      <c r="E1366" t="str">
        <f t="shared" si="88"/>
        <v>X</v>
      </c>
      <c r="F1366" t="str">
        <f ca="1">IFERROR(IF(AND(C1366&amp;D1366&amp;E1366="___",INDIRECT("Inventory!A"&amp;MATCH(VLOOKUP(B1366,Inventory!E:E,1,0),Inventory!E:E,0))&lt;&gt;INDIRECT("'Full Inventory'!B"&amp;MATCH(VLOOKUP(B1366,'Full Inventory'!F:F,1,0),'Full Inventory'!F:F,0))),"X","_"),"_")</f>
        <v>_</v>
      </c>
      <c r="L1366" t="str">
        <f t="shared" ca="1" si="86"/>
        <v>__X_</v>
      </c>
      <c r="M1366" t="str">
        <f t="shared" ca="1" si="87"/>
        <v/>
      </c>
    </row>
    <row r="1367" spans="1:13" x14ac:dyDescent="0.25">
      <c r="A1367" s="5"/>
      <c r="B1367" s="4" t="str">
        <f t="shared" si="85"/>
        <v/>
      </c>
      <c r="C1367" t="str">
        <f>IF(AND(TRIM(A1367)&lt;&gt;"",IFERROR(VLOOKUP(TRIM(B1367),Inventory!E:E,1,0),0)=0),"X","_")</f>
        <v>_</v>
      </c>
      <c r="D1367" t="str">
        <f>IF(AND(TRIM(A1367)&lt;&gt;"",IFERROR(VLOOKUP(TRIM(B1367),'Full Inventory'!F:F,1,0),0)=0),"X","_")</f>
        <v>_</v>
      </c>
      <c r="E1367" t="str">
        <f t="shared" si="88"/>
        <v>X</v>
      </c>
      <c r="F1367" t="str">
        <f ca="1">IFERROR(IF(AND(C1367&amp;D1367&amp;E1367="___",INDIRECT("Inventory!A"&amp;MATCH(VLOOKUP(B1367,Inventory!E:E,1,0),Inventory!E:E,0))&lt;&gt;INDIRECT("'Full Inventory'!B"&amp;MATCH(VLOOKUP(B1367,'Full Inventory'!F:F,1,0),'Full Inventory'!F:F,0))),"X","_"),"_")</f>
        <v>_</v>
      </c>
      <c r="L1367" t="str">
        <f t="shared" ca="1" si="86"/>
        <v>__X_</v>
      </c>
      <c r="M1367" t="str">
        <f t="shared" ca="1" si="87"/>
        <v/>
      </c>
    </row>
    <row r="1368" spans="1:13" x14ac:dyDescent="0.25">
      <c r="A1368" s="5"/>
      <c r="B1368" s="4" t="str">
        <f t="shared" si="85"/>
        <v/>
      </c>
      <c r="C1368" t="str">
        <f>IF(AND(TRIM(A1368)&lt;&gt;"",IFERROR(VLOOKUP(TRIM(B1368),Inventory!E:E,1,0),0)=0),"X","_")</f>
        <v>_</v>
      </c>
      <c r="D1368" t="str">
        <f>IF(AND(TRIM(A1368)&lt;&gt;"",IFERROR(VLOOKUP(TRIM(B1368),'Full Inventory'!F:F,1,0),0)=0),"X","_")</f>
        <v>_</v>
      </c>
      <c r="E1368" t="str">
        <f t="shared" si="88"/>
        <v>X</v>
      </c>
      <c r="F1368" t="str">
        <f ca="1">IFERROR(IF(AND(C1368&amp;D1368&amp;E1368="___",INDIRECT("Inventory!A"&amp;MATCH(VLOOKUP(B1368,Inventory!E:E,1,0),Inventory!E:E,0))&lt;&gt;INDIRECT("'Full Inventory'!B"&amp;MATCH(VLOOKUP(B1368,'Full Inventory'!F:F,1,0),'Full Inventory'!F:F,0))),"X","_"),"_")</f>
        <v>_</v>
      </c>
      <c r="L1368" t="str">
        <f t="shared" ca="1" si="86"/>
        <v>__X_</v>
      </c>
      <c r="M1368" t="str">
        <f t="shared" ca="1" si="87"/>
        <v/>
      </c>
    </row>
    <row r="1369" spans="1:13" x14ac:dyDescent="0.25">
      <c r="A1369" s="5"/>
      <c r="B1369" s="4" t="str">
        <f t="shared" si="85"/>
        <v/>
      </c>
      <c r="C1369" t="str">
        <f>IF(AND(TRIM(A1369)&lt;&gt;"",IFERROR(VLOOKUP(TRIM(B1369),Inventory!E:E,1,0),0)=0),"X","_")</f>
        <v>_</v>
      </c>
      <c r="D1369" t="str">
        <f>IF(AND(TRIM(A1369)&lt;&gt;"",IFERROR(VLOOKUP(TRIM(B1369),'Full Inventory'!F:F,1,0),0)=0),"X","_")</f>
        <v>_</v>
      </c>
      <c r="E1369" t="str">
        <f t="shared" si="88"/>
        <v>X</v>
      </c>
      <c r="F1369" t="str">
        <f ca="1">IFERROR(IF(AND(C1369&amp;D1369&amp;E1369="___",INDIRECT("Inventory!A"&amp;MATCH(VLOOKUP(B1369,Inventory!E:E,1,0),Inventory!E:E,0))&lt;&gt;INDIRECT("'Full Inventory'!B"&amp;MATCH(VLOOKUP(B1369,'Full Inventory'!F:F,1,0),'Full Inventory'!F:F,0))),"X","_"),"_")</f>
        <v>_</v>
      </c>
      <c r="L1369" t="str">
        <f t="shared" ca="1" si="86"/>
        <v>__X_</v>
      </c>
      <c r="M1369" t="str">
        <f t="shared" ca="1" si="87"/>
        <v/>
      </c>
    </row>
    <row r="1370" spans="1:13" x14ac:dyDescent="0.25">
      <c r="A1370" s="5"/>
      <c r="B1370" s="4" t="str">
        <f t="shared" si="85"/>
        <v/>
      </c>
      <c r="C1370" t="str">
        <f>IF(AND(TRIM(A1370)&lt;&gt;"",IFERROR(VLOOKUP(TRIM(B1370),Inventory!E:E,1,0),0)=0),"X","_")</f>
        <v>_</v>
      </c>
      <c r="D1370" t="str">
        <f>IF(AND(TRIM(A1370)&lt;&gt;"",IFERROR(VLOOKUP(TRIM(B1370),'Full Inventory'!F:F,1,0),0)=0),"X","_")</f>
        <v>_</v>
      </c>
      <c r="E1370" t="str">
        <f t="shared" si="88"/>
        <v>X</v>
      </c>
      <c r="F1370" t="str">
        <f ca="1">IFERROR(IF(AND(C1370&amp;D1370&amp;E1370="___",INDIRECT("Inventory!A"&amp;MATCH(VLOOKUP(B1370,Inventory!E:E,1,0),Inventory!E:E,0))&lt;&gt;INDIRECT("'Full Inventory'!B"&amp;MATCH(VLOOKUP(B1370,'Full Inventory'!F:F,1,0),'Full Inventory'!F:F,0))),"X","_"),"_")</f>
        <v>_</v>
      </c>
      <c r="L1370" t="str">
        <f t="shared" ca="1" si="86"/>
        <v>__X_</v>
      </c>
      <c r="M1370" t="str">
        <f t="shared" ca="1" si="87"/>
        <v/>
      </c>
    </row>
    <row r="1371" spans="1:13" x14ac:dyDescent="0.25">
      <c r="A1371" s="5"/>
      <c r="B1371" s="4" t="str">
        <f t="shared" si="85"/>
        <v/>
      </c>
      <c r="C1371" t="str">
        <f>IF(AND(TRIM(A1371)&lt;&gt;"",IFERROR(VLOOKUP(TRIM(B1371),Inventory!E:E,1,0),0)=0),"X","_")</f>
        <v>_</v>
      </c>
      <c r="D1371" t="str">
        <f>IF(AND(TRIM(A1371)&lt;&gt;"",IFERROR(VLOOKUP(TRIM(B1371),'Full Inventory'!F:F,1,0),0)=0),"X","_")</f>
        <v>_</v>
      </c>
      <c r="E1371" t="str">
        <f t="shared" si="88"/>
        <v>X</v>
      </c>
      <c r="F1371" t="str">
        <f ca="1">IFERROR(IF(AND(C1371&amp;D1371&amp;E1371="___",INDIRECT("Inventory!A"&amp;MATCH(VLOOKUP(B1371,Inventory!E:E,1,0),Inventory!E:E,0))&lt;&gt;INDIRECT("'Full Inventory'!B"&amp;MATCH(VLOOKUP(B1371,'Full Inventory'!F:F,1,0),'Full Inventory'!F:F,0))),"X","_"),"_")</f>
        <v>_</v>
      </c>
      <c r="L1371" t="str">
        <f t="shared" ca="1" si="86"/>
        <v>__X_</v>
      </c>
      <c r="M1371" t="str">
        <f t="shared" ca="1" si="87"/>
        <v/>
      </c>
    </row>
    <row r="1372" spans="1:13" x14ac:dyDescent="0.25">
      <c r="A1372" s="5"/>
      <c r="B1372" s="4" t="str">
        <f t="shared" si="85"/>
        <v/>
      </c>
      <c r="C1372" t="str">
        <f>IF(AND(TRIM(A1372)&lt;&gt;"",IFERROR(VLOOKUP(TRIM(B1372),Inventory!E:E,1,0),0)=0),"X","_")</f>
        <v>_</v>
      </c>
      <c r="D1372" t="str">
        <f>IF(AND(TRIM(A1372)&lt;&gt;"",IFERROR(VLOOKUP(TRIM(B1372),'Full Inventory'!F:F,1,0),0)=0),"X","_")</f>
        <v>_</v>
      </c>
      <c r="E1372" t="str">
        <f t="shared" si="88"/>
        <v>X</v>
      </c>
      <c r="F1372" t="str">
        <f ca="1">IFERROR(IF(AND(C1372&amp;D1372&amp;E1372="___",INDIRECT("Inventory!A"&amp;MATCH(VLOOKUP(B1372,Inventory!E:E,1,0),Inventory!E:E,0))&lt;&gt;INDIRECT("'Full Inventory'!B"&amp;MATCH(VLOOKUP(B1372,'Full Inventory'!F:F,1,0),'Full Inventory'!F:F,0))),"X","_"),"_")</f>
        <v>_</v>
      </c>
      <c r="L1372" t="str">
        <f t="shared" ca="1" si="86"/>
        <v>__X_</v>
      </c>
      <c r="M1372" t="str">
        <f t="shared" ca="1" si="87"/>
        <v/>
      </c>
    </row>
    <row r="1373" spans="1:13" x14ac:dyDescent="0.25">
      <c r="A1373" s="5"/>
      <c r="B1373" s="4" t="str">
        <f t="shared" si="85"/>
        <v/>
      </c>
      <c r="C1373" t="str">
        <f>IF(AND(TRIM(A1373)&lt;&gt;"",IFERROR(VLOOKUP(TRIM(B1373),Inventory!E:E,1,0),0)=0),"X","_")</f>
        <v>_</v>
      </c>
      <c r="D1373" t="str">
        <f>IF(AND(TRIM(A1373)&lt;&gt;"",IFERROR(VLOOKUP(TRIM(B1373),'Full Inventory'!F:F,1,0),0)=0),"X","_")</f>
        <v>_</v>
      </c>
      <c r="E1373" t="str">
        <f t="shared" si="88"/>
        <v>X</v>
      </c>
      <c r="F1373" t="str">
        <f ca="1">IFERROR(IF(AND(C1373&amp;D1373&amp;E1373="___",INDIRECT("Inventory!A"&amp;MATCH(VLOOKUP(B1373,Inventory!E:E,1,0),Inventory!E:E,0))&lt;&gt;INDIRECT("'Full Inventory'!B"&amp;MATCH(VLOOKUP(B1373,'Full Inventory'!F:F,1,0),'Full Inventory'!F:F,0))),"X","_"),"_")</f>
        <v>_</v>
      </c>
      <c r="L1373" t="str">
        <f t="shared" ca="1" si="86"/>
        <v>__X_</v>
      </c>
      <c r="M1373" t="str">
        <f t="shared" ca="1" si="87"/>
        <v/>
      </c>
    </row>
    <row r="1374" spans="1:13" x14ac:dyDescent="0.25">
      <c r="A1374" s="5"/>
      <c r="B1374" s="4" t="str">
        <f t="shared" si="85"/>
        <v/>
      </c>
      <c r="C1374" t="str">
        <f>IF(AND(TRIM(A1374)&lt;&gt;"",IFERROR(VLOOKUP(TRIM(B1374),Inventory!E:E,1,0),0)=0),"X","_")</f>
        <v>_</v>
      </c>
      <c r="D1374" t="str">
        <f>IF(AND(TRIM(A1374)&lt;&gt;"",IFERROR(VLOOKUP(TRIM(B1374),'Full Inventory'!F:F,1,0),0)=0),"X","_")</f>
        <v>_</v>
      </c>
      <c r="E1374" t="str">
        <f t="shared" si="88"/>
        <v>X</v>
      </c>
      <c r="F1374" t="str">
        <f ca="1">IFERROR(IF(AND(C1374&amp;D1374&amp;E1374="___",INDIRECT("Inventory!A"&amp;MATCH(VLOOKUP(B1374,Inventory!E:E,1,0),Inventory!E:E,0))&lt;&gt;INDIRECT("'Full Inventory'!B"&amp;MATCH(VLOOKUP(B1374,'Full Inventory'!F:F,1,0),'Full Inventory'!F:F,0))),"X","_"),"_")</f>
        <v>_</v>
      </c>
      <c r="L1374" t="str">
        <f t="shared" ca="1" si="86"/>
        <v>__X_</v>
      </c>
      <c r="M1374" t="str">
        <f t="shared" ca="1" si="87"/>
        <v/>
      </c>
    </row>
    <row r="1375" spans="1:13" x14ac:dyDescent="0.25">
      <c r="A1375" s="5"/>
      <c r="B1375" s="4" t="str">
        <f t="shared" si="85"/>
        <v/>
      </c>
      <c r="C1375" t="str">
        <f>IF(AND(TRIM(A1375)&lt;&gt;"",IFERROR(VLOOKUP(TRIM(B1375),Inventory!E:E,1,0),0)=0),"X","_")</f>
        <v>_</v>
      </c>
      <c r="D1375" t="str">
        <f>IF(AND(TRIM(A1375)&lt;&gt;"",IFERROR(VLOOKUP(TRIM(B1375),'Full Inventory'!F:F,1,0),0)=0),"X","_")</f>
        <v>_</v>
      </c>
      <c r="E1375" t="str">
        <f t="shared" si="88"/>
        <v>X</v>
      </c>
      <c r="F1375" t="str">
        <f ca="1">IFERROR(IF(AND(C1375&amp;D1375&amp;E1375="___",INDIRECT("Inventory!A"&amp;MATCH(VLOOKUP(B1375,Inventory!E:E,1,0),Inventory!E:E,0))&lt;&gt;INDIRECT("'Full Inventory'!B"&amp;MATCH(VLOOKUP(B1375,'Full Inventory'!F:F,1,0),'Full Inventory'!F:F,0))),"X","_"),"_")</f>
        <v>_</v>
      </c>
      <c r="L1375" t="str">
        <f t="shared" ca="1" si="86"/>
        <v>__X_</v>
      </c>
      <c r="M1375" t="str">
        <f t="shared" ca="1" si="87"/>
        <v/>
      </c>
    </row>
    <row r="1376" spans="1:13" x14ac:dyDescent="0.25">
      <c r="A1376" s="5"/>
      <c r="B1376" s="4" t="str">
        <f t="shared" si="85"/>
        <v/>
      </c>
      <c r="C1376" t="str">
        <f>IF(AND(TRIM(A1376)&lt;&gt;"",IFERROR(VLOOKUP(TRIM(B1376),Inventory!E:E,1,0),0)=0),"X","_")</f>
        <v>_</v>
      </c>
      <c r="D1376" t="str">
        <f>IF(AND(TRIM(A1376)&lt;&gt;"",IFERROR(VLOOKUP(TRIM(B1376),'Full Inventory'!F:F,1,0),0)=0),"X","_")</f>
        <v>_</v>
      </c>
      <c r="E1376" t="str">
        <f t="shared" si="88"/>
        <v>X</v>
      </c>
      <c r="F1376" t="str">
        <f ca="1">IFERROR(IF(AND(C1376&amp;D1376&amp;E1376="___",INDIRECT("Inventory!A"&amp;MATCH(VLOOKUP(B1376,Inventory!E:E,1,0),Inventory!E:E,0))&lt;&gt;INDIRECT("'Full Inventory'!B"&amp;MATCH(VLOOKUP(B1376,'Full Inventory'!F:F,1,0),'Full Inventory'!F:F,0))),"X","_"),"_")</f>
        <v>_</v>
      </c>
      <c r="L1376" t="str">
        <f t="shared" ca="1" si="86"/>
        <v>__X_</v>
      </c>
      <c r="M1376" t="str">
        <f t="shared" ca="1" si="87"/>
        <v/>
      </c>
    </row>
    <row r="1377" spans="1:13" x14ac:dyDescent="0.25">
      <c r="A1377" s="5"/>
      <c r="B1377" s="4" t="str">
        <f t="shared" si="85"/>
        <v/>
      </c>
      <c r="C1377" t="str">
        <f>IF(AND(TRIM(A1377)&lt;&gt;"",IFERROR(VLOOKUP(TRIM(B1377),Inventory!E:E,1,0),0)=0),"X","_")</f>
        <v>_</v>
      </c>
      <c r="D1377" t="str">
        <f>IF(AND(TRIM(A1377)&lt;&gt;"",IFERROR(VLOOKUP(TRIM(B1377),'Full Inventory'!F:F,1,0),0)=0),"X","_")</f>
        <v>_</v>
      </c>
      <c r="E1377" t="str">
        <f t="shared" si="88"/>
        <v>X</v>
      </c>
      <c r="F1377" t="str">
        <f ca="1">IFERROR(IF(AND(C1377&amp;D1377&amp;E1377="___",INDIRECT("Inventory!A"&amp;MATCH(VLOOKUP(B1377,Inventory!E:E,1,0),Inventory!E:E,0))&lt;&gt;INDIRECT("'Full Inventory'!B"&amp;MATCH(VLOOKUP(B1377,'Full Inventory'!F:F,1,0),'Full Inventory'!F:F,0))),"X","_"),"_")</f>
        <v>_</v>
      </c>
      <c r="L1377" t="str">
        <f t="shared" ca="1" si="86"/>
        <v>__X_</v>
      </c>
      <c r="M1377" t="str">
        <f t="shared" ca="1" si="87"/>
        <v/>
      </c>
    </row>
    <row r="1378" spans="1:13" x14ac:dyDescent="0.25">
      <c r="A1378" s="5"/>
      <c r="B1378" s="4" t="str">
        <f t="shared" si="85"/>
        <v/>
      </c>
      <c r="C1378" t="str">
        <f>IF(AND(TRIM(A1378)&lt;&gt;"",IFERROR(VLOOKUP(TRIM(B1378),Inventory!E:E,1,0),0)=0),"X","_")</f>
        <v>_</v>
      </c>
      <c r="D1378" t="str">
        <f>IF(AND(TRIM(A1378)&lt;&gt;"",IFERROR(VLOOKUP(TRIM(B1378),'Full Inventory'!F:F,1,0),0)=0),"X","_")</f>
        <v>_</v>
      </c>
      <c r="E1378" t="str">
        <f t="shared" si="88"/>
        <v>X</v>
      </c>
      <c r="F1378" t="str">
        <f ca="1">IFERROR(IF(AND(C1378&amp;D1378&amp;E1378="___",INDIRECT("Inventory!A"&amp;MATCH(VLOOKUP(B1378,Inventory!E:E,1,0),Inventory!E:E,0))&lt;&gt;INDIRECT("'Full Inventory'!B"&amp;MATCH(VLOOKUP(B1378,'Full Inventory'!F:F,1,0),'Full Inventory'!F:F,0))),"X","_"),"_")</f>
        <v>_</v>
      </c>
      <c r="L1378" t="str">
        <f t="shared" ca="1" si="86"/>
        <v>__X_</v>
      </c>
      <c r="M1378" t="str">
        <f t="shared" ca="1" si="87"/>
        <v/>
      </c>
    </row>
    <row r="1379" spans="1:13" x14ac:dyDescent="0.25">
      <c r="A1379" s="5"/>
      <c r="B1379" s="4" t="str">
        <f t="shared" si="85"/>
        <v/>
      </c>
      <c r="C1379" t="str">
        <f>IF(AND(TRIM(A1379)&lt;&gt;"",IFERROR(VLOOKUP(TRIM(B1379),Inventory!E:E,1,0),0)=0),"X","_")</f>
        <v>_</v>
      </c>
      <c r="D1379" t="str">
        <f>IF(AND(TRIM(A1379)&lt;&gt;"",IFERROR(VLOOKUP(TRIM(B1379),'Full Inventory'!F:F,1,0),0)=0),"X","_")</f>
        <v>_</v>
      </c>
      <c r="E1379" t="str">
        <f t="shared" si="88"/>
        <v>X</v>
      </c>
      <c r="F1379" t="str">
        <f ca="1">IFERROR(IF(AND(C1379&amp;D1379&amp;E1379="___",INDIRECT("Inventory!A"&amp;MATCH(VLOOKUP(B1379,Inventory!E:E,1,0),Inventory!E:E,0))&lt;&gt;INDIRECT("'Full Inventory'!B"&amp;MATCH(VLOOKUP(B1379,'Full Inventory'!F:F,1,0),'Full Inventory'!F:F,0))),"X","_"),"_")</f>
        <v>_</v>
      </c>
      <c r="L1379" t="str">
        <f t="shared" ca="1" si="86"/>
        <v>__X_</v>
      </c>
      <c r="M1379" t="str">
        <f t="shared" ca="1" si="87"/>
        <v/>
      </c>
    </row>
    <row r="1380" spans="1:13" x14ac:dyDescent="0.25">
      <c r="A1380" s="5"/>
      <c r="B1380" s="4" t="str">
        <f t="shared" si="85"/>
        <v/>
      </c>
      <c r="C1380" t="str">
        <f>IF(AND(TRIM(A1380)&lt;&gt;"",IFERROR(VLOOKUP(TRIM(B1380),Inventory!E:E,1,0),0)=0),"X","_")</f>
        <v>_</v>
      </c>
      <c r="D1380" t="str">
        <f>IF(AND(TRIM(A1380)&lt;&gt;"",IFERROR(VLOOKUP(TRIM(B1380),'Full Inventory'!F:F,1,0),0)=0),"X","_")</f>
        <v>_</v>
      </c>
      <c r="E1380" t="str">
        <f t="shared" si="88"/>
        <v>X</v>
      </c>
      <c r="F1380" t="str">
        <f ca="1">IFERROR(IF(AND(C1380&amp;D1380&amp;E1380="___",INDIRECT("Inventory!A"&amp;MATCH(VLOOKUP(B1380,Inventory!E:E,1,0),Inventory!E:E,0))&lt;&gt;INDIRECT("'Full Inventory'!B"&amp;MATCH(VLOOKUP(B1380,'Full Inventory'!F:F,1,0),'Full Inventory'!F:F,0))),"X","_"),"_")</f>
        <v>_</v>
      </c>
      <c r="L1380" t="str">
        <f t="shared" ca="1" si="86"/>
        <v>__X_</v>
      </c>
      <c r="M1380" t="str">
        <f t="shared" ca="1" si="87"/>
        <v/>
      </c>
    </row>
    <row r="1381" spans="1:13" x14ac:dyDescent="0.25">
      <c r="A1381" s="5"/>
      <c r="B1381" s="4" t="str">
        <f t="shared" si="85"/>
        <v/>
      </c>
      <c r="C1381" t="str">
        <f>IF(AND(TRIM(A1381)&lt;&gt;"",IFERROR(VLOOKUP(TRIM(B1381),Inventory!E:E,1,0),0)=0),"X","_")</f>
        <v>_</v>
      </c>
      <c r="D1381" t="str">
        <f>IF(AND(TRIM(A1381)&lt;&gt;"",IFERROR(VLOOKUP(TRIM(B1381),'Full Inventory'!F:F,1,0),0)=0),"X","_")</f>
        <v>_</v>
      </c>
      <c r="E1381" t="str">
        <f t="shared" si="88"/>
        <v>X</v>
      </c>
      <c r="F1381" t="str">
        <f ca="1">IFERROR(IF(AND(C1381&amp;D1381&amp;E1381="___",INDIRECT("Inventory!A"&amp;MATCH(VLOOKUP(B1381,Inventory!E:E,1,0),Inventory!E:E,0))&lt;&gt;INDIRECT("'Full Inventory'!B"&amp;MATCH(VLOOKUP(B1381,'Full Inventory'!F:F,1,0),'Full Inventory'!F:F,0))),"X","_"),"_")</f>
        <v>_</v>
      </c>
      <c r="L1381" t="str">
        <f t="shared" ca="1" si="86"/>
        <v>__X_</v>
      </c>
      <c r="M1381" t="str">
        <f t="shared" ca="1" si="87"/>
        <v/>
      </c>
    </row>
    <row r="1382" spans="1:13" x14ac:dyDescent="0.25">
      <c r="A1382" s="5"/>
      <c r="B1382" s="4" t="str">
        <f t="shared" si="85"/>
        <v/>
      </c>
      <c r="C1382" t="str">
        <f>IF(AND(TRIM(A1382)&lt;&gt;"",IFERROR(VLOOKUP(TRIM(B1382),Inventory!E:E,1,0),0)=0),"X","_")</f>
        <v>_</v>
      </c>
      <c r="D1382" t="str">
        <f>IF(AND(TRIM(A1382)&lt;&gt;"",IFERROR(VLOOKUP(TRIM(B1382),'Full Inventory'!F:F,1,0),0)=0),"X","_")</f>
        <v>_</v>
      </c>
      <c r="E1382" t="str">
        <f t="shared" si="88"/>
        <v>X</v>
      </c>
      <c r="F1382" t="str">
        <f ca="1">IFERROR(IF(AND(C1382&amp;D1382&amp;E1382="___",INDIRECT("Inventory!A"&amp;MATCH(VLOOKUP(B1382,Inventory!E:E,1,0),Inventory!E:E,0))&lt;&gt;INDIRECT("'Full Inventory'!B"&amp;MATCH(VLOOKUP(B1382,'Full Inventory'!F:F,1,0),'Full Inventory'!F:F,0))),"X","_"),"_")</f>
        <v>_</v>
      </c>
      <c r="L1382" t="str">
        <f t="shared" ca="1" si="86"/>
        <v>__X_</v>
      </c>
      <c r="M1382" t="str">
        <f t="shared" ca="1" si="87"/>
        <v/>
      </c>
    </row>
    <row r="1383" spans="1:13" x14ac:dyDescent="0.25">
      <c r="A1383" s="5"/>
      <c r="B1383" s="4" t="str">
        <f t="shared" si="85"/>
        <v/>
      </c>
      <c r="C1383" t="str">
        <f>IF(AND(TRIM(A1383)&lt;&gt;"",IFERROR(VLOOKUP(TRIM(B1383),Inventory!E:E,1,0),0)=0),"X","_")</f>
        <v>_</v>
      </c>
      <c r="D1383" t="str">
        <f>IF(AND(TRIM(A1383)&lt;&gt;"",IFERROR(VLOOKUP(TRIM(B1383),'Full Inventory'!F:F,1,0),0)=0),"X","_")</f>
        <v>_</v>
      </c>
      <c r="E1383" t="str">
        <f t="shared" si="88"/>
        <v>X</v>
      </c>
      <c r="F1383" t="str">
        <f ca="1">IFERROR(IF(AND(C1383&amp;D1383&amp;E1383="___",INDIRECT("Inventory!A"&amp;MATCH(VLOOKUP(B1383,Inventory!E:E,1,0),Inventory!E:E,0))&lt;&gt;INDIRECT("'Full Inventory'!B"&amp;MATCH(VLOOKUP(B1383,'Full Inventory'!F:F,1,0),'Full Inventory'!F:F,0))),"X","_"),"_")</f>
        <v>_</v>
      </c>
      <c r="L1383" t="str">
        <f t="shared" ca="1" si="86"/>
        <v>__X_</v>
      </c>
      <c r="M1383" t="str">
        <f t="shared" ca="1" si="87"/>
        <v/>
      </c>
    </row>
    <row r="1384" spans="1:13" x14ac:dyDescent="0.25">
      <c r="A1384" s="5"/>
      <c r="B1384" s="4" t="str">
        <f t="shared" si="85"/>
        <v/>
      </c>
      <c r="C1384" t="str">
        <f>IF(AND(TRIM(A1384)&lt;&gt;"",IFERROR(VLOOKUP(TRIM(B1384),Inventory!E:E,1,0),0)=0),"X","_")</f>
        <v>_</v>
      </c>
      <c r="D1384" t="str">
        <f>IF(AND(TRIM(A1384)&lt;&gt;"",IFERROR(VLOOKUP(TRIM(B1384),'Full Inventory'!F:F,1,0),0)=0),"X","_")</f>
        <v>_</v>
      </c>
      <c r="E1384" t="str">
        <f t="shared" si="88"/>
        <v>X</v>
      </c>
      <c r="F1384" t="str">
        <f ca="1">IFERROR(IF(AND(C1384&amp;D1384&amp;E1384="___",INDIRECT("Inventory!A"&amp;MATCH(VLOOKUP(B1384,Inventory!E:E,1,0),Inventory!E:E,0))&lt;&gt;INDIRECT("'Full Inventory'!B"&amp;MATCH(VLOOKUP(B1384,'Full Inventory'!F:F,1,0),'Full Inventory'!F:F,0))),"X","_"),"_")</f>
        <v>_</v>
      </c>
      <c r="L1384" t="str">
        <f t="shared" ca="1" si="86"/>
        <v>__X_</v>
      </c>
      <c r="M1384" t="str">
        <f t="shared" ca="1" si="87"/>
        <v/>
      </c>
    </row>
    <row r="1385" spans="1:13" x14ac:dyDescent="0.25">
      <c r="A1385" s="5"/>
      <c r="B1385" s="4" t="str">
        <f t="shared" si="85"/>
        <v/>
      </c>
      <c r="C1385" t="str">
        <f>IF(AND(TRIM(A1385)&lt;&gt;"",IFERROR(VLOOKUP(TRIM(B1385),Inventory!E:E,1,0),0)=0),"X","_")</f>
        <v>_</v>
      </c>
      <c r="D1385" t="str">
        <f>IF(AND(TRIM(A1385)&lt;&gt;"",IFERROR(VLOOKUP(TRIM(B1385),'Full Inventory'!F:F,1,0),0)=0),"X","_")</f>
        <v>_</v>
      </c>
      <c r="E1385" t="str">
        <f t="shared" si="88"/>
        <v>X</v>
      </c>
      <c r="F1385" t="str">
        <f ca="1">IFERROR(IF(AND(C1385&amp;D1385&amp;E1385="___",INDIRECT("Inventory!A"&amp;MATCH(VLOOKUP(B1385,Inventory!E:E,1,0),Inventory!E:E,0))&lt;&gt;INDIRECT("'Full Inventory'!B"&amp;MATCH(VLOOKUP(B1385,'Full Inventory'!F:F,1,0),'Full Inventory'!F:F,0))),"X","_"),"_")</f>
        <v>_</v>
      </c>
      <c r="L1385" t="str">
        <f t="shared" ca="1" si="86"/>
        <v>__X_</v>
      </c>
      <c r="M1385" t="str">
        <f t="shared" ca="1" si="87"/>
        <v/>
      </c>
    </row>
    <row r="1386" spans="1:13" x14ac:dyDescent="0.25">
      <c r="A1386" s="5"/>
      <c r="B1386" s="4" t="str">
        <f t="shared" si="85"/>
        <v/>
      </c>
      <c r="C1386" t="str">
        <f>IF(AND(TRIM(A1386)&lt;&gt;"",IFERROR(VLOOKUP(TRIM(B1386),Inventory!E:E,1,0),0)=0),"X","_")</f>
        <v>_</v>
      </c>
      <c r="D1386" t="str">
        <f>IF(AND(TRIM(A1386)&lt;&gt;"",IFERROR(VLOOKUP(TRIM(B1386),'Full Inventory'!F:F,1,0),0)=0),"X","_")</f>
        <v>_</v>
      </c>
      <c r="E1386" t="str">
        <f t="shared" si="88"/>
        <v>X</v>
      </c>
      <c r="F1386" t="str">
        <f ca="1">IFERROR(IF(AND(C1386&amp;D1386&amp;E1386="___",INDIRECT("Inventory!A"&amp;MATCH(VLOOKUP(B1386,Inventory!E:E,1,0),Inventory!E:E,0))&lt;&gt;INDIRECT("'Full Inventory'!B"&amp;MATCH(VLOOKUP(B1386,'Full Inventory'!F:F,1,0),'Full Inventory'!F:F,0))),"X","_"),"_")</f>
        <v>_</v>
      </c>
      <c r="L1386" t="str">
        <f t="shared" ca="1" si="86"/>
        <v>__X_</v>
      </c>
      <c r="M1386" t="str">
        <f t="shared" ca="1" si="87"/>
        <v/>
      </c>
    </row>
    <row r="1387" spans="1:13" x14ac:dyDescent="0.25">
      <c r="A1387" s="5"/>
      <c r="B1387" s="4" t="str">
        <f t="shared" si="85"/>
        <v/>
      </c>
      <c r="C1387" t="str">
        <f>IF(AND(TRIM(A1387)&lt;&gt;"",IFERROR(VLOOKUP(TRIM(B1387),Inventory!E:E,1,0),0)=0),"X","_")</f>
        <v>_</v>
      </c>
      <c r="D1387" t="str">
        <f>IF(AND(TRIM(A1387)&lt;&gt;"",IFERROR(VLOOKUP(TRIM(B1387),'Full Inventory'!F:F,1,0),0)=0),"X","_")</f>
        <v>_</v>
      </c>
      <c r="E1387" t="str">
        <f t="shared" si="88"/>
        <v>X</v>
      </c>
      <c r="F1387" t="str">
        <f ca="1">IFERROR(IF(AND(C1387&amp;D1387&amp;E1387="___",INDIRECT("Inventory!A"&amp;MATCH(VLOOKUP(B1387,Inventory!E:E,1,0),Inventory!E:E,0))&lt;&gt;INDIRECT("'Full Inventory'!B"&amp;MATCH(VLOOKUP(B1387,'Full Inventory'!F:F,1,0),'Full Inventory'!F:F,0))),"X","_"),"_")</f>
        <v>_</v>
      </c>
      <c r="L1387" t="str">
        <f t="shared" ca="1" si="86"/>
        <v>__X_</v>
      </c>
      <c r="M1387" t="str">
        <f t="shared" ca="1" si="87"/>
        <v/>
      </c>
    </row>
    <row r="1388" spans="1:13" x14ac:dyDescent="0.25">
      <c r="A1388" s="5"/>
      <c r="B1388" s="4" t="str">
        <f t="shared" si="85"/>
        <v/>
      </c>
      <c r="C1388" t="str">
        <f>IF(AND(TRIM(A1388)&lt;&gt;"",IFERROR(VLOOKUP(TRIM(B1388),Inventory!E:E,1,0),0)=0),"X","_")</f>
        <v>_</v>
      </c>
      <c r="D1388" t="str">
        <f>IF(AND(TRIM(A1388)&lt;&gt;"",IFERROR(VLOOKUP(TRIM(B1388),'Full Inventory'!F:F,1,0),0)=0),"X","_")</f>
        <v>_</v>
      </c>
      <c r="E1388" t="str">
        <f t="shared" si="88"/>
        <v>X</v>
      </c>
      <c r="F1388" t="str">
        <f ca="1">IFERROR(IF(AND(C1388&amp;D1388&amp;E1388="___",INDIRECT("Inventory!A"&amp;MATCH(VLOOKUP(B1388,Inventory!E:E,1,0),Inventory!E:E,0))&lt;&gt;INDIRECT("'Full Inventory'!B"&amp;MATCH(VLOOKUP(B1388,'Full Inventory'!F:F,1,0),'Full Inventory'!F:F,0))),"X","_"),"_")</f>
        <v>_</v>
      </c>
      <c r="L1388" t="str">
        <f t="shared" ca="1" si="86"/>
        <v>__X_</v>
      </c>
      <c r="M1388" t="str">
        <f t="shared" ca="1" si="87"/>
        <v/>
      </c>
    </row>
    <row r="1389" spans="1:13" x14ac:dyDescent="0.25">
      <c r="A1389" s="5"/>
      <c r="B1389" s="4" t="str">
        <f t="shared" si="85"/>
        <v/>
      </c>
      <c r="C1389" t="str">
        <f>IF(AND(TRIM(A1389)&lt;&gt;"",IFERROR(VLOOKUP(TRIM(B1389),Inventory!E:E,1,0),0)=0),"X","_")</f>
        <v>_</v>
      </c>
      <c r="D1389" t="str">
        <f>IF(AND(TRIM(A1389)&lt;&gt;"",IFERROR(VLOOKUP(TRIM(B1389),'Full Inventory'!F:F,1,0),0)=0),"X","_")</f>
        <v>_</v>
      </c>
      <c r="E1389" t="str">
        <f t="shared" si="88"/>
        <v>X</v>
      </c>
      <c r="F1389" t="str">
        <f ca="1">IFERROR(IF(AND(C1389&amp;D1389&amp;E1389="___",INDIRECT("Inventory!A"&amp;MATCH(VLOOKUP(B1389,Inventory!E:E,1,0),Inventory!E:E,0))&lt;&gt;INDIRECT("'Full Inventory'!B"&amp;MATCH(VLOOKUP(B1389,'Full Inventory'!F:F,1,0),'Full Inventory'!F:F,0))),"X","_"),"_")</f>
        <v>_</v>
      </c>
      <c r="L1389" t="str">
        <f t="shared" ca="1" si="86"/>
        <v>__X_</v>
      </c>
      <c r="M1389" t="str">
        <f t="shared" ca="1" si="87"/>
        <v/>
      </c>
    </row>
    <row r="1390" spans="1:13" x14ac:dyDescent="0.25">
      <c r="A1390" s="5"/>
      <c r="B1390" s="4" t="str">
        <f t="shared" si="85"/>
        <v/>
      </c>
      <c r="C1390" t="str">
        <f>IF(AND(TRIM(A1390)&lt;&gt;"",IFERROR(VLOOKUP(TRIM(B1390),Inventory!E:E,1,0),0)=0),"X","_")</f>
        <v>_</v>
      </c>
      <c r="D1390" t="str">
        <f>IF(AND(TRIM(A1390)&lt;&gt;"",IFERROR(VLOOKUP(TRIM(B1390),'Full Inventory'!F:F,1,0),0)=0),"X","_")</f>
        <v>_</v>
      </c>
      <c r="E1390" t="str">
        <f t="shared" si="88"/>
        <v>X</v>
      </c>
      <c r="F1390" t="str">
        <f ca="1">IFERROR(IF(AND(C1390&amp;D1390&amp;E1390="___",INDIRECT("Inventory!A"&amp;MATCH(VLOOKUP(B1390,Inventory!E:E,1,0),Inventory!E:E,0))&lt;&gt;INDIRECT("'Full Inventory'!B"&amp;MATCH(VLOOKUP(B1390,'Full Inventory'!F:F,1,0),'Full Inventory'!F:F,0))),"X","_"),"_")</f>
        <v>_</v>
      </c>
      <c r="L1390" t="str">
        <f t="shared" ca="1" si="86"/>
        <v>__X_</v>
      </c>
      <c r="M1390" t="str">
        <f t="shared" ca="1" si="87"/>
        <v/>
      </c>
    </row>
    <row r="1391" spans="1:13" x14ac:dyDescent="0.25">
      <c r="A1391" s="5"/>
      <c r="B1391" s="4" t="str">
        <f t="shared" si="85"/>
        <v/>
      </c>
      <c r="C1391" t="str">
        <f>IF(AND(TRIM(A1391)&lt;&gt;"",IFERROR(VLOOKUP(TRIM(B1391),Inventory!E:E,1,0),0)=0),"X","_")</f>
        <v>_</v>
      </c>
      <c r="D1391" t="str">
        <f>IF(AND(TRIM(A1391)&lt;&gt;"",IFERROR(VLOOKUP(TRIM(B1391),'Full Inventory'!F:F,1,0),0)=0),"X","_")</f>
        <v>_</v>
      </c>
      <c r="E1391" t="str">
        <f t="shared" si="88"/>
        <v>X</v>
      </c>
      <c r="F1391" t="str">
        <f ca="1">IFERROR(IF(AND(C1391&amp;D1391&amp;E1391="___",INDIRECT("Inventory!A"&amp;MATCH(VLOOKUP(B1391,Inventory!E:E,1,0),Inventory!E:E,0))&lt;&gt;INDIRECT("'Full Inventory'!B"&amp;MATCH(VLOOKUP(B1391,'Full Inventory'!F:F,1,0),'Full Inventory'!F:F,0))),"X","_"),"_")</f>
        <v>_</v>
      </c>
      <c r="L1391" t="str">
        <f t="shared" ca="1" si="86"/>
        <v>__X_</v>
      </c>
      <c r="M1391" t="str">
        <f t="shared" ca="1" si="87"/>
        <v/>
      </c>
    </row>
    <row r="1392" spans="1:13" x14ac:dyDescent="0.25">
      <c r="A1392" s="5"/>
      <c r="B1392" s="4" t="str">
        <f t="shared" si="85"/>
        <v/>
      </c>
      <c r="C1392" t="str">
        <f>IF(AND(TRIM(A1392)&lt;&gt;"",IFERROR(VLOOKUP(TRIM(B1392),Inventory!E:E,1,0),0)=0),"X","_")</f>
        <v>_</v>
      </c>
      <c r="D1392" t="str">
        <f>IF(AND(TRIM(A1392)&lt;&gt;"",IFERROR(VLOOKUP(TRIM(B1392),'Full Inventory'!F:F,1,0),0)=0),"X","_")</f>
        <v>_</v>
      </c>
      <c r="E1392" t="str">
        <f t="shared" si="88"/>
        <v>X</v>
      </c>
      <c r="F1392" t="str">
        <f ca="1">IFERROR(IF(AND(C1392&amp;D1392&amp;E1392="___",INDIRECT("Inventory!A"&amp;MATCH(VLOOKUP(B1392,Inventory!E:E,1,0),Inventory!E:E,0))&lt;&gt;INDIRECT("'Full Inventory'!B"&amp;MATCH(VLOOKUP(B1392,'Full Inventory'!F:F,1,0),'Full Inventory'!F:F,0))),"X","_"),"_")</f>
        <v>_</v>
      </c>
      <c r="L1392" t="str">
        <f t="shared" ca="1" si="86"/>
        <v>__X_</v>
      </c>
      <c r="M1392" t="str">
        <f t="shared" ca="1" si="87"/>
        <v/>
      </c>
    </row>
    <row r="1393" spans="1:13" x14ac:dyDescent="0.25">
      <c r="A1393" s="5"/>
      <c r="B1393" s="4" t="str">
        <f t="shared" si="85"/>
        <v/>
      </c>
      <c r="C1393" t="str">
        <f>IF(AND(TRIM(A1393)&lt;&gt;"",IFERROR(VLOOKUP(TRIM(B1393),Inventory!E:E,1,0),0)=0),"X","_")</f>
        <v>_</v>
      </c>
      <c r="D1393" t="str">
        <f>IF(AND(TRIM(A1393)&lt;&gt;"",IFERROR(VLOOKUP(TRIM(B1393),'Full Inventory'!F:F,1,0),0)=0),"X","_")</f>
        <v>_</v>
      </c>
      <c r="E1393" t="str">
        <f t="shared" si="88"/>
        <v>X</v>
      </c>
      <c r="F1393" t="str">
        <f ca="1">IFERROR(IF(AND(C1393&amp;D1393&amp;E1393="___",INDIRECT("Inventory!A"&amp;MATCH(VLOOKUP(B1393,Inventory!E:E,1,0),Inventory!E:E,0))&lt;&gt;INDIRECT("'Full Inventory'!B"&amp;MATCH(VLOOKUP(B1393,'Full Inventory'!F:F,1,0),'Full Inventory'!F:F,0))),"X","_"),"_")</f>
        <v>_</v>
      </c>
      <c r="L1393" t="str">
        <f t="shared" ca="1" si="86"/>
        <v>__X_</v>
      </c>
      <c r="M1393" t="str">
        <f t="shared" ca="1" si="87"/>
        <v/>
      </c>
    </row>
    <row r="1394" spans="1:13" x14ac:dyDescent="0.25">
      <c r="A1394" s="5"/>
      <c r="B1394" s="4" t="str">
        <f t="shared" si="85"/>
        <v/>
      </c>
      <c r="C1394" t="str">
        <f>IF(AND(TRIM(A1394)&lt;&gt;"",IFERROR(VLOOKUP(TRIM(B1394),Inventory!E:E,1,0),0)=0),"X","_")</f>
        <v>_</v>
      </c>
      <c r="D1394" t="str">
        <f>IF(AND(TRIM(A1394)&lt;&gt;"",IFERROR(VLOOKUP(TRIM(B1394),'Full Inventory'!F:F,1,0),0)=0),"X","_")</f>
        <v>_</v>
      </c>
      <c r="E1394" t="str">
        <f t="shared" si="88"/>
        <v>X</v>
      </c>
      <c r="F1394" t="str">
        <f ca="1">IFERROR(IF(AND(C1394&amp;D1394&amp;E1394="___",INDIRECT("Inventory!A"&amp;MATCH(VLOOKUP(B1394,Inventory!E:E,1,0),Inventory!E:E,0))&lt;&gt;INDIRECT("'Full Inventory'!B"&amp;MATCH(VLOOKUP(B1394,'Full Inventory'!F:F,1,0),'Full Inventory'!F:F,0))),"X","_"),"_")</f>
        <v>_</v>
      </c>
      <c r="L1394" t="str">
        <f t="shared" ca="1" si="86"/>
        <v>__X_</v>
      </c>
      <c r="M1394" t="str">
        <f t="shared" ca="1" si="87"/>
        <v/>
      </c>
    </row>
    <row r="1395" spans="1:13" x14ac:dyDescent="0.25">
      <c r="A1395" s="5"/>
      <c r="B1395" s="4" t="str">
        <f t="shared" si="85"/>
        <v/>
      </c>
      <c r="C1395" t="str">
        <f>IF(AND(TRIM(A1395)&lt;&gt;"",IFERROR(VLOOKUP(TRIM(B1395),Inventory!E:E,1,0),0)=0),"X","_")</f>
        <v>_</v>
      </c>
      <c r="D1395" t="str">
        <f>IF(AND(TRIM(A1395)&lt;&gt;"",IFERROR(VLOOKUP(TRIM(B1395),'Full Inventory'!F:F,1,0),0)=0),"X","_")</f>
        <v>_</v>
      </c>
      <c r="E1395" t="str">
        <f t="shared" si="88"/>
        <v>X</v>
      </c>
      <c r="F1395" t="str">
        <f ca="1">IFERROR(IF(AND(C1395&amp;D1395&amp;E1395="___",INDIRECT("Inventory!A"&amp;MATCH(VLOOKUP(B1395,Inventory!E:E,1,0),Inventory!E:E,0))&lt;&gt;INDIRECT("'Full Inventory'!B"&amp;MATCH(VLOOKUP(B1395,'Full Inventory'!F:F,1,0),'Full Inventory'!F:F,0))),"X","_"),"_")</f>
        <v>_</v>
      </c>
      <c r="L1395" t="str">
        <f t="shared" ca="1" si="86"/>
        <v>__X_</v>
      </c>
      <c r="M1395" t="str">
        <f t="shared" ca="1" si="87"/>
        <v/>
      </c>
    </row>
    <row r="1396" spans="1:13" x14ac:dyDescent="0.25">
      <c r="A1396" s="5"/>
      <c r="B1396" s="4" t="str">
        <f t="shared" si="85"/>
        <v/>
      </c>
      <c r="C1396" t="str">
        <f>IF(AND(TRIM(A1396)&lt;&gt;"",IFERROR(VLOOKUP(TRIM(B1396),Inventory!E:E,1,0),0)=0),"X","_")</f>
        <v>_</v>
      </c>
      <c r="D1396" t="str">
        <f>IF(AND(TRIM(A1396)&lt;&gt;"",IFERROR(VLOOKUP(TRIM(B1396),'Full Inventory'!F:F,1,0),0)=0),"X","_")</f>
        <v>_</v>
      </c>
      <c r="E1396" t="str">
        <f t="shared" si="88"/>
        <v>X</v>
      </c>
      <c r="F1396" t="str">
        <f ca="1">IFERROR(IF(AND(C1396&amp;D1396&amp;E1396="___",INDIRECT("Inventory!A"&amp;MATCH(VLOOKUP(B1396,Inventory!E:E,1,0),Inventory!E:E,0))&lt;&gt;INDIRECT("'Full Inventory'!B"&amp;MATCH(VLOOKUP(B1396,'Full Inventory'!F:F,1,0),'Full Inventory'!F:F,0))),"X","_"),"_")</f>
        <v>_</v>
      </c>
      <c r="L1396" t="str">
        <f t="shared" ca="1" si="86"/>
        <v>__X_</v>
      </c>
      <c r="M1396" t="str">
        <f t="shared" ca="1" si="87"/>
        <v/>
      </c>
    </row>
    <row r="1397" spans="1:13" x14ac:dyDescent="0.25">
      <c r="A1397" s="5"/>
      <c r="B1397" s="4" t="str">
        <f t="shared" si="85"/>
        <v/>
      </c>
      <c r="C1397" t="str">
        <f>IF(AND(TRIM(A1397)&lt;&gt;"",IFERROR(VLOOKUP(TRIM(B1397),Inventory!E:E,1,0),0)=0),"X","_")</f>
        <v>_</v>
      </c>
      <c r="D1397" t="str">
        <f>IF(AND(TRIM(A1397)&lt;&gt;"",IFERROR(VLOOKUP(TRIM(B1397),'Full Inventory'!F:F,1,0),0)=0),"X","_")</f>
        <v>_</v>
      </c>
      <c r="E1397" t="str">
        <f t="shared" si="88"/>
        <v>X</v>
      </c>
      <c r="F1397" t="str">
        <f ca="1">IFERROR(IF(AND(C1397&amp;D1397&amp;E1397="___",INDIRECT("Inventory!A"&amp;MATCH(VLOOKUP(B1397,Inventory!E:E,1,0),Inventory!E:E,0))&lt;&gt;INDIRECT("'Full Inventory'!B"&amp;MATCH(VLOOKUP(B1397,'Full Inventory'!F:F,1,0),'Full Inventory'!F:F,0))),"X","_"),"_")</f>
        <v>_</v>
      </c>
      <c r="L1397" t="str">
        <f t="shared" ca="1" si="86"/>
        <v>__X_</v>
      </c>
      <c r="M1397" t="str">
        <f t="shared" ca="1" si="87"/>
        <v/>
      </c>
    </row>
    <row r="1398" spans="1:13" x14ac:dyDescent="0.25">
      <c r="A1398" s="5"/>
      <c r="B1398" s="4" t="str">
        <f t="shared" si="85"/>
        <v/>
      </c>
      <c r="C1398" t="str">
        <f>IF(AND(TRIM(A1398)&lt;&gt;"",IFERROR(VLOOKUP(TRIM(B1398),Inventory!E:E,1,0),0)=0),"X","_")</f>
        <v>_</v>
      </c>
      <c r="D1398" t="str">
        <f>IF(AND(TRIM(A1398)&lt;&gt;"",IFERROR(VLOOKUP(TRIM(B1398),'Full Inventory'!F:F,1,0),0)=0),"X","_")</f>
        <v>_</v>
      </c>
      <c r="E1398" t="str">
        <f t="shared" si="88"/>
        <v>X</v>
      </c>
      <c r="F1398" t="str">
        <f ca="1">IFERROR(IF(AND(C1398&amp;D1398&amp;E1398="___",INDIRECT("Inventory!A"&amp;MATCH(VLOOKUP(B1398,Inventory!E:E,1,0),Inventory!E:E,0))&lt;&gt;INDIRECT("'Full Inventory'!B"&amp;MATCH(VLOOKUP(B1398,'Full Inventory'!F:F,1,0),'Full Inventory'!F:F,0))),"X","_"),"_")</f>
        <v>_</v>
      </c>
      <c r="L1398" t="str">
        <f t="shared" ca="1" si="86"/>
        <v>__X_</v>
      </c>
      <c r="M1398" t="str">
        <f t="shared" ca="1" si="87"/>
        <v/>
      </c>
    </row>
    <row r="1399" spans="1:13" x14ac:dyDescent="0.25">
      <c r="A1399" s="5"/>
      <c r="B1399" s="4" t="str">
        <f t="shared" si="85"/>
        <v/>
      </c>
      <c r="C1399" t="str">
        <f>IF(AND(TRIM(A1399)&lt;&gt;"",IFERROR(VLOOKUP(TRIM(B1399),Inventory!E:E,1,0),0)=0),"X","_")</f>
        <v>_</v>
      </c>
      <c r="D1399" t="str">
        <f>IF(AND(TRIM(A1399)&lt;&gt;"",IFERROR(VLOOKUP(TRIM(B1399),'Full Inventory'!F:F,1,0),0)=0),"X","_")</f>
        <v>_</v>
      </c>
      <c r="E1399" t="str">
        <f t="shared" si="88"/>
        <v>X</v>
      </c>
      <c r="F1399" t="str">
        <f ca="1">IFERROR(IF(AND(C1399&amp;D1399&amp;E1399="___",INDIRECT("Inventory!A"&amp;MATCH(VLOOKUP(B1399,Inventory!E:E,1,0),Inventory!E:E,0))&lt;&gt;INDIRECT("'Full Inventory'!B"&amp;MATCH(VLOOKUP(B1399,'Full Inventory'!F:F,1,0),'Full Inventory'!F:F,0))),"X","_"),"_")</f>
        <v>_</v>
      </c>
      <c r="L1399" t="str">
        <f t="shared" ca="1" si="86"/>
        <v>__X_</v>
      </c>
      <c r="M1399" t="str">
        <f t="shared" ca="1" si="87"/>
        <v/>
      </c>
    </row>
    <row r="1400" spans="1:13" x14ac:dyDescent="0.25">
      <c r="A1400" s="5"/>
      <c r="B1400" s="4" t="str">
        <f t="shared" si="85"/>
        <v/>
      </c>
      <c r="C1400" t="str">
        <f>IF(AND(TRIM(A1400)&lt;&gt;"",IFERROR(VLOOKUP(TRIM(B1400),Inventory!E:E,1,0),0)=0),"X","_")</f>
        <v>_</v>
      </c>
      <c r="D1400" t="str">
        <f>IF(AND(TRIM(A1400)&lt;&gt;"",IFERROR(VLOOKUP(TRIM(B1400),'Full Inventory'!F:F,1,0),0)=0),"X","_")</f>
        <v>_</v>
      </c>
      <c r="E1400" t="str">
        <f t="shared" si="88"/>
        <v>X</v>
      </c>
      <c r="F1400" t="str">
        <f ca="1">IFERROR(IF(AND(C1400&amp;D1400&amp;E1400="___",INDIRECT("Inventory!A"&amp;MATCH(VLOOKUP(B1400,Inventory!E:E,1,0),Inventory!E:E,0))&lt;&gt;INDIRECT("'Full Inventory'!B"&amp;MATCH(VLOOKUP(B1400,'Full Inventory'!F:F,1,0),'Full Inventory'!F:F,0))),"X","_"),"_")</f>
        <v>_</v>
      </c>
      <c r="L1400" t="str">
        <f t="shared" ca="1" si="86"/>
        <v>__X_</v>
      </c>
      <c r="M1400" t="str">
        <f t="shared" ca="1" si="87"/>
        <v/>
      </c>
    </row>
    <row r="1401" spans="1:13" x14ac:dyDescent="0.25">
      <c r="A1401" s="5"/>
      <c r="B1401" s="4" t="str">
        <f t="shared" si="85"/>
        <v/>
      </c>
      <c r="C1401" t="str">
        <f>IF(AND(TRIM(A1401)&lt;&gt;"",IFERROR(VLOOKUP(TRIM(B1401),Inventory!E:E,1,0),0)=0),"X","_")</f>
        <v>_</v>
      </c>
      <c r="D1401" t="str">
        <f>IF(AND(TRIM(A1401)&lt;&gt;"",IFERROR(VLOOKUP(TRIM(B1401),'Full Inventory'!F:F,1,0),0)=0),"X","_")</f>
        <v>_</v>
      </c>
      <c r="E1401" t="str">
        <f t="shared" si="88"/>
        <v>X</v>
      </c>
      <c r="F1401" t="str">
        <f ca="1">IFERROR(IF(AND(C1401&amp;D1401&amp;E1401="___",INDIRECT("Inventory!A"&amp;MATCH(VLOOKUP(B1401,Inventory!E:E,1,0),Inventory!E:E,0))&lt;&gt;INDIRECT("'Full Inventory'!B"&amp;MATCH(VLOOKUP(B1401,'Full Inventory'!F:F,1,0),'Full Inventory'!F:F,0))),"X","_"),"_")</f>
        <v>_</v>
      </c>
      <c r="L1401" t="str">
        <f t="shared" ca="1" si="86"/>
        <v>__X_</v>
      </c>
      <c r="M1401" t="str">
        <f t="shared" ca="1" si="87"/>
        <v/>
      </c>
    </row>
    <row r="1402" spans="1:13" x14ac:dyDescent="0.25">
      <c r="A1402" s="5"/>
      <c r="B1402" s="4" t="str">
        <f t="shared" si="85"/>
        <v/>
      </c>
      <c r="C1402" t="str">
        <f>IF(AND(TRIM(A1402)&lt;&gt;"",IFERROR(VLOOKUP(TRIM(B1402),Inventory!E:E,1,0),0)=0),"X","_")</f>
        <v>_</v>
      </c>
      <c r="D1402" t="str">
        <f>IF(AND(TRIM(A1402)&lt;&gt;"",IFERROR(VLOOKUP(TRIM(B1402),'Full Inventory'!F:F,1,0),0)=0),"X","_")</f>
        <v>_</v>
      </c>
      <c r="E1402" t="str">
        <f t="shared" si="88"/>
        <v>X</v>
      </c>
      <c r="F1402" t="str">
        <f ca="1">IFERROR(IF(AND(C1402&amp;D1402&amp;E1402="___",INDIRECT("Inventory!A"&amp;MATCH(VLOOKUP(B1402,Inventory!E:E,1,0),Inventory!E:E,0))&lt;&gt;INDIRECT("'Full Inventory'!B"&amp;MATCH(VLOOKUP(B1402,'Full Inventory'!F:F,1,0),'Full Inventory'!F:F,0))),"X","_"),"_")</f>
        <v>_</v>
      </c>
      <c r="L1402" t="str">
        <f t="shared" ca="1" si="86"/>
        <v>__X_</v>
      </c>
      <c r="M1402" t="str">
        <f t="shared" ca="1" si="87"/>
        <v/>
      </c>
    </row>
    <row r="1403" spans="1:13" x14ac:dyDescent="0.25">
      <c r="A1403" s="5"/>
      <c r="B1403" s="4" t="str">
        <f t="shared" si="85"/>
        <v/>
      </c>
      <c r="C1403" t="str">
        <f>IF(AND(TRIM(A1403)&lt;&gt;"",IFERROR(VLOOKUP(TRIM(B1403),Inventory!E:E,1,0),0)=0),"X","_")</f>
        <v>_</v>
      </c>
      <c r="D1403" t="str">
        <f>IF(AND(TRIM(A1403)&lt;&gt;"",IFERROR(VLOOKUP(TRIM(B1403),'Full Inventory'!F:F,1,0),0)=0),"X","_")</f>
        <v>_</v>
      </c>
      <c r="E1403" t="str">
        <f t="shared" si="88"/>
        <v>X</v>
      </c>
      <c r="F1403" t="str">
        <f ca="1">IFERROR(IF(AND(C1403&amp;D1403&amp;E1403="___",INDIRECT("Inventory!A"&amp;MATCH(VLOOKUP(B1403,Inventory!E:E,1,0),Inventory!E:E,0))&lt;&gt;INDIRECT("'Full Inventory'!B"&amp;MATCH(VLOOKUP(B1403,'Full Inventory'!F:F,1,0),'Full Inventory'!F:F,0))),"X","_"),"_")</f>
        <v>_</v>
      </c>
      <c r="L1403" t="str">
        <f t="shared" ca="1" si="86"/>
        <v>__X_</v>
      </c>
      <c r="M1403" t="str">
        <f t="shared" ca="1" si="87"/>
        <v/>
      </c>
    </row>
    <row r="1404" spans="1:13" x14ac:dyDescent="0.25">
      <c r="A1404" s="5"/>
      <c r="B1404" s="4" t="str">
        <f t="shared" si="85"/>
        <v/>
      </c>
      <c r="C1404" t="str">
        <f>IF(AND(TRIM(A1404)&lt;&gt;"",IFERROR(VLOOKUP(TRIM(B1404),Inventory!E:E,1,0),0)=0),"X","_")</f>
        <v>_</v>
      </c>
      <c r="D1404" t="str">
        <f>IF(AND(TRIM(A1404)&lt;&gt;"",IFERROR(VLOOKUP(TRIM(B1404),'Full Inventory'!F:F,1,0),0)=0),"X","_")</f>
        <v>_</v>
      </c>
      <c r="E1404" t="str">
        <f t="shared" si="88"/>
        <v>X</v>
      </c>
      <c r="F1404" t="str">
        <f ca="1">IFERROR(IF(AND(C1404&amp;D1404&amp;E1404="___",INDIRECT("Inventory!A"&amp;MATCH(VLOOKUP(B1404,Inventory!E:E,1,0),Inventory!E:E,0))&lt;&gt;INDIRECT("'Full Inventory'!B"&amp;MATCH(VLOOKUP(B1404,'Full Inventory'!F:F,1,0),'Full Inventory'!F:F,0))),"X","_"),"_")</f>
        <v>_</v>
      </c>
      <c r="L1404" t="str">
        <f t="shared" ca="1" si="86"/>
        <v>__X_</v>
      </c>
      <c r="M1404" t="str">
        <f t="shared" ca="1" si="87"/>
        <v/>
      </c>
    </row>
    <row r="1405" spans="1:13" x14ac:dyDescent="0.25">
      <c r="A1405" s="5"/>
      <c r="B1405" s="4" t="str">
        <f t="shared" si="85"/>
        <v/>
      </c>
      <c r="C1405" t="str">
        <f>IF(AND(TRIM(A1405)&lt;&gt;"",IFERROR(VLOOKUP(TRIM(B1405),Inventory!E:E,1,0),0)=0),"X","_")</f>
        <v>_</v>
      </c>
      <c r="D1405" t="str">
        <f>IF(AND(TRIM(A1405)&lt;&gt;"",IFERROR(VLOOKUP(TRIM(B1405),'Full Inventory'!F:F,1,0),0)=0),"X","_")</f>
        <v>_</v>
      </c>
      <c r="E1405" t="str">
        <f t="shared" si="88"/>
        <v>X</v>
      </c>
      <c r="F1405" t="str">
        <f ca="1">IFERROR(IF(AND(C1405&amp;D1405&amp;E1405="___",INDIRECT("Inventory!A"&amp;MATCH(VLOOKUP(B1405,Inventory!E:E,1,0),Inventory!E:E,0))&lt;&gt;INDIRECT("'Full Inventory'!B"&amp;MATCH(VLOOKUP(B1405,'Full Inventory'!F:F,1,0),'Full Inventory'!F:F,0))),"X","_"),"_")</f>
        <v>_</v>
      </c>
      <c r="L1405" t="str">
        <f t="shared" ca="1" si="86"/>
        <v>__X_</v>
      </c>
      <c r="M1405" t="str">
        <f t="shared" ca="1" si="87"/>
        <v/>
      </c>
    </row>
    <row r="1406" spans="1:13" x14ac:dyDescent="0.25">
      <c r="A1406" s="5"/>
      <c r="B1406" s="4" t="str">
        <f t="shared" si="85"/>
        <v/>
      </c>
      <c r="C1406" t="str">
        <f>IF(AND(TRIM(A1406)&lt;&gt;"",IFERROR(VLOOKUP(TRIM(B1406),Inventory!E:E,1,0),0)=0),"X","_")</f>
        <v>_</v>
      </c>
      <c r="D1406" t="str">
        <f>IF(AND(TRIM(A1406)&lt;&gt;"",IFERROR(VLOOKUP(TRIM(B1406),'Full Inventory'!F:F,1,0),0)=0),"X","_")</f>
        <v>_</v>
      </c>
      <c r="E1406" t="str">
        <f t="shared" si="88"/>
        <v>X</v>
      </c>
      <c r="F1406" t="str">
        <f ca="1">IFERROR(IF(AND(C1406&amp;D1406&amp;E1406="___",INDIRECT("Inventory!A"&amp;MATCH(VLOOKUP(B1406,Inventory!E:E,1,0),Inventory!E:E,0))&lt;&gt;INDIRECT("'Full Inventory'!B"&amp;MATCH(VLOOKUP(B1406,'Full Inventory'!F:F,1,0),'Full Inventory'!F:F,0))),"X","_"),"_")</f>
        <v>_</v>
      </c>
      <c r="L1406" t="str">
        <f t="shared" ca="1" si="86"/>
        <v>__X_</v>
      </c>
      <c r="M1406" t="str">
        <f t="shared" ca="1" si="87"/>
        <v/>
      </c>
    </row>
    <row r="1407" spans="1:13" x14ac:dyDescent="0.25">
      <c r="A1407" s="5"/>
      <c r="B1407" s="4" t="str">
        <f t="shared" si="85"/>
        <v/>
      </c>
      <c r="C1407" t="str">
        <f>IF(AND(TRIM(A1407)&lt;&gt;"",IFERROR(VLOOKUP(TRIM(B1407),Inventory!E:E,1,0),0)=0),"X","_")</f>
        <v>_</v>
      </c>
      <c r="D1407" t="str">
        <f>IF(AND(TRIM(A1407)&lt;&gt;"",IFERROR(VLOOKUP(TRIM(B1407),'Full Inventory'!F:F,1,0),0)=0),"X","_")</f>
        <v>_</v>
      </c>
      <c r="E1407" t="str">
        <f t="shared" si="88"/>
        <v>X</v>
      </c>
      <c r="F1407" t="str">
        <f ca="1">IFERROR(IF(AND(C1407&amp;D1407&amp;E1407="___",INDIRECT("Inventory!A"&amp;MATCH(VLOOKUP(B1407,Inventory!E:E,1,0),Inventory!E:E,0))&lt;&gt;INDIRECT("'Full Inventory'!B"&amp;MATCH(VLOOKUP(B1407,'Full Inventory'!F:F,1,0),'Full Inventory'!F:F,0))),"X","_"),"_")</f>
        <v>_</v>
      </c>
      <c r="L1407" t="str">
        <f t="shared" ca="1" si="86"/>
        <v>__X_</v>
      </c>
      <c r="M1407" t="str">
        <f t="shared" ca="1" si="87"/>
        <v/>
      </c>
    </row>
    <row r="1408" spans="1:13" x14ac:dyDescent="0.25">
      <c r="A1408" s="5"/>
      <c r="B1408" s="4" t="str">
        <f t="shared" si="85"/>
        <v/>
      </c>
      <c r="C1408" t="str">
        <f>IF(AND(TRIM(A1408)&lt;&gt;"",IFERROR(VLOOKUP(TRIM(B1408),Inventory!E:E,1,0),0)=0),"X","_")</f>
        <v>_</v>
      </c>
      <c r="D1408" t="str">
        <f>IF(AND(TRIM(A1408)&lt;&gt;"",IFERROR(VLOOKUP(TRIM(B1408),'Full Inventory'!F:F,1,0),0)=0),"X","_")</f>
        <v>_</v>
      </c>
      <c r="E1408" t="str">
        <f t="shared" si="88"/>
        <v>X</v>
      </c>
      <c r="F1408" t="str">
        <f ca="1">IFERROR(IF(AND(C1408&amp;D1408&amp;E1408="___",INDIRECT("Inventory!A"&amp;MATCH(VLOOKUP(B1408,Inventory!E:E,1,0),Inventory!E:E,0))&lt;&gt;INDIRECT("'Full Inventory'!B"&amp;MATCH(VLOOKUP(B1408,'Full Inventory'!F:F,1,0),'Full Inventory'!F:F,0))),"X","_"),"_")</f>
        <v>_</v>
      </c>
      <c r="L1408" t="str">
        <f t="shared" ca="1" si="86"/>
        <v>__X_</v>
      </c>
      <c r="M1408" t="str">
        <f t="shared" ca="1" si="87"/>
        <v/>
      </c>
    </row>
    <row r="1409" spans="1:13" x14ac:dyDescent="0.25">
      <c r="A1409" s="5"/>
      <c r="B1409" s="4" t="str">
        <f t="shared" si="85"/>
        <v/>
      </c>
      <c r="C1409" t="str">
        <f>IF(AND(TRIM(A1409)&lt;&gt;"",IFERROR(VLOOKUP(TRIM(B1409),Inventory!E:E,1,0),0)=0),"X","_")</f>
        <v>_</v>
      </c>
      <c r="D1409" t="str">
        <f>IF(AND(TRIM(A1409)&lt;&gt;"",IFERROR(VLOOKUP(TRIM(B1409),'Full Inventory'!F:F,1,0),0)=0),"X","_")</f>
        <v>_</v>
      </c>
      <c r="E1409" t="str">
        <f t="shared" si="88"/>
        <v>X</v>
      </c>
      <c r="F1409" t="str">
        <f ca="1">IFERROR(IF(AND(C1409&amp;D1409&amp;E1409="___",INDIRECT("Inventory!A"&amp;MATCH(VLOOKUP(B1409,Inventory!E:E,1,0),Inventory!E:E,0))&lt;&gt;INDIRECT("'Full Inventory'!B"&amp;MATCH(VLOOKUP(B1409,'Full Inventory'!F:F,1,0),'Full Inventory'!F:F,0))),"X","_"),"_")</f>
        <v>_</v>
      </c>
      <c r="L1409" t="str">
        <f t="shared" ca="1" si="86"/>
        <v>__X_</v>
      </c>
      <c r="M1409" t="str">
        <f t="shared" ca="1" si="87"/>
        <v/>
      </c>
    </row>
    <row r="1410" spans="1:13" x14ac:dyDescent="0.25">
      <c r="A1410" s="5"/>
      <c r="B1410" s="4" t="str">
        <f t="shared" si="85"/>
        <v/>
      </c>
      <c r="C1410" t="str">
        <f>IF(AND(TRIM(A1410)&lt;&gt;"",IFERROR(VLOOKUP(TRIM(B1410),Inventory!E:E,1,0),0)=0),"X","_")</f>
        <v>_</v>
      </c>
      <c r="D1410" t="str">
        <f>IF(AND(TRIM(A1410)&lt;&gt;"",IFERROR(VLOOKUP(TRIM(B1410),'Full Inventory'!F:F,1,0),0)=0),"X","_")</f>
        <v>_</v>
      </c>
      <c r="E1410" t="str">
        <f t="shared" si="88"/>
        <v>X</v>
      </c>
      <c r="F1410" t="str">
        <f ca="1">IFERROR(IF(AND(C1410&amp;D1410&amp;E1410="___",INDIRECT("Inventory!A"&amp;MATCH(VLOOKUP(B1410,Inventory!E:E,1,0),Inventory!E:E,0))&lt;&gt;INDIRECT("'Full Inventory'!B"&amp;MATCH(VLOOKUP(B1410,'Full Inventory'!F:F,1,0),'Full Inventory'!F:F,0))),"X","_"),"_")</f>
        <v>_</v>
      </c>
      <c r="L1410" t="str">
        <f t="shared" ca="1" si="86"/>
        <v>__X_</v>
      </c>
      <c r="M1410" t="str">
        <f t="shared" ca="1" si="87"/>
        <v/>
      </c>
    </row>
    <row r="1411" spans="1:13" x14ac:dyDescent="0.25">
      <c r="A1411" s="5"/>
      <c r="B1411" s="4" t="str">
        <f t="shared" ref="B1411:B1474" si="89">SUBSTITUTE(SUBSTITUTE(A1411,"ö","0"),"Ö","0")</f>
        <v/>
      </c>
      <c r="C1411" t="str">
        <f>IF(AND(TRIM(A1411)&lt;&gt;"",IFERROR(VLOOKUP(TRIM(B1411),Inventory!E:E,1,0),0)=0),"X","_")</f>
        <v>_</v>
      </c>
      <c r="D1411" t="str">
        <f>IF(AND(TRIM(A1411)&lt;&gt;"",IFERROR(VLOOKUP(TRIM(B1411),'Full Inventory'!F:F,1,0),0)=0),"X","_")</f>
        <v>_</v>
      </c>
      <c r="E1411" t="str">
        <f t="shared" si="88"/>
        <v>X</v>
      </c>
      <c r="F1411" t="str">
        <f ca="1">IFERROR(IF(AND(C1411&amp;D1411&amp;E1411="___",INDIRECT("Inventory!A"&amp;MATCH(VLOOKUP(B1411,Inventory!E:E,1,0),Inventory!E:E,0))&lt;&gt;INDIRECT("'Full Inventory'!B"&amp;MATCH(VLOOKUP(B1411,'Full Inventory'!F:F,1,0),'Full Inventory'!F:F,0))),"X","_"),"_")</f>
        <v>_</v>
      </c>
      <c r="L1411" t="str">
        <f t="shared" ref="L1411:L1474" ca="1" si="90">C1411&amp;D1411&amp;E1411&amp;F1411</f>
        <v>__X_</v>
      </c>
      <c r="M1411" t="str">
        <f t="shared" ref="M1411:M1474" ca="1" si="91">IF(L1411="____","OK",IF(L1411="_X__","NOT IN FULL INVENTORY",IF(L1411="XX__","NOT IN FULL INVENTORY AND INVENTORY",IF(L1411="X___","NOT IN INVENTORY",IF(L1411="___X","DIFFERENT NAMES IN FULL INVENTORY AND INVENTORY","")))))</f>
        <v/>
      </c>
    </row>
    <row r="1412" spans="1:13" x14ac:dyDescent="0.25">
      <c r="A1412" s="5"/>
      <c r="B1412" s="4" t="str">
        <f t="shared" si="89"/>
        <v/>
      </c>
      <c r="C1412" t="str">
        <f>IF(AND(TRIM(A1412)&lt;&gt;"",IFERROR(VLOOKUP(TRIM(B1412),Inventory!E:E,1,0),0)=0),"X","_")</f>
        <v>_</v>
      </c>
      <c r="D1412" t="str">
        <f>IF(AND(TRIM(A1412)&lt;&gt;"",IFERROR(VLOOKUP(TRIM(B1412),'Full Inventory'!F:F,1,0),0)=0),"X","_")</f>
        <v>_</v>
      </c>
      <c r="E1412" t="str">
        <f t="shared" si="88"/>
        <v>X</v>
      </c>
      <c r="F1412" t="str">
        <f ca="1">IFERROR(IF(AND(C1412&amp;D1412&amp;E1412="___",INDIRECT("Inventory!A"&amp;MATCH(VLOOKUP(B1412,Inventory!E:E,1,0),Inventory!E:E,0))&lt;&gt;INDIRECT("'Full Inventory'!B"&amp;MATCH(VLOOKUP(B1412,'Full Inventory'!F:F,1,0),'Full Inventory'!F:F,0))),"X","_"),"_")</f>
        <v>_</v>
      </c>
      <c r="L1412" t="str">
        <f t="shared" ca="1" si="90"/>
        <v>__X_</v>
      </c>
      <c r="M1412" t="str">
        <f t="shared" ca="1" si="91"/>
        <v/>
      </c>
    </row>
    <row r="1413" spans="1:13" x14ac:dyDescent="0.25">
      <c r="A1413" s="5"/>
      <c r="B1413" s="4" t="str">
        <f t="shared" si="89"/>
        <v/>
      </c>
      <c r="C1413" t="str">
        <f>IF(AND(TRIM(A1413)&lt;&gt;"",IFERROR(VLOOKUP(TRIM(B1413),Inventory!E:E,1,0),0)=0),"X","_")</f>
        <v>_</v>
      </c>
      <c r="D1413" t="str">
        <f>IF(AND(TRIM(A1413)&lt;&gt;"",IFERROR(VLOOKUP(TRIM(B1413),'Full Inventory'!F:F,1,0),0)=0),"X","_")</f>
        <v>_</v>
      </c>
      <c r="E1413" t="str">
        <f t="shared" si="88"/>
        <v>X</v>
      </c>
      <c r="F1413" t="str">
        <f ca="1">IFERROR(IF(AND(C1413&amp;D1413&amp;E1413="___",INDIRECT("Inventory!A"&amp;MATCH(VLOOKUP(B1413,Inventory!E:E,1,0),Inventory!E:E,0))&lt;&gt;INDIRECT("'Full Inventory'!B"&amp;MATCH(VLOOKUP(B1413,'Full Inventory'!F:F,1,0),'Full Inventory'!F:F,0))),"X","_"),"_")</f>
        <v>_</v>
      </c>
      <c r="L1413" t="str">
        <f t="shared" ca="1" si="90"/>
        <v>__X_</v>
      </c>
      <c r="M1413" t="str">
        <f t="shared" ca="1" si="91"/>
        <v/>
      </c>
    </row>
    <row r="1414" spans="1:13" x14ac:dyDescent="0.25">
      <c r="A1414" s="5"/>
      <c r="B1414" s="4" t="str">
        <f t="shared" si="89"/>
        <v/>
      </c>
      <c r="C1414" t="str">
        <f>IF(AND(TRIM(A1414)&lt;&gt;"",IFERROR(VLOOKUP(TRIM(B1414),Inventory!E:E,1,0),0)=0),"X","_")</f>
        <v>_</v>
      </c>
      <c r="D1414" t="str">
        <f>IF(AND(TRIM(A1414)&lt;&gt;"",IFERROR(VLOOKUP(TRIM(B1414),'Full Inventory'!F:F,1,0),0)=0),"X","_")</f>
        <v>_</v>
      </c>
      <c r="E1414" t="str">
        <f t="shared" si="88"/>
        <v>X</v>
      </c>
      <c r="F1414" t="str">
        <f ca="1">IFERROR(IF(AND(C1414&amp;D1414&amp;E1414="___",INDIRECT("Inventory!A"&amp;MATCH(VLOOKUP(B1414,Inventory!E:E,1,0),Inventory!E:E,0))&lt;&gt;INDIRECT("'Full Inventory'!B"&amp;MATCH(VLOOKUP(B1414,'Full Inventory'!F:F,1,0),'Full Inventory'!F:F,0))),"X","_"),"_")</f>
        <v>_</v>
      </c>
      <c r="L1414" t="str">
        <f t="shared" ca="1" si="90"/>
        <v>__X_</v>
      </c>
      <c r="M1414" t="str">
        <f t="shared" ca="1" si="91"/>
        <v/>
      </c>
    </row>
    <row r="1415" spans="1:13" x14ac:dyDescent="0.25">
      <c r="A1415" s="5"/>
      <c r="B1415" s="4" t="str">
        <f t="shared" si="89"/>
        <v/>
      </c>
      <c r="C1415" t="str">
        <f>IF(AND(TRIM(A1415)&lt;&gt;"",IFERROR(VLOOKUP(TRIM(B1415),Inventory!E:E,1,0),0)=0),"X","_")</f>
        <v>_</v>
      </c>
      <c r="D1415" t="str">
        <f>IF(AND(TRIM(A1415)&lt;&gt;"",IFERROR(VLOOKUP(TRIM(B1415),'Full Inventory'!F:F,1,0),0)=0),"X","_")</f>
        <v>_</v>
      </c>
      <c r="E1415" t="str">
        <f t="shared" si="88"/>
        <v>X</v>
      </c>
      <c r="F1415" t="str">
        <f ca="1">IFERROR(IF(AND(C1415&amp;D1415&amp;E1415="___",INDIRECT("Inventory!A"&amp;MATCH(VLOOKUP(B1415,Inventory!E:E,1,0),Inventory!E:E,0))&lt;&gt;INDIRECT("'Full Inventory'!B"&amp;MATCH(VLOOKUP(B1415,'Full Inventory'!F:F,1,0),'Full Inventory'!F:F,0))),"X","_"),"_")</f>
        <v>_</v>
      </c>
      <c r="L1415" t="str">
        <f t="shared" ca="1" si="90"/>
        <v>__X_</v>
      </c>
      <c r="M1415" t="str">
        <f t="shared" ca="1" si="91"/>
        <v/>
      </c>
    </row>
    <row r="1416" spans="1:13" x14ac:dyDescent="0.25">
      <c r="A1416" s="5"/>
      <c r="B1416" s="4" t="str">
        <f t="shared" si="89"/>
        <v/>
      </c>
      <c r="C1416" t="str">
        <f>IF(AND(TRIM(A1416)&lt;&gt;"",IFERROR(VLOOKUP(TRIM(B1416),Inventory!E:E,1,0),0)=0),"X","_")</f>
        <v>_</v>
      </c>
      <c r="D1416" t="str">
        <f>IF(AND(TRIM(A1416)&lt;&gt;"",IFERROR(VLOOKUP(TRIM(B1416),'Full Inventory'!F:F,1,0),0)=0),"X","_")</f>
        <v>_</v>
      </c>
      <c r="E1416" t="str">
        <f t="shared" si="88"/>
        <v>X</v>
      </c>
      <c r="F1416" t="str">
        <f ca="1">IFERROR(IF(AND(C1416&amp;D1416&amp;E1416="___",INDIRECT("Inventory!A"&amp;MATCH(VLOOKUP(B1416,Inventory!E:E,1,0),Inventory!E:E,0))&lt;&gt;INDIRECT("'Full Inventory'!B"&amp;MATCH(VLOOKUP(B1416,'Full Inventory'!F:F,1,0),'Full Inventory'!F:F,0))),"X","_"),"_")</f>
        <v>_</v>
      </c>
      <c r="L1416" t="str">
        <f t="shared" ca="1" si="90"/>
        <v>__X_</v>
      </c>
      <c r="M1416" t="str">
        <f t="shared" ca="1" si="91"/>
        <v/>
      </c>
    </row>
    <row r="1417" spans="1:13" x14ac:dyDescent="0.25">
      <c r="A1417" s="5"/>
      <c r="B1417" s="4" t="str">
        <f t="shared" si="89"/>
        <v/>
      </c>
      <c r="C1417" t="str">
        <f>IF(AND(TRIM(A1417)&lt;&gt;"",IFERROR(VLOOKUP(TRIM(B1417),Inventory!E:E,1,0),0)=0),"X","_")</f>
        <v>_</v>
      </c>
      <c r="D1417" t="str">
        <f>IF(AND(TRIM(A1417)&lt;&gt;"",IFERROR(VLOOKUP(TRIM(B1417),'Full Inventory'!F:F,1,0),0)=0),"X","_")</f>
        <v>_</v>
      </c>
      <c r="E1417" t="str">
        <f t="shared" si="88"/>
        <v>X</v>
      </c>
      <c r="F1417" t="str">
        <f ca="1">IFERROR(IF(AND(C1417&amp;D1417&amp;E1417="___",INDIRECT("Inventory!A"&amp;MATCH(VLOOKUP(B1417,Inventory!E:E,1,0),Inventory!E:E,0))&lt;&gt;INDIRECT("'Full Inventory'!B"&amp;MATCH(VLOOKUP(B1417,'Full Inventory'!F:F,1,0),'Full Inventory'!F:F,0))),"X","_"),"_")</f>
        <v>_</v>
      </c>
      <c r="L1417" t="str">
        <f t="shared" ca="1" si="90"/>
        <v>__X_</v>
      </c>
      <c r="M1417" t="str">
        <f t="shared" ca="1" si="91"/>
        <v/>
      </c>
    </row>
    <row r="1418" spans="1:13" x14ac:dyDescent="0.25">
      <c r="A1418" s="5"/>
      <c r="B1418" s="4" t="str">
        <f t="shared" si="89"/>
        <v/>
      </c>
      <c r="C1418" t="str">
        <f>IF(AND(TRIM(A1418)&lt;&gt;"",IFERROR(VLOOKUP(TRIM(B1418),Inventory!E:E,1,0),0)=0),"X","_")</f>
        <v>_</v>
      </c>
      <c r="D1418" t="str">
        <f>IF(AND(TRIM(A1418)&lt;&gt;"",IFERROR(VLOOKUP(TRIM(B1418),'Full Inventory'!F:F,1,0),0)=0),"X","_")</f>
        <v>_</v>
      </c>
      <c r="E1418" t="str">
        <f t="shared" si="88"/>
        <v>X</v>
      </c>
      <c r="F1418" t="str">
        <f ca="1">IFERROR(IF(AND(C1418&amp;D1418&amp;E1418="___",INDIRECT("Inventory!A"&amp;MATCH(VLOOKUP(B1418,Inventory!E:E,1,0),Inventory!E:E,0))&lt;&gt;INDIRECT("'Full Inventory'!B"&amp;MATCH(VLOOKUP(B1418,'Full Inventory'!F:F,1,0),'Full Inventory'!F:F,0))),"X","_"),"_")</f>
        <v>_</v>
      </c>
      <c r="L1418" t="str">
        <f t="shared" ca="1" si="90"/>
        <v>__X_</v>
      </c>
      <c r="M1418" t="str">
        <f t="shared" ca="1" si="91"/>
        <v/>
      </c>
    </row>
    <row r="1419" spans="1:13" x14ac:dyDescent="0.25">
      <c r="A1419" s="5"/>
      <c r="B1419" s="4" t="str">
        <f t="shared" si="89"/>
        <v/>
      </c>
      <c r="C1419" t="str">
        <f>IF(AND(TRIM(A1419)&lt;&gt;"",IFERROR(VLOOKUP(TRIM(B1419),Inventory!E:E,1,0),0)=0),"X","_")</f>
        <v>_</v>
      </c>
      <c r="D1419" t="str">
        <f>IF(AND(TRIM(A1419)&lt;&gt;"",IFERROR(VLOOKUP(TRIM(B1419),'Full Inventory'!F:F,1,0),0)=0),"X","_")</f>
        <v>_</v>
      </c>
      <c r="E1419" t="str">
        <f t="shared" si="88"/>
        <v>X</v>
      </c>
      <c r="F1419" t="str">
        <f ca="1">IFERROR(IF(AND(C1419&amp;D1419&amp;E1419="___",INDIRECT("Inventory!A"&amp;MATCH(VLOOKUP(B1419,Inventory!E:E,1,0),Inventory!E:E,0))&lt;&gt;INDIRECT("'Full Inventory'!B"&amp;MATCH(VLOOKUP(B1419,'Full Inventory'!F:F,1,0),'Full Inventory'!F:F,0))),"X","_"),"_")</f>
        <v>_</v>
      </c>
      <c r="L1419" t="str">
        <f t="shared" ca="1" si="90"/>
        <v>__X_</v>
      </c>
      <c r="M1419" t="str">
        <f t="shared" ca="1" si="91"/>
        <v/>
      </c>
    </row>
    <row r="1420" spans="1:13" x14ac:dyDescent="0.25">
      <c r="A1420" s="5"/>
      <c r="B1420" s="4" t="str">
        <f t="shared" si="89"/>
        <v/>
      </c>
      <c r="C1420" t="str">
        <f>IF(AND(TRIM(A1420)&lt;&gt;"",IFERROR(VLOOKUP(TRIM(B1420),Inventory!E:E,1,0),0)=0),"X","_")</f>
        <v>_</v>
      </c>
      <c r="D1420" t="str">
        <f>IF(AND(TRIM(A1420)&lt;&gt;"",IFERROR(VLOOKUP(TRIM(B1420),'Full Inventory'!F:F,1,0),0)=0),"X","_")</f>
        <v>_</v>
      </c>
      <c r="E1420" t="str">
        <f t="shared" si="88"/>
        <v>X</v>
      </c>
      <c r="F1420" t="str">
        <f ca="1">IFERROR(IF(AND(C1420&amp;D1420&amp;E1420="___",INDIRECT("Inventory!A"&amp;MATCH(VLOOKUP(B1420,Inventory!E:E,1,0),Inventory!E:E,0))&lt;&gt;INDIRECT("'Full Inventory'!B"&amp;MATCH(VLOOKUP(B1420,'Full Inventory'!F:F,1,0),'Full Inventory'!F:F,0))),"X","_"),"_")</f>
        <v>_</v>
      </c>
      <c r="L1420" t="str">
        <f t="shared" ca="1" si="90"/>
        <v>__X_</v>
      </c>
      <c r="M1420" t="str">
        <f t="shared" ca="1" si="91"/>
        <v/>
      </c>
    </row>
    <row r="1421" spans="1:13" x14ac:dyDescent="0.25">
      <c r="A1421" s="5"/>
      <c r="B1421" s="4" t="str">
        <f t="shared" si="89"/>
        <v/>
      </c>
      <c r="C1421" t="str">
        <f>IF(AND(TRIM(A1421)&lt;&gt;"",IFERROR(VLOOKUP(TRIM(B1421),Inventory!E:E,1,0),0)=0),"X","_")</f>
        <v>_</v>
      </c>
      <c r="D1421" t="str">
        <f>IF(AND(TRIM(A1421)&lt;&gt;"",IFERROR(VLOOKUP(TRIM(B1421),'Full Inventory'!F:F,1,0),0)=0),"X","_")</f>
        <v>_</v>
      </c>
      <c r="E1421" t="str">
        <f t="shared" si="88"/>
        <v>X</v>
      </c>
      <c r="F1421" t="str">
        <f ca="1">IFERROR(IF(AND(C1421&amp;D1421&amp;E1421="___",INDIRECT("Inventory!A"&amp;MATCH(VLOOKUP(B1421,Inventory!E:E,1,0),Inventory!E:E,0))&lt;&gt;INDIRECT("'Full Inventory'!B"&amp;MATCH(VLOOKUP(B1421,'Full Inventory'!F:F,1,0),'Full Inventory'!F:F,0))),"X","_"),"_")</f>
        <v>_</v>
      </c>
      <c r="L1421" t="str">
        <f t="shared" ca="1" si="90"/>
        <v>__X_</v>
      </c>
      <c r="M1421" t="str">
        <f t="shared" ca="1" si="91"/>
        <v/>
      </c>
    </row>
    <row r="1422" spans="1:13" x14ac:dyDescent="0.25">
      <c r="A1422" s="5"/>
      <c r="B1422" s="4" t="str">
        <f t="shared" si="89"/>
        <v/>
      </c>
      <c r="C1422" t="str">
        <f>IF(AND(TRIM(A1422)&lt;&gt;"",IFERROR(VLOOKUP(TRIM(B1422),Inventory!E:E,1,0),0)=0),"X","_")</f>
        <v>_</v>
      </c>
      <c r="D1422" t="str">
        <f>IF(AND(TRIM(A1422)&lt;&gt;"",IFERROR(VLOOKUP(TRIM(B1422),'Full Inventory'!F:F,1,0),0)=0),"X","_")</f>
        <v>_</v>
      </c>
      <c r="E1422" t="str">
        <f t="shared" si="88"/>
        <v>X</v>
      </c>
      <c r="F1422" t="str">
        <f ca="1">IFERROR(IF(AND(C1422&amp;D1422&amp;E1422="___",INDIRECT("Inventory!A"&amp;MATCH(VLOOKUP(B1422,Inventory!E:E,1,0),Inventory!E:E,0))&lt;&gt;INDIRECT("'Full Inventory'!B"&amp;MATCH(VLOOKUP(B1422,'Full Inventory'!F:F,1,0),'Full Inventory'!F:F,0))),"X","_"),"_")</f>
        <v>_</v>
      </c>
      <c r="L1422" t="str">
        <f t="shared" ca="1" si="90"/>
        <v>__X_</v>
      </c>
      <c r="M1422" t="str">
        <f t="shared" ca="1" si="91"/>
        <v/>
      </c>
    </row>
    <row r="1423" spans="1:13" x14ac:dyDescent="0.25">
      <c r="A1423" s="5"/>
      <c r="B1423" s="4" t="str">
        <f t="shared" si="89"/>
        <v/>
      </c>
      <c r="C1423" t="str">
        <f>IF(AND(TRIM(A1423)&lt;&gt;"",IFERROR(VLOOKUP(TRIM(B1423),Inventory!E:E,1,0),0)=0),"X","_")</f>
        <v>_</v>
      </c>
      <c r="D1423" t="str">
        <f>IF(AND(TRIM(A1423)&lt;&gt;"",IFERROR(VLOOKUP(TRIM(B1423),'Full Inventory'!F:F,1,0),0)=0),"X","_")</f>
        <v>_</v>
      </c>
      <c r="E1423" t="str">
        <f t="shared" si="88"/>
        <v>X</v>
      </c>
      <c r="F1423" t="str">
        <f ca="1">IFERROR(IF(AND(C1423&amp;D1423&amp;E1423="___",INDIRECT("Inventory!A"&amp;MATCH(VLOOKUP(B1423,Inventory!E:E,1,0),Inventory!E:E,0))&lt;&gt;INDIRECT("'Full Inventory'!B"&amp;MATCH(VLOOKUP(B1423,'Full Inventory'!F:F,1,0),'Full Inventory'!F:F,0))),"X","_"),"_")</f>
        <v>_</v>
      </c>
      <c r="L1423" t="str">
        <f t="shared" ca="1" si="90"/>
        <v>__X_</v>
      </c>
      <c r="M1423" t="str">
        <f t="shared" ca="1" si="91"/>
        <v/>
      </c>
    </row>
    <row r="1424" spans="1:13" x14ac:dyDescent="0.25">
      <c r="A1424" s="5"/>
      <c r="B1424" s="4" t="str">
        <f t="shared" si="89"/>
        <v/>
      </c>
      <c r="C1424" t="str">
        <f>IF(AND(TRIM(A1424)&lt;&gt;"",IFERROR(VLOOKUP(TRIM(B1424),Inventory!E:E,1,0),0)=0),"X","_")</f>
        <v>_</v>
      </c>
      <c r="D1424" t="str">
        <f>IF(AND(TRIM(A1424)&lt;&gt;"",IFERROR(VLOOKUP(TRIM(B1424),'Full Inventory'!F:F,1,0),0)=0),"X","_")</f>
        <v>_</v>
      </c>
      <c r="E1424" t="str">
        <f t="shared" si="88"/>
        <v>X</v>
      </c>
      <c r="F1424" t="str">
        <f ca="1">IFERROR(IF(AND(C1424&amp;D1424&amp;E1424="___",INDIRECT("Inventory!A"&amp;MATCH(VLOOKUP(B1424,Inventory!E:E,1,0),Inventory!E:E,0))&lt;&gt;INDIRECT("'Full Inventory'!B"&amp;MATCH(VLOOKUP(B1424,'Full Inventory'!F:F,1,0),'Full Inventory'!F:F,0))),"X","_"),"_")</f>
        <v>_</v>
      </c>
      <c r="L1424" t="str">
        <f t="shared" ca="1" si="90"/>
        <v>__X_</v>
      </c>
      <c r="M1424" t="str">
        <f t="shared" ca="1" si="91"/>
        <v/>
      </c>
    </row>
    <row r="1425" spans="1:13" x14ac:dyDescent="0.25">
      <c r="A1425" s="5"/>
      <c r="B1425" s="4" t="str">
        <f t="shared" si="89"/>
        <v/>
      </c>
      <c r="C1425" t="str">
        <f>IF(AND(TRIM(A1425)&lt;&gt;"",IFERROR(VLOOKUP(TRIM(B1425),Inventory!E:E,1,0),0)=0),"X","_")</f>
        <v>_</v>
      </c>
      <c r="D1425" t="str">
        <f>IF(AND(TRIM(A1425)&lt;&gt;"",IFERROR(VLOOKUP(TRIM(B1425),'Full Inventory'!F:F,1,0),0)=0),"X","_")</f>
        <v>_</v>
      </c>
      <c r="E1425" t="str">
        <f t="shared" si="88"/>
        <v>X</v>
      </c>
      <c r="F1425" t="str">
        <f ca="1">IFERROR(IF(AND(C1425&amp;D1425&amp;E1425="___",INDIRECT("Inventory!A"&amp;MATCH(VLOOKUP(B1425,Inventory!E:E,1,0),Inventory!E:E,0))&lt;&gt;INDIRECT("'Full Inventory'!B"&amp;MATCH(VLOOKUP(B1425,'Full Inventory'!F:F,1,0),'Full Inventory'!F:F,0))),"X","_"),"_")</f>
        <v>_</v>
      </c>
      <c r="L1425" t="str">
        <f t="shared" ca="1" si="90"/>
        <v>__X_</v>
      </c>
      <c r="M1425" t="str">
        <f t="shared" ca="1" si="91"/>
        <v/>
      </c>
    </row>
    <row r="1426" spans="1:13" x14ac:dyDescent="0.25">
      <c r="A1426" s="5"/>
      <c r="B1426" s="4" t="str">
        <f t="shared" si="89"/>
        <v/>
      </c>
      <c r="C1426" t="str">
        <f>IF(AND(TRIM(A1426)&lt;&gt;"",IFERROR(VLOOKUP(TRIM(B1426),Inventory!E:E,1,0),0)=0),"X","_")</f>
        <v>_</v>
      </c>
      <c r="D1426" t="str">
        <f>IF(AND(TRIM(A1426)&lt;&gt;"",IFERROR(VLOOKUP(TRIM(B1426),'Full Inventory'!F:F,1,0),0)=0),"X","_")</f>
        <v>_</v>
      </c>
      <c r="E1426" t="str">
        <f t="shared" si="88"/>
        <v>X</v>
      </c>
      <c r="F1426" t="str">
        <f ca="1">IFERROR(IF(AND(C1426&amp;D1426&amp;E1426="___",INDIRECT("Inventory!A"&amp;MATCH(VLOOKUP(B1426,Inventory!E:E,1,0),Inventory!E:E,0))&lt;&gt;INDIRECT("'Full Inventory'!B"&amp;MATCH(VLOOKUP(B1426,'Full Inventory'!F:F,1,0),'Full Inventory'!F:F,0))),"X","_"),"_")</f>
        <v>_</v>
      </c>
      <c r="L1426" t="str">
        <f t="shared" ca="1" si="90"/>
        <v>__X_</v>
      </c>
      <c r="M1426" t="str">
        <f t="shared" ca="1" si="91"/>
        <v/>
      </c>
    </row>
    <row r="1427" spans="1:13" x14ac:dyDescent="0.25">
      <c r="A1427" s="5"/>
      <c r="B1427" s="4" t="str">
        <f t="shared" si="89"/>
        <v/>
      </c>
      <c r="C1427" t="str">
        <f>IF(AND(TRIM(A1427)&lt;&gt;"",IFERROR(VLOOKUP(TRIM(B1427),Inventory!E:E,1,0),0)=0),"X","_")</f>
        <v>_</v>
      </c>
      <c r="D1427" t="str">
        <f>IF(AND(TRIM(A1427)&lt;&gt;"",IFERROR(VLOOKUP(TRIM(B1427),'Full Inventory'!F:F,1,0),0)=0),"X","_")</f>
        <v>_</v>
      </c>
      <c r="E1427" t="str">
        <f t="shared" si="88"/>
        <v>X</v>
      </c>
      <c r="F1427" t="str">
        <f ca="1">IFERROR(IF(AND(C1427&amp;D1427&amp;E1427="___",INDIRECT("Inventory!A"&amp;MATCH(VLOOKUP(B1427,Inventory!E:E,1,0),Inventory!E:E,0))&lt;&gt;INDIRECT("'Full Inventory'!B"&amp;MATCH(VLOOKUP(B1427,'Full Inventory'!F:F,1,0),'Full Inventory'!F:F,0))),"X","_"),"_")</f>
        <v>_</v>
      </c>
      <c r="L1427" t="str">
        <f t="shared" ca="1" si="90"/>
        <v>__X_</v>
      </c>
      <c r="M1427" t="str">
        <f t="shared" ca="1" si="91"/>
        <v/>
      </c>
    </row>
    <row r="1428" spans="1:13" x14ac:dyDescent="0.25">
      <c r="A1428" s="5"/>
      <c r="B1428" s="4" t="str">
        <f t="shared" si="89"/>
        <v/>
      </c>
      <c r="C1428" t="str">
        <f>IF(AND(TRIM(A1428)&lt;&gt;"",IFERROR(VLOOKUP(TRIM(B1428),Inventory!E:E,1,0),0)=0),"X","_")</f>
        <v>_</v>
      </c>
      <c r="D1428" t="str">
        <f>IF(AND(TRIM(A1428)&lt;&gt;"",IFERROR(VLOOKUP(TRIM(B1428),'Full Inventory'!F:F,1,0),0)=0),"X","_")</f>
        <v>_</v>
      </c>
      <c r="E1428" t="str">
        <f t="shared" ref="E1428:E1491" si="92">IF(TRIM(A1428)&lt;&gt;"","_","X")</f>
        <v>X</v>
      </c>
      <c r="F1428" t="str">
        <f ca="1">IFERROR(IF(AND(C1428&amp;D1428&amp;E1428="___",INDIRECT("Inventory!A"&amp;MATCH(VLOOKUP(B1428,Inventory!E:E,1,0),Inventory!E:E,0))&lt;&gt;INDIRECT("'Full Inventory'!B"&amp;MATCH(VLOOKUP(B1428,'Full Inventory'!F:F,1,0),'Full Inventory'!F:F,0))),"X","_"),"_")</f>
        <v>_</v>
      </c>
      <c r="L1428" t="str">
        <f t="shared" ca="1" si="90"/>
        <v>__X_</v>
      </c>
      <c r="M1428" t="str">
        <f t="shared" ca="1" si="91"/>
        <v/>
      </c>
    </row>
    <row r="1429" spans="1:13" x14ac:dyDescent="0.25">
      <c r="A1429" s="5"/>
      <c r="B1429" s="4" t="str">
        <f t="shared" si="89"/>
        <v/>
      </c>
      <c r="C1429" t="str">
        <f>IF(AND(TRIM(A1429)&lt;&gt;"",IFERROR(VLOOKUP(TRIM(B1429),Inventory!E:E,1,0),0)=0),"X","_")</f>
        <v>_</v>
      </c>
      <c r="D1429" t="str">
        <f>IF(AND(TRIM(A1429)&lt;&gt;"",IFERROR(VLOOKUP(TRIM(B1429),'Full Inventory'!F:F,1,0),0)=0),"X","_")</f>
        <v>_</v>
      </c>
      <c r="E1429" t="str">
        <f t="shared" si="92"/>
        <v>X</v>
      </c>
      <c r="F1429" t="str">
        <f ca="1">IFERROR(IF(AND(C1429&amp;D1429&amp;E1429="___",INDIRECT("Inventory!A"&amp;MATCH(VLOOKUP(B1429,Inventory!E:E,1,0),Inventory!E:E,0))&lt;&gt;INDIRECT("'Full Inventory'!B"&amp;MATCH(VLOOKUP(B1429,'Full Inventory'!F:F,1,0),'Full Inventory'!F:F,0))),"X","_"),"_")</f>
        <v>_</v>
      </c>
      <c r="L1429" t="str">
        <f t="shared" ca="1" si="90"/>
        <v>__X_</v>
      </c>
      <c r="M1429" t="str">
        <f t="shared" ca="1" si="91"/>
        <v/>
      </c>
    </row>
    <row r="1430" spans="1:13" x14ac:dyDescent="0.25">
      <c r="A1430" s="5"/>
      <c r="B1430" s="4" t="str">
        <f t="shared" si="89"/>
        <v/>
      </c>
      <c r="C1430" t="str">
        <f>IF(AND(TRIM(A1430)&lt;&gt;"",IFERROR(VLOOKUP(TRIM(B1430),Inventory!E:E,1,0),0)=0),"X","_")</f>
        <v>_</v>
      </c>
      <c r="D1430" t="str">
        <f>IF(AND(TRIM(A1430)&lt;&gt;"",IFERROR(VLOOKUP(TRIM(B1430),'Full Inventory'!F:F,1,0),0)=0),"X","_")</f>
        <v>_</v>
      </c>
      <c r="E1430" t="str">
        <f t="shared" si="92"/>
        <v>X</v>
      </c>
      <c r="F1430" t="str">
        <f ca="1">IFERROR(IF(AND(C1430&amp;D1430&amp;E1430="___",INDIRECT("Inventory!A"&amp;MATCH(VLOOKUP(B1430,Inventory!E:E,1,0),Inventory!E:E,0))&lt;&gt;INDIRECT("'Full Inventory'!B"&amp;MATCH(VLOOKUP(B1430,'Full Inventory'!F:F,1,0),'Full Inventory'!F:F,0))),"X","_"),"_")</f>
        <v>_</v>
      </c>
      <c r="L1430" t="str">
        <f t="shared" ca="1" si="90"/>
        <v>__X_</v>
      </c>
      <c r="M1430" t="str">
        <f t="shared" ca="1" si="91"/>
        <v/>
      </c>
    </row>
    <row r="1431" spans="1:13" x14ac:dyDescent="0.25">
      <c r="A1431" s="5"/>
      <c r="B1431" s="4" t="str">
        <f t="shared" si="89"/>
        <v/>
      </c>
      <c r="C1431" t="str">
        <f>IF(AND(TRIM(A1431)&lt;&gt;"",IFERROR(VLOOKUP(TRIM(B1431),Inventory!E:E,1,0),0)=0),"X","_")</f>
        <v>_</v>
      </c>
      <c r="D1431" t="str">
        <f>IF(AND(TRIM(A1431)&lt;&gt;"",IFERROR(VLOOKUP(TRIM(B1431),'Full Inventory'!F:F,1,0),0)=0),"X","_")</f>
        <v>_</v>
      </c>
      <c r="E1431" t="str">
        <f t="shared" si="92"/>
        <v>X</v>
      </c>
      <c r="F1431" t="str">
        <f ca="1">IFERROR(IF(AND(C1431&amp;D1431&amp;E1431="___",INDIRECT("Inventory!A"&amp;MATCH(VLOOKUP(B1431,Inventory!E:E,1,0),Inventory!E:E,0))&lt;&gt;INDIRECT("'Full Inventory'!B"&amp;MATCH(VLOOKUP(B1431,'Full Inventory'!F:F,1,0),'Full Inventory'!F:F,0))),"X","_"),"_")</f>
        <v>_</v>
      </c>
      <c r="L1431" t="str">
        <f t="shared" ca="1" si="90"/>
        <v>__X_</v>
      </c>
      <c r="M1431" t="str">
        <f t="shared" ca="1" si="91"/>
        <v/>
      </c>
    </row>
    <row r="1432" spans="1:13" x14ac:dyDescent="0.25">
      <c r="A1432" s="5"/>
      <c r="B1432" s="4" t="str">
        <f t="shared" si="89"/>
        <v/>
      </c>
      <c r="C1432" t="str">
        <f>IF(AND(TRIM(A1432)&lt;&gt;"",IFERROR(VLOOKUP(TRIM(B1432),Inventory!E:E,1,0),0)=0),"X","_")</f>
        <v>_</v>
      </c>
      <c r="D1432" t="str">
        <f>IF(AND(TRIM(A1432)&lt;&gt;"",IFERROR(VLOOKUP(TRIM(B1432),'Full Inventory'!F:F,1,0),0)=0),"X","_")</f>
        <v>_</v>
      </c>
      <c r="E1432" t="str">
        <f t="shared" si="92"/>
        <v>X</v>
      </c>
      <c r="F1432" t="str">
        <f ca="1">IFERROR(IF(AND(C1432&amp;D1432&amp;E1432="___",INDIRECT("Inventory!A"&amp;MATCH(VLOOKUP(B1432,Inventory!E:E,1,0),Inventory!E:E,0))&lt;&gt;INDIRECT("'Full Inventory'!B"&amp;MATCH(VLOOKUP(B1432,'Full Inventory'!F:F,1,0),'Full Inventory'!F:F,0))),"X","_"),"_")</f>
        <v>_</v>
      </c>
      <c r="L1432" t="str">
        <f t="shared" ca="1" si="90"/>
        <v>__X_</v>
      </c>
      <c r="M1432" t="str">
        <f t="shared" ca="1" si="91"/>
        <v/>
      </c>
    </row>
    <row r="1433" spans="1:13" x14ac:dyDescent="0.25">
      <c r="A1433" s="5"/>
      <c r="B1433" s="4" t="str">
        <f t="shared" si="89"/>
        <v/>
      </c>
      <c r="C1433" t="str">
        <f>IF(AND(TRIM(A1433)&lt;&gt;"",IFERROR(VLOOKUP(TRIM(B1433),Inventory!E:E,1,0),0)=0),"X","_")</f>
        <v>_</v>
      </c>
      <c r="D1433" t="str">
        <f>IF(AND(TRIM(A1433)&lt;&gt;"",IFERROR(VLOOKUP(TRIM(B1433),'Full Inventory'!F:F,1,0),0)=0),"X","_")</f>
        <v>_</v>
      </c>
      <c r="E1433" t="str">
        <f t="shared" si="92"/>
        <v>X</v>
      </c>
      <c r="F1433" t="str">
        <f ca="1">IFERROR(IF(AND(C1433&amp;D1433&amp;E1433="___",INDIRECT("Inventory!A"&amp;MATCH(VLOOKUP(B1433,Inventory!E:E,1,0),Inventory!E:E,0))&lt;&gt;INDIRECT("'Full Inventory'!B"&amp;MATCH(VLOOKUP(B1433,'Full Inventory'!F:F,1,0),'Full Inventory'!F:F,0))),"X","_"),"_")</f>
        <v>_</v>
      </c>
      <c r="L1433" t="str">
        <f t="shared" ca="1" si="90"/>
        <v>__X_</v>
      </c>
      <c r="M1433" t="str">
        <f t="shared" ca="1" si="91"/>
        <v/>
      </c>
    </row>
    <row r="1434" spans="1:13" x14ac:dyDescent="0.25">
      <c r="A1434" s="5"/>
      <c r="B1434" s="4" t="str">
        <f t="shared" si="89"/>
        <v/>
      </c>
      <c r="C1434" t="str">
        <f>IF(AND(TRIM(A1434)&lt;&gt;"",IFERROR(VLOOKUP(TRIM(B1434),Inventory!E:E,1,0),0)=0),"X","_")</f>
        <v>_</v>
      </c>
      <c r="D1434" t="str">
        <f>IF(AND(TRIM(A1434)&lt;&gt;"",IFERROR(VLOOKUP(TRIM(B1434),'Full Inventory'!F:F,1,0),0)=0),"X","_")</f>
        <v>_</v>
      </c>
      <c r="E1434" t="str">
        <f t="shared" si="92"/>
        <v>X</v>
      </c>
      <c r="F1434" t="str">
        <f ca="1">IFERROR(IF(AND(C1434&amp;D1434&amp;E1434="___",INDIRECT("Inventory!A"&amp;MATCH(VLOOKUP(B1434,Inventory!E:E,1,0),Inventory!E:E,0))&lt;&gt;INDIRECT("'Full Inventory'!B"&amp;MATCH(VLOOKUP(B1434,'Full Inventory'!F:F,1,0),'Full Inventory'!F:F,0))),"X","_"),"_")</f>
        <v>_</v>
      </c>
      <c r="L1434" t="str">
        <f t="shared" ca="1" si="90"/>
        <v>__X_</v>
      </c>
      <c r="M1434" t="str">
        <f t="shared" ca="1" si="91"/>
        <v/>
      </c>
    </row>
    <row r="1435" spans="1:13" x14ac:dyDescent="0.25">
      <c r="A1435" s="5"/>
      <c r="B1435" s="4" t="str">
        <f t="shared" si="89"/>
        <v/>
      </c>
      <c r="C1435" t="str">
        <f>IF(AND(TRIM(A1435)&lt;&gt;"",IFERROR(VLOOKUP(TRIM(B1435),Inventory!E:E,1,0),0)=0),"X","_")</f>
        <v>_</v>
      </c>
      <c r="D1435" t="str">
        <f>IF(AND(TRIM(A1435)&lt;&gt;"",IFERROR(VLOOKUP(TRIM(B1435),'Full Inventory'!F:F,1,0),0)=0),"X","_")</f>
        <v>_</v>
      </c>
      <c r="E1435" t="str">
        <f t="shared" si="92"/>
        <v>X</v>
      </c>
      <c r="F1435" t="str">
        <f ca="1">IFERROR(IF(AND(C1435&amp;D1435&amp;E1435="___",INDIRECT("Inventory!A"&amp;MATCH(VLOOKUP(B1435,Inventory!E:E,1,0),Inventory!E:E,0))&lt;&gt;INDIRECT("'Full Inventory'!B"&amp;MATCH(VLOOKUP(B1435,'Full Inventory'!F:F,1,0),'Full Inventory'!F:F,0))),"X","_"),"_")</f>
        <v>_</v>
      </c>
      <c r="L1435" t="str">
        <f t="shared" ca="1" si="90"/>
        <v>__X_</v>
      </c>
      <c r="M1435" t="str">
        <f t="shared" ca="1" si="91"/>
        <v/>
      </c>
    </row>
    <row r="1436" spans="1:13" x14ac:dyDescent="0.25">
      <c r="A1436" s="5"/>
      <c r="B1436" s="4" t="str">
        <f t="shared" si="89"/>
        <v/>
      </c>
      <c r="C1436" t="str">
        <f>IF(AND(TRIM(A1436)&lt;&gt;"",IFERROR(VLOOKUP(TRIM(B1436),Inventory!E:E,1,0),0)=0),"X","_")</f>
        <v>_</v>
      </c>
      <c r="D1436" t="str">
        <f>IF(AND(TRIM(A1436)&lt;&gt;"",IFERROR(VLOOKUP(TRIM(B1436),'Full Inventory'!F:F,1,0),0)=0),"X","_")</f>
        <v>_</v>
      </c>
      <c r="E1436" t="str">
        <f t="shared" si="92"/>
        <v>X</v>
      </c>
      <c r="F1436" t="str">
        <f ca="1">IFERROR(IF(AND(C1436&amp;D1436&amp;E1436="___",INDIRECT("Inventory!A"&amp;MATCH(VLOOKUP(B1436,Inventory!E:E,1,0),Inventory!E:E,0))&lt;&gt;INDIRECT("'Full Inventory'!B"&amp;MATCH(VLOOKUP(B1436,'Full Inventory'!F:F,1,0),'Full Inventory'!F:F,0))),"X","_"),"_")</f>
        <v>_</v>
      </c>
      <c r="L1436" t="str">
        <f t="shared" ca="1" si="90"/>
        <v>__X_</v>
      </c>
      <c r="M1436" t="str">
        <f t="shared" ca="1" si="91"/>
        <v/>
      </c>
    </row>
    <row r="1437" spans="1:13" x14ac:dyDescent="0.25">
      <c r="A1437" s="5"/>
      <c r="B1437" s="4" t="str">
        <f t="shared" si="89"/>
        <v/>
      </c>
      <c r="C1437" t="str">
        <f>IF(AND(TRIM(A1437)&lt;&gt;"",IFERROR(VLOOKUP(TRIM(B1437),Inventory!E:E,1,0),0)=0),"X","_")</f>
        <v>_</v>
      </c>
      <c r="D1437" t="str">
        <f>IF(AND(TRIM(A1437)&lt;&gt;"",IFERROR(VLOOKUP(TRIM(B1437),'Full Inventory'!F:F,1,0),0)=0),"X","_")</f>
        <v>_</v>
      </c>
      <c r="E1437" t="str">
        <f t="shared" si="92"/>
        <v>X</v>
      </c>
      <c r="F1437" t="str">
        <f ca="1">IFERROR(IF(AND(C1437&amp;D1437&amp;E1437="___",INDIRECT("Inventory!A"&amp;MATCH(VLOOKUP(B1437,Inventory!E:E,1,0),Inventory!E:E,0))&lt;&gt;INDIRECT("'Full Inventory'!B"&amp;MATCH(VLOOKUP(B1437,'Full Inventory'!F:F,1,0),'Full Inventory'!F:F,0))),"X","_"),"_")</f>
        <v>_</v>
      </c>
      <c r="L1437" t="str">
        <f t="shared" ca="1" si="90"/>
        <v>__X_</v>
      </c>
      <c r="M1437" t="str">
        <f t="shared" ca="1" si="91"/>
        <v/>
      </c>
    </row>
    <row r="1438" spans="1:13" x14ac:dyDescent="0.25">
      <c r="A1438" s="5"/>
      <c r="B1438" s="4" t="str">
        <f t="shared" si="89"/>
        <v/>
      </c>
      <c r="C1438" t="str">
        <f>IF(AND(TRIM(A1438)&lt;&gt;"",IFERROR(VLOOKUP(TRIM(B1438),Inventory!E:E,1,0),0)=0),"X","_")</f>
        <v>_</v>
      </c>
      <c r="D1438" t="str">
        <f>IF(AND(TRIM(A1438)&lt;&gt;"",IFERROR(VLOOKUP(TRIM(B1438),'Full Inventory'!F:F,1,0),0)=0),"X","_")</f>
        <v>_</v>
      </c>
      <c r="E1438" t="str">
        <f t="shared" si="92"/>
        <v>X</v>
      </c>
      <c r="F1438" t="str">
        <f ca="1">IFERROR(IF(AND(C1438&amp;D1438&amp;E1438="___",INDIRECT("Inventory!A"&amp;MATCH(VLOOKUP(B1438,Inventory!E:E,1,0),Inventory!E:E,0))&lt;&gt;INDIRECT("'Full Inventory'!B"&amp;MATCH(VLOOKUP(B1438,'Full Inventory'!F:F,1,0),'Full Inventory'!F:F,0))),"X","_"),"_")</f>
        <v>_</v>
      </c>
      <c r="L1438" t="str">
        <f t="shared" ca="1" si="90"/>
        <v>__X_</v>
      </c>
      <c r="M1438" t="str">
        <f t="shared" ca="1" si="91"/>
        <v/>
      </c>
    </row>
    <row r="1439" spans="1:13" x14ac:dyDescent="0.25">
      <c r="A1439" s="5"/>
      <c r="B1439" s="4" t="str">
        <f t="shared" si="89"/>
        <v/>
      </c>
      <c r="C1439" t="str">
        <f>IF(AND(TRIM(A1439)&lt;&gt;"",IFERROR(VLOOKUP(TRIM(B1439),Inventory!E:E,1,0),0)=0),"X","_")</f>
        <v>_</v>
      </c>
      <c r="D1439" t="str">
        <f>IF(AND(TRIM(A1439)&lt;&gt;"",IFERROR(VLOOKUP(TRIM(B1439),'Full Inventory'!F:F,1,0),0)=0),"X","_")</f>
        <v>_</v>
      </c>
      <c r="E1439" t="str">
        <f t="shared" si="92"/>
        <v>X</v>
      </c>
      <c r="F1439" t="str">
        <f ca="1">IFERROR(IF(AND(C1439&amp;D1439&amp;E1439="___",INDIRECT("Inventory!A"&amp;MATCH(VLOOKUP(B1439,Inventory!E:E,1,0),Inventory!E:E,0))&lt;&gt;INDIRECT("'Full Inventory'!B"&amp;MATCH(VLOOKUP(B1439,'Full Inventory'!F:F,1,0),'Full Inventory'!F:F,0))),"X","_"),"_")</f>
        <v>_</v>
      </c>
      <c r="L1439" t="str">
        <f t="shared" ca="1" si="90"/>
        <v>__X_</v>
      </c>
      <c r="M1439" t="str">
        <f t="shared" ca="1" si="91"/>
        <v/>
      </c>
    </row>
    <row r="1440" spans="1:13" x14ac:dyDescent="0.25">
      <c r="A1440" s="5"/>
      <c r="B1440" s="4" t="str">
        <f t="shared" si="89"/>
        <v/>
      </c>
      <c r="C1440" t="str">
        <f>IF(AND(TRIM(A1440)&lt;&gt;"",IFERROR(VLOOKUP(TRIM(B1440),Inventory!E:E,1,0),0)=0),"X","_")</f>
        <v>_</v>
      </c>
      <c r="D1440" t="str">
        <f>IF(AND(TRIM(A1440)&lt;&gt;"",IFERROR(VLOOKUP(TRIM(B1440),'Full Inventory'!F:F,1,0),0)=0),"X","_")</f>
        <v>_</v>
      </c>
      <c r="E1440" t="str">
        <f t="shared" si="92"/>
        <v>X</v>
      </c>
      <c r="F1440" t="str">
        <f ca="1">IFERROR(IF(AND(C1440&amp;D1440&amp;E1440="___",INDIRECT("Inventory!A"&amp;MATCH(VLOOKUP(B1440,Inventory!E:E,1,0),Inventory!E:E,0))&lt;&gt;INDIRECT("'Full Inventory'!B"&amp;MATCH(VLOOKUP(B1440,'Full Inventory'!F:F,1,0),'Full Inventory'!F:F,0))),"X","_"),"_")</f>
        <v>_</v>
      </c>
      <c r="L1440" t="str">
        <f t="shared" ca="1" si="90"/>
        <v>__X_</v>
      </c>
      <c r="M1440" t="str">
        <f t="shared" ca="1" si="91"/>
        <v/>
      </c>
    </row>
    <row r="1441" spans="1:13" x14ac:dyDescent="0.25">
      <c r="A1441" s="5"/>
      <c r="B1441" s="4" t="str">
        <f t="shared" si="89"/>
        <v/>
      </c>
      <c r="C1441" t="str">
        <f>IF(AND(TRIM(A1441)&lt;&gt;"",IFERROR(VLOOKUP(TRIM(B1441),Inventory!E:E,1,0),0)=0),"X","_")</f>
        <v>_</v>
      </c>
      <c r="D1441" t="str">
        <f>IF(AND(TRIM(A1441)&lt;&gt;"",IFERROR(VLOOKUP(TRIM(B1441),'Full Inventory'!F:F,1,0),0)=0),"X","_")</f>
        <v>_</v>
      </c>
      <c r="E1441" t="str">
        <f t="shared" si="92"/>
        <v>X</v>
      </c>
      <c r="F1441" t="str">
        <f ca="1">IFERROR(IF(AND(C1441&amp;D1441&amp;E1441="___",INDIRECT("Inventory!A"&amp;MATCH(VLOOKUP(B1441,Inventory!E:E,1,0),Inventory!E:E,0))&lt;&gt;INDIRECT("'Full Inventory'!B"&amp;MATCH(VLOOKUP(B1441,'Full Inventory'!F:F,1,0),'Full Inventory'!F:F,0))),"X","_"),"_")</f>
        <v>_</v>
      </c>
      <c r="L1441" t="str">
        <f t="shared" ca="1" si="90"/>
        <v>__X_</v>
      </c>
      <c r="M1441" t="str">
        <f t="shared" ca="1" si="91"/>
        <v/>
      </c>
    </row>
    <row r="1442" spans="1:13" x14ac:dyDescent="0.25">
      <c r="A1442" s="5"/>
      <c r="B1442" s="4" t="str">
        <f t="shared" si="89"/>
        <v/>
      </c>
      <c r="C1442" t="str">
        <f>IF(AND(TRIM(A1442)&lt;&gt;"",IFERROR(VLOOKUP(TRIM(B1442),Inventory!E:E,1,0),0)=0),"X","_")</f>
        <v>_</v>
      </c>
      <c r="D1442" t="str">
        <f>IF(AND(TRIM(A1442)&lt;&gt;"",IFERROR(VLOOKUP(TRIM(B1442),'Full Inventory'!F:F,1,0),0)=0),"X","_")</f>
        <v>_</v>
      </c>
      <c r="E1442" t="str">
        <f t="shared" si="92"/>
        <v>X</v>
      </c>
      <c r="F1442" t="str">
        <f ca="1">IFERROR(IF(AND(C1442&amp;D1442&amp;E1442="___",INDIRECT("Inventory!A"&amp;MATCH(VLOOKUP(B1442,Inventory!E:E,1,0),Inventory!E:E,0))&lt;&gt;INDIRECT("'Full Inventory'!B"&amp;MATCH(VLOOKUP(B1442,'Full Inventory'!F:F,1,0),'Full Inventory'!F:F,0))),"X","_"),"_")</f>
        <v>_</v>
      </c>
      <c r="L1442" t="str">
        <f t="shared" ca="1" si="90"/>
        <v>__X_</v>
      </c>
      <c r="M1442" t="str">
        <f t="shared" ca="1" si="91"/>
        <v/>
      </c>
    </row>
    <row r="1443" spans="1:13" x14ac:dyDescent="0.25">
      <c r="A1443" s="5"/>
      <c r="B1443" s="4" t="str">
        <f t="shared" si="89"/>
        <v/>
      </c>
      <c r="C1443" t="str">
        <f>IF(AND(TRIM(A1443)&lt;&gt;"",IFERROR(VLOOKUP(TRIM(B1443),Inventory!E:E,1,0),0)=0),"X","_")</f>
        <v>_</v>
      </c>
      <c r="D1443" t="str">
        <f>IF(AND(TRIM(A1443)&lt;&gt;"",IFERROR(VLOOKUP(TRIM(B1443),'Full Inventory'!F:F,1,0),0)=0),"X","_")</f>
        <v>_</v>
      </c>
      <c r="E1443" t="str">
        <f t="shared" si="92"/>
        <v>X</v>
      </c>
      <c r="F1443" t="str">
        <f ca="1">IFERROR(IF(AND(C1443&amp;D1443&amp;E1443="___",INDIRECT("Inventory!A"&amp;MATCH(VLOOKUP(B1443,Inventory!E:E,1,0),Inventory!E:E,0))&lt;&gt;INDIRECT("'Full Inventory'!B"&amp;MATCH(VLOOKUP(B1443,'Full Inventory'!F:F,1,0),'Full Inventory'!F:F,0))),"X","_"),"_")</f>
        <v>_</v>
      </c>
      <c r="L1443" t="str">
        <f t="shared" ca="1" si="90"/>
        <v>__X_</v>
      </c>
      <c r="M1443" t="str">
        <f t="shared" ca="1" si="91"/>
        <v/>
      </c>
    </row>
    <row r="1444" spans="1:13" x14ac:dyDescent="0.25">
      <c r="A1444" s="5"/>
      <c r="B1444" s="4" t="str">
        <f t="shared" si="89"/>
        <v/>
      </c>
      <c r="C1444" t="str">
        <f>IF(AND(TRIM(A1444)&lt;&gt;"",IFERROR(VLOOKUP(TRIM(B1444),Inventory!E:E,1,0),0)=0),"X","_")</f>
        <v>_</v>
      </c>
      <c r="D1444" t="str">
        <f>IF(AND(TRIM(A1444)&lt;&gt;"",IFERROR(VLOOKUP(TRIM(B1444),'Full Inventory'!F:F,1,0),0)=0),"X","_")</f>
        <v>_</v>
      </c>
      <c r="E1444" t="str">
        <f t="shared" si="92"/>
        <v>X</v>
      </c>
      <c r="F1444" t="str">
        <f ca="1">IFERROR(IF(AND(C1444&amp;D1444&amp;E1444="___",INDIRECT("Inventory!A"&amp;MATCH(VLOOKUP(B1444,Inventory!E:E,1,0),Inventory!E:E,0))&lt;&gt;INDIRECT("'Full Inventory'!B"&amp;MATCH(VLOOKUP(B1444,'Full Inventory'!F:F,1,0),'Full Inventory'!F:F,0))),"X","_"),"_")</f>
        <v>_</v>
      </c>
      <c r="L1444" t="str">
        <f t="shared" ca="1" si="90"/>
        <v>__X_</v>
      </c>
      <c r="M1444" t="str">
        <f t="shared" ca="1" si="91"/>
        <v/>
      </c>
    </row>
    <row r="1445" spans="1:13" x14ac:dyDescent="0.25">
      <c r="A1445" s="5"/>
      <c r="B1445" s="4" t="str">
        <f t="shared" si="89"/>
        <v/>
      </c>
      <c r="C1445" t="str">
        <f>IF(AND(TRIM(A1445)&lt;&gt;"",IFERROR(VLOOKUP(TRIM(B1445),Inventory!E:E,1,0),0)=0),"X","_")</f>
        <v>_</v>
      </c>
      <c r="D1445" t="str">
        <f>IF(AND(TRIM(A1445)&lt;&gt;"",IFERROR(VLOOKUP(TRIM(B1445),'Full Inventory'!F:F,1,0),0)=0),"X","_")</f>
        <v>_</v>
      </c>
      <c r="E1445" t="str">
        <f t="shared" si="92"/>
        <v>X</v>
      </c>
      <c r="F1445" t="str">
        <f ca="1">IFERROR(IF(AND(C1445&amp;D1445&amp;E1445="___",INDIRECT("Inventory!A"&amp;MATCH(VLOOKUP(B1445,Inventory!E:E,1,0),Inventory!E:E,0))&lt;&gt;INDIRECT("'Full Inventory'!B"&amp;MATCH(VLOOKUP(B1445,'Full Inventory'!F:F,1,0),'Full Inventory'!F:F,0))),"X","_"),"_")</f>
        <v>_</v>
      </c>
      <c r="L1445" t="str">
        <f t="shared" ca="1" si="90"/>
        <v>__X_</v>
      </c>
      <c r="M1445" t="str">
        <f t="shared" ca="1" si="91"/>
        <v/>
      </c>
    </row>
    <row r="1446" spans="1:13" x14ac:dyDescent="0.25">
      <c r="A1446" s="5"/>
      <c r="B1446" s="4" t="str">
        <f t="shared" si="89"/>
        <v/>
      </c>
      <c r="C1446" t="str">
        <f>IF(AND(TRIM(A1446)&lt;&gt;"",IFERROR(VLOOKUP(TRIM(B1446),Inventory!E:E,1,0),0)=0),"X","_")</f>
        <v>_</v>
      </c>
      <c r="D1446" t="str">
        <f>IF(AND(TRIM(A1446)&lt;&gt;"",IFERROR(VLOOKUP(TRIM(B1446),'Full Inventory'!F:F,1,0),0)=0),"X","_")</f>
        <v>_</v>
      </c>
      <c r="E1446" t="str">
        <f t="shared" si="92"/>
        <v>X</v>
      </c>
      <c r="F1446" t="str">
        <f ca="1">IFERROR(IF(AND(C1446&amp;D1446&amp;E1446="___",INDIRECT("Inventory!A"&amp;MATCH(VLOOKUP(B1446,Inventory!E:E,1,0),Inventory!E:E,0))&lt;&gt;INDIRECT("'Full Inventory'!B"&amp;MATCH(VLOOKUP(B1446,'Full Inventory'!F:F,1,0),'Full Inventory'!F:F,0))),"X","_"),"_")</f>
        <v>_</v>
      </c>
      <c r="L1446" t="str">
        <f t="shared" ca="1" si="90"/>
        <v>__X_</v>
      </c>
      <c r="M1446" t="str">
        <f t="shared" ca="1" si="91"/>
        <v/>
      </c>
    </row>
    <row r="1447" spans="1:13" x14ac:dyDescent="0.25">
      <c r="A1447" s="5"/>
      <c r="B1447" s="4" t="str">
        <f t="shared" si="89"/>
        <v/>
      </c>
      <c r="C1447" t="str">
        <f>IF(AND(TRIM(A1447)&lt;&gt;"",IFERROR(VLOOKUP(TRIM(B1447),Inventory!E:E,1,0),0)=0),"X","_")</f>
        <v>_</v>
      </c>
      <c r="D1447" t="str">
        <f>IF(AND(TRIM(A1447)&lt;&gt;"",IFERROR(VLOOKUP(TRIM(B1447),'Full Inventory'!F:F,1,0),0)=0),"X","_")</f>
        <v>_</v>
      </c>
      <c r="E1447" t="str">
        <f t="shared" si="92"/>
        <v>X</v>
      </c>
      <c r="F1447" t="str">
        <f ca="1">IFERROR(IF(AND(C1447&amp;D1447&amp;E1447="___",INDIRECT("Inventory!A"&amp;MATCH(VLOOKUP(B1447,Inventory!E:E,1,0),Inventory!E:E,0))&lt;&gt;INDIRECT("'Full Inventory'!B"&amp;MATCH(VLOOKUP(B1447,'Full Inventory'!F:F,1,0),'Full Inventory'!F:F,0))),"X","_"),"_")</f>
        <v>_</v>
      </c>
      <c r="L1447" t="str">
        <f t="shared" ca="1" si="90"/>
        <v>__X_</v>
      </c>
      <c r="M1447" t="str">
        <f t="shared" ca="1" si="91"/>
        <v/>
      </c>
    </row>
    <row r="1448" spans="1:13" x14ac:dyDescent="0.25">
      <c r="A1448" s="5"/>
      <c r="B1448" s="4" t="str">
        <f t="shared" si="89"/>
        <v/>
      </c>
      <c r="C1448" t="str">
        <f>IF(AND(TRIM(A1448)&lt;&gt;"",IFERROR(VLOOKUP(TRIM(B1448),Inventory!E:E,1,0),0)=0),"X","_")</f>
        <v>_</v>
      </c>
      <c r="D1448" t="str">
        <f>IF(AND(TRIM(A1448)&lt;&gt;"",IFERROR(VLOOKUP(TRIM(B1448),'Full Inventory'!F:F,1,0),0)=0),"X","_")</f>
        <v>_</v>
      </c>
      <c r="E1448" t="str">
        <f t="shared" si="92"/>
        <v>X</v>
      </c>
      <c r="F1448" t="str">
        <f ca="1">IFERROR(IF(AND(C1448&amp;D1448&amp;E1448="___",INDIRECT("Inventory!A"&amp;MATCH(VLOOKUP(B1448,Inventory!E:E,1,0),Inventory!E:E,0))&lt;&gt;INDIRECT("'Full Inventory'!B"&amp;MATCH(VLOOKUP(B1448,'Full Inventory'!F:F,1,0),'Full Inventory'!F:F,0))),"X","_"),"_")</f>
        <v>_</v>
      </c>
      <c r="L1448" t="str">
        <f t="shared" ca="1" si="90"/>
        <v>__X_</v>
      </c>
      <c r="M1448" t="str">
        <f t="shared" ca="1" si="91"/>
        <v/>
      </c>
    </row>
    <row r="1449" spans="1:13" x14ac:dyDescent="0.25">
      <c r="A1449" s="5"/>
      <c r="B1449" s="4" t="str">
        <f t="shared" si="89"/>
        <v/>
      </c>
      <c r="C1449" t="str">
        <f>IF(AND(TRIM(A1449)&lt;&gt;"",IFERROR(VLOOKUP(TRIM(B1449),Inventory!E:E,1,0),0)=0),"X","_")</f>
        <v>_</v>
      </c>
      <c r="D1449" t="str">
        <f>IF(AND(TRIM(A1449)&lt;&gt;"",IFERROR(VLOOKUP(TRIM(B1449),'Full Inventory'!F:F,1,0),0)=0),"X","_")</f>
        <v>_</v>
      </c>
      <c r="E1449" t="str">
        <f t="shared" si="92"/>
        <v>X</v>
      </c>
      <c r="F1449" t="str">
        <f ca="1">IFERROR(IF(AND(C1449&amp;D1449&amp;E1449="___",INDIRECT("Inventory!A"&amp;MATCH(VLOOKUP(B1449,Inventory!E:E,1,0),Inventory!E:E,0))&lt;&gt;INDIRECT("'Full Inventory'!B"&amp;MATCH(VLOOKUP(B1449,'Full Inventory'!F:F,1,0),'Full Inventory'!F:F,0))),"X","_"),"_")</f>
        <v>_</v>
      </c>
      <c r="L1449" t="str">
        <f t="shared" ca="1" si="90"/>
        <v>__X_</v>
      </c>
      <c r="M1449" t="str">
        <f t="shared" ca="1" si="91"/>
        <v/>
      </c>
    </row>
    <row r="1450" spans="1:13" x14ac:dyDescent="0.25">
      <c r="A1450" s="5"/>
      <c r="B1450" s="4" t="str">
        <f t="shared" si="89"/>
        <v/>
      </c>
      <c r="C1450" t="str">
        <f>IF(AND(TRIM(A1450)&lt;&gt;"",IFERROR(VLOOKUP(TRIM(B1450),Inventory!E:E,1,0),0)=0),"X","_")</f>
        <v>_</v>
      </c>
      <c r="D1450" t="str">
        <f>IF(AND(TRIM(A1450)&lt;&gt;"",IFERROR(VLOOKUP(TRIM(B1450),'Full Inventory'!F:F,1,0),0)=0),"X","_")</f>
        <v>_</v>
      </c>
      <c r="E1450" t="str">
        <f t="shared" si="92"/>
        <v>X</v>
      </c>
      <c r="F1450" t="str">
        <f ca="1">IFERROR(IF(AND(C1450&amp;D1450&amp;E1450="___",INDIRECT("Inventory!A"&amp;MATCH(VLOOKUP(B1450,Inventory!E:E,1,0),Inventory!E:E,0))&lt;&gt;INDIRECT("'Full Inventory'!B"&amp;MATCH(VLOOKUP(B1450,'Full Inventory'!F:F,1,0),'Full Inventory'!F:F,0))),"X","_"),"_")</f>
        <v>_</v>
      </c>
      <c r="L1450" t="str">
        <f t="shared" ca="1" si="90"/>
        <v>__X_</v>
      </c>
      <c r="M1450" t="str">
        <f t="shared" ca="1" si="91"/>
        <v/>
      </c>
    </row>
    <row r="1451" spans="1:13" x14ac:dyDescent="0.25">
      <c r="A1451" s="5"/>
      <c r="B1451" s="4" t="str">
        <f t="shared" si="89"/>
        <v/>
      </c>
      <c r="C1451" t="str">
        <f>IF(AND(TRIM(A1451)&lt;&gt;"",IFERROR(VLOOKUP(TRIM(B1451),Inventory!E:E,1,0),0)=0),"X","_")</f>
        <v>_</v>
      </c>
      <c r="D1451" t="str">
        <f>IF(AND(TRIM(A1451)&lt;&gt;"",IFERROR(VLOOKUP(TRIM(B1451),'Full Inventory'!F:F,1,0),0)=0),"X","_")</f>
        <v>_</v>
      </c>
      <c r="E1451" t="str">
        <f t="shared" si="92"/>
        <v>X</v>
      </c>
      <c r="F1451" t="str">
        <f ca="1">IFERROR(IF(AND(C1451&amp;D1451&amp;E1451="___",INDIRECT("Inventory!A"&amp;MATCH(VLOOKUP(B1451,Inventory!E:E,1,0),Inventory!E:E,0))&lt;&gt;INDIRECT("'Full Inventory'!B"&amp;MATCH(VLOOKUP(B1451,'Full Inventory'!F:F,1,0),'Full Inventory'!F:F,0))),"X","_"),"_")</f>
        <v>_</v>
      </c>
      <c r="L1451" t="str">
        <f t="shared" ca="1" si="90"/>
        <v>__X_</v>
      </c>
      <c r="M1451" t="str">
        <f t="shared" ca="1" si="91"/>
        <v/>
      </c>
    </row>
    <row r="1452" spans="1:13" x14ac:dyDescent="0.25">
      <c r="A1452" s="5"/>
      <c r="B1452" s="4" t="str">
        <f t="shared" si="89"/>
        <v/>
      </c>
      <c r="C1452" t="str">
        <f>IF(AND(TRIM(A1452)&lt;&gt;"",IFERROR(VLOOKUP(TRIM(B1452),Inventory!E:E,1,0),0)=0),"X","_")</f>
        <v>_</v>
      </c>
      <c r="D1452" t="str">
        <f>IF(AND(TRIM(A1452)&lt;&gt;"",IFERROR(VLOOKUP(TRIM(B1452),'Full Inventory'!F:F,1,0),0)=0),"X","_")</f>
        <v>_</v>
      </c>
      <c r="E1452" t="str">
        <f t="shared" si="92"/>
        <v>X</v>
      </c>
      <c r="F1452" t="str">
        <f ca="1">IFERROR(IF(AND(C1452&amp;D1452&amp;E1452="___",INDIRECT("Inventory!A"&amp;MATCH(VLOOKUP(B1452,Inventory!E:E,1,0),Inventory!E:E,0))&lt;&gt;INDIRECT("'Full Inventory'!B"&amp;MATCH(VLOOKUP(B1452,'Full Inventory'!F:F,1,0),'Full Inventory'!F:F,0))),"X","_"),"_")</f>
        <v>_</v>
      </c>
      <c r="L1452" t="str">
        <f t="shared" ca="1" si="90"/>
        <v>__X_</v>
      </c>
      <c r="M1452" t="str">
        <f t="shared" ca="1" si="91"/>
        <v/>
      </c>
    </row>
    <row r="1453" spans="1:13" x14ac:dyDescent="0.25">
      <c r="A1453" s="5"/>
      <c r="B1453" s="4" t="str">
        <f t="shared" si="89"/>
        <v/>
      </c>
      <c r="C1453" t="str">
        <f>IF(AND(TRIM(A1453)&lt;&gt;"",IFERROR(VLOOKUP(TRIM(B1453),Inventory!E:E,1,0),0)=0),"X","_")</f>
        <v>_</v>
      </c>
      <c r="D1453" t="str">
        <f>IF(AND(TRIM(A1453)&lt;&gt;"",IFERROR(VLOOKUP(TRIM(B1453),'Full Inventory'!F:F,1,0),0)=0),"X","_")</f>
        <v>_</v>
      </c>
      <c r="E1453" t="str">
        <f t="shared" si="92"/>
        <v>X</v>
      </c>
      <c r="F1453" t="str">
        <f ca="1">IFERROR(IF(AND(C1453&amp;D1453&amp;E1453="___",INDIRECT("Inventory!A"&amp;MATCH(VLOOKUP(B1453,Inventory!E:E,1,0),Inventory!E:E,0))&lt;&gt;INDIRECT("'Full Inventory'!B"&amp;MATCH(VLOOKUP(B1453,'Full Inventory'!F:F,1,0),'Full Inventory'!F:F,0))),"X","_"),"_")</f>
        <v>_</v>
      </c>
      <c r="L1453" t="str">
        <f t="shared" ca="1" si="90"/>
        <v>__X_</v>
      </c>
      <c r="M1453" t="str">
        <f t="shared" ca="1" si="91"/>
        <v/>
      </c>
    </row>
    <row r="1454" spans="1:13" x14ac:dyDescent="0.25">
      <c r="A1454" s="5"/>
      <c r="B1454" s="4" t="str">
        <f t="shared" si="89"/>
        <v/>
      </c>
      <c r="C1454" t="str">
        <f>IF(AND(TRIM(A1454)&lt;&gt;"",IFERROR(VLOOKUP(TRIM(B1454),Inventory!E:E,1,0),0)=0),"X","_")</f>
        <v>_</v>
      </c>
      <c r="D1454" t="str">
        <f>IF(AND(TRIM(A1454)&lt;&gt;"",IFERROR(VLOOKUP(TRIM(B1454),'Full Inventory'!F:F,1,0),0)=0),"X","_")</f>
        <v>_</v>
      </c>
      <c r="E1454" t="str">
        <f t="shared" si="92"/>
        <v>X</v>
      </c>
      <c r="F1454" t="str">
        <f ca="1">IFERROR(IF(AND(C1454&amp;D1454&amp;E1454="___",INDIRECT("Inventory!A"&amp;MATCH(VLOOKUP(B1454,Inventory!E:E,1,0),Inventory!E:E,0))&lt;&gt;INDIRECT("'Full Inventory'!B"&amp;MATCH(VLOOKUP(B1454,'Full Inventory'!F:F,1,0),'Full Inventory'!F:F,0))),"X","_"),"_")</f>
        <v>_</v>
      </c>
      <c r="L1454" t="str">
        <f t="shared" ca="1" si="90"/>
        <v>__X_</v>
      </c>
      <c r="M1454" t="str">
        <f t="shared" ca="1" si="91"/>
        <v/>
      </c>
    </row>
    <row r="1455" spans="1:13" x14ac:dyDescent="0.25">
      <c r="A1455" s="5"/>
      <c r="B1455" s="4" t="str">
        <f t="shared" si="89"/>
        <v/>
      </c>
      <c r="C1455" t="str">
        <f>IF(AND(TRIM(A1455)&lt;&gt;"",IFERROR(VLOOKUP(TRIM(B1455),Inventory!E:E,1,0),0)=0),"X","_")</f>
        <v>_</v>
      </c>
      <c r="D1455" t="str">
        <f>IF(AND(TRIM(A1455)&lt;&gt;"",IFERROR(VLOOKUP(TRIM(B1455),'Full Inventory'!F:F,1,0),0)=0),"X","_")</f>
        <v>_</v>
      </c>
      <c r="E1455" t="str">
        <f t="shared" si="92"/>
        <v>X</v>
      </c>
      <c r="F1455" t="str">
        <f ca="1">IFERROR(IF(AND(C1455&amp;D1455&amp;E1455="___",INDIRECT("Inventory!A"&amp;MATCH(VLOOKUP(B1455,Inventory!E:E,1,0),Inventory!E:E,0))&lt;&gt;INDIRECT("'Full Inventory'!B"&amp;MATCH(VLOOKUP(B1455,'Full Inventory'!F:F,1,0),'Full Inventory'!F:F,0))),"X","_"),"_")</f>
        <v>_</v>
      </c>
      <c r="L1455" t="str">
        <f t="shared" ca="1" si="90"/>
        <v>__X_</v>
      </c>
      <c r="M1455" t="str">
        <f t="shared" ca="1" si="91"/>
        <v/>
      </c>
    </row>
    <row r="1456" spans="1:13" x14ac:dyDescent="0.25">
      <c r="A1456" s="5"/>
      <c r="B1456" s="4" t="str">
        <f t="shared" si="89"/>
        <v/>
      </c>
      <c r="C1456" t="str">
        <f>IF(AND(TRIM(A1456)&lt;&gt;"",IFERROR(VLOOKUP(TRIM(B1456),Inventory!E:E,1,0),0)=0),"X","_")</f>
        <v>_</v>
      </c>
      <c r="D1456" t="str">
        <f>IF(AND(TRIM(A1456)&lt;&gt;"",IFERROR(VLOOKUP(TRIM(B1456),'Full Inventory'!F:F,1,0),0)=0),"X","_")</f>
        <v>_</v>
      </c>
      <c r="E1456" t="str">
        <f t="shared" si="92"/>
        <v>X</v>
      </c>
      <c r="F1456" t="str">
        <f ca="1">IFERROR(IF(AND(C1456&amp;D1456&amp;E1456="___",INDIRECT("Inventory!A"&amp;MATCH(VLOOKUP(B1456,Inventory!E:E,1,0),Inventory!E:E,0))&lt;&gt;INDIRECT("'Full Inventory'!B"&amp;MATCH(VLOOKUP(B1456,'Full Inventory'!F:F,1,0),'Full Inventory'!F:F,0))),"X","_"),"_")</f>
        <v>_</v>
      </c>
      <c r="L1456" t="str">
        <f t="shared" ca="1" si="90"/>
        <v>__X_</v>
      </c>
      <c r="M1456" t="str">
        <f t="shared" ca="1" si="91"/>
        <v/>
      </c>
    </row>
    <row r="1457" spans="1:13" x14ac:dyDescent="0.25">
      <c r="A1457" s="5"/>
      <c r="B1457" s="4" t="str">
        <f t="shared" si="89"/>
        <v/>
      </c>
      <c r="C1457" t="str">
        <f>IF(AND(TRIM(A1457)&lt;&gt;"",IFERROR(VLOOKUP(TRIM(B1457),Inventory!E:E,1,0),0)=0),"X","_")</f>
        <v>_</v>
      </c>
      <c r="D1457" t="str">
        <f>IF(AND(TRIM(A1457)&lt;&gt;"",IFERROR(VLOOKUP(TRIM(B1457),'Full Inventory'!F:F,1,0),0)=0),"X","_")</f>
        <v>_</v>
      </c>
      <c r="E1457" t="str">
        <f t="shared" si="92"/>
        <v>X</v>
      </c>
      <c r="F1457" t="str">
        <f ca="1">IFERROR(IF(AND(C1457&amp;D1457&amp;E1457="___",INDIRECT("Inventory!A"&amp;MATCH(VLOOKUP(B1457,Inventory!E:E,1,0),Inventory!E:E,0))&lt;&gt;INDIRECT("'Full Inventory'!B"&amp;MATCH(VLOOKUP(B1457,'Full Inventory'!F:F,1,0),'Full Inventory'!F:F,0))),"X","_"),"_")</f>
        <v>_</v>
      </c>
      <c r="L1457" t="str">
        <f t="shared" ca="1" si="90"/>
        <v>__X_</v>
      </c>
      <c r="M1457" t="str">
        <f t="shared" ca="1" si="91"/>
        <v/>
      </c>
    </row>
    <row r="1458" spans="1:13" x14ac:dyDescent="0.25">
      <c r="A1458" s="5"/>
      <c r="B1458" s="4" t="str">
        <f t="shared" si="89"/>
        <v/>
      </c>
      <c r="C1458" t="str">
        <f>IF(AND(TRIM(A1458)&lt;&gt;"",IFERROR(VLOOKUP(TRIM(B1458),Inventory!E:E,1,0),0)=0),"X","_")</f>
        <v>_</v>
      </c>
      <c r="D1458" t="str">
        <f>IF(AND(TRIM(A1458)&lt;&gt;"",IFERROR(VLOOKUP(TRIM(B1458),'Full Inventory'!F:F,1,0),0)=0),"X","_")</f>
        <v>_</v>
      </c>
      <c r="E1458" t="str">
        <f t="shared" si="92"/>
        <v>X</v>
      </c>
      <c r="F1458" t="str">
        <f ca="1">IFERROR(IF(AND(C1458&amp;D1458&amp;E1458="___",INDIRECT("Inventory!A"&amp;MATCH(VLOOKUP(B1458,Inventory!E:E,1,0),Inventory!E:E,0))&lt;&gt;INDIRECT("'Full Inventory'!B"&amp;MATCH(VLOOKUP(B1458,'Full Inventory'!F:F,1,0),'Full Inventory'!F:F,0))),"X","_"),"_")</f>
        <v>_</v>
      </c>
      <c r="L1458" t="str">
        <f t="shared" ca="1" si="90"/>
        <v>__X_</v>
      </c>
      <c r="M1458" t="str">
        <f t="shared" ca="1" si="91"/>
        <v/>
      </c>
    </row>
    <row r="1459" spans="1:13" x14ac:dyDescent="0.25">
      <c r="A1459" s="5"/>
      <c r="B1459" s="4" t="str">
        <f t="shared" si="89"/>
        <v/>
      </c>
      <c r="C1459" t="str">
        <f>IF(AND(TRIM(A1459)&lt;&gt;"",IFERROR(VLOOKUP(TRIM(B1459),Inventory!E:E,1,0),0)=0),"X","_")</f>
        <v>_</v>
      </c>
      <c r="D1459" t="str">
        <f>IF(AND(TRIM(A1459)&lt;&gt;"",IFERROR(VLOOKUP(TRIM(B1459),'Full Inventory'!F:F,1,0),0)=0),"X","_")</f>
        <v>_</v>
      </c>
      <c r="E1459" t="str">
        <f t="shared" si="92"/>
        <v>X</v>
      </c>
      <c r="F1459" t="str">
        <f ca="1">IFERROR(IF(AND(C1459&amp;D1459&amp;E1459="___",INDIRECT("Inventory!A"&amp;MATCH(VLOOKUP(B1459,Inventory!E:E,1,0),Inventory!E:E,0))&lt;&gt;INDIRECT("'Full Inventory'!B"&amp;MATCH(VLOOKUP(B1459,'Full Inventory'!F:F,1,0),'Full Inventory'!F:F,0))),"X","_"),"_")</f>
        <v>_</v>
      </c>
      <c r="L1459" t="str">
        <f t="shared" ca="1" si="90"/>
        <v>__X_</v>
      </c>
      <c r="M1459" t="str">
        <f t="shared" ca="1" si="91"/>
        <v/>
      </c>
    </row>
    <row r="1460" spans="1:13" x14ac:dyDescent="0.25">
      <c r="A1460" s="5"/>
      <c r="B1460" s="4" t="str">
        <f t="shared" si="89"/>
        <v/>
      </c>
      <c r="C1460" t="str">
        <f>IF(AND(TRIM(A1460)&lt;&gt;"",IFERROR(VLOOKUP(TRIM(B1460),Inventory!E:E,1,0),0)=0),"X","_")</f>
        <v>_</v>
      </c>
      <c r="D1460" t="str">
        <f>IF(AND(TRIM(A1460)&lt;&gt;"",IFERROR(VLOOKUP(TRIM(B1460),'Full Inventory'!F:F,1,0),0)=0),"X","_")</f>
        <v>_</v>
      </c>
      <c r="E1460" t="str">
        <f t="shared" si="92"/>
        <v>X</v>
      </c>
      <c r="F1460" t="str">
        <f ca="1">IFERROR(IF(AND(C1460&amp;D1460&amp;E1460="___",INDIRECT("Inventory!A"&amp;MATCH(VLOOKUP(B1460,Inventory!E:E,1,0),Inventory!E:E,0))&lt;&gt;INDIRECT("'Full Inventory'!B"&amp;MATCH(VLOOKUP(B1460,'Full Inventory'!F:F,1,0),'Full Inventory'!F:F,0))),"X","_"),"_")</f>
        <v>_</v>
      </c>
      <c r="L1460" t="str">
        <f t="shared" ca="1" si="90"/>
        <v>__X_</v>
      </c>
      <c r="M1460" t="str">
        <f t="shared" ca="1" si="91"/>
        <v/>
      </c>
    </row>
    <row r="1461" spans="1:13" x14ac:dyDescent="0.25">
      <c r="A1461" s="5"/>
      <c r="B1461" s="4" t="str">
        <f t="shared" si="89"/>
        <v/>
      </c>
      <c r="C1461" t="str">
        <f>IF(AND(TRIM(A1461)&lt;&gt;"",IFERROR(VLOOKUP(TRIM(B1461),Inventory!E:E,1,0),0)=0),"X","_")</f>
        <v>_</v>
      </c>
      <c r="D1461" t="str">
        <f>IF(AND(TRIM(A1461)&lt;&gt;"",IFERROR(VLOOKUP(TRIM(B1461),'Full Inventory'!F:F,1,0),0)=0),"X","_")</f>
        <v>_</v>
      </c>
      <c r="E1461" t="str">
        <f t="shared" si="92"/>
        <v>X</v>
      </c>
      <c r="F1461" t="str">
        <f ca="1">IFERROR(IF(AND(C1461&amp;D1461&amp;E1461="___",INDIRECT("Inventory!A"&amp;MATCH(VLOOKUP(B1461,Inventory!E:E,1,0),Inventory!E:E,0))&lt;&gt;INDIRECT("'Full Inventory'!B"&amp;MATCH(VLOOKUP(B1461,'Full Inventory'!F:F,1,0),'Full Inventory'!F:F,0))),"X","_"),"_")</f>
        <v>_</v>
      </c>
      <c r="L1461" t="str">
        <f t="shared" ca="1" si="90"/>
        <v>__X_</v>
      </c>
      <c r="M1461" t="str">
        <f t="shared" ca="1" si="91"/>
        <v/>
      </c>
    </row>
    <row r="1462" spans="1:13" x14ac:dyDescent="0.25">
      <c r="A1462" s="5"/>
      <c r="B1462" s="4" t="str">
        <f t="shared" si="89"/>
        <v/>
      </c>
      <c r="C1462" t="str">
        <f>IF(AND(TRIM(A1462)&lt;&gt;"",IFERROR(VLOOKUP(TRIM(B1462),Inventory!E:E,1,0),0)=0),"X","_")</f>
        <v>_</v>
      </c>
      <c r="D1462" t="str">
        <f>IF(AND(TRIM(A1462)&lt;&gt;"",IFERROR(VLOOKUP(TRIM(B1462),'Full Inventory'!F:F,1,0),0)=0),"X","_")</f>
        <v>_</v>
      </c>
      <c r="E1462" t="str">
        <f t="shared" si="92"/>
        <v>X</v>
      </c>
      <c r="F1462" t="str">
        <f ca="1">IFERROR(IF(AND(C1462&amp;D1462&amp;E1462="___",INDIRECT("Inventory!A"&amp;MATCH(VLOOKUP(B1462,Inventory!E:E,1,0),Inventory!E:E,0))&lt;&gt;INDIRECT("'Full Inventory'!B"&amp;MATCH(VLOOKUP(B1462,'Full Inventory'!F:F,1,0),'Full Inventory'!F:F,0))),"X","_"),"_")</f>
        <v>_</v>
      </c>
      <c r="L1462" t="str">
        <f t="shared" ca="1" si="90"/>
        <v>__X_</v>
      </c>
      <c r="M1462" t="str">
        <f t="shared" ca="1" si="91"/>
        <v/>
      </c>
    </row>
    <row r="1463" spans="1:13" x14ac:dyDescent="0.25">
      <c r="A1463" s="5"/>
      <c r="B1463" s="4" t="str">
        <f t="shared" si="89"/>
        <v/>
      </c>
      <c r="C1463" t="str">
        <f>IF(AND(TRIM(A1463)&lt;&gt;"",IFERROR(VLOOKUP(TRIM(B1463),Inventory!E:E,1,0),0)=0),"X","_")</f>
        <v>_</v>
      </c>
      <c r="D1463" t="str">
        <f>IF(AND(TRIM(A1463)&lt;&gt;"",IFERROR(VLOOKUP(TRIM(B1463),'Full Inventory'!F:F,1,0),0)=0),"X","_")</f>
        <v>_</v>
      </c>
      <c r="E1463" t="str">
        <f t="shared" si="92"/>
        <v>X</v>
      </c>
      <c r="F1463" t="str">
        <f ca="1">IFERROR(IF(AND(C1463&amp;D1463&amp;E1463="___",INDIRECT("Inventory!A"&amp;MATCH(VLOOKUP(B1463,Inventory!E:E,1,0),Inventory!E:E,0))&lt;&gt;INDIRECT("'Full Inventory'!B"&amp;MATCH(VLOOKUP(B1463,'Full Inventory'!F:F,1,0),'Full Inventory'!F:F,0))),"X","_"),"_")</f>
        <v>_</v>
      </c>
      <c r="L1463" t="str">
        <f t="shared" ca="1" si="90"/>
        <v>__X_</v>
      </c>
      <c r="M1463" t="str">
        <f t="shared" ca="1" si="91"/>
        <v/>
      </c>
    </row>
    <row r="1464" spans="1:13" x14ac:dyDescent="0.25">
      <c r="A1464" s="5"/>
      <c r="B1464" s="4" t="str">
        <f t="shared" si="89"/>
        <v/>
      </c>
      <c r="C1464" t="str">
        <f>IF(AND(TRIM(A1464)&lt;&gt;"",IFERROR(VLOOKUP(TRIM(B1464),Inventory!E:E,1,0),0)=0),"X","_")</f>
        <v>_</v>
      </c>
      <c r="D1464" t="str">
        <f>IF(AND(TRIM(A1464)&lt;&gt;"",IFERROR(VLOOKUP(TRIM(B1464),'Full Inventory'!F:F,1,0),0)=0),"X","_")</f>
        <v>_</v>
      </c>
      <c r="E1464" t="str">
        <f t="shared" si="92"/>
        <v>X</v>
      </c>
      <c r="F1464" t="str">
        <f ca="1">IFERROR(IF(AND(C1464&amp;D1464&amp;E1464="___",INDIRECT("Inventory!A"&amp;MATCH(VLOOKUP(B1464,Inventory!E:E,1,0),Inventory!E:E,0))&lt;&gt;INDIRECT("'Full Inventory'!B"&amp;MATCH(VLOOKUP(B1464,'Full Inventory'!F:F,1,0),'Full Inventory'!F:F,0))),"X","_"),"_")</f>
        <v>_</v>
      </c>
      <c r="L1464" t="str">
        <f t="shared" ca="1" si="90"/>
        <v>__X_</v>
      </c>
      <c r="M1464" t="str">
        <f t="shared" ca="1" si="91"/>
        <v/>
      </c>
    </row>
    <row r="1465" spans="1:13" x14ac:dyDescent="0.25">
      <c r="A1465" s="5"/>
      <c r="B1465" s="4" t="str">
        <f t="shared" si="89"/>
        <v/>
      </c>
      <c r="C1465" t="str">
        <f>IF(AND(TRIM(A1465)&lt;&gt;"",IFERROR(VLOOKUP(TRIM(B1465),Inventory!E:E,1,0),0)=0),"X","_")</f>
        <v>_</v>
      </c>
      <c r="D1465" t="str">
        <f>IF(AND(TRIM(A1465)&lt;&gt;"",IFERROR(VLOOKUP(TRIM(B1465),'Full Inventory'!F:F,1,0),0)=0),"X","_")</f>
        <v>_</v>
      </c>
      <c r="E1465" t="str">
        <f t="shared" si="92"/>
        <v>X</v>
      </c>
      <c r="F1465" t="str">
        <f ca="1">IFERROR(IF(AND(C1465&amp;D1465&amp;E1465="___",INDIRECT("Inventory!A"&amp;MATCH(VLOOKUP(B1465,Inventory!E:E,1,0),Inventory!E:E,0))&lt;&gt;INDIRECT("'Full Inventory'!B"&amp;MATCH(VLOOKUP(B1465,'Full Inventory'!F:F,1,0),'Full Inventory'!F:F,0))),"X","_"),"_")</f>
        <v>_</v>
      </c>
      <c r="L1465" t="str">
        <f t="shared" ca="1" si="90"/>
        <v>__X_</v>
      </c>
      <c r="M1465" t="str">
        <f t="shared" ca="1" si="91"/>
        <v/>
      </c>
    </row>
    <row r="1466" spans="1:13" x14ac:dyDescent="0.25">
      <c r="A1466" s="5"/>
      <c r="B1466" s="4" t="str">
        <f t="shared" si="89"/>
        <v/>
      </c>
      <c r="C1466" t="str">
        <f>IF(AND(TRIM(A1466)&lt;&gt;"",IFERROR(VLOOKUP(TRIM(B1466),Inventory!E:E,1,0),0)=0),"X","_")</f>
        <v>_</v>
      </c>
      <c r="D1466" t="str">
        <f>IF(AND(TRIM(A1466)&lt;&gt;"",IFERROR(VLOOKUP(TRIM(B1466),'Full Inventory'!F:F,1,0),0)=0),"X","_")</f>
        <v>_</v>
      </c>
      <c r="E1466" t="str">
        <f t="shared" si="92"/>
        <v>X</v>
      </c>
      <c r="F1466" t="str">
        <f ca="1">IFERROR(IF(AND(C1466&amp;D1466&amp;E1466="___",INDIRECT("Inventory!A"&amp;MATCH(VLOOKUP(B1466,Inventory!E:E,1,0),Inventory!E:E,0))&lt;&gt;INDIRECT("'Full Inventory'!B"&amp;MATCH(VLOOKUP(B1466,'Full Inventory'!F:F,1,0),'Full Inventory'!F:F,0))),"X","_"),"_")</f>
        <v>_</v>
      </c>
      <c r="L1466" t="str">
        <f t="shared" ca="1" si="90"/>
        <v>__X_</v>
      </c>
      <c r="M1466" t="str">
        <f t="shared" ca="1" si="91"/>
        <v/>
      </c>
    </row>
    <row r="1467" spans="1:13" x14ac:dyDescent="0.25">
      <c r="A1467" s="5"/>
      <c r="B1467" s="4" t="str">
        <f t="shared" si="89"/>
        <v/>
      </c>
      <c r="C1467" t="str">
        <f>IF(AND(TRIM(A1467)&lt;&gt;"",IFERROR(VLOOKUP(TRIM(B1467),Inventory!E:E,1,0),0)=0),"X","_")</f>
        <v>_</v>
      </c>
      <c r="D1467" t="str">
        <f>IF(AND(TRIM(A1467)&lt;&gt;"",IFERROR(VLOOKUP(TRIM(B1467),'Full Inventory'!F:F,1,0),0)=0),"X","_")</f>
        <v>_</v>
      </c>
      <c r="E1467" t="str">
        <f t="shared" si="92"/>
        <v>X</v>
      </c>
      <c r="F1467" t="str">
        <f ca="1">IFERROR(IF(AND(C1467&amp;D1467&amp;E1467="___",INDIRECT("Inventory!A"&amp;MATCH(VLOOKUP(B1467,Inventory!E:E,1,0),Inventory!E:E,0))&lt;&gt;INDIRECT("'Full Inventory'!B"&amp;MATCH(VLOOKUP(B1467,'Full Inventory'!F:F,1,0),'Full Inventory'!F:F,0))),"X","_"),"_")</f>
        <v>_</v>
      </c>
      <c r="L1467" t="str">
        <f t="shared" ca="1" si="90"/>
        <v>__X_</v>
      </c>
      <c r="M1467" t="str">
        <f t="shared" ca="1" si="91"/>
        <v/>
      </c>
    </row>
    <row r="1468" spans="1:13" x14ac:dyDescent="0.25">
      <c r="A1468" s="5"/>
      <c r="B1468" s="4" t="str">
        <f t="shared" si="89"/>
        <v/>
      </c>
      <c r="C1468" t="str">
        <f>IF(AND(TRIM(A1468)&lt;&gt;"",IFERROR(VLOOKUP(TRIM(B1468),Inventory!E:E,1,0),0)=0),"X","_")</f>
        <v>_</v>
      </c>
      <c r="D1468" t="str">
        <f>IF(AND(TRIM(A1468)&lt;&gt;"",IFERROR(VLOOKUP(TRIM(B1468),'Full Inventory'!F:F,1,0),0)=0),"X","_")</f>
        <v>_</v>
      </c>
      <c r="E1468" t="str">
        <f t="shared" si="92"/>
        <v>X</v>
      </c>
      <c r="F1468" t="str">
        <f ca="1">IFERROR(IF(AND(C1468&amp;D1468&amp;E1468="___",INDIRECT("Inventory!A"&amp;MATCH(VLOOKUP(B1468,Inventory!E:E,1,0),Inventory!E:E,0))&lt;&gt;INDIRECT("'Full Inventory'!B"&amp;MATCH(VLOOKUP(B1468,'Full Inventory'!F:F,1,0),'Full Inventory'!F:F,0))),"X","_"),"_")</f>
        <v>_</v>
      </c>
      <c r="L1468" t="str">
        <f t="shared" ca="1" si="90"/>
        <v>__X_</v>
      </c>
      <c r="M1468" t="str">
        <f t="shared" ca="1" si="91"/>
        <v/>
      </c>
    </row>
    <row r="1469" spans="1:13" x14ac:dyDescent="0.25">
      <c r="A1469" s="5"/>
      <c r="B1469" s="4" t="str">
        <f t="shared" si="89"/>
        <v/>
      </c>
      <c r="C1469" t="str">
        <f>IF(AND(TRIM(A1469)&lt;&gt;"",IFERROR(VLOOKUP(TRIM(B1469),Inventory!E:E,1,0),0)=0),"X","_")</f>
        <v>_</v>
      </c>
      <c r="D1469" t="str">
        <f>IF(AND(TRIM(A1469)&lt;&gt;"",IFERROR(VLOOKUP(TRIM(B1469),'Full Inventory'!F:F,1,0),0)=0),"X","_")</f>
        <v>_</v>
      </c>
      <c r="E1469" t="str">
        <f t="shared" si="92"/>
        <v>X</v>
      </c>
      <c r="F1469" t="str">
        <f ca="1">IFERROR(IF(AND(C1469&amp;D1469&amp;E1469="___",INDIRECT("Inventory!A"&amp;MATCH(VLOOKUP(B1469,Inventory!E:E,1,0),Inventory!E:E,0))&lt;&gt;INDIRECT("'Full Inventory'!B"&amp;MATCH(VLOOKUP(B1469,'Full Inventory'!F:F,1,0),'Full Inventory'!F:F,0))),"X","_"),"_")</f>
        <v>_</v>
      </c>
      <c r="L1469" t="str">
        <f t="shared" ca="1" si="90"/>
        <v>__X_</v>
      </c>
      <c r="M1469" t="str">
        <f t="shared" ca="1" si="91"/>
        <v/>
      </c>
    </row>
    <row r="1470" spans="1:13" x14ac:dyDescent="0.25">
      <c r="A1470" s="5"/>
      <c r="B1470" s="4" t="str">
        <f t="shared" si="89"/>
        <v/>
      </c>
      <c r="C1470" t="str">
        <f>IF(AND(TRIM(A1470)&lt;&gt;"",IFERROR(VLOOKUP(TRIM(B1470),Inventory!E:E,1,0),0)=0),"X","_")</f>
        <v>_</v>
      </c>
      <c r="D1470" t="str">
        <f>IF(AND(TRIM(A1470)&lt;&gt;"",IFERROR(VLOOKUP(TRIM(B1470),'Full Inventory'!F:F,1,0),0)=0),"X","_")</f>
        <v>_</v>
      </c>
      <c r="E1470" t="str">
        <f t="shared" si="92"/>
        <v>X</v>
      </c>
      <c r="F1470" t="str">
        <f ca="1">IFERROR(IF(AND(C1470&amp;D1470&amp;E1470="___",INDIRECT("Inventory!A"&amp;MATCH(VLOOKUP(B1470,Inventory!E:E,1,0),Inventory!E:E,0))&lt;&gt;INDIRECT("'Full Inventory'!B"&amp;MATCH(VLOOKUP(B1470,'Full Inventory'!F:F,1,0),'Full Inventory'!F:F,0))),"X","_"),"_")</f>
        <v>_</v>
      </c>
      <c r="L1470" t="str">
        <f t="shared" ca="1" si="90"/>
        <v>__X_</v>
      </c>
      <c r="M1470" t="str">
        <f t="shared" ca="1" si="91"/>
        <v/>
      </c>
    </row>
    <row r="1471" spans="1:13" x14ac:dyDescent="0.25">
      <c r="A1471" s="5"/>
      <c r="B1471" s="4" t="str">
        <f t="shared" si="89"/>
        <v/>
      </c>
      <c r="C1471" t="str">
        <f>IF(AND(TRIM(A1471)&lt;&gt;"",IFERROR(VLOOKUP(TRIM(B1471),Inventory!E:E,1,0),0)=0),"X","_")</f>
        <v>_</v>
      </c>
      <c r="D1471" t="str">
        <f>IF(AND(TRIM(A1471)&lt;&gt;"",IFERROR(VLOOKUP(TRIM(B1471),'Full Inventory'!F:F,1,0),0)=0),"X","_")</f>
        <v>_</v>
      </c>
      <c r="E1471" t="str">
        <f t="shared" si="92"/>
        <v>X</v>
      </c>
      <c r="F1471" t="str">
        <f ca="1">IFERROR(IF(AND(C1471&amp;D1471&amp;E1471="___",INDIRECT("Inventory!A"&amp;MATCH(VLOOKUP(B1471,Inventory!E:E,1,0),Inventory!E:E,0))&lt;&gt;INDIRECT("'Full Inventory'!B"&amp;MATCH(VLOOKUP(B1471,'Full Inventory'!F:F,1,0),'Full Inventory'!F:F,0))),"X","_"),"_")</f>
        <v>_</v>
      </c>
      <c r="L1471" t="str">
        <f t="shared" ca="1" si="90"/>
        <v>__X_</v>
      </c>
      <c r="M1471" t="str">
        <f t="shared" ca="1" si="91"/>
        <v/>
      </c>
    </row>
    <row r="1472" spans="1:13" x14ac:dyDescent="0.25">
      <c r="A1472" s="5"/>
      <c r="B1472" s="4" t="str">
        <f t="shared" si="89"/>
        <v/>
      </c>
      <c r="C1472" t="str">
        <f>IF(AND(TRIM(A1472)&lt;&gt;"",IFERROR(VLOOKUP(TRIM(B1472),Inventory!E:E,1,0),0)=0),"X","_")</f>
        <v>_</v>
      </c>
      <c r="D1472" t="str">
        <f>IF(AND(TRIM(A1472)&lt;&gt;"",IFERROR(VLOOKUP(TRIM(B1472),'Full Inventory'!F:F,1,0),0)=0),"X","_")</f>
        <v>_</v>
      </c>
      <c r="E1472" t="str">
        <f t="shared" si="92"/>
        <v>X</v>
      </c>
      <c r="F1472" t="str">
        <f ca="1">IFERROR(IF(AND(C1472&amp;D1472&amp;E1472="___",INDIRECT("Inventory!A"&amp;MATCH(VLOOKUP(B1472,Inventory!E:E,1,0),Inventory!E:E,0))&lt;&gt;INDIRECT("'Full Inventory'!B"&amp;MATCH(VLOOKUP(B1472,'Full Inventory'!F:F,1,0),'Full Inventory'!F:F,0))),"X","_"),"_")</f>
        <v>_</v>
      </c>
      <c r="L1472" t="str">
        <f t="shared" ca="1" si="90"/>
        <v>__X_</v>
      </c>
      <c r="M1472" t="str">
        <f t="shared" ca="1" si="91"/>
        <v/>
      </c>
    </row>
    <row r="1473" spans="1:13" x14ac:dyDescent="0.25">
      <c r="A1473" s="5"/>
      <c r="B1473" s="4" t="str">
        <f t="shared" si="89"/>
        <v/>
      </c>
      <c r="C1473" t="str">
        <f>IF(AND(TRIM(A1473)&lt;&gt;"",IFERROR(VLOOKUP(TRIM(B1473),Inventory!E:E,1,0),0)=0),"X","_")</f>
        <v>_</v>
      </c>
      <c r="D1473" t="str">
        <f>IF(AND(TRIM(A1473)&lt;&gt;"",IFERROR(VLOOKUP(TRIM(B1473),'Full Inventory'!F:F,1,0),0)=0),"X","_")</f>
        <v>_</v>
      </c>
      <c r="E1473" t="str">
        <f t="shared" si="92"/>
        <v>X</v>
      </c>
      <c r="F1473" t="str">
        <f ca="1">IFERROR(IF(AND(C1473&amp;D1473&amp;E1473="___",INDIRECT("Inventory!A"&amp;MATCH(VLOOKUP(B1473,Inventory!E:E,1,0),Inventory!E:E,0))&lt;&gt;INDIRECT("'Full Inventory'!B"&amp;MATCH(VLOOKUP(B1473,'Full Inventory'!F:F,1,0),'Full Inventory'!F:F,0))),"X","_"),"_")</f>
        <v>_</v>
      </c>
      <c r="L1473" t="str">
        <f t="shared" ca="1" si="90"/>
        <v>__X_</v>
      </c>
      <c r="M1473" t="str">
        <f t="shared" ca="1" si="91"/>
        <v/>
      </c>
    </row>
    <row r="1474" spans="1:13" x14ac:dyDescent="0.25">
      <c r="A1474" s="5"/>
      <c r="B1474" s="4" t="str">
        <f t="shared" si="89"/>
        <v/>
      </c>
      <c r="C1474" t="str">
        <f>IF(AND(TRIM(A1474)&lt;&gt;"",IFERROR(VLOOKUP(TRIM(B1474),Inventory!E:E,1,0),0)=0),"X","_")</f>
        <v>_</v>
      </c>
      <c r="D1474" t="str">
        <f>IF(AND(TRIM(A1474)&lt;&gt;"",IFERROR(VLOOKUP(TRIM(B1474),'Full Inventory'!F:F,1,0),0)=0),"X","_")</f>
        <v>_</v>
      </c>
      <c r="E1474" t="str">
        <f t="shared" si="92"/>
        <v>X</v>
      </c>
      <c r="F1474" t="str">
        <f ca="1">IFERROR(IF(AND(C1474&amp;D1474&amp;E1474="___",INDIRECT("Inventory!A"&amp;MATCH(VLOOKUP(B1474,Inventory!E:E,1,0),Inventory!E:E,0))&lt;&gt;INDIRECT("'Full Inventory'!B"&amp;MATCH(VLOOKUP(B1474,'Full Inventory'!F:F,1,0),'Full Inventory'!F:F,0))),"X","_"),"_")</f>
        <v>_</v>
      </c>
      <c r="L1474" t="str">
        <f t="shared" ca="1" si="90"/>
        <v>__X_</v>
      </c>
      <c r="M1474" t="str">
        <f t="shared" ca="1" si="91"/>
        <v/>
      </c>
    </row>
    <row r="1475" spans="1:13" x14ac:dyDescent="0.25">
      <c r="A1475" s="5"/>
      <c r="B1475" s="4" t="str">
        <f t="shared" ref="B1475:B1538" si="93">SUBSTITUTE(SUBSTITUTE(A1475,"ö","0"),"Ö","0")</f>
        <v/>
      </c>
      <c r="C1475" t="str">
        <f>IF(AND(TRIM(A1475)&lt;&gt;"",IFERROR(VLOOKUP(TRIM(B1475),Inventory!E:E,1,0),0)=0),"X","_")</f>
        <v>_</v>
      </c>
      <c r="D1475" t="str">
        <f>IF(AND(TRIM(A1475)&lt;&gt;"",IFERROR(VLOOKUP(TRIM(B1475),'Full Inventory'!F:F,1,0),0)=0),"X","_")</f>
        <v>_</v>
      </c>
      <c r="E1475" t="str">
        <f t="shared" si="92"/>
        <v>X</v>
      </c>
      <c r="F1475" t="str">
        <f ca="1">IFERROR(IF(AND(C1475&amp;D1475&amp;E1475="___",INDIRECT("Inventory!A"&amp;MATCH(VLOOKUP(B1475,Inventory!E:E,1,0),Inventory!E:E,0))&lt;&gt;INDIRECT("'Full Inventory'!B"&amp;MATCH(VLOOKUP(B1475,'Full Inventory'!F:F,1,0),'Full Inventory'!F:F,0))),"X","_"),"_")</f>
        <v>_</v>
      </c>
      <c r="L1475" t="str">
        <f t="shared" ref="L1475:L1538" ca="1" si="94">C1475&amp;D1475&amp;E1475&amp;F1475</f>
        <v>__X_</v>
      </c>
      <c r="M1475" t="str">
        <f t="shared" ref="M1475:M1538" ca="1" si="95">IF(L1475="____","OK",IF(L1475="_X__","NOT IN FULL INVENTORY",IF(L1475="XX__","NOT IN FULL INVENTORY AND INVENTORY",IF(L1475="X___","NOT IN INVENTORY",IF(L1475="___X","DIFFERENT NAMES IN FULL INVENTORY AND INVENTORY","")))))</f>
        <v/>
      </c>
    </row>
    <row r="1476" spans="1:13" x14ac:dyDescent="0.25">
      <c r="A1476" s="5"/>
      <c r="B1476" s="4" t="str">
        <f t="shared" si="93"/>
        <v/>
      </c>
      <c r="C1476" t="str">
        <f>IF(AND(TRIM(A1476)&lt;&gt;"",IFERROR(VLOOKUP(TRIM(B1476),Inventory!E:E,1,0),0)=0),"X","_")</f>
        <v>_</v>
      </c>
      <c r="D1476" t="str">
        <f>IF(AND(TRIM(A1476)&lt;&gt;"",IFERROR(VLOOKUP(TRIM(B1476),'Full Inventory'!F:F,1,0),0)=0),"X","_")</f>
        <v>_</v>
      </c>
      <c r="E1476" t="str">
        <f t="shared" si="92"/>
        <v>X</v>
      </c>
      <c r="F1476" t="str">
        <f ca="1">IFERROR(IF(AND(C1476&amp;D1476&amp;E1476="___",INDIRECT("Inventory!A"&amp;MATCH(VLOOKUP(B1476,Inventory!E:E,1,0),Inventory!E:E,0))&lt;&gt;INDIRECT("'Full Inventory'!B"&amp;MATCH(VLOOKUP(B1476,'Full Inventory'!F:F,1,0),'Full Inventory'!F:F,0))),"X","_"),"_")</f>
        <v>_</v>
      </c>
      <c r="L1476" t="str">
        <f t="shared" ca="1" si="94"/>
        <v>__X_</v>
      </c>
      <c r="M1476" t="str">
        <f t="shared" ca="1" si="95"/>
        <v/>
      </c>
    </row>
    <row r="1477" spans="1:13" x14ac:dyDescent="0.25">
      <c r="A1477" s="5"/>
      <c r="B1477" s="4" t="str">
        <f t="shared" si="93"/>
        <v/>
      </c>
      <c r="C1477" t="str">
        <f>IF(AND(TRIM(A1477)&lt;&gt;"",IFERROR(VLOOKUP(TRIM(B1477),Inventory!E:E,1,0),0)=0),"X","_")</f>
        <v>_</v>
      </c>
      <c r="D1477" t="str">
        <f>IF(AND(TRIM(A1477)&lt;&gt;"",IFERROR(VLOOKUP(TRIM(B1477),'Full Inventory'!F:F,1,0),0)=0),"X","_")</f>
        <v>_</v>
      </c>
      <c r="E1477" t="str">
        <f t="shared" si="92"/>
        <v>X</v>
      </c>
      <c r="F1477" t="str">
        <f ca="1">IFERROR(IF(AND(C1477&amp;D1477&amp;E1477="___",INDIRECT("Inventory!A"&amp;MATCH(VLOOKUP(B1477,Inventory!E:E,1,0),Inventory!E:E,0))&lt;&gt;INDIRECT("'Full Inventory'!B"&amp;MATCH(VLOOKUP(B1477,'Full Inventory'!F:F,1,0),'Full Inventory'!F:F,0))),"X","_"),"_")</f>
        <v>_</v>
      </c>
      <c r="L1477" t="str">
        <f t="shared" ca="1" si="94"/>
        <v>__X_</v>
      </c>
      <c r="M1477" t="str">
        <f t="shared" ca="1" si="95"/>
        <v/>
      </c>
    </row>
    <row r="1478" spans="1:13" x14ac:dyDescent="0.25">
      <c r="A1478" s="5"/>
      <c r="B1478" s="4" t="str">
        <f t="shared" si="93"/>
        <v/>
      </c>
      <c r="C1478" t="str">
        <f>IF(AND(TRIM(A1478)&lt;&gt;"",IFERROR(VLOOKUP(TRIM(B1478),Inventory!E:E,1,0),0)=0),"X","_")</f>
        <v>_</v>
      </c>
      <c r="D1478" t="str">
        <f>IF(AND(TRIM(A1478)&lt;&gt;"",IFERROR(VLOOKUP(TRIM(B1478),'Full Inventory'!F:F,1,0),0)=0),"X","_")</f>
        <v>_</v>
      </c>
      <c r="E1478" t="str">
        <f t="shared" si="92"/>
        <v>X</v>
      </c>
      <c r="F1478" t="str">
        <f ca="1">IFERROR(IF(AND(C1478&amp;D1478&amp;E1478="___",INDIRECT("Inventory!A"&amp;MATCH(VLOOKUP(B1478,Inventory!E:E,1,0),Inventory!E:E,0))&lt;&gt;INDIRECT("'Full Inventory'!B"&amp;MATCH(VLOOKUP(B1478,'Full Inventory'!F:F,1,0),'Full Inventory'!F:F,0))),"X","_"),"_")</f>
        <v>_</v>
      </c>
      <c r="L1478" t="str">
        <f t="shared" ca="1" si="94"/>
        <v>__X_</v>
      </c>
      <c r="M1478" t="str">
        <f t="shared" ca="1" si="95"/>
        <v/>
      </c>
    </row>
    <row r="1479" spans="1:13" x14ac:dyDescent="0.25">
      <c r="A1479" s="5"/>
      <c r="B1479" s="4" t="str">
        <f t="shared" si="93"/>
        <v/>
      </c>
      <c r="C1479" t="str">
        <f>IF(AND(TRIM(A1479)&lt;&gt;"",IFERROR(VLOOKUP(TRIM(B1479),Inventory!E:E,1,0),0)=0),"X","_")</f>
        <v>_</v>
      </c>
      <c r="D1479" t="str">
        <f>IF(AND(TRIM(A1479)&lt;&gt;"",IFERROR(VLOOKUP(TRIM(B1479),'Full Inventory'!F:F,1,0),0)=0),"X","_")</f>
        <v>_</v>
      </c>
      <c r="E1479" t="str">
        <f t="shared" si="92"/>
        <v>X</v>
      </c>
      <c r="F1479" t="str">
        <f ca="1">IFERROR(IF(AND(C1479&amp;D1479&amp;E1479="___",INDIRECT("Inventory!A"&amp;MATCH(VLOOKUP(B1479,Inventory!E:E,1,0),Inventory!E:E,0))&lt;&gt;INDIRECT("'Full Inventory'!B"&amp;MATCH(VLOOKUP(B1479,'Full Inventory'!F:F,1,0),'Full Inventory'!F:F,0))),"X","_"),"_")</f>
        <v>_</v>
      </c>
      <c r="L1479" t="str">
        <f t="shared" ca="1" si="94"/>
        <v>__X_</v>
      </c>
      <c r="M1479" t="str">
        <f t="shared" ca="1" si="95"/>
        <v/>
      </c>
    </row>
    <row r="1480" spans="1:13" x14ac:dyDescent="0.25">
      <c r="A1480" s="5"/>
      <c r="B1480" s="4" t="str">
        <f t="shared" si="93"/>
        <v/>
      </c>
      <c r="C1480" t="str">
        <f>IF(AND(TRIM(A1480)&lt;&gt;"",IFERROR(VLOOKUP(TRIM(B1480),Inventory!E:E,1,0),0)=0),"X","_")</f>
        <v>_</v>
      </c>
      <c r="D1480" t="str">
        <f>IF(AND(TRIM(A1480)&lt;&gt;"",IFERROR(VLOOKUP(TRIM(B1480),'Full Inventory'!F:F,1,0),0)=0),"X","_")</f>
        <v>_</v>
      </c>
      <c r="E1480" t="str">
        <f t="shared" si="92"/>
        <v>X</v>
      </c>
      <c r="F1480" t="str">
        <f ca="1">IFERROR(IF(AND(C1480&amp;D1480&amp;E1480="___",INDIRECT("Inventory!A"&amp;MATCH(VLOOKUP(B1480,Inventory!E:E,1,0),Inventory!E:E,0))&lt;&gt;INDIRECT("'Full Inventory'!B"&amp;MATCH(VLOOKUP(B1480,'Full Inventory'!F:F,1,0),'Full Inventory'!F:F,0))),"X","_"),"_")</f>
        <v>_</v>
      </c>
      <c r="L1480" t="str">
        <f t="shared" ca="1" si="94"/>
        <v>__X_</v>
      </c>
      <c r="M1480" t="str">
        <f t="shared" ca="1" si="95"/>
        <v/>
      </c>
    </row>
    <row r="1481" spans="1:13" x14ac:dyDescent="0.25">
      <c r="A1481" s="5"/>
      <c r="B1481" s="4" t="str">
        <f t="shared" si="93"/>
        <v/>
      </c>
      <c r="C1481" t="str">
        <f>IF(AND(TRIM(A1481)&lt;&gt;"",IFERROR(VLOOKUP(TRIM(B1481),Inventory!E:E,1,0),0)=0),"X","_")</f>
        <v>_</v>
      </c>
      <c r="D1481" t="str">
        <f>IF(AND(TRIM(A1481)&lt;&gt;"",IFERROR(VLOOKUP(TRIM(B1481),'Full Inventory'!F:F,1,0),0)=0),"X","_")</f>
        <v>_</v>
      </c>
      <c r="E1481" t="str">
        <f t="shared" si="92"/>
        <v>X</v>
      </c>
      <c r="F1481" t="str">
        <f ca="1">IFERROR(IF(AND(C1481&amp;D1481&amp;E1481="___",INDIRECT("Inventory!A"&amp;MATCH(VLOOKUP(B1481,Inventory!E:E,1,0),Inventory!E:E,0))&lt;&gt;INDIRECT("'Full Inventory'!B"&amp;MATCH(VLOOKUP(B1481,'Full Inventory'!F:F,1,0),'Full Inventory'!F:F,0))),"X","_"),"_")</f>
        <v>_</v>
      </c>
      <c r="L1481" t="str">
        <f t="shared" ca="1" si="94"/>
        <v>__X_</v>
      </c>
      <c r="M1481" t="str">
        <f t="shared" ca="1" si="95"/>
        <v/>
      </c>
    </row>
    <row r="1482" spans="1:13" x14ac:dyDescent="0.25">
      <c r="A1482" s="5"/>
      <c r="B1482" s="4" t="str">
        <f t="shared" si="93"/>
        <v/>
      </c>
      <c r="C1482" t="str">
        <f>IF(AND(TRIM(A1482)&lt;&gt;"",IFERROR(VLOOKUP(TRIM(B1482),Inventory!E:E,1,0),0)=0),"X","_")</f>
        <v>_</v>
      </c>
      <c r="D1482" t="str">
        <f>IF(AND(TRIM(A1482)&lt;&gt;"",IFERROR(VLOOKUP(TRIM(B1482),'Full Inventory'!F:F,1,0),0)=0),"X","_")</f>
        <v>_</v>
      </c>
      <c r="E1482" t="str">
        <f t="shared" si="92"/>
        <v>X</v>
      </c>
      <c r="F1482" t="str">
        <f ca="1">IFERROR(IF(AND(C1482&amp;D1482&amp;E1482="___",INDIRECT("Inventory!A"&amp;MATCH(VLOOKUP(B1482,Inventory!E:E,1,0),Inventory!E:E,0))&lt;&gt;INDIRECT("'Full Inventory'!B"&amp;MATCH(VLOOKUP(B1482,'Full Inventory'!F:F,1,0),'Full Inventory'!F:F,0))),"X","_"),"_")</f>
        <v>_</v>
      </c>
      <c r="L1482" t="str">
        <f t="shared" ca="1" si="94"/>
        <v>__X_</v>
      </c>
      <c r="M1482" t="str">
        <f t="shared" ca="1" si="95"/>
        <v/>
      </c>
    </row>
    <row r="1483" spans="1:13" x14ac:dyDescent="0.25">
      <c r="A1483" s="5"/>
      <c r="B1483" s="4" t="str">
        <f t="shared" si="93"/>
        <v/>
      </c>
      <c r="C1483" t="str">
        <f>IF(AND(TRIM(A1483)&lt;&gt;"",IFERROR(VLOOKUP(TRIM(B1483),Inventory!E:E,1,0),0)=0),"X","_")</f>
        <v>_</v>
      </c>
      <c r="D1483" t="str">
        <f>IF(AND(TRIM(A1483)&lt;&gt;"",IFERROR(VLOOKUP(TRIM(B1483),'Full Inventory'!F:F,1,0),0)=0),"X","_")</f>
        <v>_</v>
      </c>
      <c r="E1483" t="str">
        <f t="shared" si="92"/>
        <v>X</v>
      </c>
      <c r="F1483" t="str">
        <f ca="1">IFERROR(IF(AND(C1483&amp;D1483&amp;E1483="___",INDIRECT("Inventory!A"&amp;MATCH(VLOOKUP(B1483,Inventory!E:E,1,0),Inventory!E:E,0))&lt;&gt;INDIRECT("'Full Inventory'!B"&amp;MATCH(VLOOKUP(B1483,'Full Inventory'!F:F,1,0),'Full Inventory'!F:F,0))),"X","_"),"_")</f>
        <v>_</v>
      </c>
      <c r="L1483" t="str">
        <f t="shared" ca="1" si="94"/>
        <v>__X_</v>
      </c>
      <c r="M1483" t="str">
        <f t="shared" ca="1" si="95"/>
        <v/>
      </c>
    </row>
    <row r="1484" spans="1:13" x14ac:dyDescent="0.25">
      <c r="A1484" s="5"/>
      <c r="B1484" s="4" t="str">
        <f t="shared" si="93"/>
        <v/>
      </c>
      <c r="C1484" t="str">
        <f>IF(AND(TRIM(A1484)&lt;&gt;"",IFERROR(VLOOKUP(TRIM(B1484),Inventory!E:E,1,0),0)=0),"X","_")</f>
        <v>_</v>
      </c>
      <c r="D1484" t="str">
        <f>IF(AND(TRIM(A1484)&lt;&gt;"",IFERROR(VLOOKUP(TRIM(B1484),'Full Inventory'!F:F,1,0),0)=0),"X","_")</f>
        <v>_</v>
      </c>
      <c r="E1484" t="str">
        <f t="shared" si="92"/>
        <v>X</v>
      </c>
      <c r="F1484" t="str">
        <f ca="1">IFERROR(IF(AND(C1484&amp;D1484&amp;E1484="___",INDIRECT("Inventory!A"&amp;MATCH(VLOOKUP(B1484,Inventory!E:E,1,0),Inventory!E:E,0))&lt;&gt;INDIRECT("'Full Inventory'!B"&amp;MATCH(VLOOKUP(B1484,'Full Inventory'!F:F,1,0),'Full Inventory'!F:F,0))),"X","_"),"_")</f>
        <v>_</v>
      </c>
      <c r="L1484" t="str">
        <f t="shared" ca="1" si="94"/>
        <v>__X_</v>
      </c>
      <c r="M1484" t="str">
        <f t="shared" ca="1" si="95"/>
        <v/>
      </c>
    </row>
    <row r="1485" spans="1:13" x14ac:dyDescent="0.25">
      <c r="A1485" s="5"/>
      <c r="B1485" s="4" t="str">
        <f t="shared" si="93"/>
        <v/>
      </c>
      <c r="C1485" t="str">
        <f>IF(AND(TRIM(A1485)&lt;&gt;"",IFERROR(VLOOKUP(TRIM(B1485),Inventory!E:E,1,0),0)=0),"X","_")</f>
        <v>_</v>
      </c>
      <c r="D1485" t="str">
        <f>IF(AND(TRIM(A1485)&lt;&gt;"",IFERROR(VLOOKUP(TRIM(B1485),'Full Inventory'!F:F,1,0),0)=0),"X","_")</f>
        <v>_</v>
      </c>
      <c r="E1485" t="str">
        <f t="shared" si="92"/>
        <v>X</v>
      </c>
      <c r="F1485" t="str">
        <f ca="1">IFERROR(IF(AND(C1485&amp;D1485&amp;E1485="___",INDIRECT("Inventory!A"&amp;MATCH(VLOOKUP(B1485,Inventory!E:E,1,0),Inventory!E:E,0))&lt;&gt;INDIRECT("'Full Inventory'!B"&amp;MATCH(VLOOKUP(B1485,'Full Inventory'!F:F,1,0),'Full Inventory'!F:F,0))),"X","_"),"_")</f>
        <v>_</v>
      </c>
      <c r="L1485" t="str">
        <f t="shared" ca="1" si="94"/>
        <v>__X_</v>
      </c>
      <c r="M1485" t="str">
        <f t="shared" ca="1" si="95"/>
        <v/>
      </c>
    </row>
    <row r="1486" spans="1:13" x14ac:dyDescent="0.25">
      <c r="A1486" s="5"/>
      <c r="B1486" s="4" t="str">
        <f t="shared" si="93"/>
        <v/>
      </c>
      <c r="C1486" t="str">
        <f>IF(AND(TRIM(A1486)&lt;&gt;"",IFERROR(VLOOKUP(TRIM(B1486),Inventory!E:E,1,0),0)=0),"X","_")</f>
        <v>_</v>
      </c>
      <c r="D1486" t="str">
        <f>IF(AND(TRIM(A1486)&lt;&gt;"",IFERROR(VLOOKUP(TRIM(B1486),'Full Inventory'!F:F,1,0),0)=0),"X","_")</f>
        <v>_</v>
      </c>
      <c r="E1486" t="str">
        <f t="shared" si="92"/>
        <v>X</v>
      </c>
      <c r="F1486" t="str">
        <f ca="1">IFERROR(IF(AND(C1486&amp;D1486&amp;E1486="___",INDIRECT("Inventory!A"&amp;MATCH(VLOOKUP(B1486,Inventory!E:E,1,0),Inventory!E:E,0))&lt;&gt;INDIRECT("'Full Inventory'!B"&amp;MATCH(VLOOKUP(B1486,'Full Inventory'!F:F,1,0),'Full Inventory'!F:F,0))),"X","_"),"_")</f>
        <v>_</v>
      </c>
      <c r="L1486" t="str">
        <f t="shared" ca="1" si="94"/>
        <v>__X_</v>
      </c>
      <c r="M1486" t="str">
        <f t="shared" ca="1" si="95"/>
        <v/>
      </c>
    </row>
    <row r="1487" spans="1:13" x14ac:dyDescent="0.25">
      <c r="A1487" s="5"/>
      <c r="B1487" s="4" t="str">
        <f t="shared" si="93"/>
        <v/>
      </c>
      <c r="C1487" t="str">
        <f>IF(AND(TRIM(A1487)&lt;&gt;"",IFERROR(VLOOKUP(TRIM(B1487),Inventory!E:E,1,0),0)=0),"X","_")</f>
        <v>_</v>
      </c>
      <c r="D1487" t="str">
        <f>IF(AND(TRIM(A1487)&lt;&gt;"",IFERROR(VLOOKUP(TRIM(B1487),'Full Inventory'!F:F,1,0),0)=0),"X","_")</f>
        <v>_</v>
      </c>
      <c r="E1487" t="str">
        <f t="shared" si="92"/>
        <v>X</v>
      </c>
      <c r="F1487" t="str">
        <f ca="1">IFERROR(IF(AND(C1487&amp;D1487&amp;E1487="___",INDIRECT("Inventory!A"&amp;MATCH(VLOOKUP(B1487,Inventory!E:E,1,0),Inventory!E:E,0))&lt;&gt;INDIRECT("'Full Inventory'!B"&amp;MATCH(VLOOKUP(B1487,'Full Inventory'!F:F,1,0),'Full Inventory'!F:F,0))),"X","_"),"_")</f>
        <v>_</v>
      </c>
      <c r="L1487" t="str">
        <f t="shared" ca="1" si="94"/>
        <v>__X_</v>
      </c>
      <c r="M1487" t="str">
        <f t="shared" ca="1" si="95"/>
        <v/>
      </c>
    </row>
    <row r="1488" spans="1:13" x14ac:dyDescent="0.25">
      <c r="A1488" s="5"/>
      <c r="B1488" s="4" t="str">
        <f t="shared" si="93"/>
        <v/>
      </c>
      <c r="C1488" t="str">
        <f>IF(AND(TRIM(A1488)&lt;&gt;"",IFERROR(VLOOKUP(TRIM(B1488),Inventory!E:E,1,0),0)=0),"X","_")</f>
        <v>_</v>
      </c>
      <c r="D1488" t="str">
        <f>IF(AND(TRIM(A1488)&lt;&gt;"",IFERROR(VLOOKUP(TRIM(B1488),'Full Inventory'!F:F,1,0),0)=0),"X","_")</f>
        <v>_</v>
      </c>
      <c r="E1488" t="str">
        <f t="shared" si="92"/>
        <v>X</v>
      </c>
      <c r="F1488" t="str">
        <f ca="1">IFERROR(IF(AND(C1488&amp;D1488&amp;E1488="___",INDIRECT("Inventory!A"&amp;MATCH(VLOOKUP(B1488,Inventory!E:E,1,0),Inventory!E:E,0))&lt;&gt;INDIRECT("'Full Inventory'!B"&amp;MATCH(VLOOKUP(B1488,'Full Inventory'!F:F,1,0),'Full Inventory'!F:F,0))),"X","_"),"_")</f>
        <v>_</v>
      </c>
      <c r="L1488" t="str">
        <f t="shared" ca="1" si="94"/>
        <v>__X_</v>
      </c>
      <c r="M1488" t="str">
        <f t="shared" ca="1" si="95"/>
        <v/>
      </c>
    </row>
    <row r="1489" spans="1:13" x14ac:dyDescent="0.25">
      <c r="A1489" s="5"/>
      <c r="B1489" s="4" t="str">
        <f t="shared" si="93"/>
        <v/>
      </c>
      <c r="C1489" t="str">
        <f>IF(AND(TRIM(A1489)&lt;&gt;"",IFERROR(VLOOKUP(TRIM(B1489),Inventory!E:E,1,0),0)=0),"X","_")</f>
        <v>_</v>
      </c>
      <c r="D1489" t="str">
        <f>IF(AND(TRIM(A1489)&lt;&gt;"",IFERROR(VLOOKUP(TRIM(B1489),'Full Inventory'!F:F,1,0),0)=0),"X","_")</f>
        <v>_</v>
      </c>
      <c r="E1489" t="str">
        <f t="shared" si="92"/>
        <v>X</v>
      </c>
      <c r="F1489" t="str">
        <f ca="1">IFERROR(IF(AND(C1489&amp;D1489&amp;E1489="___",INDIRECT("Inventory!A"&amp;MATCH(VLOOKUP(B1489,Inventory!E:E,1,0),Inventory!E:E,0))&lt;&gt;INDIRECT("'Full Inventory'!B"&amp;MATCH(VLOOKUP(B1489,'Full Inventory'!F:F,1,0),'Full Inventory'!F:F,0))),"X","_"),"_")</f>
        <v>_</v>
      </c>
      <c r="L1489" t="str">
        <f t="shared" ca="1" si="94"/>
        <v>__X_</v>
      </c>
      <c r="M1489" t="str">
        <f t="shared" ca="1" si="95"/>
        <v/>
      </c>
    </row>
    <row r="1490" spans="1:13" x14ac:dyDescent="0.25">
      <c r="A1490" s="5"/>
      <c r="B1490" s="4" t="str">
        <f t="shared" si="93"/>
        <v/>
      </c>
      <c r="C1490" t="str">
        <f>IF(AND(TRIM(A1490)&lt;&gt;"",IFERROR(VLOOKUP(TRIM(B1490),Inventory!E:E,1,0),0)=0),"X","_")</f>
        <v>_</v>
      </c>
      <c r="D1490" t="str">
        <f>IF(AND(TRIM(A1490)&lt;&gt;"",IFERROR(VLOOKUP(TRIM(B1490),'Full Inventory'!F:F,1,0),0)=0),"X","_")</f>
        <v>_</v>
      </c>
      <c r="E1490" t="str">
        <f t="shared" si="92"/>
        <v>X</v>
      </c>
      <c r="F1490" t="str">
        <f ca="1">IFERROR(IF(AND(C1490&amp;D1490&amp;E1490="___",INDIRECT("Inventory!A"&amp;MATCH(VLOOKUP(B1490,Inventory!E:E,1,0),Inventory!E:E,0))&lt;&gt;INDIRECT("'Full Inventory'!B"&amp;MATCH(VLOOKUP(B1490,'Full Inventory'!F:F,1,0),'Full Inventory'!F:F,0))),"X","_"),"_")</f>
        <v>_</v>
      </c>
      <c r="L1490" t="str">
        <f t="shared" ca="1" si="94"/>
        <v>__X_</v>
      </c>
      <c r="M1490" t="str">
        <f t="shared" ca="1" si="95"/>
        <v/>
      </c>
    </row>
    <row r="1491" spans="1:13" x14ac:dyDescent="0.25">
      <c r="A1491" s="5"/>
      <c r="B1491" s="4" t="str">
        <f t="shared" si="93"/>
        <v/>
      </c>
      <c r="C1491" t="str">
        <f>IF(AND(TRIM(A1491)&lt;&gt;"",IFERROR(VLOOKUP(TRIM(B1491),Inventory!E:E,1,0),0)=0),"X","_")</f>
        <v>_</v>
      </c>
      <c r="D1491" t="str">
        <f>IF(AND(TRIM(A1491)&lt;&gt;"",IFERROR(VLOOKUP(TRIM(B1491),'Full Inventory'!F:F,1,0),0)=0),"X","_")</f>
        <v>_</v>
      </c>
      <c r="E1491" t="str">
        <f t="shared" si="92"/>
        <v>X</v>
      </c>
      <c r="F1491" t="str">
        <f ca="1">IFERROR(IF(AND(C1491&amp;D1491&amp;E1491="___",INDIRECT("Inventory!A"&amp;MATCH(VLOOKUP(B1491,Inventory!E:E,1,0),Inventory!E:E,0))&lt;&gt;INDIRECT("'Full Inventory'!B"&amp;MATCH(VLOOKUP(B1491,'Full Inventory'!F:F,1,0),'Full Inventory'!F:F,0))),"X","_"),"_")</f>
        <v>_</v>
      </c>
      <c r="L1491" t="str">
        <f t="shared" ca="1" si="94"/>
        <v>__X_</v>
      </c>
      <c r="M1491" t="str">
        <f t="shared" ca="1" si="95"/>
        <v/>
      </c>
    </row>
    <row r="1492" spans="1:13" x14ac:dyDescent="0.25">
      <c r="A1492" s="5"/>
      <c r="B1492" s="4" t="str">
        <f t="shared" si="93"/>
        <v/>
      </c>
      <c r="C1492" t="str">
        <f>IF(AND(TRIM(A1492)&lt;&gt;"",IFERROR(VLOOKUP(TRIM(B1492),Inventory!E:E,1,0),0)=0),"X","_")</f>
        <v>_</v>
      </c>
      <c r="D1492" t="str">
        <f>IF(AND(TRIM(A1492)&lt;&gt;"",IFERROR(VLOOKUP(TRIM(B1492),'Full Inventory'!F:F,1,0),0)=0),"X","_")</f>
        <v>_</v>
      </c>
      <c r="E1492" t="str">
        <f t="shared" ref="E1492:E1555" si="96">IF(TRIM(A1492)&lt;&gt;"","_","X")</f>
        <v>X</v>
      </c>
      <c r="F1492" t="str">
        <f ca="1">IFERROR(IF(AND(C1492&amp;D1492&amp;E1492="___",INDIRECT("Inventory!A"&amp;MATCH(VLOOKUP(B1492,Inventory!E:E,1,0),Inventory!E:E,0))&lt;&gt;INDIRECT("'Full Inventory'!B"&amp;MATCH(VLOOKUP(B1492,'Full Inventory'!F:F,1,0),'Full Inventory'!F:F,0))),"X","_"),"_")</f>
        <v>_</v>
      </c>
      <c r="L1492" t="str">
        <f t="shared" ca="1" si="94"/>
        <v>__X_</v>
      </c>
      <c r="M1492" t="str">
        <f t="shared" ca="1" si="95"/>
        <v/>
      </c>
    </row>
    <row r="1493" spans="1:13" x14ac:dyDescent="0.25">
      <c r="A1493" s="5"/>
      <c r="B1493" s="4" t="str">
        <f t="shared" si="93"/>
        <v/>
      </c>
      <c r="C1493" t="str">
        <f>IF(AND(TRIM(A1493)&lt;&gt;"",IFERROR(VLOOKUP(TRIM(B1493),Inventory!E:E,1,0),0)=0),"X","_")</f>
        <v>_</v>
      </c>
      <c r="D1493" t="str">
        <f>IF(AND(TRIM(A1493)&lt;&gt;"",IFERROR(VLOOKUP(TRIM(B1493),'Full Inventory'!F:F,1,0),0)=0),"X","_")</f>
        <v>_</v>
      </c>
      <c r="E1493" t="str">
        <f t="shared" si="96"/>
        <v>X</v>
      </c>
      <c r="F1493" t="str">
        <f ca="1">IFERROR(IF(AND(C1493&amp;D1493&amp;E1493="___",INDIRECT("Inventory!A"&amp;MATCH(VLOOKUP(B1493,Inventory!E:E,1,0),Inventory!E:E,0))&lt;&gt;INDIRECT("'Full Inventory'!B"&amp;MATCH(VLOOKUP(B1493,'Full Inventory'!F:F,1,0),'Full Inventory'!F:F,0))),"X","_"),"_")</f>
        <v>_</v>
      </c>
      <c r="L1493" t="str">
        <f t="shared" ca="1" si="94"/>
        <v>__X_</v>
      </c>
      <c r="M1493" t="str">
        <f t="shared" ca="1" si="95"/>
        <v/>
      </c>
    </row>
    <row r="1494" spans="1:13" x14ac:dyDescent="0.25">
      <c r="A1494" s="5"/>
      <c r="B1494" s="4" t="str">
        <f t="shared" si="93"/>
        <v/>
      </c>
      <c r="C1494" t="str">
        <f>IF(AND(TRIM(A1494)&lt;&gt;"",IFERROR(VLOOKUP(TRIM(B1494),Inventory!E:E,1,0),0)=0),"X","_")</f>
        <v>_</v>
      </c>
      <c r="D1494" t="str">
        <f>IF(AND(TRIM(A1494)&lt;&gt;"",IFERROR(VLOOKUP(TRIM(B1494),'Full Inventory'!F:F,1,0),0)=0),"X","_")</f>
        <v>_</v>
      </c>
      <c r="E1494" t="str">
        <f t="shared" si="96"/>
        <v>X</v>
      </c>
      <c r="F1494" t="str">
        <f ca="1">IFERROR(IF(AND(C1494&amp;D1494&amp;E1494="___",INDIRECT("Inventory!A"&amp;MATCH(VLOOKUP(B1494,Inventory!E:E,1,0),Inventory!E:E,0))&lt;&gt;INDIRECT("'Full Inventory'!B"&amp;MATCH(VLOOKUP(B1494,'Full Inventory'!F:F,1,0),'Full Inventory'!F:F,0))),"X","_"),"_")</f>
        <v>_</v>
      </c>
      <c r="L1494" t="str">
        <f t="shared" ca="1" si="94"/>
        <v>__X_</v>
      </c>
      <c r="M1494" t="str">
        <f t="shared" ca="1" si="95"/>
        <v/>
      </c>
    </row>
    <row r="1495" spans="1:13" x14ac:dyDescent="0.25">
      <c r="A1495" s="5"/>
      <c r="B1495" s="4" t="str">
        <f t="shared" si="93"/>
        <v/>
      </c>
      <c r="C1495" t="str">
        <f>IF(AND(TRIM(A1495)&lt;&gt;"",IFERROR(VLOOKUP(TRIM(B1495),Inventory!E:E,1,0),0)=0),"X","_")</f>
        <v>_</v>
      </c>
      <c r="D1495" t="str">
        <f>IF(AND(TRIM(A1495)&lt;&gt;"",IFERROR(VLOOKUP(TRIM(B1495),'Full Inventory'!F:F,1,0),0)=0),"X","_")</f>
        <v>_</v>
      </c>
      <c r="E1495" t="str">
        <f t="shared" si="96"/>
        <v>X</v>
      </c>
      <c r="F1495" t="str">
        <f ca="1">IFERROR(IF(AND(C1495&amp;D1495&amp;E1495="___",INDIRECT("Inventory!A"&amp;MATCH(VLOOKUP(B1495,Inventory!E:E,1,0),Inventory!E:E,0))&lt;&gt;INDIRECT("'Full Inventory'!B"&amp;MATCH(VLOOKUP(B1495,'Full Inventory'!F:F,1,0),'Full Inventory'!F:F,0))),"X","_"),"_")</f>
        <v>_</v>
      </c>
      <c r="L1495" t="str">
        <f t="shared" ca="1" si="94"/>
        <v>__X_</v>
      </c>
      <c r="M1495" t="str">
        <f t="shared" ca="1" si="95"/>
        <v/>
      </c>
    </row>
    <row r="1496" spans="1:13" x14ac:dyDescent="0.25">
      <c r="A1496" s="5"/>
      <c r="B1496" s="4" t="str">
        <f t="shared" si="93"/>
        <v/>
      </c>
      <c r="C1496" t="str">
        <f>IF(AND(TRIM(A1496)&lt;&gt;"",IFERROR(VLOOKUP(TRIM(B1496),Inventory!E:E,1,0),0)=0),"X","_")</f>
        <v>_</v>
      </c>
      <c r="D1496" t="str">
        <f>IF(AND(TRIM(A1496)&lt;&gt;"",IFERROR(VLOOKUP(TRIM(B1496),'Full Inventory'!F:F,1,0),0)=0),"X","_")</f>
        <v>_</v>
      </c>
      <c r="E1496" t="str">
        <f t="shared" si="96"/>
        <v>X</v>
      </c>
      <c r="F1496" t="str">
        <f ca="1">IFERROR(IF(AND(C1496&amp;D1496&amp;E1496="___",INDIRECT("Inventory!A"&amp;MATCH(VLOOKUP(B1496,Inventory!E:E,1,0),Inventory!E:E,0))&lt;&gt;INDIRECT("'Full Inventory'!B"&amp;MATCH(VLOOKUP(B1496,'Full Inventory'!F:F,1,0),'Full Inventory'!F:F,0))),"X","_"),"_")</f>
        <v>_</v>
      </c>
      <c r="L1496" t="str">
        <f t="shared" ca="1" si="94"/>
        <v>__X_</v>
      </c>
      <c r="M1496" t="str">
        <f t="shared" ca="1" si="95"/>
        <v/>
      </c>
    </row>
    <row r="1497" spans="1:13" x14ac:dyDescent="0.25">
      <c r="A1497" s="5"/>
      <c r="B1497" s="4" t="str">
        <f t="shared" si="93"/>
        <v/>
      </c>
      <c r="C1497" t="str">
        <f>IF(AND(TRIM(A1497)&lt;&gt;"",IFERROR(VLOOKUP(TRIM(B1497),Inventory!E:E,1,0),0)=0),"X","_")</f>
        <v>_</v>
      </c>
      <c r="D1497" t="str">
        <f>IF(AND(TRIM(A1497)&lt;&gt;"",IFERROR(VLOOKUP(TRIM(B1497),'Full Inventory'!F:F,1,0),0)=0),"X","_")</f>
        <v>_</v>
      </c>
      <c r="E1497" t="str">
        <f t="shared" si="96"/>
        <v>X</v>
      </c>
      <c r="F1497" t="str">
        <f ca="1">IFERROR(IF(AND(C1497&amp;D1497&amp;E1497="___",INDIRECT("Inventory!A"&amp;MATCH(VLOOKUP(B1497,Inventory!E:E,1,0),Inventory!E:E,0))&lt;&gt;INDIRECT("'Full Inventory'!B"&amp;MATCH(VLOOKUP(B1497,'Full Inventory'!F:F,1,0),'Full Inventory'!F:F,0))),"X","_"),"_")</f>
        <v>_</v>
      </c>
      <c r="L1497" t="str">
        <f t="shared" ca="1" si="94"/>
        <v>__X_</v>
      </c>
      <c r="M1497" t="str">
        <f t="shared" ca="1" si="95"/>
        <v/>
      </c>
    </row>
    <row r="1498" spans="1:13" x14ac:dyDescent="0.25">
      <c r="A1498" s="5"/>
      <c r="B1498" s="4" t="str">
        <f t="shared" si="93"/>
        <v/>
      </c>
      <c r="C1498" t="str">
        <f>IF(AND(TRIM(A1498)&lt;&gt;"",IFERROR(VLOOKUP(TRIM(B1498),Inventory!E:E,1,0),0)=0),"X","_")</f>
        <v>_</v>
      </c>
      <c r="D1498" t="str">
        <f>IF(AND(TRIM(A1498)&lt;&gt;"",IFERROR(VLOOKUP(TRIM(B1498),'Full Inventory'!F:F,1,0),0)=0),"X","_")</f>
        <v>_</v>
      </c>
      <c r="E1498" t="str">
        <f t="shared" si="96"/>
        <v>X</v>
      </c>
      <c r="F1498" t="str">
        <f ca="1">IFERROR(IF(AND(C1498&amp;D1498&amp;E1498="___",INDIRECT("Inventory!A"&amp;MATCH(VLOOKUP(B1498,Inventory!E:E,1,0),Inventory!E:E,0))&lt;&gt;INDIRECT("'Full Inventory'!B"&amp;MATCH(VLOOKUP(B1498,'Full Inventory'!F:F,1,0),'Full Inventory'!F:F,0))),"X","_"),"_")</f>
        <v>_</v>
      </c>
      <c r="L1498" t="str">
        <f t="shared" ca="1" si="94"/>
        <v>__X_</v>
      </c>
      <c r="M1498" t="str">
        <f t="shared" ca="1" si="95"/>
        <v/>
      </c>
    </row>
    <row r="1499" spans="1:13" x14ac:dyDescent="0.25">
      <c r="A1499" s="5"/>
      <c r="B1499" s="4" t="str">
        <f t="shared" si="93"/>
        <v/>
      </c>
      <c r="C1499" t="str">
        <f>IF(AND(TRIM(A1499)&lt;&gt;"",IFERROR(VLOOKUP(TRIM(B1499),Inventory!E:E,1,0),0)=0),"X","_")</f>
        <v>_</v>
      </c>
      <c r="D1499" t="str">
        <f>IF(AND(TRIM(A1499)&lt;&gt;"",IFERROR(VLOOKUP(TRIM(B1499),'Full Inventory'!F:F,1,0),0)=0),"X","_")</f>
        <v>_</v>
      </c>
      <c r="E1499" t="str">
        <f t="shared" si="96"/>
        <v>X</v>
      </c>
      <c r="F1499" t="str">
        <f ca="1">IFERROR(IF(AND(C1499&amp;D1499&amp;E1499="___",INDIRECT("Inventory!A"&amp;MATCH(VLOOKUP(B1499,Inventory!E:E,1,0),Inventory!E:E,0))&lt;&gt;INDIRECT("'Full Inventory'!B"&amp;MATCH(VLOOKUP(B1499,'Full Inventory'!F:F,1,0),'Full Inventory'!F:F,0))),"X","_"),"_")</f>
        <v>_</v>
      </c>
      <c r="L1499" t="str">
        <f t="shared" ca="1" si="94"/>
        <v>__X_</v>
      </c>
      <c r="M1499" t="str">
        <f t="shared" ca="1" si="95"/>
        <v/>
      </c>
    </row>
    <row r="1500" spans="1:13" x14ac:dyDescent="0.25">
      <c r="A1500" s="5"/>
      <c r="B1500" s="4" t="str">
        <f t="shared" si="93"/>
        <v/>
      </c>
      <c r="C1500" t="str">
        <f>IF(AND(TRIM(A1500)&lt;&gt;"",IFERROR(VLOOKUP(TRIM(B1500),Inventory!E:E,1,0),0)=0),"X","_")</f>
        <v>_</v>
      </c>
      <c r="D1500" t="str">
        <f>IF(AND(TRIM(A1500)&lt;&gt;"",IFERROR(VLOOKUP(TRIM(B1500),'Full Inventory'!F:F,1,0),0)=0),"X","_")</f>
        <v>_</v>
      </c>
      <c r="E1500" t="str">
        <f t="shared" si="96"/>
        <v>X</v>
      </c>
      <c r="F1500" t="str">
        <f ca="1">IFERROR(IF(AND(C1500&amp;D1500&amp;E1500="___",INDIRECT("Inventory!A"&amp;MATCH(VLOOKUP(B1500,Inventory!E:E,1,0),Inventory!E:E,0))&lt;&gt;INDIRECT("'Full Inventory'!B"&amp;MATCH(VLOOKUP(B1500,'Full Inventory'!F:F,1,0),'Full Inventory'!F:F,0))),"X","_"),"_")</f>
        <v>_</v>
      </c>
      <c r="L1500" t="str">
        <f t="shared" ca="1" si="94"/>
        <v>__X_</v>
      </c>
      <c r="M1500" t="str">
        <f t="shared" ca="1" si="95"/>
        <v/>
      </c>
    </row>
    <row r="1501" spans="1:13" x14ac:dyDescent="0.25">
      <c r="A1501" s="5"/>
      <c r="B1501" s="4" t="str">
        <f t="shared" si="93"/>
        <v/>
      </c>
      <c r="C1501" t="str">
        <f>IF(AND(TRIM(A1501)&lt;&gt;"",IFERROR(VLOOKUP(TRIM(B1501),Inventory!E:E,1,0),0)=0),"X","_")</f>
        <v>_</v>
      </c>
      <c r="D1501" t="str">
        <f>IF(AND(TRIM(A1501)&lt;&gt;"",IFERROR(VLOOKUP(TRIM(B1501),'Full Inventory'!F:F,1,0),0)=0),"X","_")</f>
        <v>_</v>
      </c>
      <c r="E1501" t="str">
        <f t="shared" si="96"/>
        <v>X</v>
      </c>
      <c r="F1501" t="str">
        <f ca="1">IFERROR(IF(AND(C1501&amp;D1501&amp;E1501="___",INDIRECT("Inventory!A"&amp;MATCH(VLOOKUP(B1501,Inventory!E:E,1,0),Inventory!E:E,0))&lt;&gt;INDIRECT("'Full Inventory'!B"&amp;MATCH(VLOOKUP(B1501,'Full Inventory'!F:F,1,0),'Full Inventory'!F:F,0))),"X","_"),"_")</f>
        <v>_</v>
      </c>
      <c r="L1501" t="str">
        <f t="shared" ca="1" si="94"/>
        <v>__X_</v>
      </c>
      <c r="M1501" t="str">
        <f t="shared" ca="1" si="95"/>
        <v/>
      </c>
    </row>
    <row r="1502" spans="1:13" x14ac:dyDescent="0.25">
      <c r="A1502" s="5"/>
      <c r="B1502" s="4" t="str">
        <f t="shared" si="93"/>
        <v/>
      </c>
      <c r="C1502" t="str">
        <f>IF(AND(TRIM(A1502)&lt;&gt;"",IFERROR(VLOOKUP(TRIM(B1502),Inventory!E:E,1,0),0)=0),"X","_")</f>
        <v>_</v>
      </c>
      <c r="D1502" t="str">
        <f>IF(AND(TRIM(A1502)&lt;&gt;"",IFERROR(VLOOKUP(TRIM(B1502),'Full Inventory'!F:F,1,0),0)=0),"X","_")</f>
        <v>_</v>
      </c>
      <c r="E1502" t="str">
        <f t="shared" si="96"/>
        <v>X</v>
      </c>
      <c r="F1502" t="str">
        <f ca="1">IFERROR(IF(AND(C1502&amp;D1502&amp;E1502="___",INDIRECT("Inventory!A"&amp;MATCH(VLOOKUP(B1502,Inventory!E:E,1,0),Inventory!E:E,0))&lt;&gt;INDIRECT("'Full Inventory'!B"&amp;MATCH(VLOOKUP(B1502,'Full Inventory'!F:F,1,0),'Full Inventory'!F:F,0))),"X","_"),"_")</f>
        <v>_</v>
      </c>
      <c r="L1502" t="str">
        <f t="shared" ca="1" si="94"/>
        <v>__X_</v>
      </c>
      <c r="M1502" t="str">
        <f t="shared" ca="1" si="95"/>
        <v/>
      </c>
    </row>
    <row r="1503" spans="1:13" x14ac:dyDescent="0.25">
      <c r="A1503" s="5"/>
      <c r="B1503" s="4" t="str">
        <f t="shared" si="93"/>
        <v/>
      </c>
      <c r="C1503" t="str">
        <f>IF(AND(TRIM(A1503)&lt;&gt;"",IFERROR(VLOOKUP(TRIM(B1503),Inventory!E:E,1,0),0)=0),"X","_")</f>
        <v>_</v>
      </c>
      <c r="D1503" t="str">
        <f>IF(AND(TRIM(A1503)&lt;&gt;"",IFERROR(VLOOKUP(TRIM(B1503),'Full Inventory'!F:F,1,0),0)=0),"X","_")</f>
        <v>_</v>
      </c>
      <c r="E1503" t="str">
        <f t="shared" si="96"/>
        <v>X</v>
      </c>
      <c r="F1503" t="str">
        <f ca="1">IFERROR(IF(AND(C1503&amp;D1503&amp;E1503="___",INDIRECT("Inventory!A"&amp;MATCH(VLOOKUP(B1503,Inventory!E:E,1,0),Inventory!E:E,0))&lt;&gt;INDIRECT("'Full Inventory'!B"&amp;MATCH(VLOOKUP(B1503,'Full Inventory'!F:F,1,0),'Full Inventory'!F:F,0))),"X","_"),"_")</f>
        <v>_</v>
      </c>
      <c r="L1503" t="str">
        <f t="shared" ca="1" si="94"/>
        <v>__X_</v>
      </c>
      <c r="M1503" t="str">
        <f t="shared" ca="1" si="95"/>
        <v/>
      </c>
    </row>
    <row r="1504" spans="1:13" x14ac:dyDescent="0.25">
      <c r="A1504" s="5"/>
      <c r="B1504" s="4" t="str">
        <f t="shared" si="93"/>
        <v/>
      </c>
      <c r="C1504" t="str">
        <f>IF(AND(TRIM(A1504)&lt;&gt;"",IFERROR(VLOOKUP(TRIM(B1504),Inventory!E:E,1,0),0)=0),"X","_")</f>
        <v>_</v>
      </c>
      <c r="D1504" t="str">
        <f>IF(AND(TRIM(A1504)&lt;&gt;"",IFERROR(VLOOKUP(TRIM(B1504),'Full Inventory'!F:F,1,0),0)=0),"X","_")</f>
        <v>_</v>
      </c>
      <c r="E1504" t="str">
        <f t="shared" si="96"/>
        <v>X</v>
      </c>
      <c r="F1504" t="str">
        <f ca="1">IFERROR(IF(AND(C1504&amp;D1504&amp;E1504="___",INDIRECT("Inventory!A"&amp;MATCH(VLOOKUP(B1504,Inventory!E:E,1,0),Inventory!E:E,0))&lt;&gt;INDIRECT("'Full Inventory'!B"&amp;MATCH(VLOOKUP(B1504,'Full Inventory'!F:F,1,0),'Full Inventory'!F:F,0))),"X","_"),"_")</f>
        <v>_</v>
      </c>
      <c r="L1504" t="str">
        <f t="shared" ca="1" si="94"/>
        <v>__X_</v>
      </c>
      <c r="M1504" t="str">
        <f t="shared" ca="1" si="95"/>
        <v/>
      </c>
    </row>
    <row r="1505" spans="1:13" x14ac:dyDescent="0.25">
      <c r="A1505" s="5"/>
      <c r="B1505" s="4" t="str">
        <f t="shared" si="93"/>
        <v/>
      </c>
      <c r="C1505" t="str">
        <f>IF(AND(TRIM(A1505)&lt;&gt;"",IFERROR(VLOOKUP(TRIM(B1505),Inventory!E:E,1,0),0)=0),"X","_")</f>
        <v>_</v>
      </c>
      <c r="D1505" t="str">
        <f>IF(AND(TRIM(A1505)&lt;&gt;"",IFERROR(VLOOKUP(TRIM(B1505),'Full Inventory'!F:F,1,0),0)=0),"X","_")</f>
        <v>_</v>
      </c>
      <c r="E1505" t="str">
        <f t="shared" si="96"/>
        <v>X</v>
      </c>
      <c r="F1505" t="str">
        <f ca="1">IFERROR(IF(AND(C1505&amp;D1505&amp;E1505="___",INDIRECT("Inventory!A"&amp;MATCH(VLOOKUP(B1505,Inventory!E:E,1,0),Inventory!E:E,0))&lt;&gt;INDIRECT("'Full Inventory'!B"&amp;MATCH(VLOOKUP(B1505,'Full Inventory'!F:F,1,0),'Full Inventory'!F:F,0))),"X","_"),"_")</f>
        <v>_</v>
      </c>
      <c r="L1505" t="str">
        <f t="shared" ca="1" si="94"/>
        <v>__X_</v>
      </c>
      <c r="M1505" t="str">
        <f t="shared" ca="1" si="95"/>
        <v/>
      </c>
    </row>
    <row r="1506" spans="1:13" x14ac:dyDescent="0.25">
      <c r="A1506" s="5"/>
      <c r="B1506" s="4" t="str">
        <f t="shared" si="93"/>
        <v/>
      </c>
      <c r="C1506" t="str">
        <f>IF(AND(TRIM(A1506)&lt;&gt;"",IFERROR(VLOOKUP(TRIM(B1506),Inventory!E:E,1,0),0)=0),"X","_")</f>
        <v>_</v>
      </c>
      <c r="D1506" t="str">
        <f>IF(AND(TRIM(A1506)&lt;&gt;"",IFERROR(VLOOKUP(TRIM(B1506),'Full Inventory'!F:F,1,0),0)=0),"X","_")</f>
        <v>_</v>
      </c>
      <c r="E1506" t="str">
        <f t="shared" si="96"/>
        <v>X</v>
      </c>
      <c r="F1506" t="str">
        <f ca="1">IFERROR(IF(AND(C1506&amp;D1506&amp;E1506="___",INDIRECT("Inventory!A"&amp;MATCH(VLOOKUP(B1506,Inventory!E:E,1,0),Inventory!E:E,0))&lt;&gt;INDIRECT("'Full Inventory'!B"&amp;MATCH(VLOOKUP(B1506,'Full Inventory'!F:F,1,0),'Full Inventory'!F:F,0))),"X","_"),"_")</f>
        <v>_</v>
      </c>
      <c r="L1506" t="str">
        <f t="shared" ca="1" si="94"/>
        <v>__X_</v>
      </c>
      <c r="M1506" t="str">
        <f t="shared" ca="1" si="95"/>
        <v/>
      </c>
    </row>
    <row r="1507" spans="1:13" x14ac:dyDescent="0.25">
      <c r="A1507" s="5"/>
      <c r="B1507" s="4" t="str">
        <f t="shared" si="93"/>
        <v/>
      </c>
      <c r="C1507" t="str">
        <f>IF(AND(TRIM(A1507)&lt;&gt;"",IFERROR(VLOOKUP(TRIM(B1507),Inventory!E:E,1,0),0)=0),"X","_")</f>
        <v>_</v>
      </c>
      <c r="D1507" t="str">
        <f>IF(AND(TRIM(A1507)&lt;&gt;"",IFERROR(VLOOKUP(TRIM(B1507),'Full Inventory'!F:F,1,0),0)=0),"X","_")</f>
        <v>_</v>
      </c>
      <c r="E1507" t="str">
        <f t="shared" si="96"/>
        <v>X</v>
      </c>
      <c r="F1507" t="str">
        <f ca="1">IFERROR(IF(AND(C1507&amp;D1507&amp;E1507="___",INDIRECT("Inventory!A"&amp;MATCH(VLOOKUP(B1507,Inventory!E:E,1,0),Inventory!E:E,0))&lt;&gt;INDIRECT("'Full Inventory'!B"&amp;MATCH(VLOOKUP(B1507,'Full Inventory'!F:F,1,0),'Full Inventory'!F:F,0))),"X","_"),"_")</f>
        <v>_</v>
      </c>
      <c r="L1507" t="str">
        <f t="shared" ca="1" si="94"/>
        <v>__X_</v>
      </c>
      <c r="M1507" t="str">
        <f t="shared" ca="1" si="95"/>
        <v/>
      </c>
    </row>
    <row r="1508" spans="1:13" x14ac:dyDescent="0.25">
      <c r="A1508" s="5"/>
      <c r="B1508" s="4" t="str">
        <f t="shared" si="93"/>
        <v/>
      </c>
      <c r="C1508" t="str">
        <f>IF(AND(TRIM(A1508)&lt;&gt;"",IFERROR(VLOOKUP(TRIM(B1508),Inventory!E:E,1,0),0)=0),"X","_")</f>
        <v>_</v>
      </c>
      <c r="D1508" t="str">
        <f>IF(AND(TRIM(A1508)&lt;&gt;"",IFERROR(VLOOKUP(TRIM(B1508),'Full Inventory'!F:F,1,0),0)=0),"X","_")</f>
        <v>_</v>
      </c>
      <c r="E1508" t="str">
        <f t="shared" si="96"/>
        <v>X</v>
      </c>
      <c r="F1508" t="str">
        <f ca="1">IFERROR(IF(AND(C1508&amp;D1508&amp;E1508="___",INDIRECT("Inventory!A"&amp;MATCH(VLOOKUP(B1508,Inventory!E:E,1,0),Inventory!E:E,0))&lt;&gt;INDIRECT("'Full Inventory'!B"&amp;MATCH(VLOOKUP(B1508,'Full Inventory'!F:F,1,0),'Full Inventory'!F:F,0))),"X","_"),"_")</f>
        <v>_</v>
      </c>
      <c r="L1508" t="str">
        <f t="shared" ca="1" si="94"/>
        <v>__X_</v>
      </c>
      <c r="M1508" t="str">
        <f t="shared" ca="1" si="95"/>
        <v/>
      </c>
    </row>
    <row r="1509" spans="1:13" x14ac:dyDescent="0.25">
      <c r="A1509" s="5"/>
      <c r="B1509" s="4" t="str">
        <f t="shared" si="93"/>
        <v/>
      </c>
      <c r="C1509" t="str">
        <f>IF(AND(TRIM(A1509)&lt;&gt;"",IFERROR(VLOOKUP(TRIM(B1509),Inventory!E:E,1,0),0)=0),"X","_")</f>
        <v>_</v>
      </c>
      <c r="D1509" t="str">
        <f>IF(AND(TRIM(A1509)&lt;&gt;"",IFERROR(VLOOKUP(TRIM(B1509),'Full Inventory'!F:F,1,0),0)=0),"X","_")</f>
        <v>_</v>
      </c>
      <c r="E1509" t="str">
        <f t="shared" si="96"/>
        <v>X</v>
      </c>
      <c r="F1509" t="str">
        <f ca="1">IFERROR(IF(AND(C1509&amp;D1509&amp;E1509="___",INDIRECT("Inventory!A"&amp;MATCH(VLOOKUP(B1509,Inventory!E:E,1,0),Inventory!E:E,0))&lt;&gt;INDIRECT("'Full Inventory'!B"&amp;MATCH(VLOOKUP(B1509,'Full Inventory'!F:F,1,0),'Full Inventory'!F:F,0))),"X","_"),"_")</f>
        <v>_</v>
      </c>
      <c r="L1509" t="str">
        <f t="shared" ca="1" si="94"/>
        <v>__X_</v>
      </c>
      <c r="M1509" t="str">
        <f t="shared" ca="1" si="95"/>
        <v/>
      </c>
    </row>
    <row r="1510" spans="1:13" x14ac:dyDescent="0.25">
      <c r="A1510" s="5"/>
      <c r="B1510" s="4" t="str">
        <f t="shared" si="93"/>
        <v/>
      </c>
      <c r="C1510" t="str">
        <f>IF(AND(TRIM(A1510)&lt;&gt;"",IFERROR(VLOOKUP(TRIM(B1510),Inventory!E:E,1,0),0)=0),"X","_")</f>
        <v>_</v>
      </c>
      <c r="D1510" t="str">
        <f>IF(AND(TRIM(A1510)&lt;&gt;"",IFERROR(VLOOKUP(TRIM(B1510),'Full Inventory'!F:F,1,0),0)=0),"X","_")</f>
        <v>_</v>
      </c>
      <c r="E1510" t="str">
        <f t="shared" si="96"/>
        <v>X</v>
      </c>
      <c r="F1510" t="str">
        <f ca="1">IFERROR(IF(AND(C1510&amp;D1510&amp;E1510="___",INDIRECT("Inventory!A"&amp;MATCH(VLOOKUP(B1510,Inventory!E:E,1,0),Inventory!E:E,0))&lt;&gt;INDIRECT("'Full Inventory'!B"&amp;MATCH(VLOOKUP(B1510,'Full Inventory'!F:F,1,0),'Full Inventory'!F:F,0))),"X","_"),"_")</f>
        <v>_</v>
      </c>
      <c r="L1510" t="str">
        <f t="shared" ca="1" si="94"/>
        <v>__X_</v>
      </c>
      <c r="M1510" t="str">
        <f t="shared" ca="1" si="95"/>
        <v/>
      </c>
    </row>
    <row r="1511" spans="1:13" x14ac:dyDescent="0.25">
      <c r="A1511" s="5"/>
      <c r="B1511" s="4" t="str">
        <f t="shared" si="93"/>
        <v/>
      </c>
      <c r="C1511" t="str">
        <f>IF(AND(TRIM(A1511)&lt;&gt;"",IFERROR(VLOOKUP(TRIM(B1511),Inventory!E:E,1,0),0)=0),"X","_")</f>
        <v>_</v>
      </c>
      <c r="D1511" t="str">
        <f>IF(AND(TRIM(A1511)&lt;&gt;"",IFERROR(VLOOKUP(TRIM(B1511),'Full Inventory'!F:F,1,0),0)=0),"X","_")</f>
        <v>_</v>
      </c>
      <c r="E1511" t="str">
        <f t="shared" si="96"/>
        <v>X</v>
      </c>
      <c r="F1511" t="str">
        <f ca="1">IFERROR(IF(AND(C1511&amp;D1511&amp;E1511="___",INDIRECT("Inventory!A"&amp;MATCH(VLOOKUP(B1511,Inventory!E:E,1,0),Inventory!E:E,0))&lt;&gt;INDIRECT("'Full Inventory'!B"&amp;MATCH(VLOOKUP(B1511,'Full Inventory'!F:F,1,0),'Full Inventory'!F:F,0))),"X","_"),"_")</f>
        <v>_</v>
      </c>
      <c r="L1511" t="str">
        <f t="shared" ca="1" si="94"/>
        <v>__X_</v>
      </c>
      <c r="M1511" t="str">
        <f t="shared" ca="1" si="95"/>
        <v/>
      </c>
    </row>
    <row r="1512" spans="1:13" x14ac:dyDescent="0.25">
      <c r="A1512" s="5"/>
      <c r="B1512" s="4" t="str">
        <f t="shared" si="93"/>
        <v/>
      </c>
      <c r="C1512" t="str">
        <f>IF(AND(TRIM(A1512)&lt;&gt;"",IFERROR(VLOOKUP(TRIM(B1512),Inventory!E:E,1,0),0)=0),"X","_")</f>
        <v>_</v>
      </c>
      <c r="D1512" t="str">
        <f>IF(AND(TRIM(A1512)&lt;&gt;"",IFERROR(VLOOKUP(TRIM(B1512),'Full Inventory'!F:F,1,0),0)=0),"X","_")</f>
        <v>_</v>
      </c>
      <c r="E1512" t="str">
        <f t="shared" si="96"/>
        <v>X</v>
      </c>
      <c r="F1512" t="str">
        <f ca="1">IFERROR(IF(AND(C1512&amp;D1512&amp;E1512="___",INDIRECT("Inventory!A"&amp;MATCH(VLOOKUP(B1512,Inventory!E:E,1,0),Inventory!E:E,0))&lt;&gt;INDIRECT("'Full Inventory'!B"&amp;MATCH(VLOOKUP(B1512,'Full Inventory'!F:F,1,0),'Full Inventory'!F:F,0))),"X","_"),"_")</f>
        <v>_</v>
      </c>
      <c r="L1512" t="str">
        <f t="shared" ca="1" si="94"/>
        <v>__X_</v>
      </c>
      <c r="M1512" t="str">
        <f t="shared" ca="1" si="95"/>
        <v/>
      </c>
    </row>
    <row r="1513" spans="1:13" x14ac:dyDescent="0.25">
      <c r="A1513" s="5"/>
      <c r="B1513" s="4" t="str">
        <f t="shared" si="93"/>
        <v/>
      </c>
      <c r="C1513" t="str">
        <f>IF(AND(TRIM(A1513)&lt;&gt;"",IFERROR(VLOOKUP(TRIM(B1513),Inventory!E:E,1,0),0)=0),"X","_")</f>
        <v>_</v>
      </c>
      <c r="D1513" t="str">
        <f>IF(AND(TRIM(A1513)&lt;&gt;"",IFERROR(VLOOKUP(TRIM(B1513),'Full Inventory'!F:F,1,0),0)=0),"X","_")</f>
        <v>_</v>
      </c>
      <c r="E1513" t="str">
        <f t="shared" si="96"/>
        <v>X</v>
      </c>
      <c r="F1513" t="str">
        <f ca="1">IFERROR(IF(AND(C1513&amp;D1513&amp;E1513="___",INDIRECT("Inventory!A"&amp;MATCH(VLOOKUP(B1513,Inventory!E:E,1,0),Inventory!E:E,0))&lt;&gt;INDIRECT("'Full Inventory'!B"&amp;MATCH(VLOOKUP(B1513,'Full Inventory'!F:F,1,0),'Full Inventory'!F:F,0))),"X","_"),"_")</f>
        <v>_</v>
      </c>
      <c r="L1513" t="str">
        <f t="shared" ca="1" si="94"/>
        <v>__X_</v>
      </c>
      <c r="M1513" t="str">
        <f t="shared" ca="1" si="95"/>
        <v/>
      </c>
    </row>
    <row r="1514" spans="1:13" x14ac:dyDescent="0.25">
      <c r="A1514" s="5"/>
      <c r="B1514" s="4" t="str">
        <f t="shared" si="93"/>
        <v/>
      </c>
      <c r="C1514" t="str">
        <f>IF(AND(TRIM(A1514)&lt;&gt;"",IFERROR(VLOOKUP(TRIM(B1514),Inventory!E:E,1,0),0)=0),"X","_")</f>
        <v>_</v>
      </c>
      <c r="D1514" t="str">
        <f>IF(AND(TRIM(A1514)&lt;&gt;"",IFERROR(VLOOKUP(TRIM(B1514),'Full Inventory'!F:F,1,0),0)=0),"X","_")</f>
        <v>_</v>
      </c>
      <c r="E1514" t="str">
        <f t="shared" si="96"/>
        <v>X</v>
      </c>
      <c r="F1514" t="str">
        <f ca="1">IFERROR(IF(AND(C1514&amp;D1514&amp;E1514="___",INDIRECT("Inventory!A"&amp;MATCH(VLOOKUP(B1514,Inventory!E:E,1,0),Inventory!E:E,0))&lt;&gt;INDIRECT("'Full Inventory'!B"&amp;MATCH(VLOOKUP(B1514,'Full Inventory'!F:F,1,0),'Full Inventory'!F:F,0))),"X","_"),"_")</f>
        <v>_</v>
      </c>
      <c r="L1514" t="str">
        <f t="shared" ca="1" si="94"/>
        <v>__X_</v>
      </c>
      <c r="M1514" t="str">
        <f t="shared" ca="1" si="95"/>
        <v/>
      </c>
    </row>
    <row r="1515" spans="1:13" x14ac:dyDescent="0.25">
      <c r="A1515" s="5"/>
      <c r="B1515" s="4" t="str">
        <f t="shared" si="93"/>
        <v/>
      </c>
      <c r="C1515" t="str">
        <f>IF(AND(TRIM(A1515)&lt;&gt;"",IFERROR(VLOOKUP(TRIM(B1515),Inventory!E:E,1,0),0)=0),"X","_")</f>
        <v>_</v>
      </c>
      <c r="D1515" t="str">
        <f>IF(AND(TRIM(A1515)&lt;&gt;"",IFERROR(VLOOKUP(TRIM(B1515),'Full Inventory'!F:F,1,0),0)=0),"X","_")</f>
        <v>_</v>
      </c>
      <c r="E1515" t="str">
        <f t="shared" si="96"/>
        <v>X</v>
      </c>
      <c r="F1515" t="str">
        <f ca="1">IFERROR(IF(AND(C1515&amp;D1515&amp;E1515="___",INDIRECT("Inventory!A"&amp;MATCH(VLOOKUP(B1515,Inventory!E:E,1,0),Inventory!E:E,0))&lt;&gt;INDIRECT("'Full Inventory'!B"&amp;MATCH(VLOOKUP(B1515,'Full Inventory'!F:F,1,0),'Full Inventory'!F:F,0))),"X","_"),"_")</f>
        <v>_</v>
      </c>
      <c r="L1515" t="str">
        <f t="shared" ca="1" si="94"/>
        <v>__X_</v>
      </c>
      <c r="M1515" t="str">
        <f t="shared" ca="1" si="95"/>
        <v/>
      </c>
    </row>
    <row r="1516" spans="1:13" x14ac:dyDescent="0.25">
      <c r="A1516" s="5"/>
      <c r="B1516" s="4" t="str">
        <f t="shared" si="93"/>
        <v/>
      </c>
      <c r="C1516" t="str">
        <f>IF(AND(TRIM(A1516)&lt;&gt;"",IFERROR(VLOOKUP(TRIM(B1516),Inventory!E:E,1,0),0)=0),"X","_")</f>
        <v>_</v>
      </c>
      <c r="D1516" t="str">
        <f>IF(AND(TRIM(A1516)&lt;&gt;"",IFERROR(VLOOKUP(TRIM(B1516),'Full Inventory'!F:F,1,0),0)=0),"X","_")</f>
        <v>_</v>
      </c>
      <c r="E1516" t="str">
        <f t="shared" si="96"/>
        <v>X</v>
      </c>
      <c r="F1516" t="str">
        <f ca="1">IFERROR(IF(AND(C1516&amp;D1516&amp;E1516="___",INDIRECT("Inventory!A"&amp;MATCH(VLOOKUP(B1516,Inventory!E:E,1,0),Inventory!E:E,0))&lt;&gt;INDIRECT("'Full Inventory'!B"&amp;MATCH(VLOOKUP(B1516,'Full Inventory'!F:F,1,0),'Full Inventory'!F:F,0))),"X","_"),"_")</f>
        <v>_</v>
      </c>
      <c r="L1516" t="str">
        <f t="shared" ca="1" si="94"/>
        <v>__X_</v>
      </c>
      <c r="M1516" t="str">
        <f t="shared" ca="1" si="95"/>
        <v/>
      </c>
    </row>
    <row r="1517" spans="1:13" x14ac:dyDescent="0.25">
      <c r="A1517" s="5"/>
      <c r="B1517" s="4" t="str">
        <f t="shared" si="93"/>
        <v/>
      </c>
      <c r="C1517" t="str">
        <f>IF(AND(TRIM(A1517)&lt;&gt;"",IFERROR(VLOOKUP(TRIM(B1517),Inventory!E:E,1,0),0)=0),"X","_")</f>
        <v>_</v>
      </c>
      <c r="D1517" t="str">
        <f>IF(AND(TRIM(A1517)&lt;&gt;"",IFERROR(VLOOKUP(TRIM(B1517),'Full Inventory'!F:F,1,0),0)=0),"X","_")</f>
        <v>_</v>
      </c>
      <c r="E1517" t="str">
        <f t="shared" si="96"/>
        <v>X</v>
      </c>
      <c r="F1517" t="str">
        <f ca="1">IFERROR(IF(AND(C1517&amp;D1517&amp;E1517="___",INDIRECT("Inventory!A"&amp;MATCH(VLOOKUP(B1517,Inventory!E:E,1,0),Inventory!E:E,0))&lt;&gt;INDIRECT("'Full Inventory'!B"&amp;MATCH(VLOOKUP(B1517,'Full Inventory'!F:F,1,0),'Full Inventory'!F:F,0))),"X","_"),"_")</f>
        <v>_</v>
      </c>
      <c r="L1517" t="str">
        <f t="shared" ca="1" si="94"/>
        <v>__X_</v>
      </c>
      <c r="M1517" t="str">
        <f t="shared" ca="1" si="95"/>
        <v/>
      </c>
    </row>
    <row r="1518" spans="1:13" x14ac:dyDescent="0.25">
      <c r="A1518" s="5"/>
      <c r="B1518" s="4" t="str">
        <f t="shared" si="93"/>
        <v/>
      </c>
      <c r="C1518" t="str">
        <f>IF(AND(TRIM(A1518)&lt;&gt;"",IFERROR(VLOOKUP(TRIM(B1518),Inventory!E:E,1,0),0)=0),"X","_")</f>
        <v>_</v>
      </c>
      <c r="D1518" t="str">
        <f>IF(AND(TRIM(A1518)&lt;&gt;"",IFERROR(VLOOKUP(TRIM(B1518),'Full Inventory'!F:F,1,0),0)=0),"X","_")</f>
        <v>_</v>
      </c>
      <c r="E1518" t="str">
        <f t="shared" si="96"/>
        <v>X</v>
      </c>
      <c r="F1518" t="str">
        <f ca="1">IFERROR(IF(AND(C1518&amp;D1518&amp;E1518="___",INDIRECT("Inventory!A"&amp;MATCH(VLOOKUP(B1518,Inventory!E:E,1,0),Inventory!E:E,0))&lt;&gt;INDIRECT("'Full Inventory'!B"&amp;MATCH(VLOOKUP(B1518,'Full Inventory'!F:F,1,0),'Full Inventory'!F:F,0))),"X","_"),"_")</f>
        <v>_</v>
      </c>
      <c r="L1518" t="str">
        <f t="shared" ca="1" si="94"/>
        <v>__X_</v>
      </c>
      <c r="M1518" t="str">
        <f t="shared" ca="1" si="95"/>
        <v/>
      </c>
    </row>
    <row r="1519" spans="1:13" x14ac:dyDescent="0.25">
      <c r="A1519" s="5"/>
      <c r="B1519" s="4" t="str">
        <f t="shared" si="93"/>
        <v/>
      </c>
      <c r="C1519" t="str">
        <f>IF(AND(TRIM(A1519)&lt;&gt;"",IFERROR(VLOOKUP(TRIM(B1519),Inventory!E:E,1,0),0)=0),"X","_")</f>
        <v>_</v>
      </c>
      <c r="D1519" t="str">
        <f>IF(AND(TRIM(A1519)&lt;&gt;"",IFERROR(VLOOKUP(TRIM(B1519),'Full Inventory'!F:F,1,0),0)=0),"X","_")</f>
        <v>_</v>
      </c>
      <c r="E1519" t="str">
        <f t="shared" si="96"/>
        <v>X</v>
      </c>
      <c r="F1519" t="str">
        <f ca="1">IFERROR(IF(AND(C1519&amp;D1519&amp;E1519="___",INDIRECT("Inventory!A"&amp;MATCH(VLOOKUP(B1519,Inventory!E:E,1,0),Inventory!E:E,0))&lt;&gt;INDIRECT("'Full Inventory'!B"&amp;MATCH(VLOOKUP(B1519,'Full Inventory'!F:F,1,0),'Full Inventory'!F:F,0))),"X","_"),"_")</f>
        <v>_</v>
      </c>
      <c r="L1519" t="str">
        <f t="shared" ca="1" si="94"/>
        <v>__X_</v>
      </c>
      <c r="M1519" t="str">
        <f t="shared" ca="1" si="95"/>
        <v/>
      </c>
    </row>
    <row r="1520" spans="1:13" x14ac:dyDescent="0.25">
      <c r="A1520" s="5"/>
      <c r="B1520" s="4" t="str">
        <f t="shared" si="93"/>
        <v/>
      </c>
      <c r="C1520" t="str">
        <f>IF(AND(TRIM(A1520)&lt;&gt;"",IFERROR(VLOOKUP(TRIM(B1520),Inventory!E:E,1,0),0)=0),"X","_")</f>
        <v>_</v>
      </c>
      <c r="D1520" t="str">
        <f>IF(AND(TRIM(A1520)&lt;&gt;"",IFERROR(VLOOKUP(TRIM(B1520),'Full Inventory'!F:F,1,0),0)=0),"X","_")</f>
        <v>_</v>
      </c>
      <c r="E1520" t="str">
        <f t="shared" si="96"/>
        <v>X</v>
      </c>
      <c r="F1520" t="str">
        <f ca="1">IFERROR(IF(AND(C1520&amp;D1520&amp;E1520="___",INDIRECT("Inventory!A"&amp;MATCH(VLOOKUP(B1520,Inventory!E:E,1,0),Inventory!E:E,0))&lt;&gt;INDIRECT("'Full Inventory'!B"&amp;MATCH(VLOOKUP(B1520,'Full Inventory'!F:F,1,0),'Full Inventory'!F:F,0))),"X","_"),"_")</f>
        <v>_</v>
      </c>
      <c r="L1520" t="str">
        <f t="shared" ca="1" si="94"/>
        <v>__X_</v>
      </c>
      <c r="M1520" t="str">
        <f t="shared" ca="1" si="95"/>
        <v/>
      </c>
    </row>
    <row r="1521" spans="1:13" x14ac:dyDescent="0.25">
      <c r="A1521" s="5"/>
      <c r="B1521" s="4" t="str">
        <f t="shared" si="93"/>
        <v/>
      </c>
      <c r="C1521" t="str">
        <f>IF(AND(TRIM(A1521)&lt;&gt;"",IFERROR(VLOOKUP(TRIM(B1521),Inventory!E:E,1,0),0)=0),"X","_")</f>
        <v>_</v>
      </c>
      <c r="D1521" t="str">
        <f>IF(AND(TRIM(A1521)&lt;&gt;"",IFERROR(VLOOKUP(TRIM(B1521),'Full Inventory'!F:F,1,0),0)=0),"X","_")</f>
        <v>_</v>
      </c>
      <c r="E1521" t="str">
        <f t="shared" si="96"/>
        <v>X</v>
      </c>
      <c r="F1521" t="str">
        <f ca="1">IFERROR(IF(AND(C1521&amp;D1521&amp;E1521="___",INDIRECT("Inventory!A"&amp;MATCH(VLOOKUP(B1521,Inventory!E:E,1,0),Inventory!E:E,0))&lt;&gt;INDIRECT("'Full Inventory'!B"&amp;MATCH(VLOOKUP(B1521,'Full Inventory'!F:F,1,0),'Full Inventory'!F:F,0))),"X","_"),"_")</f>
        <v>_</v>
      </c>
      <c r="L1521" t="str">
        <f t="shared" ca="1" si="94"/>
        <v>__X_</v>
      </c>
      <c r="M1521" t="str">
        <f t="shared" ca="1" si="95"/>
        <v/>
      </c>
    </row>
    <row r="1522" spans="1:13" x14ac:dyDescent="0.25">
      <c r="A1522" s="5"/>
      <c r="B1522" s="4" t="str">
        <f t="shared" si="93"/>
        <v/>
      </c>
      <c r="C1522" t="str">
        <f>IF(AND(TRIM(A1522)&lt;&gt;"",IFERROR(VLOOKUP(TRIM(B1522),Inventory!E:E,1,0),0)=0),"X","_")</f>
        <v>_</v>
      </c>
      <c r="D1522" t="str">
        <f>IF(AND(TRIM(A1522)&lt;&gt;"",IFERROR(VLOOKUP(TRIM(B1522),'Full Inventory'!F:F,1,0),0)=0),"X","_")</f>
        <v>_</v>
      </c>
      <c r="E1522" t="str">
        <f t="shared" si="96"/>
        <v>X</v>
      </c>
      <c r="F1522" t="str">
        <f ca="1">IFERROR(IF(AND(C1522&amp;D1522&amp;E1522="___",INDIRECT("Inventory!A"&amp;MATCH(VLOOKUP(B1522,Inventory!E:E,1,0),Inventory!E:E,0))&lt;&gt;INDIRECT("'Full Inventory'!B"&amp;MATCH(VLOOKUP(B1522,'Full Inventory'!F:F,1,0),'Full Inventory'!F:F,0))),"X","_"),"_")</f>
        <v>_</v>
      </c>
      <c r="L1522" t="str">
        <f t="shared" ca="1" si="94"/>
        <v>__X_</v>
      </c>
      <c r="M1522" t="str">
        <f t="shared" ca="1" si="95"/>
        <v/>
      </c>
    </row>
    <row r="1523" spans="1:13" x14ac:dyDescent="0.25">
      <c r="A1523" s="5"/>
      <c r="B1523" s="4" t="str">
        <f t="shared" si="93"/>
        <v/>
      </c>
      <c r="C1523" t="str">
        <f>IF(AND(TRIM(A1523)&lt;&gt;"",IFERROR(VLOOKUP(TRIM(B1523),Inventory!E:E,1,0),0)=0),"X","_")</f>
        <v>_</v>
      </c>
      <c r="D1523" t="str">
        <f>IF(AND(TRIM(A1523)&lt;&gt;"",IFERROR(VLOOKUP(TRIM(B1523),'Full Inventory'!F:F,1,0),0)=0),"X","_")</f>
        <v>_</v>
      </c>
      <c r="E1523" t="str">
        <f t="shared" si="96"/>
        <v>X</v>
      </c>
      <c r="F1523" t="str">
        <f ca="1">IFERROR(IF(AND(C1523&amp;D1523&amp;E1523="___",INDIRECT("Inventory!A"&amp;MATCH(VLOOKUP(B1523,Inventory!E:E,1,0),Inventory!E:E,0))&lt;&gt;INDIRECT("'Full Inventory'!B"&amp;MATCH(VLOOKUP(B1523,'Full Inventory'!F:F,1,0),'Full Inventory'!F:F,0))),"X","_"),"_")</f>
        <v>_</v>
      </c>
      <c r="L1523" t="str">
        <f t="shared" ca="1" si="94"/>
        <v>__X_</v>
      </c>
      <c r="M1523" t="str">
        <f t="shared" ca="1" si="95"/>
        <v/>
      </c>
    </row>
    <row r="1524" spans="1:13" x14ac:dyDescent="0.25">
      <c r="A1524" s="5"/>
      <c r="B1524" s="4" t="str">
        <f t="shared" si="93"/>
        <v/>
      </c>
      <c r="C1524" t="str">
        <f>IF(AND(TRIM(A1524)&lt;&gt;"",IFERROR(VLOOKUP(TRIM(B1524),Inventory!E:E,1,0),0)=0),"X","_")</f>
        <v>_</v>
      </c>
      <c r="D1524" t="str">
        <f>IF(AND(TRIM(A1524)&lt;&gt;"",IFERROR(VLOOKUP(TRIM(B1524),'Full Inventory'!F:F,1,0),0)=0),"X","_")</f>
        <v>_</v>
      </c>
      <c r="E1524" t="str">
        <f t="shared" si="96"/>
        <v>X</v>
      </c>
      <c r="F1524" t="str">
        <f ca="1">IFERROR(IF(AND(C1524&amp;D1524&amp;E1524="___",INDIRECT("Inventory!A"&amp;MATCH(VLOOKUP(B1524,Inventory!E:E,1,0),Inventory!E:E,0))&lt;&gt;INDIRECT("'Full Inventory'!B"&amp;MATCH(VLOOKUP(B1524,'Full Inventory'!F:F,1,0),'Full Inventory'!F:F,0))),"X","_"),"_")</f>
        <v>_</v>
      </c>
      <c r="L1524" t="str">
        <f t="shared" ca="1" si="94"/>
        <v>__X_</v>
      </c>
      <c r="M1524" t="str">
        <f t="shared" ca="1" si="95"/>
        <v/>
      </c>
    </row>
    <row r="1525" spans="1:13" x14ac:dyDescent="0.25">
      <c r="A1525" s="5"/>
      <c r="B1525" s="4" t="str">
        <f t="shared" si="93"/>
        <v/>
      </c>
      <c r="C1525" t="str">
        <f>IF(AND(TRIM(A1525)&lt;&gt;"",IFERROR(VLOOKUP(TRIM(B1525),Inventory!E:E,1,0),0)=0),"X","_")</f>
        <v>_</v>
      </c>
      <c r="D1525" t="str">
        <f>IF(AND(TRIM(A1525)&lt;&gt;"",IFERROR(VLOOKUP(TRIM(B1525),'Full Inventory'!F:F,1,0),0)=0),"X","_")</f>
        <v>_</v>
      </c>
      <c r="E1525" t="str">
        <f t="shared" si="96"/>
        <v>X</v>
      </c>
      <c r="F1525" t="str">
        <f ca="1">IFERROR(IF(AND(C1525&amp;D1525&amp;E1525="___",INDIRECT("Inventory!A"&amp;MATCH(VLOOKUP(B1525,Inventory!E:E,1,0),Inventory!E:E,0))&lt;&gt;INDIRECT("'Full Inventory'!B"&amp;MATCH(VLOOKUP(B1525,'Full Inventory'!F:F,1,0),'Full Inventory'!F:F,0))),"X","_"),"_")</f>
        <v>_</v>
      </c>
      <c r="L1525" t="str">
        <f t="shared" ca="1" si="94"/>
        <v>__X_</v>
      </c>
      <c r="M1525" t="str">
        <f t="shared" ca="1" si="95"/>
        <v/>
      </c>
    </row>
    <row r="1526" spans="1:13" x14ac:dyDescent="0.25">
      <c r="A1526" s="5"/>
      <c r="B1526" s="4" t="str">
        <f t="shared" si="93"/>
        <v/>
      </c>
      <c r="C1526" t="str">
        <f>IF(AND(TRIM(A1526)&lt;&gt;"",IFERROR(VLOOKUP(TRIM(B1526),Inventory!E:E,1,0),0)=0),"X","_")</f>
        <v>_</v>
      </c>
      <c r="D1526" t="str">
        <f>IF(AND(TRIM(A1526)&lt;&gt;"",IFERROR(VLOOKUP(TRIM(B1526),'Full Inventory'!F:F,1,0),0)=0),"X","_")</f>
        <v>_</v>
      </c>
      <c r="E1526" t="str">
        <f t="shared" si="96"/>
        <v>X</v>
      </c>
      <c r="F1526" t="str">
        <f ca="1">IFERROR(IF(AND(C1526&amp;D1526&amp;E1526="___",INDIRECT("Inventory!A"&amp;MATCH(VLOOKUP(B1526,Inventory!E:E,1,0),Inventory!E:E,0))&lt;&gt;INDIRECT("'Full Inventory'!B"&amp;MATCH(VLOOKUP(B1526,'Full Inventory'!F:F,1,0),'Full Inventory'!F:F,0))),"X","_"),"_")</f>
        <v>_</v>
      </c>
      <c r="L1526" t="str">
        <f t="shared" ca="1" si="94"/>
        <v>__X_</v>
      </c>
      <c r="M1526" t="str">
        <f t="shared" ca="1" si="95"/>
        <v/>
      </c>
    </row>
    <row r="1527" spans="1:13" x14ac:dyDescent="0.25">
      <c r="A1527" s="5"/>
      <c r="B1527" s="4" t="str">
        <f t="shared" si="93"/>
        <v/>
      </c>
      <c r="C1527" t="str">
        <f>IF(AND(TRIM(A1527)&lt;&gt;"",IFERROR(VLOOKUP(TRIM(B1527),Inventory!E:E,1,0),0)=0),"X","_")</f>
        <v>_</v>
      </c>
      <c r="D1527" t="str">
        <f>IF(AND(TRIM(A1527)&lt;&gt;"",IFERROR(VLOOKUP(TRIM(B1527),'Full Inventory'!F:F,1,0),0)=0),"X","_")</f>
        <v>_</v>
      </c>
      <c r="E1527" t="str">
        <f t="shared" si="96"/>
        <v>X</v>
      </c>
      <c r="F1527" t="str">
        <f ca="1">IFERROR(IF(AND(C1527&amp;D1527&amp;E1527="___",INDIRECT("Inventory!A"&amp;MATCH(VLOOKUP(B1527,Inventory!E:E,1,0),Inventory!E:E,0))&lt;&gt;INDIRECT("'Full Inventory'!B"&amp;MATCH(VLOOKUP(B1527,'Full Inventory'!F:F,1,0),'Full Inventory'!F:F,0))),"X","_"),"_")</f>
        <v>_</v>
      </c>
      <c r="L1527" t="str">
        <f t="shared" ca="1" si="94"/>
        <v>__X_</v>
      </c>
      <c r="M1527" t="str">
        <f t="shared" ca="1" si="95"/>
        <v/>
      </c>
    </row>
    <row r="1528" spans="1:13" x14ac:dyDescent="0.25">
      <c r="A1528" s="5"/>
      <c r="B1528" s="4" t="str">
        <f t="shared" si="93"/>
        <v/>
      </c>
      <c r="C1528" t="str">
        <f>IF(AND(TRIM(A1528)&lt;&gt;"",IFERROR(VLOOKUP(TRIM(B1528),Inventory!E:E,1,0),0)=0),"X","_")</f>
        <v>_</v>
      </c>
      <c r="D1528" t="str">
        <f>IF(AND(TRIM(A1528)&lt;&gt;"",IFERROR(VLOOKUP(TRIM(B1528),'Full Inventory'!F:F,1,0),0)=0),"X","_")</f>
        <v>_</v>
      </c>
      <c r="E1528" t="str">
        <f t="shared" si="96"/>
        <v>X</v>
      </c>
      <c r="F1528" t="str">
        <f ca="1">IFERROR(IF(AND(C1528&amp;D1528&amp;E1528="___",INDIRECT("Inventory!A"&amp;MATCH(VLOOKUP(B1528,Inventory!E:E,1,0),Inventory!E:E,0))&lt;&gt;INDIRECT("'Full Inventory'!B"&amp;MATCH(VLOOKUP(B1528,'Full Inventory'!F:F,1,0),'Full Inventory'!F:F,0))),"X","_"),"_")</f>
        <v>_</v>
      </c>
      <c r="L1528" t="str">
        <f t="shared" ca="1" si="94"/>
        <v>__X_</v>
      </c>
      <c r="M1528" t="str">
        <f t="shared" ca="1" si="95"/>
        <v/>
      </c>
    </row>
    <row r="1529" spans="1:13" x14ac:dyDescent="0.25">
      <c r="A1529" s="5"/>
      <c r="B1529" s="4" t="str">
        <f t="shared" si="93"/>
        <v/>
      </c>
      <c r="C1529" t="str">
        <f>IF(AND(TRIM(A1529)&lt;&gt;"",IFERROR(VLOOKUP(TRIM(B1529),Inventory!E:E,1,0),0)=0),"X","_")</f>
        <v>_</v>
      </c>
      <c r="D1529" t="str">
        <f>IF(AND(TRIM(A1529)&lt;&gt;"",IFERROR(VLOOKUP(TRIM(B1529),'Full Inventory'!F:F,1,0),0)=0),"X","_")</f>
        <v>_</v>
      </c>
      <c r="E1529" t="str">
        <f t="shared" si="96"/>
        <v>X</v>
      </c>
      <c r="F1529" t="str">
        <f ca="1">IFERROR(IF(AND(C1529&amp;D1529&amp;E1529="___",INDIRECT("Inventory!A"&amp;MATCH(VLOOKUP(B1529,Inventory!E:E,1,0),Inventory!E:E,0))&lt;&gt;INDIRECT("'Full Inventory'!B"&amp;MATCH(VLOOKUP(B1529,'Full Inventory'!F:F,1,0),'Full Inventory'!F:F,0))),"X","_"),"_")</f>
        <v>_</v>
      </c>
      <c r="L1529" t="str">
        <f t="shared" ca="1" si="94"/>
        <v>__X_</v>
      </c>
      <c r="M1529" t="str">
        <f t="shared" ca="1" si="95"/>
        <v/>
      </c>
    </row>
    <row r="1530" spans="1:13" x14ac:dyDescent="0.25">
      <c r="A1530" s="5"/>
      <c r="B1530" s="4" t="str">
        <f t="shared" si="93"/>
        <v/>
      </c>
      <c r="C1530" t="str">
        <f>IF(AND(TRIM(A1530)&lt;&gt;"",IFERROR(VLOOKUP(TRIM(B1530),Inventory!E:E,1,0),0)=0),"X","_")</f>
        <v>_</v>
      </c>
      <c r="D1530" t="str">
        <f>IF(AND(TRIM(A1530)&lt;&gt;"",IFERROR(VLOOKUP(TRIM(B1530),'Full Inventory'!F:F,1,0),0)=0),"X","_")</f>
        <v>_</v>
      </c>
      <c r="E1530" t="str">
        <f t="shared" si="96"/>
        <v>X</v>
      </c>
      <c r="F1530" t="str">
        <f ca="1">IFERROR(IF(AND(C1530&amp;D1530&amp;E1530="___",INDIRECT("Inventory!A"&amp;MATCH(VLOOKUP(B1530,Inventory!E:E,1,0),Inventory!E:E,0))&lt;&gt;INDIRECT("'Full Inventory'!B"&amp;MATCH(VLOOKUP(B1530,'Full Inventory'!F:F,1,0),'Full Inventory'!F:F,0))),"X","_"),"_")</f>
        <v>_</v>
      </c>
      <c r="L1530" t="str">
        <f t="shared" ca="1" si="94"/>
        <v>__X_</v>
      </c>
      <c r="M1530" t="str">
        <f t="shared" ca="1" si="95"/>
        <v/>
      </c>
    </row>
    <row r="1531" spans="1:13" x14ac:dyDescent="0.25">
      <c r="A1531" s="5"/>
      <c r="B1531" s="4" t="str">
        <f t="shared" si="93"/>
        <v/>
      </c>
      <c r="C1531" t="str">
        <f>IF(AND(TRIM(A1531)&lt;&gt;"",IFERROR(VLOOKUP(TRIM(B1531),Inventory!E:E,1,0),0)=0),"X","_")</f>
        <v>_</v>
      </c>
      <c r="D1531" t="str">
        <f>IF(AND(TRIM(A1531)&lt;&gt;"",IFERROR(VLOOKUP(TRIM(B1531),'Full Inventory'!F:F,1,0),0)=0),"X","_")</f>
        <v>_</v>
      </c>
      <c r="E1531" t="str">
        <f t="shared" si="96"/>
        <v>X</v>
      </c>
      <c r="F1531" t="str">
        <f ca="1">IFERROR(IF(AND(C1531&amp;D1531&amp;E1531="___",INDIRECT("Inventory!A"&amp;MATCH(VLOOKUP(B1531,Inventory!E:E,1,0),Inventory!E:E,0))&lt;&gt;INDIRECT("'Full Inventory'!B"&amp;MATCH(VLOOKUP(B1531,'Full Inventory'!F:F,1,0),'Full Inventory'!F:F,0))),"X","_"),"_")</f>
        <v>_</v>
      </c>
      <c r="L1531" t="str">
        <f t="shared" ca="1" si="94"/>
        <v>__X_</v>
      </c>
      <c r="M1531" t="str">
        <f t="shared" ca="1" si="95"/>
        <v/>
      </c>
    </row>
    <row r="1532" spans="1:13" x14ac:dyDescent="0.25">
      <c r="A1532" s="5"/>
      <c r="B1532" s="4" t="str">
        <f t="shared" si="93"/>
        <v/>
      </c>
      <c r="C1532" t="str">
        <f>IF(AND(TRIM(A1532)&lt;&gt;"",IFERROR(VLOOKUP(TRIM(B1532),Inventory!E:E,1,0),0)=0),"X","_")</f>
        <v>_</v>
      </c>
      <c r="D1532" t="str">
        <f>IF(AND(TRIM(A1532)&lt;&gt;"",IFERROR(VLOOKUP(TRIM(B1532),'Full Inventory'!F:F,1,0),0)=0),"X","_")</f>
        <v>_</v>
      </c>
      <c r="E1532" t="str">
        <f t="shared" si="96"/>
        <v>X</v>
      </c>
      <c r="F1532" t="str">
        <f ca="1">IFERROR(IF(AND(C1532&amp;D1532&amp;E1532="___",INDIRECT("Inventory!A"&amp;MATCH(VLOOKUP(B1532,Inventory!E:E,1,0),Inventory!E:E,0))&lt;&gt;INDIRECT("'Full Inventory'!B"&amp;MATCH(VLOOKUP(B1532,'Full Inventory'!F:F,1,0),'Full Inventory'!F:F,0))),"X","_"),"_")</f>
        <v>_</v>
      </c>
      <c r="L1532" t="str">
        <f t="shared" ca="1" si="94"/>
        <v>__X_</v>
      </c>
      <c r="M1532" t="str">
        <f t="shared" ca="1" si="95"/>
        <v/>
      </c>
    </row>
    <row r="1533" spans="1:13" x14ac:dyDescent="0.25">
      <c r="A1533" s="5"/>
      <c r="B1533" s="4" t="str">
        <f t="shared" si="93"/>
        <v/>
      </c>
      <c r="C1533" t="str">
        <f>IF(AND(TRIM(A1533)&lt;&gt;"",IFERROR(VLOOKUP(TRIM(B1533),Inventory!E:E,1,0),0)=0),"X","_")</f>
        <v>_</v>
      </c>
      <c r="D1533" t="str">
        <f>IF(AND(TRIM(A1533)&lt;&gt;"",IFERROR(VLOOKUP(TRIM(B1533),'Full Inventory'!F:F,1,0),0)=0),"X","_")</f>
        <v>_</v>
      </c>
      <c r="E1533" t="str">
        <f t="shared" si="96"/>
        <v>X</v>
      </c>
      <c r="F1533" t="str">
        <f ca="1">IFERROR(IF(AND(C1533&amp;D1533&amp;E1533="___",INDIRECT("Inventory!A"&amp;MATCH(VLOOKUP(B1533,Inventory!E:E,1,0),Inventory!E:E,0))&lt;&gt;INDIRECT("'Full Inventory'!B"&amp;MATCH(VLOOKUP(B1533,'Full Inventory'!F:F,1,0),'Full Inventory'!F:F,0))),"X","_"),"_")</f>
        <v>_</v>
      </c>
      <c r="L1533" t="str">
        <f t="shared" ca="1" si="94"/>
        <v>__X_</v>
      </c>
      <c r="M1533" t="str">
        <f t="shared" ca="1" si="95"/>
        <v/>
      </c>
    </row>
    <row r="1534" spans="1:13" x14ac:dyDescent="0.25">
      <c r="A1534" s="5"/>
      <c r="B1534" s="4" t="str">
        <f t="shared" si="93"/>
        <v/>
      </c>
      <c r="C1534" t="str">
        <f>IF(AND(TRIM(A1534)&lt;&gt;"",IFERROR(VLOOKUP(TRIM(B1534),Inventory!E:E,1,0),0)=0),"X","_")</f>
        <v>_</v>
      </c>
      <c r="D1534" t="str">
        <f>IF(AND(TRIM(A1534)&lt;&gt;"",IFERROR(VLOOKUP(TRIM(B1534),'Full Inventory'!F:F,1,0),0)=0),"X","_")</f>
        <v>_</v>
      </c>
      <c r="E1534" t="str">
        <f t="shared" si="96"/>
        <v>X</v>
      </c>
      <c r="F1534" t="str">
        <f ca="1">IFERROR(IF(AND(C1534&amp;D1534&amp;E1534="___",INDIRECT("Inventory!A"&amp;MATCH(VLOOKUP(B1534,Inventory!E:E,1,0),Inventory!E:E,0))&lt;&gt;INDIRECT("'Full Inventory'!B"&amp;MATCH(VLOOKUP(B1534,'Full Inventory'!F:F,1,0),'Full Inventory'!F:F,0))),"X","_"),"_")</f>
        <v>_</v>
      </c>
      <c r="L1534" t="str">
        <f t="shared" ca="1" si="94"/>
        <v>__X_</v>
      </c>
      <c r="M1534" t="str">
        <f t="shared" ca="1" si="95"/>
        <v/>
      </c>
    </row>
    <row r="1535" spans="1:13" x14ac:dyDescent="0.25">
      <c r="A1535" s="5"/>
      <c r="B1535" s="4" t="str">
        <f t="shared" si="93"/>
        <v/>
      </c>
      <c r="C1535" t="str">
        <f>IF(AND(TRIM(A1535)&lt;&gt;"",IFERROR(VLOOKUP(TRIM(B1535),Inventory!E:E,1,0),0)=0),"X","_")</f>
        <v>_</v>
      </c>
      <c r="D1535" t="str">
        <f>IF(AND(TRIM(A1535)&lt;&gt;"",IFERROR(VLOOKUP(TRIM(B1535),'Full Inventory'!F:F,1,0),0)=0),"X","_")</f>
        <v>_</v>
      </c>
      <c r="E1535" t="str">
        <f t="shared" si="96"/>
        <v>X</v>
      </c>
      <c r="F1535" t="str">
        <f ca="1">IFERROR(IF(AND(C1535&amp;D1535&amp;E1535="___",INDIRECT("Inventory!A"&amp;MATCH(VLOOKUP(B1535,Inventory!E:E,1,0),Inventory!E:E,0))&lt;&gt;INDIRECT("'Full Inventory'!B"&amp;MATCH(VLOOKUP(B1535,'Full Inventory'!F:F,1,0),'Full Inventory'!F:F,0))),"X","_"),"_")</f>
        <v>_</v>
      </c>
      <c r="L1535" t="str">
        <f t="shared" ca="1" si="94"/>
        <v>__X_</v>
      </c>
      <c r="M1535" t="str">
        <f t="shared" ca="1" si="95"/>
        <v/>
      </c>
    </row>
    <row r="1536" spans="1:13" x14ac:dyDescent="0.25">
      <c r="A1536" s="5"/>
      <c r="B1536" s="4" t="str">
        <f t="shared" si="93"/>
        <v/>
      </c>
      <c r="C1536" t="str">
        <f>IF(AND(TRIM(A1536)&lt;&gt;"",IFERROR(VLOOKUP(TRIM(B1536),Inventory!E:E,1,0),0)=0),"X","_")</f>
        <v>_</v>
      </c>
      <c r="D1536" t="str">
        <f>IF(AND(TRIM(A1536)&lt;&gt;"",IFERROR(VLOOKUP(TRIM(B1536),'Full Inventory'!F:F,1,0),0)=0),"X","_")</f>
        <v>_</v>
      </c>
      <c r="E1536" t="str">
        <f t="shared" si="96"/>
        <v>X</v>
      </c>
      <c r="F1536" t="str">
        <f ca="1">IFERROR(IF(AND(C1536&amp;D1536&amp;E1536="___",INDIRECT("Inventory!A"&amp;MATCH(VLOOKUP(B1536,Inventory!E:E,1,0),Inventory!E:E,0))&lt;&gt;INDIRECT("'Full Inventory'!B"&amp;MATCH(VLOOKUP(B1536,'Full Inventory'!F:F,1,0),'Full Inventory'!F:F,0))),"X","_"),"_")</f>
        <v>_</v>
      </c>
      <c r="L1536" t="str">
        <f t="shared" ca="1" si="94"/>
        <v>__X_</v>
      </c>
      <c r="M1536" t="str">
        <f t="shared" ca="1" si="95"/>
        <v/>
      </c>
    </row>
    <row r="1537" spans="1:13" x14ac:dyDescent="0.25">
      <c r="A1537" s="5"/>
      <c r="B1537" s="4" t="str">
        <f t="shared" si="93"/>
        <v/>
      </c>
      <c r="C1537" t="str">
        <f>IF(AND(TRIM(A1537)&lt;&gt;"",IFERROR(VLOOKUP(TRIM(B1537),Inventory!E:E,1,0),0)=0),"X","_")</f>
        <v>_</v>
      </c>
      <c r="D1537" t="str">
        <f>IF(AND(TRIM(A1537)&lt;&gt;"",IFERROR(VLOOKUP(TRIM(B1537),'Full Inventory'!F:F,1,0),0)=0),"X","_")</f>
        <v>_</v>
      </c>
      <c r="E1537" t="str">
        <f t="shared" si="96"/>
        <v>X</v>
      </c>
      <c r="F1537" t="str">
        <f ca="1">IFERROR(IF(AND(C1537&amp;D1537&amp;E1537="___",INDIRECT("Inventory!A"&amp;MATCH(VLOOKUP(B1537,Inventory!E:E,1,0),Inventory!E:E,0))&lt;&gt;INDIRECT("'Full Inventory'!B"&amp;MATCH(VLOOKUP(B1537,'Full Inventory'!F:F,1,0),'Full Inventory'!F:F,0))),"X","_"),"_")</f>
        <v>_</v>
      </c>
      <c r="L1537" t="str">
        <f t="shared" ca="1" si="94"/>
        <v>__X_</v>
      </c>
      <c r="M1537" t="str">
        <f t="shared" ca="1" si="95"/>
        <v/>
      </c>
    </row>
    <row r="1538" spans="1:13" x14ac:dyDescent="0.25">
      <c r="A1538" s="5"/>
      <c r="B1538" s="4" t="str">
        <f t="shared" si="93"/>
        <v/>
      </c>
      <c r="C1538" t="str">
        <f>IF(AND(TRIM(A1538)&lt;&gt;"",IFERROR(VLOOKUP(TRIM(B1538),Inventory!E:E,1,0),0)=0),"X","_")</f>
        <v>_</v>
      </c>
      <c r="D1538" t="str">
        <f>IF(AND(TRIM(A1538)&lt;&gt;"",IFERROR(VLOOKUP(TRIM(B1538),'Full Inventory'!F:F,1,0),0)=0),"X","_")</f>
        <v>_</v>
      </c>
      <c r="E1538" t="str">
        <f t="shared" si="96"/>
        <v>X</v>
      </c>
      <c r="F1538" t="str">
        <f ca="1">IFERROR(IF(AND(C1538&amp;D1538&amp;E1538="___",INDIRECT("Inventory!A"&amp;MATCH(VLOOKUP(B1538,Inventory!E:E,1,0),Inventory!E:E,0))&lt;&gt;INDIRECT("'Full Inventory'!B"&amp;MATCH(VLOOKUP(B1538,'Full Inventory'!F:F,1,0),'Full Inventory'!F:F,0))),"X","_"),"_")</f>
        <v>_</v>
      </c>
      <c r="L1538" t="str">
        <f t="shared" ca="1" si="94"/>
        <v>__X_</v>
      </c>
      <c r="M1538" t="str">
        <f t="shared" ca="1" si="95"/>
        <v/>
      </c>
    </row>
    <row r="1539" spans="1:13" x14ac:dyDescent="0.25">
      <c r="A1539" s="5"/>
      <c r="B1539" s="4" t="str">
        <f t="shared" ref="B1539:B1602" si="97">SUBSTITUTE(SUBSTITUTE(A1539,"ö","0"),"Ö","0")</f>
        <v/>
      </c>
      <c r="C1539" t="str">
        <f>IF(AND(TRIM(A1539)&lt;&gt;"",IFERROR(VLOOKUP(TRIM(B1539),Inventory!E:E,1,0),0)=0),"X","_")</f>
        <v>_</v>
      </c>
      <c r="D1539" t="str">
        <f>IF(AND(TRIM(A1539)&lt;&gt;"",IFERROR(VLOOKUP(TRIM(B1539),'Full Inventory'!F:F,1,0),0)=0),"X","_")</f>
        <v>_</v>
      </c>
      <c r="E1539" t="str">
        <f t="shared" si="96"/>
        <v>X</v>
      </c>
      <c r="F1539" t="str">
        <f ca="1">IFERROR(IF(AND(C1539&amp;D1539&amp;E1539="___",INDIRECT("Inventory!A"&amp;MATCH(VLOOKUP(B1539,Inventory!E:E,1,0),Inventory!E:E,0))&lt;&gt;INDIRECT("'Full Inventory'!B"&amp;MATCH(VLOOKUP(B1539,'Full Inventory'!F:F,1,0),'Full Inventory'!F:F,0))),"X","_"),"_")</f>
        <v>_</v>
      </c>
      <c r="L1539" t="str">
        <f t="shared" ref="L1539:L1602" ca="1" si="98">C1539&amp;D1539&amp;E1539&amp;F1539</f>
        <v>__X_</v>
      </c>
      <c r="M1539" t="str">
        <f t="shared" ref="M1539:M1602" ca="1" si="99">IF(L1539="____","OK",IF(L1539="_X__","NOT IN FULL INVENTORY",IF(L1539="XX__","NOT IN FULL INVENTORY AND INVENTORY",IF(L1539="X___","NOT IN INVENTORY",IF(L1539="___X","DIFFERENT NAMES IN FULL INVENTORY AND INVENTORY","")))))</f>
        <v/>
      </c>
    </row>
    <row r="1540" spans="1:13" x14ac:dyDescent="0.25">
      <c r="A1540" s="5"/>
      <c r="B1540" s="4" t="str">
        <f t="shared" si="97"/>
        <v/>
      </c>
      <c r="C1540" t="str">
        <f>IF(AND(TRIM(A1540)&lt;&gt;"",IFERROR(VLOOKUP(TRIM(B1540),Inventory!E:E,1,0),0)=0),"X","_")</f>
        <v>_</v>
      </c>
      <c r="D1540" t="str">
        <f>IF(AND(TRIM(A1540)&lt;&gt;"",IFERROR(VLOOKUP(TRIM(B1540),'Full Inventory'!F:F,1,0),0)=0),"X","_")</f>
        <v>_</v>
      </c>
      <c r="E1540" t="str">
        <f t="shared" si="96"/>
        <v>X</v>
      </c>
      <c r="F1540" t="str">
        <f ca="1">IFERROR(IF(AND(C1540&amp;D1540&amp;E1540="___",INDIRECT("Inventory!A"&amp;MATCH(VLOOKUP(B1540,Inventory!E:E,1,0),Inventory!E:E,0))&lt;&gt;INDIRECT("'Full Inventory'!B"&amp;MATCH(VLOOKUP(B1540,'Full Inventory'!F:F,1,0),'Full Inventory'!F:F,0))),"X","_"),"_")</f>
        <v>_</v>
      </c>
      <c r="L1540" t="str">
        <f t="shared" ca="1" si="98"/>
        <v>__X_</v>
      </c>
      <c r="M1540" t="str">
        <f t="shared" ca="1" si="99"/>
        <v/>
      </c>
    </row>
    <row r="1541" spans="1:13" x14ac:dyDescent="0.25">
      <c r="A1541" s="5"/>
      <c r="B1541" s="4" t="str">
        <f t="shared" si="97"/>
        <v/>
      </c>
      <c r="C1541" t="str">
        <f>IF(AND(TRIM(A1541)&lt;&gt;"",IFERROR(VLOOKUP(TRIM(B1541),Inventory!E:E,1,0),0)=0),"X","_")</f>
        <v>_</v>
      </c>
      <c r="D1541" t="str">
        <f>IF(AND(TRIM(A1541)&lt;&gt;"",IFERROR(VLOOKUP(TRIM(B1541),'Full Inventory'!F:F,1,0),0)=0),"X","_")</f>
        <v>_</v>
      </c>
      <c r="E1541" t="str">
        <f t="shared" si="96"/>
        <v>X</v>
      </c>
      <c r="F1541" t="str">
        <f ca="1">IFERROR(IF(AND(C1541&amp;D1541&amp;E1541="___",INDIRECT("Inventory!A"&amp;MATCH(VLOOKUP(B1541,Inventory!E:E,1,0),Inventory!E:E,0))&lt;&gt;INDIRECT("'Full Inventory'!B"&amp;MATCH(VLOOKUP(B1541,'Full Inventory'!F:F,1,0),'Full Inventory'!F:F,0))),"X","_"),"_")</f>
        <v>_</v>
      </c>
      <c r="L1541" t="str">
        <f t="shared" ca="1" si="98"/>
        <v>__X_</v>
      </c>
      <c r="M1541" t="str">
        <f t="shared" ca="1" si="99"/>
        <v/>
      </c>
    </row>
    <row r="1542" spans="1:13" x14ac:dyDescent="0.25">
      <c r="A1542" s="5"/>
      <c r="B1542" s="4" t="str">
        <f t="shared" si="97"/>
        <v/>
      </c>
      <c r="C1542" t="str">
        <f>IF(AND(TRIM(A1542)&lt;&gt;"",IFERROR(VLOOKUP(TRIM(B1542),Inventory!E:E,1,0),0)=0),"X","_")</f>
        <v>_</v>
      </c>
      <c r="D1542" t="str">
        <f>IF(AND(TRIM(A1542)&lt;&gt;"",IFERROR(VLOOKUP(TRIM(B1542),'Full Inventory'!F:F,1,0),0)=0),"X","_")</f>
        <v>_</v>
      </c>
      <c r="E1542" t="str">
        <f t="shared" si="96"/>
        <v>X</v>
      </c>
      <c r="F1542" t="str">
        <f ca="1">IFERROR(IF(AND(C1542&amp;D1542&amp;E1542="___",INDIRECT("Inventory!A"&amp;MATCH(VLOOKUP(B1542,Inventory!E:E,1,0),Inventory!E:E,0))&lt;&gt;INDIRECT("'Full Inventory'!B"&amp;MATCH(VLOOKUP(B1542,'Full Inventory'!F:F,1,0),'Full Inventory'!F:F,0))),"X","_"),"_")</f>
        <v>_</v>
      </c>
      <c r="L1542" t="str">
        <f t="shared" ca="1" si="98"/>
        <v>__X_</v>
      </c>
      <c r="M1542" t="str">
        <f t="shared" ca="1" si="99"/>
        <v/>
      </c>
    </row>
    <row r="1543" spans="1:13" x14ac:dyDescent="0.25">
      <c r="A1543" s="5"/>
      <c r="B1543" s="4" t="str">
        <f t="shared" si="97"/>
        <v/>
      </c>
      <c r="C1543" t="str">
        <f>IF(AND(TRIM(A1543)&lt;&gt;"",IFERROR(VLOOKUP(TRIM(B1543),Inventory!E:E,1,0),0)=0),"X","_")</f>
        <v>_</v>
      </c>
      <c r="D1543" t="str">
        <f>IF(AND(TRIM(A1543)&lt;&gt;"",IFERROR(VLOOKUP(TRIM(B1543),'Full Inventory'!F:F,1,0),0)=0),"X","_")</f>
        <v>_</v>
      </c>
      <c r="E1543" t="str">
        <f t="shared" si="96"/>
        <v>X</v>
      </c>
      <c r="F1543" t="str">
        <f ca="1">IFERROR(IF(AND(C1543&amp;D1543&amp;E1543="___",INDIRECT("Inventory!A"&amp;MATCH(VLOOKUP(B1543,Inventory!E:E,1,0),Inventory!E:E,0))&lt;&gt;INDIRECT("'Full Inventory'!B"&amp;MATCH(VLOOKUP(B1543,'Full Inventory'!F:F,1,0),'Full Inventory'!F:F,0))),"X","_"),"_")</f>
        <v>_</v>
      </c>
      <c r="L1543" t="str">
        <f t="shared" ca="1" si="98"/>
        <v>__X_</v>
      </c>
      <c r="M1543" t="str">
        <f t="shared" ca="1" si="99"/>
        <v/>
      </c>
    </row>
    <row r="1544" spans="1:13" x14ac:dyDescent="0.25">
      <c r="A1544" s="5"/>
      <c r="B1544" s="4" t="str">
        <f t="shared" si="97"/>
        <v/>
      </c>
      <c r="C1544" t="str">
        <f>IF(AND(TRIM(A1544)&lt;&gt;"",IFERROR(VLOOKUP(TRIM(B1544),Inventory!E:E,1,0),0)=0),"X","_")</f>
        <v>_</v>
      </c>
      <c r="D1544" t="str">
        <f>IF(AND(TRIM(A1544)&lt;&gt;"",IFERROR(VLOOKUP(TRIM(B1544),'Full Inventory'!F:F,1,0),0)=0),"X","_")</f>
        <v>_</v>
      </c>
      <c r="E1544" t="str">
        <f t="shared" si="96"/>
        <v>X</v>
      </c>
      <c r="F1544" t="str">
        <f ca="1">IFERROR(IF(AND(C1544&amp;D1544&amp;E1544="___",INDIRECT("Inventory!A"&amp;MATCH(VLOOKUP(B1544,Inventory!E:E,1,0),Inventory!E:E,0))&lt;&gt;INDIRECT("'Full Inventory'!B"&amp;MATCH(VLOOKUP(B1544,'Full Inventory'!F:F,1,0),'Full Inventory'!F:F,0))),"X","_"),"_")</f>
        <v>_</v>
      </c>
      <c r="L1544" t="str">
        <f t="shared" ca="1" si="98"/>
        <v>__X_</v>
      </c>
      <c r="M1544" t="str">
        <f t="shared" ca="1" si="99"/>
        <v/>
      </c>
    </row>
    <row r="1545" spans="1:13" x14ac:dyDescent="0.25">
      <c r="A1545" s="5"/>
      <c r="B1545" s="4" t="str">
        <f t="shared" si="97"/>
        <v/>
      </c>
      <c r="C1545" t="str">
        <f>IF(AND(TRIM(A1545)&lt;&gt;"",IFERROR(VLOOKUP(TRIM(B1545),Inventory!E:E,1,0),0)=0),"X","_")</f>
        <v>_</v>
      </c>
      <c r="D1545" t="str">
        <f>IF(AND(TRIM(A1545)&lt;&gt;"",IFERROR(VLOOKUP(TRIM(B1545),'Full Inventory'!F:F,1,0),0)=0),"X","_")</f>
        <v>_</v>
      </c>
      <c r="E1545" t="str">
        <f t="shared" si="96"/>
        <v>X</v>
      </c>
      <c r="F1545" t="str">
        <f ca="1">IFERROR(IF(AND(C1545&amp;D1545&amp;E1545="___",INDIRECT("Inventory!A"&amp;MATCH(VLOOKUP(B1545,Inventory!E:E,1,0),Inventory!E:E,0))&lt;&gt;INDIRECT("'Full Inventory'!B"&amp;MATCH(VLOOKUP(B1545,'Full Inventory'!F:F,1,0),'Full Inventory'!F:F,0))),"X","_"),"_")</f>
        <v>_</v>
      </c>
      <c r="L1545" t="str">
        <f t="shared" ca="1" si="98"/>
        <v>__X_</v>
      </c>
      <c r="M1545" t="str">
        <f t="shared" ca="1" si="99"/>
        <v/>
      </c>
    </row>
    <row r="1546" spans="1:13" x14ac:dyDescent="0.25">
      <c r="A1546" s="5"/>
      <c r="B1546" s="4" t="str">
        <f t="shared" si="97"/>
        <v/>
      </c>
      <c r="C1546" t="str">
        <f>IF(AND(TRIM(A1546)&lt;&gt;"",IFERROR(VLOOKUP(TRIM(B1546),Inventory!E:E,1,0),0)=0),"X","_")</f>
        <v>_</v>
      </c>
      <c r="D1546" t="str">
        <f>IF(AND(TRIM(A1546)&lt;&gt;"",IFERROR(VLOOKUP(TRIM(B1546),'Full Inventory'!F:F,1,0),0)=0),"X","_")</f>
        <v>_</v>
      </c>
      <c r="E1546" t="str">
        <f t="shared" si="96"/>
        <v>X</v>
      </c>
      <c r="F1546" t="str">
        <f ca="1">IFERROR(IF(AND(C1546&amp;D1546&amp;E1546="___",INDIRECT("Inventory!A"&amp;MATCH(VLOOKUP(B1546,Inventory!E:E,1,0),Inventory!E:E,0))&lt;&gt;INDIRECT("'Full Inventory'!B"&amp;MATCH(VLOOKUP(B1546,'Full Inventory'!F:F,1,0),'Full Inventory'!F:F,0))),"X","_"),"_")</f>
        <v>_</v>
      </c>
      <c r="L1546" t="str">
        <f t="shared" ca="1" si="98"/>
        <v>__X_</v>
      </c>
      <c r="M1546" t="str">
        <f t="shared" ca="1" si="99"/>
        <v/>
      </c>
    </row>
    <row r="1547" spans="1:13" x14ac:dyDescent="0.25">
      <c r="A1547" s="5"/>
      <c r="B1547" s="4" t="str">
        <f t="shared" si="97"/>
        <v/>
      </c>
      <c r="C1547" t="str">
        <f>IF(AND(TRIM(A1547)&lt;&gt;"",IFERROR(VLOOKUP(TRIM(B1547),Inventory!E:E,1,0),0)=0),"X","_")</f>
        <v>_</v>
      </c>
      <c r="D1547" t="str">
        <f>IF(AND(TRIM(A1547)&lt;&gt;"",IFERROR(VLOOKUP(TRIM(B1547),'Full Inventory'!F:F,1,0),0)=0),"X","_")</f>
        <v>_</v>
      </c>
      <c r="E1547" t="str">
        <f t="shared" si="96"/>
        <v>X</v>
      </c>
      <c r="F1547" t="str">
        <f ca="1">IFERROR(IF(AND(C1547&amp;D1547&amp;E1547="___",INDIRECT("Inventory!A"&amp;MATCH(VLOOKUP(B1547,Inventory!E:E,1,0),Inventory!E:E,0))&lt;&gt;INDIRECT("'Full Inventory'!B"&amp;MATCH(VLOOKUP(B1547,'Full Inventory'!F:F,1,0),'Full Inventory'!F:F,0))),"X","_"),"_")</f>
        <v>_</v>
      </c>
      <c r="L1547" t="str">
        <f t="shared" ca="1" si="98"/>
        <v>__X_</v>
      </c>
      <c r="M1547" t="str">
        <f t="shared" ca="1" si="99"/>
        <v/>
      </c>
    </row>
    <row r="1548" spans="1:13" x14ac:dyDescent="0.25">
      <c r="A1548" s="5"/>
      <c r="B1548" s="4" t="str">
        <f t="shared" si="97"/>
        <v/>
      </c>
      <c r="C1548" t="str">
        <f>IF(AND(TRIM(A1548)&lt;&gt;"",IFERROR(VLOOKUP(TRIM(B1548),Inventory!E:E,1,0),0)=0),"X","_")</f>
        <v>_</v>
      </c>
      <c r="D1548" t="str">
        <f>IF(AND(TRIM(A1548)&lt;&gt;"",IFERROR(VLOOKUP(TRIM(B1548),'Full Inventory'!F:F,1,0),0)=0),"X","_")</f>
        <v>_</v>
      </c>
      <c r="E1548" t="str">
        <f t="shared" si="96"/>
        <v>X</v>
      </c>
      <c r="F1548" t="str">
        <f ca="1">IFERROR(IF(AND(C1548&amp;D1548&amp;E1548="___",INDIRECT("Inventory!A"&amp;MATCH(VLOOKUP(B1548,Inventory!E:E,1,0),Inventory!E:E,0))&lt;&gt;INDIRECT("'Full Inventory'!B"&amp;MATCH(VLOOKUP(B1548,'Full Inventory'!F:F,1,0),'Full Inventory'!F:F,0))),"X","_"),"_")</f>
        <v>_</v>
      </c>
      <c r="L1548" t="str">
        <f t="shared" ca="1" si="98"/>
        <v>__X_</v>
      </c>
      <c r="M1548" t="str">
        <f t="shared" ca="1" si="99"/>
        <v/>
      </c>
    </row>
    <row r="1549" spans="1:13" x14ac:dyDescent="0.25">
      <c r="A1549" s="5"/>
      <c r="B1549" s="4" t="str">
        <f t="shared" si="97"/>
        <v/>
      </c>
      <c r="C1549" t="str">
        <f>IF(AND(TRIM(A1549)&lt;&gt;"",IFERROR(VLOOKUP(TRIM(B1549),Inventory!E:E,1,0),0)=0),"X","_")</f>
        <v>_</v>
      </c>
      <c r="D1549" t="str">
        <f>IF(AND(TRIM(A1549)&lt;&gt;"",IFERROR(VLOOKUP(TRIM(B1549),'Full Inventory'!F:F,1,0),0)=0),"X","_")</f>
        <v>_</v>
      </c>
      <c r="E1549" t="str">
        <f t="shared" si="96"/>
        <v>X</v>
      </c>
      <c r="F1549" t="str">
        <f ca="1">IFERROR(IF(AND(C1549&amp;D1549&amp;E1549="___",INDIRECT("Inventory!A"&amp;MATCH(VLOOKUP(B1549,Inventory!E:E,1,0),Inventory!E:E,0))&lt;&gt;INDIRECT("'Full Inventory'!B"&amp;MATCH(VLOOKUP(B1549,'Full Inventory'!F:F,1,0),'Full Inventory'!F:F,0))),"X","_"),"_")</f>
        <v>_</v>
      </c>
      <c r="L1549" t="str">
        <f t="shared" ca="1" si="98"/>
        <v>__X_</v>
      </c>
      <c r="M1549" t="str">
        <f t="shared" ca="1" si="99"/>
        <v/>
      </c>
    </row>
    <row r="1550" spans="1:13" x14ac:dyDescent="0.25">
      <c r="A1550" s="5"/>
      <c r="B1550" s="4" t="str">
        <f t="shared" si="97"/>
        <v/>
      </c>
      <c r="C1550" t="str">
        <f>IF(AND(TRIM(A1550)&lt;&gt;"",IFERROR(VLOOKUP(TRIM(B1550),Inventory!E:E,1,0),0)=0),"X","_")</f>
        <v>_</v>
      </c>
      <c r="D1550" t="str">
        <f>IF(AND(TRIM(A1550)&lt;&gt;"",IFERROR(VLOOKUP(TRIM(B1550),'Full Inventory'!F:F,1,0),0)=0),"X","_")</f>
        <v>_</v>
      </c>
      <c r="E1550" t="str">
        <f t="shared" si="96"/>
        <v>X</v>
      </c>
      <c r="F1550" t="str">
        <f ca="1">IFERROR(IF(AND(C1550&amp;D1550&amp;E1550="___",INDIRECT("Inventory!A"&amp;MATCH(VLOOKUP(B1550,Inventory!E:E,1,0),Inventory!E:E,0))&lt;&gt;INDIRECT("'Full Inventory'!B"&amp;MATCH(VLOOKUP(B1550,'Full Inventory'!F:F,1,0),'Full Inventory'!F:F,0))),"X","_"),"_")</f>
        <v>_</v>
      </c>
      <c r="L1550" t="str">
        <f t="shared" ca="1" si="98"/>
        <v>__X_</v>
      </c>
      <c r="M1550" t="str">
        <f t="shared" ca="1" si="99"/>
        <v/>
      </c>
    </row>
    <row r="1551" spans="1:13" x14ac:dyDescent="0.25">
      <c r="A1551" s="5"/>
      <c r="B1551" s="4" t="str">
        <f t="shared" si="97"/>
        <v/>
      </c>
      <c r="C1551" t="str">
        <f>IF(AND(TRIM(A1551)&lt;&gt;"",IFERROR(VLOOKUP(TRIM(B1551),Inventory!E:E,1,0),0)=0),"X","_")</f>
        <v>_</v>
      </c>
      <c r="D1551" t="str">
        <f>IF(AND(TRIM(A1551)&lt;&gt;"",IFERROR(VLOOKUP(TRIM(B1551),'Full Inventory'!F:F,1,0),0)=0),"X","_")</f>
        <v>_</v>
      </c>
      <c r="E1551" t="str">
        <f t="shared" si="96"/>
        <v>X</v>
      </c>
      <c r="F1551" t="str">
        <f ca="1">IFERROR(IF(AND(C1551&amp;D1551&amp;E1551="___",INDIRECT("Inventory!A"&amp;MATCH(VLOOKUP(B1551,Inventory!E:E,1,0),Inventory!E:E,0))&lt;&gt;INDIRECT("'Full Inventory'!B"&amp;MATCH(VLOOKUP(B1551,'Full Inventory'!F:F,1,0),'Full Inventory'!F:F,0))),"X","_"),"_")</f>
        <v>_</v>
      </c>
      <c r="L1551" t="str">
        <f t="shared" ca="1" si="98"/>
        <v>__X_</v>
      </c>
      <c r="M1551" t="str">
        <f t="shared" ca="1" si="99"/>
        <v/>
      </c>
    </row>
    <row r="1552" spans="1:13" x14ac:dyDescent="0.25">
      <c r="A1552" s="5"/>
      <c r="B1552" s="4" t="str">
        <f t="shared" si="97"/>
        <v/>
      </c>
      <c r="C1552" t="str">
        <f>IF(AND(TRIM(A1552)&lt;&gt;"",IFERROR(VLOOKUP(TRIM(B1552),Inventory!E:E,1,0),0)=0),"X","_")</f>
        <v>_</v>
      </c>
      <c r="D1552" t="str">
        <f>IF(AND(TRIM(A1552)&lt;&gt;"",IFERROR(VLOOKUP(TRIM(B1552),'Full Inventory'!F:F,1,0),0)=0),"X","_")</f>
        <v>_</v>
      </c>
      <c r="E1552" t="str">
        <f t="shared" si="96"/>
        <v>X</v>
      </c>
      <c r="F1552" t="str">
        <f ca="1">IFERROR(IF(AND(C1552&amp;D1552&amp;E1552="___",INDIRECT("Inventory!A"&amp;MATCH(VLOOKUP(B1552,Inventory!E:E,1,0),Inventory!E:E,0))&lt;&gt;INDIRECT("'Full Inventory'!B"&amp;MATCH(VLOOKUP(B1552,'Full Inventory'!F:F,1,0),'Full Inventory'!F:F,0))),"X","_"),"_")</f>
        <v>_</v>
      </c>
      <c r="L1552" t="str">
        <f t="shared" ca="1" si="98"/>
        <v>__X_</v>
      </c>
      <c r="M1552" t="str">
        <f t="shared" ca="1" si="99"/>
        <v/>
      </c>
    </row>
    <row r="1553" spans="1:13" x14ac:dyDescent="0.25">
      <c r="A1553" s="5"/>
      <c r="B1553" s="4" t="str">
        <f t="shared" si="97"/>
        <v/>
      </c>
      <c r="C1553" t="str">
        <f>IF(AND(TRIM(A1553)&lt;&gt;"",IFERROR(VLOOKUP(TRIM(B1553),Inventory!E:E,1,0),0)=0),"X","_")</f>
        <v>_</v>
      </c>
      <c r="D1553" t="str">
        <f>IF(AND(TRIM(A1553)&lt;&gt;"",IFERROR(VLOOKUP(TRIM(B1553),'Full Inventory'!F:F,1,0),0)=0),"X","_")</f>
        <v>_</v>
      </c>
      <c r="E1553" t="str">
        <f t="shared" si="96"/>
        <v>X</v>
      </c>
      <c r="F1553" t="str">
        <f ca="1">IFERROR(IF(AND(C1553&amp;D1553&amp;E1553="___",INDIRECT("Inventory!A"&amp;MATCH(VLOOKUP(B1553,Inventory!E:E,1,0),Inventory!E:E,0))&lt;&gt;INDIRECT("'Full Inventory'!B"&amp;MATCH(VLOOKUP(B1553,'Full Inventory'!F:F,1,0),'Full Inventory'!F:F,0))),"X","_"),"_")</f>
        <v>_</v>
      </c>
      <c r="L1553" t="str">
        <f t="shared" ca="1" si="98"/>
        <v>__X_</v>
      </c>
      <c r="M1553" t="str">
        <f t="shared" ca="1" si="99"/>
        <v/>
      </c>
    </row>
    <row r="1554" spans="1:13" x14ac:dyDescent="0.25">
      <c r="A1554" s="5"/>
      <c r="B1554" s="4" t="str">
        <f t="shared" si="97"/>
        <v/>
      </c>
      <c r="C1554" t="str">
        <f>IF(AND(TRIM(A1554)&lt;&gt;"",IFERROR(VLOOKUP(TRIM(B1554),Inventory!E:E,1,0),0)=0),"X","_")</f>
        <v>_</v>
      </c>
      <c r="D1554" t="str">
        <f>IF(AND(TRIM(A1554)&lt;&gt;"",IFERROR(VLOOKUP(TRIM(B1554),'Full Inventory'!F:F,1,0),0)=0),"X","_")</f>
        <v>_</v>
      </c>
      <c r="E1554" t="str">
        <f t="shared" si="96"/>
        <v>X</v>
      </c>
      <c r="F1554" t="str">
        <f ca="1">IFERROR(IF(AND(C1554&amp;D1554&amp;E1554="___",INDIRECT("Inventory!A"&amp;MATCH(VLOOKUP(B1554,Inventory!E:E,1,0),Inventory!E:E,0))&lt;&gt;INDIRECT("'Full Inventory'!B"&amp;MATCH(VLOOKUP(B1554,'Full Inventory'!F:F,1,0),'Full Inventory'!F:F,0))),"X","_"),"_")</f>
        <v>_</v>
      </c>
      <c r="L1554" t="str">
        <f t="shared" ca="1" si="98"/>
        <v>__X_</v>
      </c>
      <c r="M1554" t="str">
        <f t="shared" ca="1" si="99"/>
        <v/>
      </c>
    </row>
    <row r="1555" spans="1:13" x14ac:dyDescent="0.25">
      <c r="A1555" s="5"/>
      <c r="B1555" s="4" t="str">
        <f t="shared" si="97"/>
        <v/>
      </c>
      <c r="C1555" t="str">
        <f>IF(AND(TRIM(A1555)&lt;&gt;"",IFERROR(VLOOKUP(TRIM(B1555),Inventory!E:E,1,0),0)=0),"X","_")</f>
        <v>_</v>
      </c>
      <c r="D1555" t="str">
        <f>IF(AND(TRIM(A1555)&lt;&gt;"",IFERROR(VLOOKUP(TRIM(B1555),'Full Inventory'!F:F,1,0),0)=0),"X","_")</f>
        <v>_</v>
      </c>
      <c r="E1555" t="str">
        <f t="shared" si="96"/>
        <v>X</v>
      </c>
      <c r="F1555" t="str">
        <f ca="1">IFERROR(IF(AND(C1555&amp;D1555&amp;E1555="___",INDIRECT("Inventory!A"&amp;MATCH(VLOOKUP(B1555,Inventory!E:E,1,0),Inventory!E:E,0))&lt;&gt;INDIRECT("'Full Inventory'!B"&amp;MATCH(VLOOKUP(B1555,'Full Inventory'!F:F,1,0),'Full Inventory'!F:F,0))),"X","_"),"_")</f>
        <v>_</v>
      </c>
      <c r="L1555" t="str">
        <f t="shared" ca="1" si="98"/>
        <v>__X_</v>
      </c>
      <c r="M1555" t="str">
        <f t="shared" ca="1" si="99"/>
        <v/>
      </c>
    </row>
    <row r="1556" spans="1:13" x14ac:dyDescent="0.25">
      <c r="A1556" s="5"/>
      <c r="B1556" s="4" t="str">
        <f t="shared" si="97"/>
        <v/>
      </c>
      <c r="C1556" t="str">
        <f>IF(AND(TRIM(A1556)&lt;&gt;"",IFERROR(VLOOKUP(TRIM(B1556),Inventory!E:E,1,0),0)=0),"X","_")</f>
        <v>_</v>
      </c>
      <c r="D1556" t="str">
        <f>IF(AND(TRIM(A1556)&lt;&gt;"",IFERROR(VLOOKUP(TRIM(B1556),'Full Inventory'!F:F,1,0),0)=0),"X","_")</f>
        <v>_</v>
      </c>
      <c r="E1556" t="str">
        <f t="shared" ref="E1556:E1619" si="100">IF(TRIM(A1556)&lt;&gt;"","_","X")</f>
        <v>X</v>
      </c>
      <c r="F1556" t="str">
        <f ca="1">IFERROR(IF(AND(C1556&amp;D1556&amp;E1556="___",INDIRECT("Inventory!A"&amp;MATCH(VLOOKUP(B1556,Inventory!E:E,1,0),Inventory!E:E,0))&lt;&gt;INDIRECT("'Full Inventory'!B"&amp;MATCH(VLOOKUP(B1556,'Full Inventory'!F:F,1,0),'Full Inventory'!F:F,0))),"X","_"),"_")</f>
        <v>_</v>
      </c>
      <c r="L1556" t="str">
        <f t="shared" ca="1" si="98"/>
        <v>__X_</v>
      </c>
      <c r="M1556" t="str">
        <f t="shared" ca="1" si="99"/>
        <v/>
      </c>
    </row>
    <row r="1557" spans="1:13" x14ac:dyDescent="0.25">
      <c r="A1557" s="5"/>
      <c r="B1557" s="4" t="str">
        <f t="shared" si="97"/>
        <v/>
      </c>
      <c r="C1557" t="str">
        <f>IF(AND(TRIM(A1557)&lt;&gt;"",IFERROR(VLOOKUP(TRIM(B1557),Inventory!E:E,1,0),0)=0),"X","_")</f>
        <v>_</v>
      </c>
      <c r="D1557" t="str">
        <f>IF(AND(TRIM(A1557)&lt;&gt;"",IFERROR(VLOOKUP(TRIM(B1557),'Full Inventory'!F:F,1,0),0)=0),"X","_")</f>
        <v>_</v>
      </c>
      <c r="E1557" t="str">
        <f t="shared" si="100"/>
        <v>X</v>
      </c>
      <c r="F1557" t="str">
        <f ca="1">IFERROR(IF(AND(C1557&amp;D1557&amp;E1557="___",INDIRECT("Inventory!A"&amp;MATCH(VLOOKUP(B1557,Inventory!E:E,1,0),Inventory!E:E,0))&lt;&gt;INDIRECT("'Full Inventory'!B"&amp;MATCH(VLOOKUP(B1557,'Full Inventory'!F:F,1,0),'Full Inventory'!F:F,0))),"X","_"),"_")</f>
        <v>_</v>
      </c>
      <c r="L1557" t="str">
        <f t="shared" ca="1" si="98"/>
        <v>__X_</v>
      </c>
      <c r="M1557" t="str">
        <f t="shared" ca="1" si="99"/>
        <v/>
      </c>
    </row>
    <row r="1558" spans="1:13" x14ac:dyDescent="0.25">
      <c r="A1558" s="5"/>
      <c r="B1558" s="4" t="str">
        <f t="shared" si="97"/>
        <v/>
      </c>
      <c r="C1558" t="str">
        <f>IF(AND(TRIM(A1558)&lt;&gt;"",IFERROR(VLOOKUP(TRIM(B1558),Inventory!E:E,1,0),0)=0),"X","_")</f>
        <v>_</v>
      </c>
      <c r="D1558" t="str">
        <f>IF(AND(TRIM(A1558)&lt;&gt;"",IFERROR(VLOOKUP(TRIM(B1558),'Full Inventory'!F:F,1,0),0)=0),"X","_")</f>
        <v>_</v>
      </c>
      <c r="E1558" t="str">
        <f t="shared" si="100"/>
        <v>X</v>
      </c>
      <c r="F1558" t="str">
        <f ca="1">IFERROR(IF(AND(C1558&amp;D1558&amp;E1558="___",INDIRECT("Inventory!A"&amp;MATCH(VLOOKUP(B1558,Inventory!E:E,1,0),Inventory!E:E,0))&lt;&gt;INDIRECT("'Full Inventory'!B"&amp;MATCH(VLOOKUP(B1558,'Full Inventory'!F:F,1,0),'Full Inventory'!F:F,0))),"X","_"),"_")</f>
        <v>_</v>
      </c>
      <c r="L1558" t="str">
        <f t="shared" ca="1" si="98"/>
        <v>__X_</v>
      </c>
      <c r="M1558" t="str">
        <f t="shared" ca="1" si="99"/>
        <v/>
      </c>
    </row>
    <row r="1559" spans="1:13" x14ac:dyDescent="0.25">
      <c r="A1559" s="5"/>
      <c r="B1559" s="4" t="str">
        <f t="shared" si="97"/>
        <v/>
      </c>
      <c r="C1559" t="str">
        <f>IF(AND(TRIM(A1559)&lt;&gt;"",IFERROR(VLOOKUP(TRIM(B1559),Inventory!E:E,1,0),0)=0),"X","_")</f>
        <v>_</v>
      </c>
      <c r="D1559" t="str">
        <f>IF(AND(TRIM(A1559)&lt;&gt;"",IFERROR(VLOOKUP(TRIM(B1559),'Full Inventory'!F:F,1,0),0)=0),"X","_")</f>
        <v>_</v>
      </c>
      <c r="E1559" t="str">
        <f t="shared" si="100"/>
        <v>X</v>
      </c>
      <c r="F1559" t="str">
        <f ca="1">IFERROR(IF(AND(C1559&amp;D1559&amp;E1559="___",INDIRECT("Inventory!A"&amp;MATCH(VLOOKUP(B1559,Inventory!E:E,1,0),Inventory!E:E,0))&lt;&gt;INDIRECT("'Full Inventory'!B"&amp;MATCH(VLOOKUP(B1559,'Full Inventory'!F:F,1,0),'Full Inventory'!F:F,0))),"X","_"),"_")</f>
        <v>_</v>
      </c>
      <c r="L1559" t="str">
        <f t="shared" ca="1" si="98"/>
        <v>__X_</v>
      </c>
      <c r="M1559" t="str">
        <f t="shared" ca="1" si="99"/>
        <v/>
      </c>
    </row>
    <row r="1560" spans="1:13" x14ac:dyDescent="0.25">
      <c r="A1560" s="5"/>
      <c r="B1560" s="4" t="str">
        <f t="shared" si="97"/>
        <v/>
      </c>
      <c r="C1560" t="str">
        <f>IF(AND(TRIM(A1560)&lt;&gt;"",IFERROR(VLOOKUP(TRIM(B1560),Inventory!E:E,1,0),0)=0),"X","_")</f>
        <v>_</v>
      </c>
      <c r="D1560" t="str">
        <f>IF(AND(TRIM(A1560)&lt;&gt;"",IFERROR(VLOOKUP(TRIM(B1560),'Full Inventory'!F:F,1,0),0)=0),"X","_")</f>
        <v>_</v>
      </c>
      <c r="E1560" t="str">
        <f t="shared" si="100"/>
        <v>X</v>
      </c>
      <c r="F1560" t="str">
        <f ca="1">IFERROR(IF(AND(C1560&amp;D1560&amp;E1560="___",INDIRECT("Inventory!A"&amp;MATCH(VLOOKUP(B1560,Inventory!E:E,1,0),Inventory!E:E,0))&lt;&gt;INDIRECT("'Full Inventory'!B"&amp;MATCH(VLOOKUP(B1560,'Full Inventory'!F:F,1,0),'Full Inventory'!F:F,0))),"X","_"),"_")</f>
        <v>_</v>
      </c>
      <c r="L1560" t="str">
        <f t="shared" ca="1" si="98"/>
        <v>__X_</v>
      </c>
      <c r="M1560" t="str">
        <f t="shared" ca="1" si="99"/>
        <v/>
      </c>
    </row>
    <row r="1561" spans="1:13" x14ac:dyDescent="0.25">
      <c r="A1561" s="5"/>
      <c r="B1561" s="4" t="str">
        <f t="shared" si="97"/>
        <v/>
      </c>
      <c r="C1561" t="str">
        <f>IF(AND(TRIM(A1561)&lt;&gt;"",IFERROR(VLOOKUP(TRIM(B1561),Inventory!E:E,1,0),0)=0),"X","_")</f>
        <v>_</v>
      </c>
      <c r="D1561" t="str">
        <f>IF(AND(TRIM(A1561)&lt;&gt;"",IFERROR(VLOOKUP(TRIM(B1561),'Full Inventory'!F:F,1,0),0)=0),"X","_")</f>
        <v>_</v>
      </c>
      <c r="E1561" t="str">
        <f t="shared" si="100"/>
        <v>X</v>
      </c>
      <c r="F1561" t="str">
        <f ca="1">IFERROR(IF(AND(C1561&amp;D1561&amp;E1561="___",INDIRECT("Inventory!A"&amp;MATCH(VLOOKUP(B1561,Inventory!E:E,1,0),Inventory!E:E,0))&lt;&gt;INDIRECT("'Full Inventory'!B"&amp;MATCH(VLOOKUP(B1561,'Full Inventory'!F:F,1,0),'Full Inventory'!F:F,0))),"X","_"),"_")</f>
        <v>_</v>
      </c>
      <c r="L1561" t="str">
        <f t="shared" ca="1" si="98"/>
        <v>__X_</v>
      </c>
      <c r="M1561" t="str">
        <f t="shared" ca="1" si="99"/>
        <v/>
      </c>
    </row>
    <row r="1562" spans="1:13" x14ac:dyDescent="0.25">
      <c r="A1562" s="5"/>
      <c r="B1562" s="4" t="str">
        <f t="shared" si="97"/>
        <v/>
      </c>
      <c r="C1562" t="str">
        <f>IF(AND(TRIM(A1562)&lt;&gt;"",IFERROR(VLOOKUP(TRIM(B1562),Inventory!E:E,1,0),0)=0),"X","_")</f>
        <v>_</v>
      </c>
      <c r="D1562" t="str">
        <f>IF(AND(TRIM(A1562)&lt;&gt;"",IFERROR(VLOOKUP(TRIM(B1562),'Full Inventory'!F:F,1,0),0)=0),"X","_")</f>
        <v>_</v>
      </c>
      <c r="E1562" t="str">
        <f t="shared" si="100"/>
        <v>X</v>
      </c>
      <c r="F1562" t="str">
        <f ca="1">IFERROR(IF(AND(C1562&amp;D1562&amp;E1562="___",INDIRECT("Inventory!A"&amp;MATCH(VLOOKUP(B1562,Inventory!E:E,1,0),Inventory!E:E,0))&lt;&gt;INDIRECT("'Full Inventory'!B"&amp;MATCH(VLOOKUP(B1562,'Full Inventory'!F:F,1,0),'Full Inventory'!F:F,0))),"X","_"),"_")</f>
        <v>_</v>
      </c>
      <c r="L1562" t="str">
        <f t="shared" ca="1" si="98"/>
        <v>__X_</v>
      </c>
      <c r="M1562" t="str">
        <f t="shared" ca="1" si="99"/>
        <v/>
      </c>
    </row>
    <row r="1563" spans="1:13" x14ac:dyDescent="0.25">
      <c r="A1563" s="5"/>
      <c r="B1563" s="4" t="str">
        <f t="shared" si="97"/>
        <v/>
      </c>
      <c r="C1563" t="str">
        <f>IF(AND(TRIM(A1563)&lt;&gt;"",IFERROR(VLOOKUP(TRIM(B1563),Inventory!E:E,1,0),0)=0),"X","_")</f>
        <v>_</v>
      </c>
      <c r="D1563" t="str">
        <f>IF(AND(TRIM(A1563)&lt;&gt;"",IFERROR(VLOOKUP(TRIM(B1563),'Full Inventory'!F:F,1,0),0)=0),"X","_")</f>
        <v>_</v>
      </c>
      <c r="E1563" t="str">
        <f t="shared" si="100"/>
        <v>X</v>
      </c>
      <c r="F1563" t="str">
        <f ca="1">IFERROR(IF(AND(C1563&amp;D1563&amp;E1563="___",INDIRECT("Inventory!A"&amp;MATCH(VLOOKUP(B1563,Inventory!E:E,1,0),Inventory!E:E,0))&lt;&gt;INDIRECT("'Full Inventory'!B"&amp;MATCH(VLOOKUP(B1563,'Full Inventory'!F:F,1,0),'Full Inventory'!F:F,0))),"X","_"),"_")</f>
        <v>_</v>
      </c>
      <c r="L1563" t="str">
        <f t="shared" ca="1" si="98"/>
        <v>__X_</v>
      </c>
      <c r="M1563" t="str">
        <f t="shared" ca="1" si="99"/>
        <v/>
      </c>
    </row>
    <row r="1564" spans="1:13" x14ac:dyDescent="0.25">
      <c r="A1564" s="5"/>
      <c r="B1564" s="4" t="str">
        <f t="shared" si="97"/>
        <v/>
      </c>
      <c r="C1564" t="str">
        <f>IF(AND(TRIM(A1564)&lt;&gt;"",IFERROR(VLOOKUP(TRIM(B1564),Inventory!E:E,1,0),0)=0),"X","_")</f>
        <v>_</v>
      </c>
      <c r="D1564" t="str">
        <f>IF(AND(TRIM(A1564)&lt;&gt;"",IFERROR(VLOOKUP(TRIM(B1564),'Full Inventory'!F:F,1,0),0)=0),"X","_")</f>
        <v>_</v>
      </c>
      <c r="E1564" t="str">
        <f t="shared" si="100"/>
        <v>X</v>
      </c>
      <c r="F1564" t="str">
        <f ca="1">IFERROR(IF(AND(C1564&amp;D1564&amp;E1564="___",INDIRECT("Inventory!A"&amp;MATCH(VLOOKUP(B1564,Inventory!E:E,1,0),Inventory!E:E,0))&lt;&gt;INDIRECT("'Full Inventory'!B"&amp;MATCH(VLOOKUP(B1564,'Full Inventory'!F:F,1,0),'Full Inventory'!F:F,0))),"X","_"),"_")</f>
        <v>_</v>
      </c>
      <c r="L1564" t="str">
        <f t="shared" ca="1" si="98"/>
        <v>__X_</v>
      </c>
      <c r="M1564" t="str">
        <f t="shared" ca="1" si="99"/>
        <v/>
      </c>
    </row>
    <row r="1565" spans="1:13" x14ac:dyDescent="0.25">
      <c r="A1565" s="5"/>
      <c r="B1565" s="4" t="str">
        <f t="shared" si="97"/>
        <v/>
      </c>
      <c r="C1565" t="str">
        <f>IF(AND(TRIM(A1565)&lt;&gt;"",IFERROR(VLOOKUP(TRIM(B1565),Inventory!E:E,1,0),0)=0),"X","_")</f>
        <v>_</v>
      </c>
      <c r="D1565" t="str">
        <f>IF(AND(TRIM(A1565)&lt;&gt;"",IFERROR(VLOOKUP(TRIM(B1565),'Full Inventory'!F:F,1,0),0)=0),"X","_")</f>
        <v>_</v>
      </c>
      <c r="E1565" t="str">
        <f t="shared" si="100"/>
        <v>X</v>
      </c>
      <c r="F1565" t="str">
        <f ca="1">IFERROR(IF(AND(C1565&amp;D1565&amp;E1565="___",INDIRECT("Inventory!A"&amp;MATCH(VLOOKUP(B1565,Inventory!E:E,1,0),Inventory!E:E,0))&lt;&gt;INDIRECT("'Full Inventory'!B"&amp;MATCH(VLOOKUP(B1565,'Full Inventory'!F:F,1,0),'Full Inventory'!F:F,0))),"X","_"),"_")</f>
        <v>_</v>
      </c>
      <c r="L1565" t="str">
        <f t="shared" ca="1" si="98"/>
        <v>__X_</v>
      </c>
      <c r="M1565" t="str">
        <f t="shared" ca="1" si="99"/>
        <v/>
      </c>
    </row>
    <row r="1566" spans="1:13" x14ac:dyDescent="0.25">
      <c r="A1566" s="5"/>
      <c r="B1566" s="4" t="str">
        <f t="shared" si="97"/>
        <v/>
      </c>
      <c r="C1566" t="str">
        <f>IF(AND(TRIM(A1566)&lt;&gt;"",IFERROR(VLOOKUP(TRIM(B1566),Inventory!E:E,1,0),0)=0),"X","_")</f>
        <v>_</v>
      </c>
      <c r="D1566" t="str">
        <f>IF(AND(TRIM(A1566)&lt;&gt;"",IFERROR(VLOOKUP(TRIM(B1566),'Full Inventory'!F:F,1,0),0)=0),"X","_")</f>
        <v>_</v>
      </c>
      <c r="E1566" t="str">
        <f t="shared" si="100"/>
        <v>X</v>
      </c>
      <c r="F1566" t="str">
        <f ca="1">IFERROR(IF(AND(C1566&amp;D1566&amp;E1566="___",INDIRECT("Inventory!A"&amp;MATCH(VLOOKUP(B1566,Inventory!E:E,1,0),Inventory!E:E,0))&lt;&gt;INDIRECT("'Full Inventory'!B"&amp;MATCH(VLOOKUP(B1566,'Full Inventory'!F:F,1,0),'Full Inventory'!F:F,0))),"X","_"),"_")</f>
        <v>_</v>
      </c>
      <c r="L1566" t="str">
        <f t="shared" ca="1" si="98"/>
        <v>__X_</v>
      </c>
      <c r="M1566" t="str">
        <f t="shared" ca="1" si="99"/>
        <v/>
      </c>
    </row>
    <row r="1567" spans="1:13" x14ac:dyDescent="0.25">
      <c r="A1567" s="5"/>
      <c r="B1567" s="4" t="str">
        <f t="shared" si="97"/>
        <v/>
      </c>
      <c r="C1567" t="str">
        <f>IF(AND(TRIM(A1567)&lt;&gt;"",IFERROR(VLOOKUP(TRIM(B1567),Inventory!E:E,1,0),0)=0),"X","_")</f>
        <v>_</v>
      </c>
      <c r="D1567" t="str">
        <f>IF(AND(TRIM(A1567)&lt;&gt;"",IFERROR(VLOOKUP(TRIM(B1567),'Full Inventory'!F:F,1,0),0)=0),"X","_")</f>
        <v>_</v>
      </c>
      <c r="E1567" t="str">
        <f t="shared" si="100"/>
        <v>X</v>
      </c>
      <c r="F1567" t="str">
        <f ca="1">IFERROR(IF(AND(C1567&amp;D1567&amp;E1567="___",INDIRECT("Inventory!A"&amp;MATCH(VLOOKUP(B1567,Inventory!E:E,1,0),Inventory!E:E,0))&lt;&gt;INDIRECT("'Full Inventory'!B"&amp;MATCH(VLOOKUP(B1567,'Full Inventory'!F:F,1,0),'Full Inventory'!F:F,0))),"X","_"),"_")</f>
        <v>_</v>
      </c>
      <c r="L1567" t="str">
        <f t="shared" ca="1" si="98"/>
        <v>__X_</v>
      </c>
      <c r="M1567" t="str">
        <f t="shared" ca="1" si="99"/>
        <v/>
      </c>
    </row>
    <row r="1568" spans="1:13" x14ac:dyDescent="0.25">
      <c r="A1568" s="5"/>
      <c r="B1568" s="4" t="str">
        <f t="shared" si="97"/>
        <v/>
      </c>
      <c r="C1568" t="str">
        <f>IF(AND(TRIM(A1568)&lt;&gt;"",IFERROR(VLOOKUP(TRIM(B1568),Inventory!E:E,1,0),0)=0),"X","_")</f>
        <v>_</v>
      </c>
      <c r="D1568" t="str">
        <f>IF(AND(TRIM(A1568)&lt;&gt;"",IFERROR(VLOOKUP(TRIM(B1568),'Full Inventory'!F:F,1,0),0)=0),"X","_")</f>
        <v>_</v>
      </c>
      <c r="E1568" t="str">
        <f t="shared" si="100"/>
        <v>X</v>
      </c>
      <c r="F1568" t="str">
        <f ca="1">IFERROR(IF(AND(C1568&amp;D1568&amp;E1568="___",INDIRECT("Inventory!A"&amp;MATCH(VLOOKUP(B1568,Inventory!E:E,1,0),Inventory!E:E,0))&lt;&gt;INDIRECT("'Full Inventory'!B"&amp;MATCH(VLOOKUP(B1568,'Full Inventory'!F:F,1,0),'Full Inventory'!F:F,0))),"X","_"),"_")</f>
        <v>_</v>
      </c>
      <c r="L1568" t="str">
        <f t="shared" ca="1" si="98"/>
        <v>__X_</v>
      </c>
      <c r="M1568" t="str">
        <f t="shared" ca="1" si="99"/>
        <v/>
      </c>
    </row>
    <row r="1569" spans="1:13" x14ac:dyDescent="0.25">
      <c r="A1569" s="5"/>
      <c r="B1569" s="4" t="str">
        <f t="shared" si="97"/>
        <v/>
      </c>
      <c r="C1569" t="str">
        <f>IF(AND(TRIM(A1569)&lt;&gt;"",IFERROR(VLOOKUP(TRIM(B1569),Inventory!E:E,1,0),0)=0),"X","_")</f>
        <v>_</v>
      </c>
      <c r="D1569" t="str">
        <f>IF(AND(TRIM(A1569)&lt;&gt;"",IFERROR(VLOOKUP(TRIM(B1569),'Full Inventory'!F:F,1,0),0)=0),"X","_")</f>
        <v>_</v>
      </c>
      <c r="E1569" t="str">
        <f t="shared" si="100"/>
        <v>X</v>
      </c>
      <c r="F1569" t="str">
        <f ca="1">IFERROR(IF(AND(C1569&amp;D1569&amp;E1569="___",INDIRECT("Inventory!A"&amp;MATCH(VLOOKUP(B1569,Inventory!E:E,1,0),Inventory!E:E,0))&lt;&gt;INDIRECT("'Full Inventory'!B"&amp;MATCH(VLOOKUP(B1569,'Full Inventory'!F:F,1,0),'Full Inventory'!F:F,0))),"X","_"),"_")</f>
        <v>_</v>
      </c>
      <c r="L1569" t="str">
        <f t="shared" ca="1" si="98"/>
        <v>__X_</v>
      </c>
      <c r="M1569" t="str">
        <f t="shared" ca="1" si="99"/>
        <v/>
      </c>
    </row>
    <row r="1570" spans="1:13" x14ac:dyDescent="0.25">
      <c r="A1570" s="5"/>
      <c r="B1570" s="4" t="str">
        <f t="shared" si="97"/>
        <v/>
      </c>
      <c r="C1570" t="str">
        <f>IF(AND(TRIM(A1570)&lt;&gt;"",IFERROR(VLOOKUP(TRIM(B1570),Inventory!E:E,1,0),0)=0),"X","_")</f>
        <v>_</v>
      </c>
      <c r="D1570" t="str">
        <f>IF(AND(TRIM(A1570)&lt;&gt;"",IFERROR(VLOOKUP(TRIM(B1570),'Full Inventory'!F:F,1,0),0)=0),"X","_")</f>
        <v>_</v>
      </c>
      <c r="E1570" t="str">
        <f t="shared" si="100"/>
        <v>X</v>
      </c>
      <c r="F1570" t="str">
        <f ca="1">IFERROR(IF(AND(C1570&amp;D1570&amp;E1570="___",INDIRECT("Inventory!A"&amp;MATCH(VLOOKUP(B1570,Inventory!E:E,1,0),Inventory!E:E,0))&lt;&gt;INDIRECT("'Full Inventory'!B"&amp;MATCH(VLOOKUP(B1570,'Full Inventory'!F:F,1,0),'Full Inventory'!F:F,0))),"X","_"),"_")</f>
        <v>_</v>
      </c>
      <c r="L1570" t="str">
        <f t="shared" ca="1" si="98"/>
        <v>__X_</v>
      </c>
      <c r="M1570" t="str">
        <f t="shared" ca="1" si="99"/>
        <v/>
      </c>
    </row>
    <row r="1571" spans="1:13" x14ac:dyDescent="0.25">
      <c r="A1571" s="5"/>
      <c r="B1571" s="4" t="str">
        <f t="shared" si="97"/>
        <v/>
      </c>
      <c r="C1571" t="str">
        <f>IF(AND(TRIM(A1571)&lt;&gt;"",IFERROR(VLOOKUP(TRIM(B1571),Inventory!E:E,1,0),0)=0),"X","_")</f>
        <v>_</v>
      </c>
      <c r="D1571" t="str">
        <f>IF(AND(TRIM(A1571)&lt;&gt;"",IFERROR(VLOOKUP(TRIM(B1571),'Full Inventory'!F:F,1,0),0)=0),"X","_")</f>
        <v>_</v>
      </c>
      <c r="E1571" t="str">
        <f t="shared" si="100"/>
        <v>X</v>
      </c>
      <c r="F1571" t="str">
        <f ca="1">IFERROR(IF(AND(C1571&amp;D1571&amp;E1571="___",INDIRECT("Inventory!A"&amp;MATCH(VLOOKUP(B1571,Inventory!E:E,1,0),Inventory!E:E,0))&lt;&gt;INDIRECT("'Full Inventory'!B"&amp;MATCH(VLOOKUP(B1571,'Full Inventory'!F:F,1,0),'Full Inventory'!F:F,0))),"X","_"),"_")</f>
        <v>_</v>
      </c>
      <c r="L1571" t="str">
        <f t="shared" ca="1" si="98"/>
        <v>__X_</v>
      </c>
      <c r="M1571" t="str">
        <f t="shared" ca="1" si="99"/>
        <v/>
      </c>
    </row>
    <row r="1572" spans="1:13" x14ac:dyDescent="0.25">
      <c r="A1572" s="5"/>
      <c r="B1572" s="4" t="str">
        <f t="shared" si="97"/>
        <v/>
      </c>
      <c r="C1572" t="str">
        <f>IF(AND(TRIM(A1572)&lt;&gt;"",IFERROR(VLOOKUP(TRIM(B1572),Inventory!E:E,1,0),0)=0),"X","_")</f>
        <v>_</v>
      </c>
      <c r="D1572" t="str">
        <f>IF(AND(TRIM(A1572)&lt;&gt;"",IFERROR(VLOOKUP(TRIM(B1572),'Full Inventory'!F:F,1,0),0)=0),"X","_")</f>
        <v>_</v>
      </c>
      <c r="E1572" t="str">
        <f t="shared" si="100"/>
        <v>X</v>
      </c>
      <c r="F1572" t="str">
        <f ca="1">IFERROR(IF(AND(C1572&amp;D1572&amp;E1572="___",INDIRECT("Inventory!A"&amp;MATCH(VLOOKUP(B1572,Inventory!E:E,1,0),Inventory!E:E,0))&lt;&gt;INDIRECT("'Full Inventory'!B"&amp;MATCH(VLOOKUP(B1572,'Full Inventory'!F:F,1,0),'Full Inventory'!F:F,0))),"X","_"),"_")</f>
        <v>_</v>
      </c>
      <c r="L1572" t="str">
        <f t="shared" ca="1" si="98"/>
        <v>__X_</v>
      </c>
      <c r="M1572" t="str">
        <f t="shared" ca="1" si="99"/>
        <v/>
      </c>
    </row>
    <row r="1573" spans="1:13" x14ac:dyDescent="0.25">
      <c r="A1573" s="5"/>
      <c r="B1573" s="4" t="str">
        <f t="shared" si="97"/>
        <v/>
      </c>
      <c r="C1573" t="str">
        <f>IF(AND(TRIM(A1573)&lt;&gt;"",IFERROR(VLOOKUP(TRIM(B1573),Inventory!E:E,1,0),0)=0),"X","_")</f>
        <v>_</v>
      </c>
      <c r="D1573" t="str">
        <f>IF(AND(TRIM(A1573)&lt;&gt;"",IFERROR(VLOOKUP(TRIM(B1573),'Full Inventory'!F:F,1,0),0)=0),"X","_")</f>
        <v>_</v>
      </c>
      <c r="E1573" t="str">
        <f t="shared" si="100"/>
        <v>X</v>
      </c>
      <c r="F1573" t="str">
        <f ca="1">IFERROR(IF(AND(C1573&amp;D1573&amp;E1573="___",INDIRECT("Inventory!A"&amp;MATCH(VLOOKUP(B1573,Inventory!E:E,1,0),Inventory!E:E,0))&lt;&gt;INDIRECT("'Full Inventory'!B"&amp;MATCH(VLOOKUP(B1573,'Full Inventory'!F:F,1,0),'Full Inventory'!F:F,0))),"X","_"),"_")</f>
        <v>_</v>
      </c>
      <c r="L1573" t="str">
        <f t="shared" ca="1" si="98"/>
        <v>__X_</v>
      </c>
      <c r="M1573" t="str">
        <f t="shared" ca="1" si="99"/>
        <v/>
      </c>
    </row>
    <row r="1574" spans="1:13" x14ac:dyDescent="0.25">
      <c r="A1574" s="5"/>
      <c r="B1574" s="4" t="str">
        <f t="shared" si="97"/>
        <v/>
      </c>
      <c r="C1574" t="str">
        <f>IF(AND(TRIM(A1574)&lt;&gt;"",IFERROR(VLOOKUP(TRIM(B1574),Inventory!E:E,1,0),0)=0),"X","_")</f>
        <v>_</v>
      </c>
      <c r="D1574" t="str">
        <f>IF(AND(TRIM(A1574)&lt;&gt;"",IFERROR(VLOOKUP(TRIM(B1574),'Full Inventory'!F:F,1,0),0)=0),"X","_")</f>
        <v>_</v>
      </c>
      <c r="E1574" t="str">
        <f t="shared" si="100"/>
        <v>X</v>
      </c>
      <c r="F1574" t="str">
        <f ca="1">IFERROR(IF(AND(C1574&amp;D1574&amp;E1574="___",INDIRECT("Inventory!A"&amp;MATCH(VLOOKUP(B1574,Inventory!E:E,1,0),Inventory!E:E,0))&lt;&gt;INDIRECT("'Full Inventory'!B"&amp;MATCH(VLOOKUP(B1574,'Full Inventory'!F:F,1,0),'Full Inventory'!F:F,0))),"X","_"),"_")</f>
        <v>_</v>
      </c>
      <c r="L1574" t="str">
        <f t="shared" ca="1" si="98"/>
        <v>__X_</v>
      </c>
      <c r="M1574" t="str">
        <f t="shared" ca="1" si="99"/>
        <v/>
      </c>
    </row>
    <row r="1575" spans="1:13" x14ac:dyDescent="0.25">
      <c r="A1575" s="5"/>
      <c r="B1575" s="4" t="str">
        <f t="shared" si="97"/>
        <v/>
      </c>
      <c r="C1575" t="str">
        <f>IF(AND(TRIM(A1575)&lt;&gt;"",IFERROR(VLOOKUP(TRIM(B1575),Inventory!E:E,1,0),0)=0),"X","_")</f>
        <v>_</v>
      </c>
      <c r="D1575" t="str">
        <f>IF(AND(TRIM(A1575)&lt;&gt;"",IFERROR(VLOOKUP(TRIM(B1575),'Full Inventory'!F:F,1,0),0)=0),"X","_")</f>
        <v>_</v>
      </c>
      <c r="E1575" t="str">
        <f t="shared" si="100"/>
        <v>X</v>
      </c>
      <c r="F1575" t="str">
        <f ca="1">IFERROR(IF(AND(C1575&amp;D1575&amp;E1575="___",INDIRECT("Inventory!A"&amp;MATCH(VLOOKUP(B1575,Inventory!E:E,1,0),Inventory!E:E,0))&lt;&gt;INDIRECT("'Full Inventory'!B"&amp;MATCH(VLOOKUP(B1575,'Full Inventory'!F:F,1,0),'Full Inventory'!F:F,0))),"X","_"),"_")</f>
        <v>_</v>
      </c>
      <c r="L1575" t="str">
        <f t="shared" ca="1" si="98"/>
        <v>__X_</v>
      </c>
      <c r="M1575" t="str">
        <f t="shared" ca="1" si="99"/>
        <v/>
      </c>
    </row>
    <row r="1576" spans="1:13" x14ac:dyDescent="0.25">
      <c r="A1576" s="5"/>
      <c r="B1576" s="4" t="str">
        <f t="shared" si="97"/>
        <v/>
      </c>
      <c r="C1576" t="str">
        <f>IF(AND(TRIM(A1576)&lt;&gt;"",IFERROR(VLOOKUP(TRIM(B1576),Inventory!E:E,1,0),0)=0),"X","_")</f>
        <v>_</v>
      </c>
      <c r="D1576" t="str">
        <f>IF(AND(TRIM(A1576)&lt;&gt;"",IFERROR(VLOOKUP(TRIM(B1576),'Full Inventory'!F:F,1,0),0)=0),"X","_")</f>
        <v>_</v>
      </c>
      <c r="E1576" t="str">
        <f t="shared" si="100"/>
        <v>X</v>
      </c>
      <c r="F1576" t="str">
        <f ca="1">IFERROR(IF(AND(C1576&amp;D1576&amp;E1576="___",INDIRECT("Inventory!A"&amp;MATCH(VLOOKUP(B1576,Inventory!E:E,1,0),Inventory!E:E,0))&lt;&gt;INDIRECT("'Full Inventory'!B"&amp;MATCH(VLOOKUP(B1576,'Full Inventory'!F:F,1,0),'Full Inventory'!F:F,0))),"X","_"),"_")</f>
        <v>_</v>
      </c>
      <c r="L1576" t="str">
        <f t="shared" ca="1" si="98"/>
        <v>__X_</v>
      </c>
      <c r="M1576" t="str">
        <f t="shared" ca="1" si="99"/>
        <v/>
      </c>
    </row>
    <row r="1577" spans="1:13" x14ac:dyDescent="0.25">
      <c r="A1577" s="5"/>
      <c r="B1577" s="4" t="str">
        <f t="shared" si="97"/>
        <v/>
      </c>
      <c r="C1577" t="str">
        <f>IF(AND(TRIM(A1577)&lt;&gt;"",IFERROR(VLOOKUP(TRIM(B1577),Inventory!E:E,1,0),0)=0),"X","_")</f>
        <v>_</v>
      </c>
      <c r="D1577" t="str">
        <f>IF(AND(TRIM(A1577)&lt;&gt;"",IFERROR(VLOOKUP(TRIM(B1577),'Full Inventory'!F:F,1,0),0)=0),"X","_")</f>
        <v>_</v>
      </c>
      <c r="E1577" t="str">
        <f t="shared" si="100"/>
        <v>X</v>
      </c>
      <c r="F1577" t="str">
        <f ca="1">IFERROR(IF(AND(C1577&amp;D1577&amp;E1577="___",INDIRECT("Inventory!A"&amp;MATCH(VLOOKUP(B1577,Inventory!E:E,1,0),Inventory!E:E,0))&lt;&gt;INDIRECT("'Full Inventory'!B"&amp;MATCH(VLOOKUP(B1577,'Full Inventory'!F:F,1,0),'Full Inventory'!F:F,0))),"X","_"),"_")</f>
        <v>_</v>
      </c>
      <c r="L1577" t="str">
        <f t="shared" ca="1" si="98"/>
        <v>__X_</v>
      </c>
      <c r="M1577" t="str">
        <f t="shared" ca="1" si="99"/>
        <v/>
      </c>
    </row>
    <row r="1578" spans="1:13" x14ac:dyDescent="0.25">
      <c r="A1578" s="5"/>
      <c r="B1578" s="4" t="str">
        <f t="shared" si="97"/>
        <v/>
      </c>
      <c r="C1578" t="str">
        <f>IF(AND(TRIM(A1578)&lt;&gt;"",IFERROR(VLOOKUP(TRIM(B1578),Inventory!E:E,1,0),0)=0),"X","_")</f>
        <v>_</v>
      </c>
      <c r="D1578" t="str">
        <f>IF(AND(TRIM(A1578)&lt;&gt;"",IFERROR(VLOOKUP(TRIM(B1578),'Full Inventory'!F:F,1,0),0)=0),"X","_")</f>
        <v>_</v>
      </c>
      <c r="E1578" t="str">
        <f t="shared" si="100"/>
        <v>X</v>
      </c>
      <c r="F1578" t="str">
        <f ca="1">IFERROR(IF(AND(C1578&amp;D1578&amp;E1578="___",INDIRECT("Inventory!A"&amp;MATCH(VLOOKUP(B1578,Inventory!E:E,1,0),Inventory!E:E,0))&lt;&gt;INDIRECT("'Full Inventory'!B"&amp;MATCH(VLOOKUP(B1578,'Full Inventory'!F:F,1,0),'Full Inventory'!F:F,0))),"X","_"),"_")</f>
        <v>_</v>
      </c>
      <c r="L1578" t="str">
        <f t="shared" ca="1" si="98"/>
        <v>__X_</v>
      </c>
      <c r="M1578" t="str">
        <f t="shared" ca="1" si="99"/>
        <v/>
      </c>
    </row>
    <row r="1579" spans="1:13" x14ac:dyDescent="0.25">
      <c r="A1579" s="5"/>
      <c r="B1579" s="4" t="str">
        <f t="shared" si="97"/>
        <v/>
      </c>
      <c r="C1579" t="str">
        <f>IF(AND(TRIM(A1579)&lt;&gt;"",IFERROR(VLOOKUP(TRIM(B1579),Inventory!E:E,1,0),0)=0),"X","_")</f>
        <v>_</v>
      </c>
      <c r="D1579" t="str">
        <f>IF(AND(TRIM(A1579)&lt;&gt;"",IFERROR(VLOOKUP(TRIM(B1579),'Full Inventory'!F:F,1,0),0)=0),"X","_")</f>
        <v>_</v>
      </c>
      <c r="E1579" t="str">
        <f t="shared" si="100"/>
        <v>X</v>
      </c>
      <c r="F1579" t="str">
        <f ca="1">IFERROR(IF(AND(C1579&amp;D1579&amp;E1579="___",INDIRECT("Inventory!A"&amp;MATCH(VLOOKUP(B1579,Inventory!E:E,1,0),Inventory!E:E,0))&lt;&gt;INDIRECT("'Full Inventory'!B"&amp;MATCH(VLOOKUP(B1579,'Full Inventory'!F:F,1,0),'Full Inventory'!F:F,0))),"X","_"),"_")</f>
        <v>_</v>
      </c>
      <c r="L1579" t="str">
        <f t="shared" ca="1" si="98"/>
        <v>__X_</v>
      </c>
      <c r="M1579" t="str">
        <f t="shared" ca="1" si="99"/>
        <v/>
      </c>
    </row>
    <row r="1580" spans="1:13" x14ac:dyDescent="0.25">
      <c r="A1580" s="5"/>
      <c r="B1580" s="4" t="str">
        <f t="shared" si="97"/>
        <v/>
      </c>
      <c r="C1580" t="str">
        <f>IF(AND(TRIM(A1580)&lt;&gt;"",IFERROR(VLOOKUP(TRIM(B1580),Inventory!E:E,1,0),0)=0),"X","_")</f>
        <v>_</v>
      </c>
      <c r="D1580" t="str">
        <f>IF(AND(TRIM(A1580)&lt;&gt;"",IFERROR(VLOOKUP(TRIM(B1580),'Full Inventory'!F:F,1,0),0)=0),"X","_")</f>
        <v>_</v>
      </c>
      <c r="E1580" t="str">
        <f t="shared" si="100"/>
        <v>X</v>
      </c>
      <c r="F1580" t="str">
        <f ca="1">IFERROR(IF(AND(C1580&amp;D1580&amp;E1580="___",INDIRECT("Inventory!A"&amp;MATCH(VLOOKUP(B1580,Inventory!E:E,1,0),Inventory!E:E,0))&lt;&gt;INDIRECT("'Full Inventory'!B"&amp;MATCH(VLOOKUP(B1580,'Full Inventory'!F:F,1,0),'Full Inventory'!F:F,0))),"X","_"),"_")</f>
        <v>_</v>
      </c>
      <c r="L1580" t="str">
        <f t="shared" ca="1" si="98"/>
        <v>__X_</v>
      </c>
      <c r="M1580" t="str">
        <f t="shared" ca="1" si="99"/>
        <v/>
      </c>
    </row>
    <row r="1581" spans="1:13" x14ac:dyDescent="0.25">
      <c r="A1581" s="5"/>
      <c r="B1581" s="4" t="str">
        <f t="shared" si="97"/>
        <v/>
      </c>
      <c r="C1581" t="str">
        <f>IF(AND(TRIM(A1581)&lt;&gt;"",IFERROR(VLOOKUP(TRIM(B1581),Inventory!E:E,1,0),0)=0),"X","_")</f>
        <v>_</v>
      </c>
      <c r="D1581" t="str">
        <f>IF(AND(TRIM(A1581)&lt;&gt;"",IFERROR(VLOOKUP(TRIM(B1581),'Full Inventory'!F:F,1,0),0)=0),"X","_")</f>
        <v>_</v>
      </c>
      <c r="E1581" t="str">
        <f t="shared" si="100"/>
        <v>X</v>
      </c>
      <c r="F1581" t="str">
        <f ca="1">IFERROR(IF(AND(C1581&amp;D1581&amp;E1581="___",INDIRECT("Inventory!A"&amp;MATCH(VLOOKUP(B1581,Inventory!E:E,1,0),Inventory!E:E,0))&lt;&gt;INDIRECT("'Full Inventory'!B"&amp;MATCH(VLOOKUP(B1581,'Full Inventory'!F:F,1,0),'Full Inventory'!F:F,0))),"X","_"),"_")</f>
        <v>_</v>
      </c>
      <c r="L1581" t="str">
        <f t="shared" ca="1" si="98"/>
        <v>__X_</v>
      </c>
      <c r="M1581" t="str">
        <f t="shared" ca="1" si="99"/>
        <v/>
      </c>
    </row>
    <row r="1582" spans="1:13" x14ac:dyDescent="0.25">
      <c r="A1582" s="5"/>
      <c r="B1582" s="4" t="str">
        <f t="shared" si="97"/>
        <v/>
      </c>
      <c r="C1582" t="str">
        <f>IF(AND(TRIM(A1582)&lt;&gt;"",IFERROR(VLOOKUP(TRIM(B1582),Inventory!E:E,1,0),0)=0),"X","_")</f>
        <v>_</v>
      </c>
      <c r="D1582" t="str">
        <f>IF(AND(TRIM(A1582)&lt;&gt;"",IFERROR(VLOOKUP(TRIM(B1582),'Full Inventory'!F:F,1,0),0)=0),"X","_")</f>
        <v>_</v>
      </c>
      <c r="E1582" t="str">
        <f t="shared" si="100"/>
        <v>X</v>
      </c>
      <c r="F1582" t="str">
        <f ca="1">IFERROR(IF(AND(C1582&amp;D1582&amp;E1582="___",INDIRECT("Inventory!A"&amp;MATCH(VLOOKUP(B1582,Inventory!E:E,1,0),Inventory!E:E,0))&lt;&gt;INDIRECT("'Full Inventory'!B"&amp;MATCH(VLOOKUP(B1582,'Full Inventory'!F:F,1,0),'Full Inventory'!F:F,0))),"X","_"),"_")</f>
        <v>_</v>
      </c>
      <c r="L1582" t="str">
        <f t="shared" ca="1" si="98"/>
        <v>__X_</v>
      </c>
      <c r="M1582" t="str">
        <f t="shared" ca="1" si="99"/>
        <v/>
      </c>
    </row>
    <row r="1583" spans="1:13" x14ac:dyDescent="0.25">
      <c r="A1583" s="5"/>
      <c r="B1583" s="4" t="str">
        <f t="shared" si="97"/>
        <v/>
      </c>
      <c r="C1583" t="str">
        <f>IF(AND(TRIM(A1583)&lt;&gt;"",IFERROR(VLOOKUP(TRIM(B1583),Inventory!E:E,1,0),0)=0),"X","_")</f>
        <v>_</v>
      </c>
      <c r="D1583" t="str">
        <f>IF(AND(TRIM(A1583)&lt;&gt;"",IFERROR(VLOOKUP(TRIM(B1583),'Full Inventory'!F:F,1,0),0)=0),"X","_")</f>
        <v>_</v>
      </c>
      <c r="E1583" t="str">
        <f t="shared" si="100"/>
        <v>X</v>
      </c>
      <c r="F1583" t="str">
        <f ca="1">IFERROR(IF(AND(C1583&amp;D1583&amp;E1583="___",INDIRECT("Inventory!A"&amp;MATCH(VLOOKUP(B1583,Inventory!E:E,1,0),Inventory!E:E,0))&lt;&gt;INDIRECT("'Full Inventory'!B"&amp;MATCH(VLOOKUP(B1583,'Full Inventory'!F:F,1,0),'Full Inventory'!F:F,0))),"X","_"),"_")</f>
        <v>_</v>
      </c>
      <c r="L1583" t="str">
        <f t="shared" ca="1" si="98"/>
        <v>__X_</v>
      </c>
      <c r="M1583" t="str">
        <f t="shared" ca="1" si="99"/>
        <v/>
      </c>
    </row>
    <row r="1584" spans="1:13" x14ac:dyDescent="0.25">
      <c r="A1584" s="5"/>
      <c r="B1584" s="4" t="str">
        <f t="shared" si="97"/>
        <v/>
      </c>
      <c r="C1584" t="str">
        <f>IF(AND(TRIM(A1584)&lt;&gt;"",IFERROR(VLOOKUP(TRIM(B1584),Inventory!E:E,1,0),0)=0),"X","_")</f>
        <v>_</v>
      </c>
      <c r="D1584" t="str">
        <f>IF(AND(TRIM(A1584)&lt;&gt;"",IFERROR(VLOOKUP(TRIM(B1584),'Full Inventory'!F:F,1,0),0)=0),"X","_")</f>
        <v>_</v>
      </c>
      <c r="E1584" t="str">
        <f t="shared" si="100"/>
        <v>X</v>
      </c>
      <c r="F1584" t="str">
        <f ca="1">IFERROR(IF(AND(C1584&amp;D1584&amp;E1584="___",INDIRECT("Inventory!A"&amp;MATCH(VLOOKUP(B1584,Inventory!E:E,1,0),Inventory!E:E,0))&lt;&gt;INDIRECT("'Full Inventory'!B"&amp;MATCH(VLOOKUP(B1584,'Full Inventory'!F:F,1,0),'Full Inventory'!F:F,0))),"X","_"),"_")</f>
        <v>_</v>
      </c>
      <c r="L1584" t="str">
        <f t="shared" ca="1" si="98"/>
        <v>__X_</v>
      </c>
      <c r="M1584" t="str">
        <f t="shared" ca="1" si="99"/>
        <v/>
      </c>
    </row>
    <row r="1585" spans="1:13" x14ac:dyDescent="0.25">
      <c r="A1585" s="5"/>
      <c r="B1585" s="4" t="str">
        <f t="shared" si="97"/>
        <v/>
      </c>
      <c r="C1585" t="str">
        <f>IF(AND(TRIM(A1585)&lt;&gt;"",IFERROR(VLOOKUP(TRIM(B1585),Inventory!E:E,1,0),0)=0),"X","_")</f>
        <v>_</v>
      </c>
      <c r="D1585" t="str">
        <f>IF(AND(TRIM(A1585)&lt;&gt;"",IFERROR(VLOOKUP(TRIM(B1585),'Full Inventory'!F:F,1,0),0)=0),"X","_")</f>
        <v>_</v>
      </c>
      <c r="E1585" t="str">
        <f t="shared" si="100"/>
        <v>X</v>
      </c>
      <c r="F1585" t="str">
        <f ca="1">IFERROR(IF(AND(C1585&amp;D1585&amp;E1585="___",INDIRECT("Inventory!A"&amp;MATCH(VLOOKUP(B1585,Inventory!E:E,1,0),Inventory!E:E,0))&lt;&gt;INDIRECT("'Full Inventory'!B"&amp;MATCH(VLOOKUP(B1585,'Full Inventory'!F:F,1,0),'Full Inventory'!F:F,0))),"X","_"),"_")</f>
        <v>_</v>
      </c>
      <c r="L1585" t="str">
        <f t="shared" ca="1" si="98"/>
        <v>__X_</v>
      </c>
      <c r="M1585" t="str">
        <f t="shared" ca="1" si="99"/>
        <v/>
      </c>
    </row>
    <row r="1586" spans="1:13" x14ac:dyDescent="0.25">
      <c r="A1586" s="5"/>
      <c r="B1586" s="4" t="str">
        <f t="shared" si="97"/>
        <v/>
      </c>
      <c r="C1586" t="str">
        <f>IF(AND(TRIM(A1586)&lt;&gt;"",IFERROR(VLOOKUP(TRIM(B1586),Inventory!E:E,1,0),0)=0),"X","_")</f>
        <v>_</v>
      </c>
      <c r="D1586" t="str">
        <f>IF(AND(TRIM(A1586)&lt;&gt;"",IFERROR(VLOOKUP(TRIM(B1586),'Full Inventory'!F:F,1,0),0)=0),"X","_")</f>
        <v>_</v>
      </c>
      <c r="E1586" t="str">
        <f t="shared" si="100"/>
        <v>X</v>
      </c>
      <c r="F1586" t="str">
        <f ca="1">IFERROR(IF(AND(C1586&amp;D1586&amp;E1586="___",INDIRECT("Inventory!A"&amp;MATCH(VLOOKUP(B1586,Inventory!E:E,1,0),Inventory!E:E,0))&lt;&gt;INDIRECT("'Full Inventory'!B"&amp;MATCH(VLOOKUP(B1586,'Full Inventory'!F:F,1,0),'Full Inventory'!F:F,0))),"X","_"),"_")</f>
        <v>_</v>
      </c>
      <c r="L1586" t="str">
        <f t="shared" ca="1" si="98"/>
        <v>__X_</v>
      </c>
      <c r="M1586" t="str">
        <f t="shared" ca="1" si="99"/>
        <v/>
      </c>
    </row>
    <row r="1587" spans="1:13" x14ac:dyDescent="0.25">
      <c r="A1587" s="5"/>
      <c r="B1587" s="4" t="str">
        <f t="shared" si="97"/>
        <v/>
      </c>
      <c r="C1587" t="str">
        <f>IF(AND(TRIM(A1587)&lt;&gt;"",IFERROR(VLOOKUP(TRIM(B1587),Inventory!E:E,1,0),0)=0),"X","_")</f>
        <v>_</v>
      </c>
      <c r="D1587" t="str">
        <f>IF(AND(TRIM(A1587)&lt;&gt;"",IFERROR(VLOOKUP(TRIM(B1587),'Full Inventory'!F:F,1,0),0)=0),"X","_")</f>
        <v>_</v>
      </c>
      <c r="E1587" t="str">
        <f t="shared" si="100"/>
        <v>X</v>
      </c>
      <c r="F1587" t="str">
        <f ca="1">IFERROR(IF(AND(C1587&amp;D1587&amp;E1587="___",INDIRECT("Inventory!A"&amp;MATCH(VLOOKUP(B1587,Inventory!E:E,1,0),Inventory!E:E,0))&lt;&gt;INDIRECT("'Full Inventory'!B"&amp;MATCH(VLOOKUP(B1587,'Full Inventory'!F:F,1,0),'Full Inventory'!F:F,0))),"X","_"),"_")</f>
        <v>_</v>
      </c>
      <c r="L1587" t="str">
        <f t="shared" ca="1" si="98"/>
        <v>__X_</v>
      </c>
      <c r="M1587" t="str">
        <f t="shared" ca="1" si="99"/>
        <v/>
      </c>
    </row>
    <row r="1588" spans="1:13" x14ac:dyDescent="0.25">
      <c r="A1588" s="5"/>
      <c r="B1588" s="4" t="str">
        <f t="shared" si="97"/>
        <v/>
      </c>
      <c r="C1588" t="str">
        <f>IF(AND(TRIM(A1588)&lt;&gt;"",IFERROR(VLOOKUP(TRIM(B1588),Inventory!E:E,1,0),0)=0),"X","_")</f>
        <v>_</v>
      </c>
      <c r="D1588" t="str">
        <f>IF(AND(TRIM(A1588)&lt;&gt;"",IFERROR(VLOOKUP(TRIM(B1588),'Full Inventory'!F:F,1,0),0)=0),"X","_")</f>
        <v>_</v>
      </c>
      <c r="E1588" t="str">
        <f t="shared" si="100"/>
        <v>X</v>
      </c>
      <c r="F1588" t="str">
        <f ca="1">IFERROR(IF(AND(C1588&amp;D1588&amp;E1588="___",INDIRECT("Inventory!A"&amp;MATCH(VLOOKUP(B1588,Inventory!E:E,1,0),Inventory!E:E,0))&lt;&gt;INDIRECT("'Full Inventory'!B"&amp;MATCH(VLOOKUP(B1588,'Full Inventory'!F:F,1,0),'Full Inventory'!F:F,0))),"X","_"),"_")</f>
        <v>_</v>
      </c>
      <c r="L1588" t="str">
        <f t="shared" ca="1" si="98"/>
        <v>__X_</v>
      </c>
      <c r="M1588" t="str">
        <f t="shared" ca="1" si="99"/>
        <v/>
      </c>
    </row>
    <row r="1589" spans="1:13" x14ac:dyDescent="0.25">
      <c r="A1589" s="5"/>
      <c r="B1589" s="4" t="str">
        <f t="shared" si="97"/>
        <v/>
      </c>
      <c r="C1589" t="str">
        <f>IF(AND(TRIM(A1589)&lt;&gt;"",IFERROR(VLOOKUP(TRIM(B1589),Inventory!E:E,1,0),0)=0),"X","_")</f>
        <v>_</v>
      </c>
      <c r="D1589" t="str">
        <f>IF(AND(TRIM(A1589)&lt;&gt;"",IFERROR(VLOOKUP(TRIM(B1589),'Full Inventory'!F:F,1,0),0)=0),"X","_")</f>
        <v>_</v>
      </c>
      <c r="E1589" t="str">
        <f t="shared" si="100"/>
        <v>X</v>
      </c>
      <c r="F1589" t="str">
        <f ca="1">IFERROR(IF(AND(C1589&amp;D1589&amp;E1589="___",INDIRECT("Inventory!A"&amp;MATCH(VLOOKUP(B1589,Inventory!E:E,1,0),Inventory!E:E,0))&lt;&gt;INDIRECT("'Full Inventory'!B"&amp;MATCH(VLOOKUP(B1589,'Full Inventory'!F:F,1,0),'Full Inventory'!F:F,0))),"X","_"),"_")</f>
        <v>_</v>
      </c>
      <c r="L1589" t="str">
        <f t="shared" ca="1" si="98"/>
        <v>__X_</v>
      </c>
      <c r="M1589" t="str">
        <f t="shared" ca="1" si="99"/>
        <v/>
      </c>
    </row>
    <row r="1590" spans="1:13" x14ac:dyDescent="0.25">
      <c r="A1590" s="5"/>
      <c r="B1590" s="4" t="str">
        <f t="shared" si="97"/>
        <v/>
      </c>
      <c r="C1590" t="str">
        <f>IF(AND(TRIM(A1590)&lt;&gt;"",IFERROR(VLOOKUP(TRIM(B1590),Inventory!E:E,1,0),0)=0),"X","_")</f>
        <v>_</v>
      </c>
      <c r="D1590" t="str">
        <f>IF(AND(TRIM(A1590)&lt;&gt;"",IFERROR(VLOOKUP(TRIM(B1590),'Full Inventory'!F:F,1,0),0)=0),"X","_")</f>
        <v>_</v>
      </c>
      <c r="E1590" t="str">
        <f t="shared" si="100"/>
        <v>X</v>
      </c>
      <c r="F1590" t="str">
        <f ca="1">IFERROR(IF(AND(C1590&amp;D1590&amp;E1590="___",INDIRECT("Inventory!A"&amp;MATCH(VLOOKUP(B1590,Inventory!E:E,1,0),Inventory!E:E,0))&lt;&gt;INDIRECT("'Full Inventory'!B"&amp;MATCH(VLOOKUP(B1590,'Full Inventory'!F:F,1,0),'Full Inventory'!F:F,0))),"X","_"),"_")</f>
        <v>_</v>
      </c>
      <c r="L1590" t="str">
        <f t="shared" ca="1" si="98"/>
        <v>__X_</v>
      </c>
      <c r="M1590" t="str">
        <f t="shared" ca="1" si="99"/>
        <v/>
      </c>
    </row>
    <row r="1591" spans="1:13" x14ac:dyDescent="0.25">
      <c r="A1591" s="5"/>
      <c r="B1591" s="4" t="str">
        <f t="shared" si="97"/>
        <v/>
      </c>
      <c r="C1591" t="str">
        <f>IF(AND(TRIM(A1591)&lt;&gt;"",IFERROR(VLOOKUP(TRIM(B1591),Inventory!E:E,1,0),0)=0),"X","_")</f>
        <v>_</v>
      </c>
      <c r="D1591" t="str">
        <f>IF(AND(TRIM(A1591)&lt;&gt;"",IFERROR(VLOOKUP(TRIM(B1591),'Full Inventory'!F:F,1,0),0)=0),"X","_")</f>
        <v>_</v>
      </c>
      <c r="E1591" t="str">
        <f t="shared" si="100"/>
        <v>X</v>
      </c>
      <c r="F1591" t="str">
        <f ca="1">IFERROR(IF(AND(C1591&amp;D1591&amp;E1591="___",INDIRECT("Inventory!A"&amp;MATCH(VLOOKUP(B1591,Inventory!E:E,1,0),Inventory!E:E,0))&lt;&gt;INDIRECT("'Full Inventory'!B"&amp;MATCH(VLOOKUP(B1591,'Full Inventory'!F:F,1,0),'Full Inventory'!F:F,0))),"X","_"),"_")</f>
        <v>_</v>
      </c>
      <c r="L1591" t="str">
        <f t="shared" ca="1" si="98"/>
        <v>__X_</v>
      </c>
      <c r="M1591" t="str">
        <f t="shared" ca="1" si="99"/>
        <v/>
      </c>
    </row>
    <row r="1592" spans="1:13" x14ac:dyDescent="0.25">
      <c r="A1592" s="5"/>
      <c r="B1592" s="4" t="str">
        <f t="shared" si="97"/>
        <v/>
      </c>
      <c r="C1592" t="str">
        <f>IF(AND(TRIM(A1592)&lt;&gt;"",IFERROR(VLOOKUP(TRIM(B1592),Inventory!E:E,1,0),0)=0),"X","_")</f>
        <v>_</v>
      </c>
      <c r="D1592" t="str">
        <f>IF(AND(TRIM(A1592)&lt;&gt;"",IFERROR(VLOOKUP(TRIM(B1592),'Full Inventory'!F:F,1,0),0)=0),"X","_")</f>
        <v>_</v>
      </c>
      <c r="E1592" t="str">
        <f t="shared" si="100"/>
        <v>X</v>
      </c>
      <c r="F1592" t="str">
        <f ca="1">IFERROR(IF(AND(C1592&amp;D1592&amp;E1592="___",INDIRECT("Inventory!A"&amp;MATCH(VLOOKUP(B1592,Inventory!E:E,1,0),Inventory!E:E,0))&lt;&gt;INDIRECT("'Full Inventory'!B"&amp;MATCH(VLOOKUP(B1592,'Full Inventory'!F:F,1,0),'Full Inventory'!F:F,0))),"X","_"),"_")</f>
        <v>_</v>
      </c>
      <c r="L1592" t="str">
        <f t="shared" ca="1" si="98"/>
        <v>__X_</v>
      </c>
      <c r="M1592" t="str">
        <f t="shared" ca="1" si="99"/>
        <v/>
      </c>
    </row>
    <row r="1593" spans="1:13" x14ac:dyDescent="0.25">
      <c r="A1593" s="5"/>
      <c r="B1593" s="4" t="str">
        <f t="shared" si="97"/>
        <v/>
      </c>
      <c r="C1593" t="str">
        <f>IF(AND(TRIM(A1593)&lt;&gt;"",IFERROR(VLOOKUP(TRIM(B1593),Inventory!E:E,1,0),0)=0),"X","_")</f>
        <v>_</v>
      </c>
      <c r="D1593" t="str">
        <f>IF(AND(TRIM(A1593)&lt;&gt;"",IFERROR(VLOOKUP(TRIM(B1593),'Full Inventory'!F:F,1,0),0)=0),"X","_")</f>
        <v>_</v>
      </c>
      <c r="E1593" t="str">
        <f t="shared" si="100"/>
        <v>X</v>
      </c>
      <c r="F1593" t="str">
        <f ca="1">IFERROR(IF(AND(C1593&amp;D1593&amp;E1593="___",INDIRECT("Inventory!A"&amp;MATCH(VLOOKUP(B1593,Inventory!E:E,1,0),Inventory!E:E,0))&lt;&gt;INDIRECT("'Full Inventory'!B"&amp;MATCH(VLOOKUP(B1593,'Full Inventory'!F:F,1,0),'Full Inventory'!F:F,0))),"X","_"),"_")</f>
        <v>_</v>
      </c>
      <c r="L1593" t="str">
        <f t="shared" ca="1" si="98"/>
        <v>__X_</v>
      </c>
      <c r="M1593" t="str">
        <f t="shared" ca="1" si="99"/>
        <v/>
      </c>
    </row>
    <row r="1594" spans="1:13" x14ac:dyDescent="0.25">
      <c r="A1594" s="5"/>
      <c r="B1594" s="4" t="str">
        <f t="shared" si="97"/>
        <v/>
      </c>
      <c r="C1594" t="str">
        <f>IF(AND(TRIM(A1594)&lt;&gt;"",IFERROR(VLOOKUP(TRIM(B1594),Inventory!E:E,1,0),0)=0),"X","_")</f>
        <v>_</v>
      </c>
      <c r="D1594" t="str">
        <f>IF(AND(TRIM(A1594)&lt;&gt;"",IFERROR(VLOOKUP(TRIM(B1594),'Full Inventory'!F:F,1,0),0)=0),"X","_")</f>
        <v>_</v>
      </c>
      <c r="E1594" t="str">
        <f t="shared" si="100"/>
        <v>X</v>
      </c>
      <c r="F1594" t="str">
        <f ca="1">IFERROR(IF(AND(C1594&amp;D1594&amp;E1594="___",INDIRECT("Inventory!A"&amp;MATCH(VLOOKUP(B1594,Inventory!E:E,1,0),Inventory!E:E,0))&lt;&gt;INDIRECT("'Full Inventory'!B"&amp;MATCH(VLOOKUP(B1594,'Full Inventory'!F:F,1,0),'Full Inventory'!F:F,0))),"X","_"),"_")</f>
        <v>_</v>
      </c>
      <c r="L1594" t="str">
        <f t="shared" ca="1" si="98"/>
        <v>__X_</v>
      </c>
      <c r="M1594" t="str">
        <f t="shared" ca="1" si="99"/>
        <v/>
      </c>
    </row>
    <row r="1595" spans="1:13" x14ac:dyDescent="0.25">
      <c r="A1595" s="5"/>
      <c r="B1595" s="4" t="str">
        <f t="shared" si="97"/>
        <v/>
      </c>
      <c r="C1595" t="str">
        <f>IF(AND(TRIM(A1595)&lt;&gt;"",IFERROR(VLOOKUP(TRIM(B1595),Inventory!E:E,1,0),0)=0),"X","_")</f>
        <v>_</v>
      </c>
      <c r="D1595" t="str">
        <f>IF(AND(TRIM(A1595)&lt;&gt;"",IFERROR(VLOOKUP(TRIM(B1595),'Full Inventory'!F:F,1,0),0)=0),"X","_")</f>
        <v>_</v>
      </c>
      <c r="E1595" t="str">
        <f t="shared" si="100"/>
        <v>X</v>
      </c>
      <c r="F1595" t="str">
        <f ca="1">IFERROR(IF(AND(C1595&amp;D1595&amp;E1595="___",INDIRECT("Inventory!A"&amp;MATCH(VLOOKUP(B1595,Inventory!E:E,1,0),Inventory!E:E,0))&lt;&gt;INDIRECT("'Full Inventory'!B"&amp;MATCH(VLOOKUP(B1595,'Full Inventory'!F:F,1,0),'Full Inventory'!F:F,0))),"X","_"),"_")</f>
        <v>_</v>
      </c>
      <c r="L1595" t="str">
        <f t="shared" ca="1" si="98"/>
        <v>__X_</v>
      </c>
      <c r="M1595" t="str">
        <f t="shared" ca="1" si="99"/>
        <v/>
      </c>
    </row>
    <row r="1596" spans="1:13" x14ac:dyDescent="0.25">
      <c r="A1596" s="5"/>
      <c r="B1596" s="4" t="str">
        <f t="shared" si="97"/>
        <v/>
      </c>
      <c r="C1596" t="str">
        <f>IF(AND(TRIM(A1596)&lt;&gt;"",IFERROR(VLOOKUP(TRIM(B1596),Inventory!E:E,1,0),0)=0),"X","_")</f>
        <v>_</v>
      </c>
      <c r="D1596" t="str">
        <f>IF(AND(TRIM(A1596)&lt;&gt;"",IFERROR(VLOOKUP(TRIM(B1596),'Full Inventory'!F:F,1,0),0)=0),"X","_")</f>
        <v>_</v>
      </c>
      <c r="E1596" t="str">
        <f t="shared" si="100"/>
        <v>X</v>
      </c>
      <c r="F1596" t="str">
        <f ca="1">IFERROR(IF(AND(C1596&amp;D1596&amp;E1596="___",INDIRECT("Inventory!A"&amp;MATCH(VLOOKUP(B1596,Inventory!E:E,1,0),Inventory!E:E,0))&lt;&gt;INDIRECT("'Full Inventory'!B"&amp;MATCH(VLOOKUP(B1596,'Full Inventory'!F:F,1,0),'Full Inventory'!F:F,0))),"X","_"),"_")</f>
        <v>_</v>
      </c>
      <c r="L1596" t="str">
        <f t="shared" ca="1" si="98"/>
        <v>__X_</v>
      </c>
      <c r="M1596" t="str">
        <f t="shared" ca="1" si="99"/>
        <v/>
      </c>
    </row>
    <row r="1597" spans="1:13" x14ac:dyDescent="0.25">
      <c r="A1597" s="5"/>
      <c r="B1597" s="4" t="str">
        <f t="shared" si="97"/>
        <v/>
      </c>
      <c r="C1597" t="str">
        <f>IF(AND(TRIM(A1597)&lt;&gt;"",IFERROR(VLOOKUP(TRIM(B1597),Inventory!E:E,1,0),0)=0),"X","_")</f>
        <v>_</v>
      </c>
      <c r="D1597" t="str">
        <f>IF(AND(TRIM(A1597)&lt;&gt;"",IFERROR(VLOOKUP(TRIM(B1597),'Full Inventory'!F:F,1,0),0)=0),"X","_")</f>
        <v>_</v>
      </c>
      <c r="E1597" t="str">
        <f t="shared" si="100"/>
        <v>X</v>
      </c>
      <c r="F1597" t="str">
        <f ca="1">IFERROR(IF(AND(C1597&amp;D1597&amp;E1597="___",INDIRECT("Inventory!A"&amp;MATCH(VLOOKUP(B1597,Inventory!E:E,1,0),Inventory!E:E,0))&lt;&gt;INDIRECT("'Full Inventory'!B"&amp;MATCH(VLOOKUP(B1597,'Full Inventory'!F:F,1,0),'Full Inventory'!F:F,0))),"X","_"),"_")</f>
        <v>_</v>
      </c>
      <c r="L1597" t="str">
        <f t="shared" ca="1" si="98"/>
        <v>__X_</v>
      </c>
      <c r="M1597" t="str">
        <f t="shared" ca="1" si="99"/>
        <v/>
      </c>
    </row>
    <row r="1598" spans="1:13" x14ac:dyDescent="0.25">
      <c r="A1598" s="5"/>
      <c r="B1598" s="4" t="str">
        <f t="shared" si="97"/>
        <v/>
      </c>
      <c r="C1598" t="str">
        <f>IF(AND(TRIM(A1598)&lt;&gt;"",IFERROR(VLOOKUP(TRIM(B1598),Inventory!E:E,1,0),0)=0),"X","_")</f>
        <v>_</v>
      </c>
      <c r="D1598" t="str">
        <f>IF(AND(TRIM(A1598)&lt;&gt;"",IFERROR(VLOOKUP(TRIM(B1598),'Full Inventory'!F:F,1,0),0)=0),"X","_")</f>
        <v>_</v>
      </c>
      <c r="E1598" t="str">
        <f t="shared" si="100"/>
        <v>X</v>
      </c>
      <c r="F1598" t="str">
        <f ca="1">IFERROR(IF(AND(C1598&amp;D1598&amp;E1598="___",INDIRECT("Inventory!A"&amp;MATCH(VLOOKUP(B1598,Inventory!E:E,1,0),Inventory!E:E,0))&lt;&gt;INDIRECT("'Full Inventory'!B"&amp;MATCH(VLOOKUP(B1598,'Full Inventory'!F:F,1,0),'Full Inventory'!F:F,0))),"X","_"),"_")</f>
        <v>_</v>
      </c>
      <c r="L1598" t="str">
        <f t="shared" ca="1" si="98"/>
        <v>__X_</v>
      </c>
      <c r="M1598" t="str">
        <f t="shared" ca="1" si="99"/>
        <v/>
      </c>
    </row>
    <row r="1599" spans="1:13" x14ac:dyDescent="0.25">
      <c r="A1599" s="5"/>
      <c r="B1599" s="4" t="str">
        <f t="shared" si="97"/>
        <v/>
      </c>
      <c r="C1599" t="str">
        <f>IF(AND(TRIM(A1599)&lt;&gt;"",IFERROR(VLOOKUP(TRIM(B1599),Inventory!E:E,1,0),0)=0),"X","_")</f>
        <v>_</v>
      </c>
      <c r="D1599" t="str">
        <f>IF(AND(TRIM(A1599)&lt;&gt;"",IFERROR(VLOOKUP(TRIM(B1599),'Full Inventory'!F:F,1,0),0)=0),"X","_")</f>
        <v>_</v>
      </c>
      <c r="E1599" t="str">
        <f t="shared" si="100"/>
        <v>X</v>
      </c>
      <c r="F1599" t="str">
        <f ca="1">IFERROR(IF(AND(C1599&amp;D1599&amp;E1599="___",INDIRECT("Inventory!A"&amp;MATCH(VLOOKUP(B1599,Inventory!E:E,1,0),Inventory!E:E,0))&lt;&gt;INDIRECT("'Full Inventory'!B"&amp;MATCH(VLOOKUP(B1599,'Full Inventory'!F:F,1,0),'Full Inventory'!F:F,0))),"X","_"),"_")</f>
        <v>_</v>
      </c>
      <c r="L1599" t="str">
        <f t="shared" ca="1" si="98"/>
        <v>__X_</v>
      </c>
      <c r="M1599" t="str">
        <f t="shared" ca="1" si="99"/>
        <v/>
      </c>
    </row>
    <row r="1600" spans="1:13" x14ac:dyDescent="0.25">
      <c r="A1600" s="5"/>
      <c r="B1600" s="4" t="str">
        <f t="shared" si="97"/>
        <v/>
      </c>
      <c r="C1600" t="str">
        <f>IF(AND(TRIM(A1600)&lt;&gt;"",IFERROR(VLOOKUP(TRIM(B1600),Inventory!E:E,1,0),0)=0),"X","_")</f>
        <v>_</v>
      </c>
      <c r="D1600" t="str">
        <f>IF(AND(TRIM(A1600)&lt;&gt;"",IFERROR(VLOOKUP(TRIM(B1600),'Full Inventory'!F:F,1,0),0)=0),"X","_")</f>
        <v>_</v>
      </c>
      <c r="E1600" t="str">
        <f t="shared" si="100"/>
        <v>X</v>
      </c>
      <c r="F1600" t="str">
        <f ca="1">IFERROR(IF(AND(C1600&amp;D1600&amp;E1600="___",INDIRECT("Inventory!A"&amp;MATCH(VLOOKUP(B1600,Inventory!E:E,1,0),Inventory!E:E,0))&lt;&gt;INDIRECT("'Full Inventory'!B"&amp;MATCH(VLOOKUP(B1600,'Full Inventory'!F:F,1,0),'Full Inventory'!F:F,0))),"X","_"),"_")</f>
        <v>_</v>
      </c>
      <c r="L1600" t="str">
        <f t="shared" ca="1" si="98"/>
        <v>__X_</v>
      </c>
      <c r="M1600" t="str">
        <f t="shared" ca="1" si="99"/>
        <v/>
      </c>
    </row>
    <row r="1601" spans="1:13" x14ac:dyDescent="0.25">
      <c r="A1601" s="5"/>
      <c r="B1601" s="4" t="str">
        <f t="shared" si="97"/>
        <v/>
      </c>
      <c r="C1601" t="str">
        <f>IF(AND(TRIM(A1601)&lt;&gt;"",IFERROR(VLOOKUP(TRIM(B1601),Inventory!E:E,1,0),0)=0),"X","_")</f>
        <v>_</v>
      </c>
      <c r="D1601" t="str">
        <f>IF(AND(TRIM(A1601)&lt;&gt;"",IFERROR(VLOOKUP(TRIM(B1601),'Full Inventory'!F:F,1,0),0)=0),"X","_")</f>
        <v>_</v>
      </c>
      <c r="E1601" t="str">
        <f t="shared" si="100"/>
        <v>X</v>
      </c>
      <c r="F1601" t="str">
        <f ca="1">IFERROR(IF(AND(C1601&amp;D1601&amp;E1601="___",INDIRECT("Inventory!A"&amp;MATCH(VLOOKUP(B1601,Inventory!E:E,1,0),Inventory!E:E,0))&lt;&gt;INDIRECT("'Full Inventory'!B"&amp;MATCH(VLOOKUP(B1601,'Full Inventory'!F:F,1,0),'Full Inventory'!F:F,0))),"X","_"),"_")</f>
        <v>_</v>
      </c>
      <c r="L1601" t="str">
        <f t="shared" ca="1" si="98"/>
        <v>__X_</v>
      </c>
      <c r="M1601" t="str">
        <f t="shared" ca="1" si="99"/>
        <v/>
      </c>
    </row>
    <row r="1602" spans="1:13" x14ac:dyDescent="0.25">
      <c r="A1602" s="5"/>
      <c r="B1602" s="4" t="str">
        <f t="shared" si="97"/>
        <v/>
      </c>
      <c r="C1602" t="str">
        <f>IF(AND(TRIM(A1602)&lt;&gt;"",IFERROR(VLOOKUP(TRIM(B1602),Inventory!E:E,1,0),0)=0),"X","_")</f>
        <v>_</v>
      </c>
      <c r="D1602" t="str">
        <f>IF(AND(TRIM(A1602)&lt;&gt;"",IFERROR(VLOOKUP(TRIM(B1602),'Full Inventory'!F:F,1,0),0)=0),"X","_")</f>
        <v>_</v>
      </c>
      <c r="E1602" t="str">
        <f t="shared" si="100"/>
        <v>X</v>
      </c>
      <c r="F1602" t="str">
        <f ca="1">IFERROR(IF(AND(C1602&amp;D1602&amp;E1602="___",INDIRECT("Inventory!A"&amp;MATCH(VLOOKUP(B1602,Inventory!E:E,1,0),Inventory!E:E,0))&lt;&gt;INDIRECT("'Full Inventory'!B"&amp;MATCH(VLOOKUP(B1602,'Full Inventory'!F:F,1,0),'Full Inventory'!F:F,0))),"X","_"),"_")</f>
        <v>_</v>
      </c>
      <c r="L1602" t="str">
        <f t="shared" ca="1" si="98"/>
        <v>__X_</v>
      </c>
      <c r="M1602" t="str">
        <f t="shared" ca="1" si="99"/>
        <v/>
      </c>
    </row>
    <row r="1603" spans="1:13" x14ac:dyDescent="0.25">
      <c r="A1603" s="5"/>
      <c r="B1603" s="4" t="str">
        <f t="shared" ref="B1603:B1666" si="101">SUBSTITUTE(SUBSTITUTE(A1603,"ö","0"),"Ö","0")</f>
        <v/>
      </c>
      <c r="C1603" t="str">
        <f>IF(AND(TRIM(A1603)&lt;&gt;"",IFERROR(VLOOKUP(TRIM(B1603),Inventory!E:E,1,0),0)=0),"X","_")</f>
        <v>_</v>
      </c>
      <c r="D1603" t="str">
        <f>IF(AND(TRIM(A1603)&lt;&gt;"",IFERROR(VLOOKUP(TRIM(B1603),'Full Inventory'!F:F,1,0),0)=0),"X","_")</f>
        <v>_</v>
      </c>
      <c r="E1603" t="str">
        <f t="shared" si="100"/>
        <v>X</v>
      </c>
      <c r="F1603" t="str">
        <f ca="1">IFERROR(IF(AND(C1603&amp;D1603&amp;E1603="___",INDIRECT("Inventory!A"&amp;MATCH(VLOOKUP(B1603,Inventory!E:E,1,0),Inventory!E:E,0))&lt;&gt;INDIRECT("'Full Inventory'!B"&amp;MATCH(VLOOKUP(B1603,'Full Inventory'!F:F,1,0),'Full Inventory'!F:F,0))),"X","_"),"_")</f>
        <v>_</v>
      </c>
      <c r="L1603" t="str">
        <f t="shared" ref="L1603:L1666" ca="1" si="102">C1603&amp;D1603&amp;E1603&amp;F1603</f>
        <v>__X_</v>
      </c>
      <c r="M1603" t="str">
        <f t="shared" ref="M1603:M1666" ca="1" si="103">IF(L1603="____","OK",IF(L1603="_X__","NOT IN FULL INVENTORY",IF(L1603="XX__","NOT IN FULL INVENTORY AND INVENTORY",IF(L1603="X___","NOT IN INVENTORY",IF(L1603="___X","DIFFERENT NAMES IN FULL INVENTORY AND INVENTORY","")))))</f>
        <v/>
      </c>
    </row>
    <row r="1604" spans="1:13" x14ac:dyDescent="0.25">
      <c r="A1604" s="5"/>
      <c r="B1604" s="4" t="str">
        <f t="shared" si="101"/>
        <v/>
      </c>
      <c r="C1604" t="str">
        <f>IF(AND(TRIM(A1604)&lt;&gt;"",IFERROR(VLOOKUP(TRIM(B1604),Inventory!E:E,1,0),0)=0),"X","_")</f>
        <v>_</v>
      </c>
      <c r="D1604" t="str">
        <f>IF(AND(TRIM(A1604)&lt;&gt;"",IFERROR(VLOOKUP(TRIM(B1604),'Full Inventory'!F:F,1,0),0)=0),"X","_")</f>
        <v>_</v>
      </c>
      <c r="E1604" t="str">
        <f t="shared" si="100"/>
        <v>X</v>
      </c>
      <c r="F1604" t="str">
        <f ca="1">IFERROR(IF(AND(C1604&amp;D1604&amp;E1604="___",INDIRECT("Inventory!A"&amp;MATCH(VLOOKUP(B1604,Inventory!E:E,1,0),Inventory!E:E,0))&lt;&gt;INDIRECT("'Full Inventory'!B"&amp;MATCH(VLOOKUP(B1604,'Full Inventory'!F:F,1,0),'Full Inventory'!F:F,0))),"X","_"),"_")</f>
        <v>_</v>
      </c>
      <c r="L1604" t="str">
        <f t="shared" ca="1" si="102"/>
        <v>__X_</v>
      </c>
      <c r="M1604" t="str">
        <f t="shared" ca="1" si="103"/>
        <v/>
      </c>
    </row>
    <row r="1605" spans="1:13" x14ac:dyDescent="0.25">
      <c r="A1605" s="5"/>
      <c r="B1605" s="4" t="str">
        <f t="shared" si="101"/>
        <v/>
      </c>
      <c r="C1605" t="str">
        <f>IF(AND(TRIM(A1605)&lt;&gt;"",IFERROR(VLOOKUP(TRIM(B1605),Inventory!E:E,1,0),0)=0),"X","_")</f>
        <v>_</v>
      </c>
      <c r="D1605" t="str">
        <f>IF(AND(TRIM(A1605)&lt;&gt;"",IFERROR(VLOOKUP(TRIM(B1605),'Full Inventory'!F:F,1,0),0)=0),"X","_")</f>
        <v>_</v>
      </c>
      <c r="E1605" t="str">
        <f t="shared" si="100"/>
        <v>X</v>
      </c>
      <c r="F1605" t="str">
        <f ca="1">IFERROR(IF(AND(C1605&amp;D1605&amp;E1605="___",INDIRECT("Inventory!A"&amp;MATCH(VLOOKUP(B1605,Inventory!E:E,1,0),Inventory!E:E,0))&lt;&gt;INDIRECT("'Full Inventory'!B"&amp;MATCH(VLOOKUP(B1605,'Full Inventory'!F:F,1,0),'Full Inventory'!F:F,0))),"X","_"),"_")</f>
        <v>_</v>
      </c>
      <c r="L1605" t="str">
        <f t="shared" ca="1" si="102"/>
        <v>__X_</v>
      </c>
      <c r="M1605" t="str">
        <f t="shared" ca="1" si="103"/>
        <v/>
      </c>
    </row>
    <row r="1606" spans="1:13" x14ac:dyDescent="0.25">
      <c r="A1606" s="5"/>
      <c r="B1606" s="4" t="str">
        <f t="shared" si="101"/>
        <v/>
      </c>
      <c r="C1606" t="str">
        <f>IF(AND(TRIM(A1606)&lt;&gt;"",IFERROR(VLOOKUP(TRIM(B1606),Inventory!E:E,1,0),0)=0),"X","_")</f>
        <v>_</v>
      </c>
      <c r="D1606" t="str">
        <f>IF(AND(TRIM(A1606)&lt;&gt;"",IFERROR(VLOOKUP(TRIM(B1606),'Full Inventory'!F:F,1,0),0)=0),"X","_")</f>
        <v>_</v>
      </c>
      <c r="E1606" t="str">
        <f t="shared" si="100"/>
        <v>X</v>
      </c>
      <c r="F1606" t="str">
        <f ca="1">IFERROR(IF(AND(C1606&amp;D1606&amp;E1606="___",INDIRECT("Inventory!A"&amp;MATCH(VLOOKUP(B1606,Inventory!E:E,1,0),Inventory!E:E,0))&lt;&gt;INDIRECT("'Full Inventory'!B"&amp;MATCH(VLOOKUP(B1606,'Full Inventory'!F:F,1,0),'Full Inventory'!F:F,0))),"X","_"),"_")</f>
        <v>_</v>
      </c>
      <c r="L1606" t="str">
        <f t="shared" ca="1" si="102"/>
        <v>__X_</v>
      </c>
      <c r="M1606" t="str">
        <f t="shared" ca="1" si="103"/>
        <v/>
      </c>
    </row>
    <row r="1607" spans="1:13" x14ac:dyDescent="0.25">
      <c r="A1607" s="5"/>
      <c r="B1607" s="4" t="str">
        <f t="shared" si="101"/>
        <v/>
      </c>
      <c r="C1607" t="str">
        <f>IF(AND(TRIM(A1607)&lt;&gt;"",IFERROR(VLOOKUP(TRIM(B1607),Inventory!E:E,1,0),0)=0),"X","_")</f>
        <v>_</v>
      </c>
      <c r="D1607" t="str">
        <f>IF(AND(TRIM(A1607)&lt;&gt;"",IFERROR(VLOOKUP(TRIM(B1607),'Full Inventory'!F:F,1,0),0)=0),"X","_")</f>
        <v>_</v>
      </c>
      <c r="E1607" t="str">
        <f t="shared" si="100"/>
        <v>X</v>
      </c>
      <c r="F1607" t="str">
        <f ca="1">IFERROR(IF(AND(C1607&amp;D1607&amp;E1607="___",INDIRECT("Inventory!A"&amp;MATCH(VLOOKUP(B1607,Inventory!E:E,1,0),Inventory!E:E,0))&lt;&gt;INDIRECT("'Full Inventory'!B"&amp;MATCH(VLOOKUP(B1607,'Full Inventory'!F:F,1,0),'Full Inventory'!F:F,0))),"X","_"),"_")</f>
        <v>_</v>
      </c>
      <c r="L1607" t="str">
        <f t="shared" ca="1" si="102"/>
        <v>__X_</v>
      </c>
      <c r="M1607" t="str">
        <f t="shared" ca="1" si="103"/>
        <v/>
      </c>
    </row>
    <row r="1608" spans="1:13" x14ac:dyDescent="0.25">
      <c r="A1608" s="5"/>
      <c r="B1608" s="4" t="str">
        <f t="shared" si="101"/>
        <v/>
      </c>
      <c r="C1608" t="str">
        <f>IF(AND(TRIM(A1608)&lt;&gt;"",IFERROR(VLOOKUP(TRIM(B1608),Inventory!E:E,1,0),0)=0),"X","_")</f>
        <v>_</v>
      </c>
      <c r="D1608" t="str">
        <f>IF(AND(TRIM(A1608)&lt;&gt;"",IFERROR(VLOOKUP(TRIM(B1608),'Full Inventory'!F:F,1,0),0)=0),"X","_")</f>
        <v>_</v>
      </c>
      <c r="E1608" t="str">
        <f t="shared" si="100"/>
        <v>X</v>
      </c>
      <c r="F1608" t="str">
        <f ca="1">IFERROR(IF(AND(C1608&amp;D1608&amp;E1608="___",INDIRECT("Inventory!A"&amp;MATCH(VLOOKUP(B1608,Inventory!E:E,1,0),Inventory!E:E,0))&lt;&gt;INDIRECT("'Full Inventory'!B"&amp;MATCH(VLOOKUP(B1608,'Full Inventory'!F:F,1,0),'Full Inventory'!F:F,0))),"X","_"),"_")</f>
        <v>_</v>
      </c>
      <c r="L1608" t="str">
        <f t="shared" ca="1" si="102"/>
        <v>__X_</v>
      </c>
      <c r="M1608" t="str">
        <f t="shared" ca="1" si="103"/>
        <v/>
      </c>
    </row>
    <row r="1609" spans="1:13" x14ac:dyDescent="0.25">
      <c r="A1609" s="5"/>
      <c r="B1609" s="4" t="str">
        <f t="shared" si="101"/>
        <v/>
      </c>
      <c r="C1609" t="str">
        <f>IF(AND(TRIM(A1609)&lt;&gt;"",IFERROR(VLOOKUP(TRIM(B1609),Inventory!E:E,1,0),0)=0),"X","_")</f>
        <v>_</v>
      </c>
      <c r="D1609" t="str">
        <f>IF(AND(TRIM(A1609)&lt;&gt;"",IFERROR(VLOOKUP(TRIM(B1609),'Full Inventory'!F:F,1,0),0)=0),"X","_")</f>
        <v>_</v>
      </c>
      <c r="E1609" t="str">
        <f t="shared" si="100"/>
        <v>X</v>
      </c>
      <c r="F1609" t="str">
        <f ca="1">IFERROR(IF(AND(C1609&amp;D1609&amp;E1609="___",INDIRECT("Inventory!A"&amp;MATCH(VLOOKUP(B1609,Inventory!E:E,1,0),Inventory!E:E,0))&lt;&gt;INDIRECT("'Full Inventory'!B"&amp;MATCH(VLOOKUP(B1609,'Full Inventory'!F:F,1,0),'Full Inventory'!F:F,0))),"X","_"),"_")</f>
        <v>_</v>
      </c>
      <c r="L1609" t="str">
        <f t="shared" ca="1" si="102"/>
        <v>__X_</v>
      </c>
      <c r="M1609" t="str">
        <f t="shared" ca="1" si="103"/>
        <v/>
      </c>
    </row>
    <row r="1610" spans="1:13" x14ac:dyDescent="0.25">
      <c r="A1610" s="5"/>
      <c r="B1610" s="4" t="str">
        <f t="shared" si="101"/>
        <v/>
      </c>
      <c r="C1610" t="str">
        <f>IF(AND(TRIM(A1610)&lt;&gt;"",IFERROR(VLOOKUP(TRIM(B1610),Inventory!E:E,1,0),0)=0),"X","_")</f>
        <v>_</v>
      </c>
      <c r="D1610" t="str">
        <f>IF(AND(TRIM(A1610)&lt;&gt;"",IFERROR(VLOOKUP(TRIM(B1610),'Full Inventory'!F:F,1,0),0)=0),"X","_")</f>
        <v>_</v>
      </c>
      <c r="E1610" t="str">
        <f t="shared" si="100"/>
        <v>X</v>
      </c>
      <c r="F1610" t="str">
        <f ca="1">IFERROR(IF(AND(C1610&amp;D1610&amp;E1610="___",INDIRECT("Inventory!A"&amp;MATCH(VLOOKUP(B1610,Inventory!E:E,1,0),Inventory!E:E,0))&lt;&gt;INDIRECT("'Full Inventory'!B"&amp;MATCH(VLOOKUP(B1610,'Full Inventory'!F:F,1,0),'Full Inventory'!F:F,0))),"X","_"),"_")</f>
        <v>_</v>
      </c>
      <c r="L1610" t="str">
        <f t="shared" ca="1" si="102"/>
        <v>__X_</v>
      </c>
      <c r="M1610" t="str">
        <f t="shared" ca="1" si="103"/>
        <v/>
      </c>
    </row>
    <row r="1611" spans="1:13" x14ac:dyDescent="0.25">
      <c r="A1611" s="5"/>
      <c r="B1611" s="4" t="str">
        <f t="shared" si="101"/>
        <v/>
      </c>
      <c r="C1611" t="str">
        <f>IF(AND(TRIM(A1611)&lt;&gt;"",IFERROR(VLOOKUP(TRIM(B1611),Inventory!E:E,1,0),0)=0),"X","_")</f>
        <v>_</v>
      </c>
      <c r="D1611" t="str">
        <f>IF(AND(TRIM(A1611)&lt;&gt;"",IFERROR(VLOOKUP(TRIM(B1611),'Full Inventory'!F:F,1,0),0)=0),"X","_")</f>
        <v>_</v>
      </c>
      <c r="E1611" t="str">
        <f t="shared" si="100"/>
        <v>X</v>
      </c>
      <c r="F1611" t="str">
        <f ca="1">IFERROR(IF(AND(C1611&amp;D1611&amp;E1611="___",INDIRECT("Inventory!A"&amp;MATCH(VLOOKUP(B1611,Inventory!E:E,1,0),Inventory!E:E,0))&lt;&gt;INDIRECT("'Full Inventory'!B"&amp;MATCH(VLOOKUP(B1611,'Full Inventory'!F:F,1,0),'Full Inventory'!F:F,0))),"X","_"),"_")</f>
        <v>_</v>
      </c>
      <c r="L1611" t="str">
        <f t="shared" ca="1" si="102"/>
        <v>__X_</v>
      </c>
      <c r="M1611" t="str">
        <f t="shared" ca="1" si="103"/>
        <v/>
      </c>
    </row>
    <row r="1612" spans="1:13" x14ac:dyDescent="0.25">
      <c r="A1612" s="5"/>
      <c r="B1612" s="4" t="str">
        <f t="shared" si="101"/>
        <v/>
      </c>
      <c r="C1612" t="str">
        <f>IF(AND(TRIM(A1612)&lt;&gt;"",IFERROR(VLOOKUP(TRIM(B1612),Inventory!E:E,1,0),0)=0),"X","_")</f>
        <v>_</v>
      </c>
      <c r="D1612" t="str">
        <f>IF(AND(TRIM(A1612)&lt;&gt;"",IFERROR(VLOOKUP(TRIM(B1612),'Full Inventory'!F:F,1,0),0)=0),"X","_")</f>
        <v>_</v>
      </c>
      <c r="E1612" t="str">
        <f t="shared" si="100"/>
        <v>X</v>
      </c>
      <c r="F1612" t="str">
        <f ca="1">IFERROR(IF(AND(C1612&amp;D1612&amp;E1612="___",INDIRECT("Inventory!A"&amp;MATCH(VLOOKUP(B1612,Inventory!E:E,1,0),Inventory!E:E,0))&lt;&gt;INDIRECT("'Full Inventory'!B"&amp;MATCH(VLOOKUP(B1612,'Full Inventory'!F:F,1,0),'Full Inventory'!F:F,0))),"X","_"),"_")</f>
        <v>_</v>
      </c>
      <c r="L1612" t="str">
        <f t="shared" ca="1" si="102"/>
        <v>__X_</v>
      </c>
      <c r="M1612" t="str">
        <f t="shared" ca="1" si="103"/>
        <v/>
      </c>
    </row>
    <row r="1613" spans="1:13" x14ac:dyDescent="0.25">
      <c r="A1613" s="5"/>
      <c r="B1613" s="4" t="str">
        <f t="shared" si="101"/>
        <v/>
      </c>
      <c r="C1613" t="str">
        <f>IF(AND(TRIM(A1613)&lt;&gt;"",IFERROR(VLOOKUP(TRIM(B1613),Inventory!E:E,1,0),0)=0),"X","_")</f>
        <v>_</v>
      </c>
      <c r="D1613" t="str">
        <f>IF(AND(TRIM(A1613)&lt;&gt;"",IFERROR(VLOOKUP(TRIM(B1613),'Full Inventory'!F:F,1,0),0)=0),"X","_")</f>
        <v>_</v>
      </c>
      <c r="E1613" t="str">
        <f t="shared" si="100"/>
        <v>X</v>
      </c>
      <c r="F1613" t="str">
        <f ca="1">IFERROR(IF(AND(C1613&amp;D1613&amp;E1613="___",INDIRECT("Inventory!A"&amp;MATCH(VLOOKUP(B1613,Inventory!E:E,1,0),Inventory!E:E,0))&lt;&gt;INDIRECT("'Full Inventory'!B"&amp;MATCH(VLOOKUP(B1613,'Full Inventory'!F:F,1,0),'Full Inventory'!F:F,0))),"X","_"),"_")</f>
        <v>_</v>
      </c>
      <c r="L1613" t="str">
        <f t="shared" ca="1" si="102"/>
        <v>__X_</v>
      </c>
      <c r="M1613" t="str">
        <f t="shared" ca="1" si="103"/>
        <v/>
      </c>
    </row>
    <row r="1614" spans="1:13" x14ac:dyDescent="0.25">
      <c r="A1614" s="5"/>
      <c r="B1614" s="4" t="str">
        <f t="shared" si="101"/>
        <v/>
      </c>
      <c r="C1614" t="str">
        <f>IF(AND(TRIM(A1614)&lt;&gt;"",IFERROR(VLOOKUP(TRIM(B1614),Inventory!E:E,1,0),0)=0),"X","_")</f>
        <v>_</v>
      </c>
      <c r="D1614" t="str">
        <f>IF(AND(TRIM(A1614)&lt;&gt;"",IFERROR(VLOOKUP(TRIM(B1614),'Full Inventory'!F:F,1,0),0)=0),"X","_")</f>
        <v>_</v>
      </c>
      <c r="E1614" t="str">
        <f t="shared" si="100"/>
        <v>X</v>
      </c>
      <c r="F1614" t="str">
        <f ca="1">IFERROR(IF(AND(C1614&amp;D1614&amp;E1614="___",INDIRECT("Inventory!A"&amp;MATCH(VLOOKUP(B1614,Inventory!E:E,1,0),Inventory!E:E,0))&lt;&gt;INDIRECT("'Full Inventory'!B"&amp;MATCH(VLOOKUP(B1614,'Full Inventory'!F:F,1,0),'Full Inventory'!F:F,0))),"X","_"),"_")</f>
        <v>_</v>
      </c>
      <c r="L1614" t="str">
        <f t="shared" ca="1" si="102"/>
        <v>__X_</v>
      </c>
      <c r="M1614" t="str">
        <f t="shared" ca="1" si="103"/>
        <v/>
      </c>
    </row>
    <row r="1615" spans="1:13" x14ac:dyDescent="0.25">
      <c r="A1615" s="5"/>
      <c r="B1615" s="4" t="str">
        <f t="shared" si="101"/>
        <v/>
      </c>
      <c r="C1615" t="str">
        <f>IF(AND(TRIM(A1615)&lt;&gt;"",IFERROR(VLOOKUP(TRIM(B1615),Inventory!E:E,1,0),0)=0),"X","_")</f>
        <v>_</v>
      </c>
      <c r="D1615" t="str">
        <f>IF(AND(TRIM(A1615)&lt;&gt;"",IFERROR(VLOOKUP(TRIM(B1615),'Full Inventory'!F:F,1,0),0)=0),"X","_")</f>
        <v>_</v>
      </c>
      <c r="E1615" t="str">
        <f t="shared" si="100"/>
        <v>X</v>
      </c>
      <c r="F1615" t="str">
        <f ca="1">IFERROR(IF(AND(C1615&amp;D1615&amp;E1615="___",INDIRECT("Inventory!A"&amp;MATCH(VLOOKUP(B1615,Inventory!E:E,1,0),Inventory!E:E,0))&lt;&gt;INDIRECT("'Full Inventory'!B"&amp;MATCH(VLOOKUP(B1615,'Full Inventory'!F:F,1,0),'Full Inventory'!F:F,0))),"X","_"),"_")</f>
        <v>_</v>
      </c>
      <c r="L1615" t="str">
        <f t="shared" ca="1" si="102"/>
        <v>__X_</v>
      </c>
      <c r="M1615" t="str">
        <f t="shared" ca="1" si="103"/>
        <v/>
      </c>
    </row>
    <row r="1616" spans="1:13" x14ac:dyDescent="0.25">
      <c r="A1616" s="5"/>
      <c r="B1616" s="4" t="str">
        <f t="shared" si="101"/>
        <v/>
      </c>
      <c r="C1616" t="str">
        <f>IF(AND(TRIM(A1616)&lt;&gt;"",IFERROR(VLOOKUP(TRIM(B1616),Inventory!E:E,1,0),0)=0),"X","_")</f>
        <v>_</v>
      </c>
      <c r="D1616" t="str">
        <f>IF(AND(TRIM(A1616)&lt;&gt;"",IFERROR(VLOOKUP(TRIM(B1616),'Full Inventory'!F:F,1,0),0)=0),"X","_")</f>
        <v>_</v>
      </c>
      <c r="E1616" t="str">
        <f t="shared" si="100"/>
        <v>X</v>
      </c>
      <c r="F1616" t="str">
        <f ca="1">IFERROR(IF(AND(C1616&amp;D1616&amp;E1616="___",INDIRECT("Inventory!A"&amp;MATCH(VLOOKUP(B1616,Inventory!E:E,1,0),Inventory!E:E,0))&lt;&gt;INDIRECT("'Full Inventory'!B"&amp;MATCH(VLOOKUP(B1616,'Full Inventory'!F:F,1,0),'Full Inventory'!F:F,0))),"X","_"),"_")</f>
        <v>_</v>
      </c>
      <c r="L1616" t="str">
        <f t="shared" ca="1" si="102"/>
        <v>__X_</v>
      </c>
      <c r="M1616" t="str">
        <f t="shared" ca="1" si="103"/>
        <v/>
      </c>
    </row>
    <row r="1617" spans="1:13" x14ac:dyDescent="0.25">
      <c r="A1617" s="5"/>
      <c r="B1617" s="4" t="str">
        <f t="shared" si="101"/>
        <v/>
      </c>
      <c r="C1617" t="str">
        <f>IF(AND(TRIM(A1617)&lt;&gt;"",IFERROR(VLOOKUP(TRIM(B1617),Inventory!E:E,1,0),0)=0),"X","_")</f>
        <v>_</v>
      </c>
      <c r="D1617" t="str">
        <f>IF(AND(TRIM(A1617)&lt;&gt;"",IFERROR(VLOOKUP(TRIM(B1617),'Full Inventory'!F:F,1,0),0)=0),"X","_")</f>
        <v>_</v>
      </c>
      <c r="E1617" t="str">
        <f t="shared" si="100"/>
        <v>X</v>
      </c>
      <c r="F1617" t="str">
        <f ca="1">IFERROR(IF(AND(C1617&amp;D1617&amp;E1617="___",INDIRECT("Inventory!A"&amp;MATCH(VLOOKUP(B1617,Inventory!E:E,1,0),Inventory!E:E,0))&lt;&gt;INDIRECT("'Full Inventory'!B"&amp;MATCH(VLOOKUP(B1617,'Full Inventory'!F:F,1,0),'Full Inventory'!F:F,0))),"X","_"),"_")</f>
        <v>_</v>
      </c>
      <c r="L1617" t="str">
        <f t="shared" ca="1" si="102"/>
        <v>__X_</v>
      </c>
      <c r="M1617" t="str">
        <f t="shared" ca="1" si="103"/>
        <v/>
      </c>
    </row>
    <row r="1618" spans="1:13" x14ac:dyDescent="0.25">
      <c r="A1618" s="5"/>
      <c r="B1618" s="4" t="str">
        <f t="shared" si="101"/>
        <v/>
      </c>
      <c r="C1618" t="str">
        <f>IF(AND(TRIM(A1618)&lt;&gt;"",IFERROR(VLOOKUP(TRIM(B1618),Inventory!E:E,1,0),0)=0),"X","_")</f>
        <v>_</v>
      </c>
      <c r="D1618" t="str">
        <f>IF(AND(TRIM(A1618)&lt;&gt;"",IFERROR(VLOOKUP(TRIM(B1618),'Full Inventory'!F:F,1,0),0)=0),"X","_")</f>
        <v>_</v>
      </c>
      <c r="E1618" t="str">
        <f t="shared" si="100"/>
        <v>X</v>
      </c>
      <c r="F1618" t="str">
        <f ca="1">IFERROR(IF(AND(C1618&amp;D1618&amp;E1618="___",INDIRECT("Inventory!A"&amp;MATCH(VLOOKUP(B1618,Inventory!E:E,1,0),Inventory!E:E,0))&lt;&gt;INDIRECT("'Full Inventory'!B"&amp;MATCH(VLOOKUP(B1618,'Full Inventory'!F:F,1,0),'Full Inventory'!F:F,0))),"X","_"),"_")</f>
        <v>_</v>
      </c>
      <c r="L1618" t="str">
        <f t="shared" ca="1" si="102"/>
        <v>__X_</v>
      </c>
      <c r="M1618" t="str">
        <f t="shared" ca="1" si="103"/>
        <v/>
      </c>
    </row>
    <row r="1619" spans="1:13" x14ac:dyDescent="0.25">
      <c r="A1619" s="5"/>
      <c r="B1619" s="4" t="str">
        <f t="shared" si="101"/>
        <v/>
      </c>
      <c r="C1619" t="str">
        <f>IF(AND(TRIM(A1619)&lt;&gt;"",IFERROR(VLOOKUP(TRIM(B1619),Inventory!E:E,1,0),0)=0),"X","_")</f>
        <v>_</v>
      </c>
      <c r="D1619" t="str">
        <f>IF(AND(TRIM(A1619)&lt;&gt;"",IFERROR(VLOOKUP(TRIM(B1619),'Full Inventory'!F:F,1,0),0)=0),"X","_")</f>
        <v>_</v>
      </c>
      <c r="E1619" t="str">
        <f t="shared" si="100"/>
        <v>X</v>
      </c>
      <c r="F1619" t="str">
        <f ca="1">IFERROR(IF(AND(C1619&amp;D1619&amp;E1619="___",INDIRECT("Inventory!A"&amp;MATCH(VLOOKUP(B1619,Inventory!E:E,1,0),Inventory!E:E,0))&lt;&gt;INDIRECT("'Full Inventory'!B"&amp;MATCH(VLOOKUP(B1619,'Full Inventory'!F:F,1,0),'Full Inventory'!F:F,0))),"X","_"),"_")</f>
        <v>_</v>
      </c>
      <c r="L1619" t="str">
        <f t="shared" ca="1" si="102"/>
        <v>__X_</v>
      </c>
      <c r="M1619" t="str">
        <f t="shared" ca="1" si="103"/>
        <v/>
      </c>
    </row>
    <row r="1620" spans="1:13" x14ac:dyDescent="0.25">
      <c r="A1620" s="5"/>
      <c r="B1620" s="4" t="str">
        <f t="shared" si="101"/>
        <v/>
      </c>
      <c r="C1620" t="str">
        <f>IF(AND(TRIM(A1620)&lt;&gt;"",IFERROR(VLOOKUP(TRIM(B1620),Inventory!E:E,1,0),0)=0),"X","_")</f>
        <v>_</v>
      </c>
      <c r="D1620" t="str">
        <f>IF(AND(TRIM(A1620)&lt;&gt;"",IFERROR(VLOOKUP(TRIM(B1620),'Full Inventory'!F:F,1,0),0)=0),"X","_")</f>
        <v>_</v>
      </c>
      <c r="E1620" t="str">
        <f t="shared" ref="E1620:E1683" si="104">IF(TRIM(A1620)&lt;&gt;"","_","X")</f>
        <v>X</v>
      </c>
      <c r="F1620" t="str">
        <f ca="1">IFERROR(IF(AND(C1620&amp;D1620&amp;E1620="___",INDIRECT("Inventory!A"&amp;MATCH(VLOOKUP(B1620,Inventory!E:E,1,0),Inventory!E:E,0))&lt;&gt;INDIRECT("'Full Inventory'!B"&amp;MATCH(VLOOKUP(B1620,'Full Inventory'!F:F,1,0),'Full Inventory'!F:F,0))),"X","_"),"_")</f>
        <v>_</v>
      </c>
      <c r="L1620" t="str">
        <f t="shared" ca="1" si="102"/>
        <v>__X_</v>
      </c>
      <c r="M1620" t="str">
        <f t="shared" ca="1" si="103"/>
        <v/>
      </c>
    </row>
    <row r="1621" spans="1:13" x14ac:dyDescent="0.25">
      <c r="A1621" s="5"/>
      <c r="B1621" s="4" t="str">
        <f t="shared" si="101"/>
        <v/>
      </c>
      <c r="C1621" t="str">
        <f>IF(AND(TRIM(A1621)&lt;&gt;"",IFERROR(VLOOKUP(TRIM(B1621),Inventory!E:E,1,0),0)=0),"X","_")</f>
        <v>_</v>
      </c>
      <c r="D1621" t="str">
        <f>IF(AND(TRIM(A1621)&lt;&gt;"",IFERROR(VLOOKUP(TRIM(B1621),'Full Inventory'!F:F,1,0),0)=0),"X","_")</f>
        <v>_</v>
      </c>
      <c r="E1621" t="str">
        <f t="shared" si="104"/>
        <v>X</v>
      </c>
      <c r="F1621" t="str">
        <f ca="1">IFERROR(IF(AND(C1621&amp;D1621&amp;E1621="___",INDIRECT("Inventory!A"&amp;MATCH(VLOOKUP(B1621,Inventory!E:E,1,0),Inventory!E:E,0))&lt;&gt;INDIRECT("'Full Inventory'!B"&amp;MATCH(VLOOKUP(B1621,'Full Inventory'!F:F,1,0),'Full Inventory'!F:F,0))),"X","_"),"_")</f>
        <v>_</v>
      </c>
      <c r="L1621" t="str">
        <f t="shared" ca="1" si="102"/>
        <v>__X_</v>
      </c>
      <c r="M1621" t="str">
        <f t="shared" ca="1" si="103"/>
        <v/>
      </c>
    </row>
    <row r="1622" spans="1:13" x14ac:dyDescent="0.25">
      <c r="A1622" s="5"/>
      <c r="B1622" s="4" t="str">
        <f t="shared" si="101"/>
        <v/>
      </c>
      <c r="C1622" t="str">
        <f>IF(AND(TRIM(A1622)&lt;&gt;"",IFERROR(VLOOKUP(TRIM(B1622),Inventory!E:E,1,0),0)=0),"X","_")</f>
        <v>_</v>
      </c>
      <c r="D1622" t="str">
        <f>IF(AND(TRIM(A1622)&lt;&gt;"",IFERROR(VLOOKUP(TRIM(B1622),'Full Inventory'!F:F,1,0),0)=0),"X","_")</f>
        <v>_</v>
      </c>
      <c r="E1622" t="str">
        <f t="shared" si="104"/>
        <v>X</v>
      </c>
      <c r="F1622" t="str">
        <f ca="1">IFERROR(IF(AND(C1622&amp;D1622&amp;E1622="___",INDIRECT("Inventory!A"&amp;MATCH(VLOOKUP(B1622,Inventory!E:E,1,0),Inventory!E:E,0))&lt;&gt;INDIRECT("'Full Inventory'!B"&amp;MATCH(VLOOKUP(B1622,'Full Inventory'!F:F,1,0),'Full Inventory'!F:F,0))),"X","_"),"_")</f>
        <v>_</v>
      </c>
      <c r="L1622" t="str">
        <f t="shared" ca="1" si="102"/>
        <v>__X_</v>
      </c>
      <c r="M1622" t="str">
        <f t="shared" ca="1" si="103"/>
        <v/>
      </c>
    </row>
    <row r="1623" spans="1:13" x14ac:dyDescent="0.25">
      <c r="A1623" s="5"/>
      <c r="B1623" s="4" t="str">
        <f t="shared" si="101"/>
        <v/>
      </c>
      <c r="C1623" t="str">
        <f>IF(AND(TRIM(A1623)&lt;&gt;"",IFERROR(VLOOKUP(TRIM(B1623),Inventory!E:E,1,0),0)=0),"X","_")</f>
        <v>_</v>
      </c>
      <c r="D1623" t="str">
        <f>IF(AND(TRIM(A1623)&lt;&gt;"",IFERROR(VLOOKUP(TRIM(B1623),'Full Inventory'!F:F,1,0),0)=0),"X","_")</f>
        <v>_</v>
      </c>
      <c r="E1623" t="str">
        <f t="shared" si="104"/>
        <v>X</v>
      </c>
      <c r="F1623" t="str">
        <f ca="1">IFERROR(IF(AND(C1623&amp;D1623&amp;E1623="___",INDIRECT("Inventory!A"&amp;MATCH(VLOOKUP(B1623,Inventory!E:E,1,0),Inventory!E:E,0))&lt;&gt;INDIRECT("'Full Inventory'!B"&amp;MATCH(VLOOKUP(B1623,'Full Inventory'!F:F,1,0),'Full Inventory'!F:F,0))),"X","_"),"_")</f>
        <v>_</v>
      </c>
      <c r="L1623" t="str">
        <f t="shared" ca="1" si="102"/>
        <v>__X_</v>
      </c>
      <c r="M1623" t="str">
        <f t="shared" ca="1" si="103"/>
        <v/>
      </c>
    </row>
    <row r="1624" spans="1:13" x14ac:dyDescent="0.25">
      <c r="A1624" s="5"/>
      <c r="B1624" s="4" t="str">
        <f t="shared" si="101"/>
        <v/>
      </c>
      <c r="C1624" t="str">
        <f>IF(AND(TRIM(A1624)&lt;&gt;"",IFERROR(VLOOKUP(TRIM(B1624),Inventory!E:E,1,0),0)=0),"X","_")</f>
        <v>_</v>
      </c>
      <c r="D1624" t="str">
        <f>IF(AND(TRIM(A1624)&lt;&gt;"",IFERROR(VLOOKUP(TRIM(B1624),'Full Inventory'!F:F,1,0),0)=0),"X","_")</f>
        <v>_</v>
      </c>
      <c r="E1624" t="str">
        <f t="shared" si="104"/>
        <v>X</v>
      </c>
      <c r="F1624" t="str">
        <f ca="1">IFERROR(IF(AND(C1624&amp;D1624&amp;E1624="___",INDIRECT("Inventory!A"&amp;MATCH(VLOOKUP(B1624,Inventory!E:E,1,0),Inventory!E:E,0))&lt;&gt;INDIRECT("'Full Inventory'!B"&amp;MATCH(VLOOKUP(B1624,'Full Inventory'!F:F,1,0),'Full Inventory'!F:F,0))),"X","_"),"_")</f>
        <v>_</v>
      </c>
      <c r="L1624" t="str">
        <f t="shared" ca="1" si="102"/>
        <v>__X_</v>
      </c>
      <c r="M1624" t="str">
        <f t="shared" ca="1" si="103"/>
        <v/>
      </c>
    </row>
    <row r="1625" spans="1:13" x14ac:dyDescent="0.25">
      <c r="A1625" s="5"/>
      <c r="B1625" s="4" t="str">
        <f t="shared" si="101"/>
        <v/>
      </c>
      <c r="C1625" t="str">
        <f>IF(AND(TRIM(A1625)&lt;&gt;"",IFERROR(VLOOKUP(TRIM(B1625),Inventory!E:E,1,0),0)=0),"X","_")</f>
        <v>_</v>
      </c>
      <c r="D1625" t="str">
        <f>IF(AND(TRIM(A1625)&lt;&gt;"",IFERROR(VLOOKUP(TRIM(B1625),'Full Inventory'!F:F,1,0),0)=0),"X","_")</f>
        <v>_</v>
      </c>
      <c r="E1625" t="str">
        <f t="shared" si="104"/>
        <v>X</v>
      </c>
      <c r="F1625" t="str">
        <f ca="1">IFERROR(IF(AND(C1625&amp;D1625&amp;E1625="___",INDIRECT("Inventory!A"&amp;MATCH(VLOOKUP(B1625,Inventory!E:E,1,0),Inventory!E:E,0))&lt;&gt;INDIRECT("'Full Inventory'!B"&amp;MATCH(VLOOKUP(B1625,'Full Inventory'!F:F,1,0),'Full Inventory'!F:F,0))),"X","_"),"_")</f>
        <v>_</v>
      </c>
      <c r="L1625" t="str">
        <f t="shared" ca="1" si="102"/>
        <v>__X_</v>
      </c>
      <c r="M1625" t="str">
        <f t="shared" ca="1" si="103"/>
        <v/>
      </c>
    </row>
    <row r="1626" spans="1:13" x14ac:dyDescent="0.25">
      <c r="A1626" s="5"/>
      <c r="B1626" s="4" t="str">
        <f t="shared" si="101"/>
        <v/>
      </c>
      <c r="C1626" t="str">
        <f>IF(AND(TRIM(A1626)&lt;&gt;"",IFERROR(VLOOKUP(TRIM(B1626),Inventory!E:E,1,0),0)=0),"X","_")</f>
        <v>_</v>
      </c>
      <c r="D1626" t="str">
        <f>IF(AND(TRIM(A1626)&lt;&gt;"",IFERROR(VLOOKUP(TRIM(B1626),'Full Inventory'!F:F,1,0),0)=0),"X","_")</f>
        <v>_</v>
      </c>
      <c r="E1626" t="str">
        <f t="shared" si="104"/>
        <v>X</v>
      </c>
      <c r="F1626" t="str">
        <f ca="1">IFERROR(IF(AND(C1626&amp;D1626&amp;E1626="___",INDIRECT("Inventory!A"&amp;MATCH(VLOOKUP(B1626,Inventory!E:E,1,0),Inventory!E:E,0))&lt;&gt;INDIRECT("'Full Inventory'!B"&amp;MATCH(VLOOKUP(B1626,'Full Inventory'!F:F,1,0),'Full Inventory'!F:F,0))),"X","_"),"_")</f>
        <v>_</v>
      </c>
      <c r="L1626" t="str">
        <f t="shared" ca="1" si="102"/>
        <v>__X_</v>
      </c>
      <c r="M1626" t="str">
        <f t="shared" ca="1" si="103"/>
        <v/>
      </c>
    </row>
    <row r="1627" spans="1:13" x14ac:dyDescent="0.25">
      <c r="A1627" s="5"/>
      <c r="B1627" s="4" t="str">
        <f t="shared" si="101"/>
        <v/>
      </c>
      <c r="C1627" t="str">
        <f>IF(AND(TRIM(A1627)&lt;&gt;"",IFERROR(VLOOKUP(TRIM(B1627),Inventory!E:E,1,0),0)=0),"X","_")</f>
        <v>_</v>
      </c>
      <c r="D1627" t="str">
        <f>IF(AND(TRIM(A1627)&lt;&gt;"",IFERROR(VLOOKUP(TRIM(B1627),'Full Inventory'!F:F,1,0),0)=0),"X","_")</f>
        <v>_</v>
      </c>
      <c r="E1627" t="str">
        <f t="shared" si="104"/>
        <v>X</v>
      </c>
      <c r="F1627" t="str">
        <f ca="1">IFERROR(IF(AND(C1627&amp;D1627&amp;E1627="___",INDIRECT("Inventory!A"&amp;MATCH(VLOOKUP(B1627,Inventory!E:E,1,0),Inventory!E:E,0))&lt;&gt;INDIRECT("'Full Inventory'!B"&amp;MATCH(VLOOKUP(B1627,'Full Inventory'!F:F,1,0),'Full Inventory'!F:F,0))),"X","_"),"_")</f>
        <v>_</v>
      </c>
      <c r="L1627" t="str">
        <f t="shared" ca="1" si="102"/>
        <v>__X_</v>
      </c>
      <c r="M1627" t="str">
        <f t="shared" ca="1" si="103"/>
        <v/>
      </c>
    </row>
    <row r="1628" spans="1:13" x14ac:dyDescent="0.25">
      <c r="A1628" s="5"/>
      <c r="B1628" s="4" t="str">
        <f t="shared" si="101"/>
        <v/>
      </c>
      <c r="C1628" t="str">
        <f>IF(AND(TRIM(A1628)&lt;&gt;"",IFERROR(VLOOKUP(TRIM(B1628),Inventory!E:E,1,0),0)=0),"X","_")</f>
        <v>_</v>
      </c>
      <c r="D1628" t="str">
        <f>IF(AND(TRIM(A1628)&lt;&gt;"",IFERROR(VLOOKUP(TRIM(B1628),'Full Inventory'!F:F,1,0),0)=0),"X","_")</f>
        <v>_</v>
      </c>
      <c r="E1628" t="str">
        <f t="shared" si="104"/>
        <v>X</v>
      </c>
      <c r="F1628" t="str">
        <f ca="1">IFERROR(IF(AND(C1628&amp;D1628&amp;E1628="___",INDIRECT("Inventory!A"&amp;MATCH(VLOOKUP(B1628,Inventory!E:E,1,0),Inventory!E:E,0))&lt;&gt;INDIRECT("'Full Inventory'!B"&amp;MATCH(VLOOKUP(B1628,'Full Inventory'!F:F,1,0),'Full Inventory'!F:F,0))),"X","_"),"_")</f>
        <v>_</v>
      </c>
      <c r="L1628" t="str">
        <f t="shared" ca="1" si="102"/>
        <v>__X_</v>
      </c>
      <c r="M1628" t="str">
        <f t="shared" ca="1" si="103"/>
        <v/>
      </c>
    </row>
    <row r="1629" spans="1:13" x14ac:dyDescent="0.25">
      <c r="A1629" s="5"/>
      <c r="B1629" s="4" t="str">
        <f t="shared" si="101"/>
        <v/>
      </c>
      <c r="C1629" t="str">
        <f>IF(AND(TRIM(A1629)&lt;&gt;"",IFERROR(VLOOKUP(TRIM(B1629),Inventory!E:E,1,0),0)=0),"X","_")</f>
        <v>_</v>
      </c>
      <c r="D1629" t="str">
        <f>IF(AND(TRIM(A1629)&lt;&gt;"",IFERROR(VLOOKUP(TRIM(B1629),'Full Inventory'!F:F,1,0),0)=0),"X","_")</f>
        <v>_</v>
      </c>
      <c r="E1629" t="str">
        <f t="shared" si="104"/>
        <v>X</v>
      </c>
      <c r="F1629" t="str">
        <f ca="1">IFERROR(IF(AND(C1629&amp;D1629&amp;E1629="___",INDIRECT("Inventory!A"&amp;MATCH(VLOOKUP(B1629,Inventory!E:E,1,0),Inventory!E:E,0))&lt;&gt;INDIRECT("'Full Inventory'!B"&amp;MATCH(VLOOKUP(B1629,'Full Inventory'!F:F,1,0),'Full Inventory'!F:F,0))),"X","_"),"_")</f>
        <v>_</v>
      </c>
      <c r="L1629" t="str">
        <f t="shared" ca="1" si="102"/>
        <v>__X_</v>
      </c>
      <c r="M1629" t="str">
        <f t="shared" ca="1" si="103"/>
        <v/>
      </c>
    </row>
    <row r="1630" spans="1:13" x14ac:dyDescent="0.25">
      <c r="A1630" s="5"/>
      <c r="B1630" s="4" t="str">
        <f t="shared" si="101"/>
        <v/>
      </c>
      <c r="C1630" t="str">
        <f>IF(AND(TRIM(A1630)&lt;&gt;"",IFERROR(VLOOKUP(TRIM(B1630),Inventory!E:E,1,0),0)=0),"X","_")</f>
        <v>_</v>
      </c>
      <c r="D1630" t="str">
        <f>IF(AND(TRIM(A1630)&lt;&gt;"",IFERROR(VLOOKUP(TRIM(B1630),'Full Inventory'!F:F,1,0),0)=0),"X","_")</f>
        <v>_</v>
      </c>
      <c r="E1630" t="str">
        <f t="shared" si="104"/>
        <v>X</v>
      </c>
      <c r="F1630" t="str">
        <f ca="1">IFERROR(IF(AND(C1630&amp;D1630&amp;E1630="___",INDIRECT("Inventory!A"&amp;MATCH(VLOOKUP(B1630,Inventory!E:E,1,0),Inventory!E:E,0))&lt;&gt;INDIRECT("'Full Inventory'!B"&amp;MATCH(VLOOKUP(B1630,'Full Inventory'!F:F,1,0),'Full Inventory'!F:F,0))),"X","_"),"_")</f>
        <v>_</v>
      </c>
      <c r="L1630" t="str">
        <f t="shared" ca="1" si="102"/>
        <v>__X_</v>
      </c>
      <c r="M1630" t="str">
        <f t="shared" ca="1" si="103"/>
        <v/>
      </c>
    </row>
    <row r="1631" spans="1:13" x14ac:dyDescent="0.25">
      <c r="A1631" s="5"/>
      <c r="B1631" s="4" t="str">
        <f t="shared" si="101"/>
        <v/>
      </c>
      <c r="C1631" t="str">
        <f>IF(AND(TRIM(A1631)&lt;&gt;"",IFERROR(VLOOKUP(TRIM(B1631),Inventory!E:E,1,0),0)=0),"X","_")</f>
        <v>_</v>
      </c>
      <c r="D1631" t="str">
        <f>IF(AND(TRIM(A1631)&lt;&gt;"",IFERROR(VLOOKUP(TRIM(B1631),'Full Inventory'!F:F,1,0),0)=0),"X","_")</f>
        <v>_</v>
      </c>
      <c r="E1631" t="str">
        <f t="shared" si="104"/>
        <v>X</v>
      </c>
      <c r="F1631" t="str">
        <f ca="1">IFERROR(IF(AND(C1631&amp;D1631&amp;E1631="___",INDIRECT("Inventory!A"&amp;MATCH(VLOOKUP(B1631,Inventory!E:E,1,0),Inventory!E:E,0))&lt;&gt;INDIRECT("'Full Inventory'!B"&amp;MATCH(VLOOKUP(B1631,'Full Inventory'!F:F,1,0),'Full Inventory'!F:F,0))),"X","_"),"_")</f>
        <v>_</v>
      </c>
      <c r="L1631" t="str">
        <f t="shared" ca="1" si="102"/>
        <v>__X_</v>
      </c>
      <c r="M1631" t="str">
        <f t="shared" ca="1" si="103"/>
        <v/>
      </c>
    </row>
    <row r="1632" spans="1:13" x14ac:dyDescent="0.25">
      <c r="A1632" s="5"/>
      <c r="B1632" s="4" t="str">
        <f t="shared" si="101"/>
        <v/>
      </c>
      <c r="C1632" t="str">
        <f>IF(AND(TRIM(A1632)&lt;&gt;"",IFERROR(VLOOKUP(TRIM(B1632),Inventory!E:E,1,0),0)=0),"X","_")</f>
        <v>_</v>
      </c>
      <c r="D1632" t="str">
        <f>IF(AND(TRIM(A1632)&lt;&gt;"",IFERROR(VLOOKUP(TRIM(B1632),'Full Inventory'!F:F,1,0),0)=0),"X","_")</f>
        <v>_</v>
      </c>
      <c r="E1632" t="str">
        <f t="shared" si="104"/>
        <v>X</v>
      </c>
      <c r="F1632" t="str">
        <f ca="1">IFERROR(IF(AND(C1632&amp;D1632&amp;E1632="___",INDIRECT("Inventory!A"&amp;MATCH(VLOOKUP(B1632,Inventory!E:E,1,0),Inventory!E:E,0))&lt;&gt;INDIRECT("'Full Inventory'!B"&amp;MATCH(VLOOKUP(B1632,'Full Inventory'!F:F,1,0),'Full Inventory'!F:F,0))),"X","_"),"_")</f>
        <v>_</v>
      </c>
      <c r="L1632" t="str">
        <f t="shared" ca="1" si="102"/>
        <v>__X_</v>
      </c>
      <c r="M1632" t="str">
        <f t="shared" ca="1" si="103"/>
        <v/>
      </c>
    </row>
    <row r="1633" spans="1:13" x14ac:dyDescent="0.25">
      <c r="A1633" s="5"/>
      <c r="B1633" s="4" t="str">
        <f t="shared" si="101"/>
        <v/>
      </c>
      <c r="C1633" t="str">
        <f>IF(AND(TRIM(A1633)&lt;&gt;"",IFERROR(VLOOKUP(TRIM(B1633),Inventory!E:E,1,0),0)=0),"X","_")</f>
        <v>_</v>
      </c>
      <c r="D1633" t="str">
        <f>IF(AND(TRIM(A1633)&lt;&gt;"",IFERROR(VLOOKUP(TRIM(B1633),'Full Inventory'!F:F,1,0),0)=0),"X","_")</f>
        <v>_</v>
      </c>
      <c r="E1633" t="str">
        <f t="shared" si="104"/>
        <v>X</v>
      </c>
      <c r="F1633" t="str">
        <f ca="1">IFERROR(IF(AND(C1633&amp;D1633&amp;E1633="___",INDIRECT("Inventory!A"&amp;MATCH(VLOOKUP(B1633,Inventory!E:E,1,0),Inventory!E:E,0))&lt;&gt;INDIRECT("'Full Inventory'!B"&amp;MATCH(VLOOKUP(B1633,'Full Inventory'!F:F,1,0),'Full Inventory'!F:F,0))),"X","_"),"_")</f>
        <v>_</v>
      </c>
      <c r="L1633" t="str">
        <f t="shared" ca="1" si="102"/>
        <v>__X_</v>
      </c>
      <c r="M1633" t="str">
        <f t="shared" ca="1" si="103"/>
        <v/>
      </c>
    </row>
    <row r="1634" spans="1:13" x14ac:dyDescent="0.25">
      <c r="A1634" s="5"/>
      <c r="B1634" s="4" t="str">
        <f t="shared" si="101"/>
        <v/>
      </c>
      <c r="C1634" t="str">
        <f>IF(AND(TRIM(A1634)&lt;&gt;"",IFERROR(VLOOKUP(TRIM(B1634),Inventory!E:E,1,0),0)=0),"X","_")</f>
        <v>_</v>
      </c>
      <c r="D1634" t="str">
        <f>IF(AND(TRIM(A1634)&lt;&gt;"",IFERROR(VLOOKUP(TRIM(B1634),'Full Inventory'!F:F,1,0),0)=0),"X","_")</f>
        <v>_</v>
      </c>
      <c r="E1634" t="str">
        <f t="shared" si="104"/>
        <v>X</v>
      </c>
      <c r="F1634" t="str">
        <f ca="1">IFERROR(IF(AND(C1634&amp;D1634&amp;E1634="___",INDIRECT("Inventory!A"&amp;MATCH(VLOOKUP(B1634,Inventory!E:E,1,0),Inventory!E:E,0))&lt;&gt;INDIRECT("'Full Inventory'!B"&amp;MATCH(VLOOKUP(B1634,'Full Inventory'!F:F,1,0),'Full Inventory'!F:F,0))),"X","_"),"_")</f>
        <v>_</v>
      </c>
      <c r="L1634" t="str">
        <f t="shared" ca="1" si="102"/>
        <v>__X_</v>
      </c>
      <c r="M1634" t="str">
        <f t="shared" ca="1" si="103"/>
        <v/>
      </c>
    </row>
    <row r="1635" spans="1:13" x14ac:dyDescent="0.25">
      <c r="A1635" s="5"/>
      <c r="B1635" s="4" t="str">
        <f t="shared" si="101"/>
        <v/>
      </c>
      <c r="C1635" t="str">
        <f>IF(AND(TRIM(A1635)&lt;&gt;"",IFERROR(VLOOKUP(TRIM(B1635),Inventory!E:E,1,0),0)=0),"X","_")</f>
        <v>_</v>
      </c>
      <c r="D1635" t="str">
        <f>IF(AND(TRIM(A1635)&lt;&gt;"",IFERROR(VLOOKUP(TRIM(B1635),'Full Inventory'!F:F,1,0),0)=0),"X","_")</f>
        <v>_</v>
      </c>
      <c r="E1635" t="str">
        <f t="shared" si="104"/>
        <v>X</v>
      </c>
      <c r="F1635" t="str">
        <f ca="1">IFERROR(IF(AND(C1635&amp;D1635&amp;E1635="___",INDIRECT("Inventory!A"&amp;MATCH(VLOOKUP(B1635,Inventory!E:E,1,0),Inventory!E:E,0))&lt;&gt;INDIRECT("'Full Inventory'!B"&amp;MATCH(VLOOKUP(B1635,'Full Inventory'!F:F,1,0),'Full Inventory'!F:F,0))),"X","_"),"_")</f>
        <v>_</v>
      </c>
      <c r="L1635" t="str">
        <f t="shared" ca="1" si="102"/>
        <v>__X_</v>
      </c>
      <c r="M1635" t="str">
        <f t="shared" ca="1" si="103"/>
        <v/>
      </c>
    </row>
    <row r="1636" spans="1:13" x14ac:dyDescent="0.25">
      <c r="A1636" s="5"/>
      <c r="B1636" s="4" t="str">
        <f t="shared" si="101"/>
        <v/>
      </c>
      <c r="C1636" t="str">
        <f>IF(AND(TRIM(A1636)&lt;&gt;"",IFERROR(VLOOKUP(TRIM(B1636),Inventory!E:E,1,0),0)=0),"X","_")</f>
        <v>_</v>
      </c>
      <c r="D1636" t="str">
        <f>IF(AND(TRIM(A1636)&lt;&gt;"",IFERROR(VLOOKUP(TRIM(B1636),'Full Inventory'!F:F,1,0),0)=0),"X","_")</f>
        <v>_</v>
      </c>
      <c r="E1636" t="str">
        <f t="shared" si="104"/>
        <v>X</v>
      </c>
      <c r="F1636" t="str">
        <f ca="1">IFERROR(IF(AND(C1636&amp;D1636&amp;E1636="___",INDIRECT("Inventory!A"&amp;MATCH(VLOOKUP(B1636,Inventory!E:E,1,0),Inventory!E:E,0))&lt;&gt;INDIRECT("'Full Inventory'!B"&amp;MATCH(VLOOKUP(B1636,'Full Inventory'!F:F,1,0),'Full Inventory'!F:F,0))),"X","_"),"_")</f>
        <v>_</v>
      </c>
      <c r="L1636" t="str">
        <f t="shared" ca="1" si="102"/>
        <v>__X_</v>
      </c>
      <c r="M1636" t="str">
        <f t="shared" ca="1" si="103"/>
        <v/>
      </c>
    </row>
    <row r="1637" spans="1:13" x14ac:dyDescent="0.25">
      <c r="A1637" s="5"/>
      <c r="B1637" s="4" t="str">
        <f t="shared" si="101"/>
        <v/>
      </c>
      <c r="C1637" t="str">
        <f>IF(AND(TRIM(A1637)&lt;&gt;"",IFERROR(VLOOKUP(TRIM(B1637),Inventory!E:E,1,0),0)=0),"X","_")</f>
        <v>_</v>
      </c>
      <c r="D1637" t="str">
        <f>IF(AND(TRIM(A1637)&lt;&gt;"",IFERROR(VLOOKUP(TRIM(B1637),'Full Inventory'!F:F,1,0),0)=0),"X","_")</f>
        <v>_</v>
      </c>
      <c r="E1637" t="str">
        <f t="shared" si="104"/>
        <v>X</v>
      </c>
      <c r="F1637" t="str">
        <f ca="1">IFERROR(IF(AND(C1637&amp;D1637&amp;E1637="___",INDIRECT("Inventory!A"&amp;MATCH(VLOOKUP(B1637,Inventory!E:E,1,0),Inventory!E:E,0))&lt;&gt;INDIRECT("'Full Inventory'!B"&amp;MATCH(VLOOKUP(B1637,'Full Inventory'!F:F,1,0),'Full Inventory'!F:F,0))),"X","_"),"_")</f>
        <v>_</v>
      </c>
      <c r="L1637" t="str">
        <f t="shared" ca="1" si="102"/>
        <v>__X_</v>
      </c>
      <c r="M1637" t="str">
        <f t="shared" ca="1" si="103"/>
        <v/>
      </c>
    </row>
    <row r="1638" spans="1:13" x14ac:dyDescent="0.25">
      <c r="A1638" s="5"/>
      <c r="B1638" s="4" t="str">
        <f t="shared" si="101"/>
        <v/>
      </c>
      <c r="C1638" t="str">
        <f>IF(AND(TRIM(A1638)&lt;&gt;"",IFERROR(VLOOKUP(TRIM(B1638),Inventory!E:E,1,0),0)=0),"X","_")</f>
        <v>_</v>
      </c>
      <c r="D1638" t="str">
        <f>IF(AND(TRIM(A1638)&lt;&gt;"",IFERROR(VLOOKUP(TRIM(B1638),'Full Inventory'!F:F,1,0),0)=0),"X","_")</f>
        <v>_</v>
      </c>
      <c r="E1638" t="str">
        <f t="shared" si="104"/>
        <v>X</v>
      </c>
      <c r="F1638" t="str">
        <f ca="1">IFERROR(IF(AND(C1638&amp;D1638&amp;E1638="___",INDIRECT("Inventory!A"&amp;MATCH(VLOOKUP(B1638,Inventory!E:E,1,0),Inventory!E:E,0))&lt;&gt;INDIRECT("'Full Inventory'!B"&amp;MATCH(VLOOKUP(B1638,'Full Inventory'!F:F,1,0),'Full Inventory'!F:F,0))),"X","_"),"_")</f>
        <v>_</v>
      </c>
      <c r="L1638" t="str">
        <f t="shared" ca="1" si="102"/>
        <v>__X_</v>
      </c>
      <c r="M1638" t="str">
        <f t="shared" ca="1" si="103"/>
        <v/>
      </c>
    </row>
    <row r="1639" spans="1:13" x14ac:dyDescent="0.25">
      <c r="A1639" s="5"/>
      <c r="B1639" s="4" t="str">
        <f t="shared" si="101"/>
        <v/>
      </c>
      <c r="C1639" t="str">
        <f>IF(AND(TRIM(A1639)&lt;&gt;"",IFERROR(VLOOKUP(TRIM(B1639),Inventory!E:E,1,0),0)=0),"X","_")</f>
        <v>_</v>
      </c>
      <c r="D1639" t="str">
        <f>IF(AND(TRIM(A1639)&lt;&gt;"",IFERROR(VLOOKUP(TRIM(B1639),'Full Inventory'!F:F,1,0),0)=0),"X","_")</f>
        <v>_</v>
      </c>
      <c r="E1639" t="str">
        <f t="shared" si="104"/>
        <v>X</v>
      </c>
      <c r="F1639" t="str">
        <f ca="1">IFERROR(IF(AND(C1639&amp;D1639&amp;E1639="___",INDIRECT("Inventory!A"&amp;MATCH(VLOOKUP(B1639,Inventory!E:E,1,0),Inventory!E:E,0))&lt;&gt;INDIRECT("'Full Inventory'!B"&amp;MATCH(VLOOKUP(B1639,'Full Inventory'!F:F,1,0),'Full Inventory'!F:F,0))),"X","_"),"_")</f>
        <v>_</v>
      </c>
      <c r="L1639" t="str">
        <f t="shared" ca="1" si="102"/>
        <v>__X_</v>
      </c>
      <c r="M1639" t="str">
        <f t="shared" ca="1" si="103"/>
        <v/>
      </c>
    </row>
    <row r="1640" spans="1:13" x14ac:dyDescent="0.25">
      <c r="A1640" s="5"/>
      <c r="B1640" s="4" t="str">
        <f t="shared" si="101"/>
        <v/>
      </c>
      <c r="C1640" t="str">
        <f>IF(AND(TRIM(A1640)&lt;&gt;"",IFERROR(VLOOKUP(TRIM(B1640),Inventory!E:E,1,0),0)=0),"X","_")</f>
        <v>_</v>
      </c>
      <c r="D1640" t="str">
        <f>IF(AND(TRIM(A1640)&lt;&gt;"",IFERROR(VLOOKUP(TRIM(B1640),'Full Inventory'!F:F,1,0),0)=0),"X","_")</f>
        <v>_</v>
      </c>
      <c r="E1640" t="str">
        <f t="shared" si="104"/>
        <v>X</v>
      </c>
      <c r="F1640" t="str">
        <f ca="1">IFERROR(IF(AND(C1640&amp;D1640&amp;E1640="___",INDIRECT("Inventory!A"&amp;MATCH(VLOOKUP(B1640,Inventory!E:E,1,0),Inventory!E:E,0))&lt;&gt;INDIRECT("'Full Inventory'!B"&amp;MATCH(VLOOKUP(B1640,'Full Inventory'!F:F,1,0),'Full Inventory'!F:F,0))),"X","_"),"_")</f>
        <v>_</v>
      </c>
      <c r="L1640" t="str">
        <f t="shared" ca="1" si="102"/>
        <v>__X_</v>
      </c>
      <c r="M1640" t="str">
        <f t="shared" ca="1" si="103"/>
        <v/>
      </c>
    </row>
    <row r="1641" spans="1:13" x14ac:dyDescent="0.25">
      <c r="A1641" s="5"/>
      <c r="B1641" s="4" t="str">
        <f t="shared" si="101"/>
        <v/>
      </c>
      <c r="C1641" t="str">
        <f>IF(AND(TRIM(A1641)&lt;&gt;"",IFERROR(VLOOKUP(TRIM(B1641),Inventory!E:E,1,0),0)=0),"X","_")</f>
        <v>_</v>
      </c>
      <c r="D1641" t="str">
        <f>IF(AND(TRIM(A1641)&lt;&gt;"",IFERROR(VLOOKUP(TRIM(B1641),'Full Inventory'!F:F,1,0),0)=0),"X","_")</f>
        <v>_</v>
      </c>
      <c r="E1641" t="str">
        <f t="shared" si="104"/>
        <v>X</v>
      </c>
      <c r="F1641" t="str">
        <f ca="1">IFERROR(IF(AND(C1641&amp;D1641&amp;E1641="___",INDIRECT("Inventory!A"&amp;MATCH(VLOOKUP(B1641,Inventory!E:E,1,0),Inventory!E:E,0))&lt;&gt;INDIRECT("'Full Inventory'!B"&amp;MATCH(VLOOKUP(B1641,'Full Inventory'!F:F,1,0),'Full Inventory'!F:F,0))),"X","_"),"_")</f>
        <v>_</v>
      </c>
      <c r="L1641" t="str">
        <f t="shared" ca="1" si="102"/>
        <v>__X_</v>
      </c>
      <c r="M1641" t="str">
        <f t="shared" ca="1" si="103"/>
        <v/>
      </c>
    </row>
    <row r="1642" spans="1:13" x14ac:dyDescent="0.25">
      <c r="A1642" s="5"/>
      <c r="B1642" s="4" t="str">
        <f t="shared" si="101"/>
        <v/>
      </c>
      <c r="C1642" t="str">
        <f>IF(AND(TRIM(A1642)&lt;&gt;"",IFERROR(VLOOKUP(TRIM(B1642),Inventory!E:E,1,0),0)=0),"X","_")</f>
        <v>_</v>
      </c>
      <c r="D1642" t="str">
        <f>IF(AND(TRIM(A1642)&lt;&gt;"",IFERROR(VLOOKUP(TRIM(B1642),'Full Inventory'!F:F,1,0),0)=0),"X","_")</f>
        <v>_</v>
      </c>
      <c r="E1642" t="str">
        <f t="shared" si="104"/>
        <v>X</v>
      </c>
      <c r="F1642" t="str">
        <f ca="1">IFERROR(IF(AND(C1642&amp;D1642&amp;E1642="___",INDIRECT("Inventory!A"&amp;MATCH(VLOOKUP(B1642,Inventory!E:E,1,0),Inventory!E:E,0))&lt;&gt;INDIRECT("'Full Inventory'!B"&amp;MATCH(VLOOKUP(B1642,'Full Inventory'!F:F,1,0),'Full Inventory'!F:F,0))),"X","_"),"_")</f>
        <v>_</v>
      </c>
      <c r="L1642" t="str">
        <f t="shared" ca="1" si="102"/>
        <v>__X_</v>
      </c>
      <c r="M1642" t="str">
        <f t="shared" ca="1" si="103"/>
        <v/>
      </c>
    </row>
    <row r="1643" spans="1:13" x14ac:dyDescent="0.25">
      <c r="A1643" s="5"/>
      <c r="B1643" s="4" t="str">
        <f t="shared" si="101"/>
        <v/>
      </c>
      <c r="C1643" t="str">
        <f>IF(AND(TRIM(A1643)&lt;&gt;"",IFERROR(VLOOKUP(TRIM(B1643),Inventory!E:E,1,0),0)=0),"X","_")</f>
        <v>_</v>
      </c>
      <c r="D1643" t="str">
        <f>IF(AND(TRIM(A1643)&lt;&gt;"",IFERROR(VLOOKUP(TRIM(B1643),'Full Inventory'!F:F,1,0),0)=0),"X","_")</f>
        <v>_</v>
      </c>
      <c r="E1643" t="str">
        <f t="shared" si="104"/>
        <v>X</v>
      </c>
      <c r="F1643" t="str">
        <f ca="1">IFERROR(IF(AND(C1643&amp;D1643&amp;E1643="___",INDIRECT("Inventory!A"&amp;MATCH(VLOOKUP(B1643,Inventory!E:E,1,0),Inventory!E:E,0))&lt;&gt;INDIRECT("'Full Inventory'!B"&amp;MATCH(VLOOKUP(B1643,'Full Inventory'!F:F,1,0),'Full Inventory'!F:F,0))),"X","_"),"_")</f>
        <v>_</v>
      </c>
      <c r="L1643" t="str">
        <f t="shared" ca="1" si="102"/>
        <v>__X_</v>
      </c>
      <c r="M1643" t="str">
        <f t="shared" ca="1" si="103"/>
        <v/>
      </c>
    </row>
    <row r="1644" spans="1:13" x14ac:dyDescent="0.25">
      <c r="A1644" s="5"/>
      <c r="B1644" s="4" t="str">
        <f t="shared" si="101"/>
        <v/>
      </c>
      <c r="C1644" t="str">
        <f>IF(AND(TRIM(A1644)&lt;&gt;"",IFERROR(VLOOKUP(TRIM(B1644),Inventory!E:E,1,0),0)=0),"X","_")</f>
        <v>_</v>
      </c>
      <c r="D1644" t="str">
        <f>IF(AND(TRIM(A1644)&lt;&gt;"",IFERROR(VLOOKUP(TRIM(B1644),'Full Inventory'!F:F,1,0),0)=0),"X","_")</f>
        <v>_</v>
      </c>
      <c r="E1644" t="str">
        <f t="shared" si="104"/>
        <v>X</v>
      </c>
      <c r="F1644" t="str">
        <f ca="1">IFERROR(IF(AND(C1644&amp;D1644&amp;E1644="___",INDIRECT("Inventory!A"&amp;MATCH(VLOOKUP(B1644,Inventory!E:E,1,0),Inventory!E:E,0))&lt;&gt;INDIRECT("'Full Inventory'!B"&amp;MATCH(VLOOKUP(B1644,'Full Inventory'!F:F,1,0),'Full Inventory'!F:F,0))),"X","_"),"_")</f>
        <v>_</v>
      </c>
      <c r="L1644" t="str">
        <f t="shared" ca="1" si="102"/>
        <v>__X_</v>
      </c>
      <c r="M1644" t="str">
        <f t="shared" ca="1" si="103"/>
        <v/>
      </c>
    </row>
    <row r="1645" spans="1:13" x14ac:dyDescent="0.25">
      <c r="A1645" s="5"/>
      <c r="B1645" s="4" t="str">
        <f t="shared" si="101"/>
        <v/>
      </c>
      <c r="C1645" t="str">
        <f>IF(AND(TRIM(A1645)&lt;&gt;"",IFERROR(VLOOKUP(TRIM(B1645),Inventory!E:E,1,0),0)=0),"X","_")</f>
        <v>_</v>
      </c>
      <c r="D1645" t="str">
        <f>IF(AND(TRIM(A1645)&lt;&gt;"",IFERROR(VLOOKUP(TRIM(B1645),'Full Inventory'!F:F,1,0),0)=0),"X","_")</f>
        <v>_</v>
      </c>
      <c r="E1645" t="str">
        <f t="shared" si="104"/>
        <v>X</v>
      </c>
      <c r="F1645" t="str">
        <f ca="1">IFERROR(IF(AND(C1645&amp;D1645&amp;E1645="___",INDIRECT("Inventory!A"&amp;MATCH(VLOOKUP(B1645,Inventory!E:E,1,0),Inventory!E:E,0))&lt;&gt;INDIRECT("'Full Inventory'!B"&amp;MATCH(VLOOKUP(B1645,'Full Inventory'!F:F,1,0),'Full Inventory'!F:F,0))),"X","_"),"_")</f>
        <v>_</v>
      </c>
      <c r="L1645" t="str">
        <f t="shared" ca="1" si="102"/>
        <v>__X_</v>
      </c>
      <c r="M1645" t="str">
        <f t="shared" ca="1" si="103"/>
        <v/>
      </c>
    </row>
    <row r="1646" spans="1:13" x14ac:dyDescent="0.25">
      <c r="A1646" s="5"/>
      <c r="B1646" s="4" t="str">
        <f t="shared" si="101"/>
        <v/>
      </c>
      <c r="C1646" t="str">
        <f>IF(AND(TRIM(A1646)&lt;&gt;"",IFERROR(VLOOKUP(TRIM(B1646),Inventory!E:E,1,0),0)=0),"X","_")</f>
        <v>_</v>
      </c>
      <c r="D1646" t="str">
        <f>IF(AND(TRIM(A1646)&lt;&gt;"",IFERROR(VLOOKUP(TRIM(B1646),'Full Inventory'!F:F,1,0),0)=0),"X","_")</f>
        <v>_</v>
      </c>
      <c r="E1646" t="str">
        <f t="shared" si="104"/>
        <v>X</v>
      </c>
      <c r="F1646" t="str">
        <f ca="1">IFERROR(IF(AND(C1646&amp;D1646&amp;E1646="___",INDIRECT("Inventory!A"&amp;MATCH(VLOOKUP(B1646,Inventory!E:E,1,0),Inventory!E:E,0))&lt;&gt;INDIRECT("'Full Inventory'!B"&amp;MATCH(VLOOKUP(B1646,'Full Inventory'!F:F,1,0),'Full Inventory'!F:F,0))),"X","_"),"_")</f>
        <v>_</v>
      </c>
      <c r="L1646" t="str">
        <f t="shared" ca="1" si="102"/>
        <v>__X_</v>
      </c>
      <c r="M1646" t="str">
        <f t="shared" ca="1" si="103"/>
        <v/>
      </c>
    </row>
    <row r="1647" spans="1:13" x14ac:dyDescent="0.25">
      <c r="A1647" s="5"/>
      <c r="B1647" s="4" t="str">
        <f t="shared" si="101"/>
        <v/>
      </c>
      <c r="C1647" t="str">
        <f>IF(AND(TRIM(A1647)&lt;&gt;"",IFERROR(VLOOKUP(TRIM(B1647),Inventory!E:E,1,0),0)=0),"X","_")</f>
        <v>_</v>
      </c>
      <c r="D1647" t="str">
        <f>IF(AND(TRIM(A1647)&lt;&gt;"",IFERROR(VLOOKUP(TRIM(B1647),'Full Inventory'!F:F,1,0),0)=0),"X","_")</f>
        <v>_</v>
      </c>
      <c r="E1647" t="str">
        <f t="shared" si="104"/>
        <v>X</v>
      </c>
      <c r="F1647" t="str">
        <f ca="1">IFERROR(IF(AND(C1647&amp;D1647&amp;E1647="___",INDIRECT("Inventory!A"&amp;MATCH(VLOOKUP(B1647,Inventory!E:E,1,0),Inventory!E:E,0))&lt;&gt;INDIRECT("'Full Inventory'!B"&amp;MATCH(VLOOKUP(B1647,'Full Inventory'!F:F,1,0),'Full Inventory'!F:F,0))),"X","_"),"_")</f>
        <v>_</v>
      </c>
      <c r="L1647" t="str">
        <f t="shared" ca="1" si="102"/>
        <v>__X_</v>
      </c>
      <c r="M1647" t="str">
        <f t="shared" ca="1" si="103"/>
        <v/>
      </c>
    </row>
    <row r="1648" spans="1:13" x14ac:dyDescent="0.25">
      <c r="A1648" s="5"/>
      <c r="B1648" s="4" t="str">
        <f t="shared" si="101"/>
        <v/>
      </c>
      <c r="C1648" t="str">
        <f>IF(AND(TRIM(A1648)&lt;&gt;"",IFERROR(VLOOKUP(TRIM(B1648),Inventory!E:E,1,0),0)=0),"X","_")</f>
        <v>_</v>
      </c>
      <c r="D1648" t="str">
        <f>IF(AND(TRIM(A1648)&lt;&gt;"",IFERROR(VLOOKUP(TRIM(B1648),'Full Inventory'!F:F,1,0),0)=0),"X","_")</f>
        <v>_</v>
      </c>
      <c r="E1648" t="str">
        <f t="shared" si="104"/>
        <v>X</v>
      </c>
      <c r="F1648" t="str">
        <f ca="1">IFERROR(IF(AND(C1648&amp;D1648&amp;E1648="___",INDIRECT("Inventory!A"&amp;MATCH(VLOOKUP(B1648,Inventory!E:E,1,0),Inventory!E:E,0))&lt;&gt;INDIRECT("'Full Inventory'!B"&amp;MATCH(VLOOKUP(B1648,'Full Inventory'!F:F,1,0),'Full Inventory'!F:F,0))),"X","_"),"_")</f>
        <v>_</v>
      </c>
      <c r="L1648" t="str">
        <f t="shared" ca="1" si="102"/>
        <v>__X_</v>
      </c>
      <c r="M1648" t="str">
        <f t="shared" ca="1" si="103"/>
        <v/>
      </c>
    </row>
    <row r="1649" spans="1:13" x14ac:dyDescent="0.25">
      <c r="A1649" s="5"/>
      <c r="B1649" s="4" t="str">
        <f t="shared" si="101"/>
        <v/>
      </c>
      <c r="C1649" t="str">
        <f>IF(AND(TRIM(A1649)&lt;&gt;"",IFERROR(VLOOKUP(TRIM(B1649),Inventory!E:E,1,0),0)=0),"X","_")</f>
        <v>_</v>
      </c>
      <c r="D1649" t="str">
        <f>IF(AND(TRIM(A1649)&lt;&gt;"",IFERROR(VLOOKUP(TRIM(B1649),'Full Inventory'!F:F,1,0),0)=0),"X","_")</f>
        <v>_</v>
      </c>
      <c r="E1649" t="str">
        <f t="shared" si="104"/>
        <v>X</v>
      </c>
      <c r="F1649" t="str">
        <f ca="1">IFERROR(IF(AND(C1649&amp;D1649&amp;E1649="___",INDIRECT("Inventory!A"&amp;MATCH(VLOOKUP(B1649,Inventory!E:E,1,0),Inventory!E:E,0))&lt;&gt;INDIRECT("'Full Inventory'!B"&amp;MATCH(VLOOKUP(B1649,'Full Inventory'!F:F,1,0),'Full Inventory'!F:F,0))),"X","_"),"_")</f>
        <v>_</v>
      </c>
      <c r="L1649" t="str">
        <f t="shared" ca="1" si="102"/>
        <v>__X_</v>
      </c>
      <c r="M1649" t="str">
        <f t="shared" ca="1" si="103"/>
        <v/>
      </c>
    </row>
    <row r="1650" spans="1:13" x14ac:dyDescent="0.25">
      <c r="A1650" s="5"/>
      <c r="B1650" s="4" t="str">
        <f t="shared" si="101"/>
        <v/>
      </c>
      <c r="C1650" t="str">
        <f>IF(AND(TRIM(A1650)&lt;&gt;"",IFERROR(VLOOKUP(TRIM(B1650),Inventory!E:E,1,0),0)=0),"X","_")</f>
        <v>_</v>
      </c>
      <c r="D1650" t="str">
        <f>IF(AND(TRIM(A1650)&lt;&gt;"",IFERROR(VLOOKUP(TRIM(B1650),'Full Inventory'!F:F,1,0),0)=0),"X","_")</f>
        <v>_</v>
      </c>
      <c r="E1650" t="str">
        <f t="shared" si="104"/>
        <v>X</v>
      </c>
      <c r="F1650" t="str">
        <f ca="1">IFERROR(IF(AND(C1650&amp;D1650&amp;E1650="___",INDIRECT("Inventory!A"&amp;MATCH(VLOOKUP(B1650,Inventory!E:E,1,0),Inventory!E:E,0))&lt;&gt;INDIRECT("'Full Inventory'!B"&amp;MATCH(VLOOKUP(B1650,'Full Inventory'!F:F,1,0),'Full Inventory'!F:F,0))),"X","_"),"_")</f>
        <v>_</v>
      </c>
      <c r="L1650" t="str">
        <f t="shared" ca="1" si="102"/>
        <v>__X_</v>
      </c>
      <c r="M1650" t="str">
        <f t="shared" ca="1" si="103"/>
        <v/>
      </c>
    </row>
    <row r="1651" spans="1:13" x14ac:dyDescent="0.25">
      <c r="A1651" s="5"/>
      <c r="B1651" s="4" t="str">
        <f t="shared" si="101"/>
        <v/>
      </c>
      <c r="C1651" t="str">
        <f>IF(AND(TRIM(A1651)&lt;&gt;"",IFERROR(VLOOKUP(TRIM(B1651),Inventory!E:E,1,0),0)=0),"X","_")</f>
        <v>_</v>
      </c>
      <c r="D1651" t="str">
        <f>IF(AND(TRIM(A1651)&lt;&gt;"",IFERROR(VLOOKUP(TRIM(B1651),'Full Inventory'!F:F,1,0),0)=0),"X","_")</f>
        <v>_</v>
      </c>
      <c r="E1651" t="str">
        <f t="shared" si="104"/>
        <v>X</v>
      </c>
      <c r="F1651" t="str">
        <f ca="1">IFERROR(IF(AND(C1651&amp;D1651&amp;E1651="___",INDIRECT("Inventory!A"&amp;MATCH(VLOOKUP(B1651,Inventory!E:E,1,0),Inventory!E:E,0))&lt;&gt;INDIRECT("'Full Inventory'!B"&amp;MATCH(VLOOKUP(B1651,'Full Inventory'!F:F,1,0),'Full Inventory'!F:F,0))),"X","_"),"_")</f>
        <v>_</v>
      </c>
      <c r="L1651" t="str">
        <f t="shared" ca="1" si="102"/>
        <v>__X_</v>
      </c>
      <c r="M1651" t="str">
        <f t="shared" ca="1" si="103"/>
        <v/>
      </c>
    </row>
    <row r="1652" spans="1:13" x14ac:dyDescent="0.25">
      <c r="A1652" s="5"/>
      <c r="B1652" s="4" t="str">
        <f t="shared" si="101"/>
        <v/>
      </c>
      <c r="C1652" t="str">
        <f>IF(AND(TRIM(A1652)&lt;&gt;"",IFERROR(VLOOKUP(TRIM(B1652),Inventory!E:E,1,0),0)=0),"X","_")</f>
        <v>_</v>
      </c>
      <c r="D1652" t="str">
        <f>IF(AND(TRIM(A1652)&lt;&gt;"",IFERROR(VLOOKUP(TRIM(B1652),'Full Inventory'!F:F,1,0),0)=0),"X","_")</f>
        <v>_</v>
      </c>
      <c r="E1652" t="str">
        <f t="shared" si="104"/>
        <v>X</v>
      </c>
      <c r="F1652" t="str">
        <f ca="1">IFERROR(IF(AND(C1652&amp;D1652&amp;E1652="___",INDIRECT("Inventory!A"&amp;MATCH(VLOOKUP(B1652,Inventory!E:E,1,0),Inventory!E:E,0))&lt;&gt;INDIRECT("'Full Inventory'!B"&amp;MATCH(VLOOKUP(B1652,'Full Inventory'!F:F,1,0),'Full Inventory'!F:F,0))),"X","_"),"_")</f>
        <v>_</v>
      </c>
      <c r="L1652" t="str">
        <f t="shared" ca="1" si="102"/>
        <v>__X_</v>
      </c>
      <c r="M1652" t="str">
        <f t="shared" ca="1" si="103"/>
        <v/>
      </c>
    </row>
    <row r="1653" spans="1:13" x14ac:dyDescent="0.25">
      <c r="A1653" s="5"/>
      <c r="B1653" s="4" t="str">
        <f t="shared" si="101"/>
        <v/>
      </c>
      <c r="C1653" t="str">
        <f>IF(AND(TRIM(A1653)&lt;&gt;"",IFERROR(VLOOKUP(TRIM(B1653),Inventory!E:E,1,0),0)=0),"X","_")</f>
        <v>_</v>
      </c>
      <c r="D1653" t="str">
        <f>IF(AND(TRIM(A1653)&lt;&gt;"",IFERROR(VLOOKUP(TRIM(B1653),'Full Inventory'!F:F,1,0),0)=0),"X","_")</f>
        <v>_</v>
      </c>
      <c r="E1653" t="str">
        <f t="shared" si="104"/>
        <v>X</v>
      </c>
      <c r="F1653" t="str">
        <f ca="1">IFERROR(IF(AND(C1653&amp;D1653&amp;E1653="___",INDIRECT("Inventory!A"&amp;MATCH(VLOOKUP(B1653,Inventory!E:E,1,0),Inventory!E:E,0))&lt;&gt;INDIRECT("'Full Inventory'!B"&amp;MATCH(VLOOKUP(B1653,'Full Inventory'!F:F,1,0),'Full Inventory'!F:F,0))),"X","_"),"_")</f>
        <v>_</v>
      </c>
      <c r="L1653" t="str">
        <f t="shared" ca="1" si="102"/>
        <v>__X_</v>
      </c>
      <c r="M1653" t="str">
        <f t="shared" ca="1" si="103"/>
        <v/>
      </c>
    </row>
    <row r="1654" spans="1:13" x14ac:dyDescent="0.25">
      <c r="A1654" s="5"/>
      <c r="B1654" s="4" t="str">
        <f t="shared" si="101"/>
        <v/>
      </c>
      <c r="C1654" t="str">
        <f>IF(AND(TRIM(A1654)&lt;&gt;"",IFERROR(VLOOKUP(TRIM(B1654),Inventory!E:E,1,0),0)=0),"X","_")</f>
        <v>_</v>
      </c>
      <c r="D1654" t="str">
        <f>IF(AND(TRIM(A1654)&lt;&gt;"",IFERROR(VLOOKUP(TRIM(B1654),'Full Inventory'!F:F,1,0),0)=0),"X","_")</f>
        <v>_</v>
      </c>
      <c r="E1654" t="str">
        <f t="shared" si="104"/>
        <v>X</v>
      </c>
      <c r="F1654" t="str">
        <f ca="1">IFERROR(IF(AND(C1654&amp;D1654&amp;E1654="___",INDIRECT("Inventory!A"&amp;MATCH(VLOOKUP(B1654,Inventory!E:E,1,0),Inventory!E:E,0))&lt;&gt;INDIRECT("'Full Inventory'!B"&amp;MATCH(VLOOKUP(B1654,'Full Inventory'!F:F,1,0),'Full Inventory'!F:F,0))),"X","_"),"_")</f>
        <v>_</v>
      </c>
      <c r="L1654" t="str">
        <f t="shared" ca="1" si="102"/>
        <v>__X_</v>
      </c>
      <c r="M1654" t="str">
        <f t="shared" ca="1" si="103"/>
        <v/>
      </c>
    </row>
    <row r="1655" spans="1:13" x14ac:dyDescent="0.25">
      <c r="A1655" s="5"/>
      <c r="B1655" s="4" t="str">
        <f t="shared" si="101"/>
        <v/>
      </c>
      <c r="C1655" t="str">
        <f>IF(AND(TRIM(A1655)&lt;&gt;"",IFERROR(VLOOKUP(TRIM(B1655),Inventory!E:E,1,0),0)=0),"X","_")</f>
        <v>_</v>
      </c>
      <c r="D1655" t="str">
        <f>IF(AND(TRIM(A1655)&lt;&gt;"",IFERROR(VLOOKUP(TRIM(B1655),'Full Inventory'!F:F,1,0),0)=0),"X","_")</f>
        <v>_</v>
      </c>
      <c r="E1655" t="str">
        <f t="shared" si="104"/>
        <v>X</v>
      </c>
      <c r="F1655" t="str">
        <f ca="1">IFERROR(IF(AND(C1655&amp;D1655&amp;E1655="___",INDIRECT("Inventory!A"&amp;MATCH(VLOOKUP(B1655,Inventory!E:E,1,0),Inventory!E:E,0))&lt;&gt;INDIRECT("'Full Inventory'!B"&amp;MATCH(VLOOKUP(B1655,'Full Inventory'!F:F,1,0),'Full Inventory'!F:F,0))),"X","_"),"_")</f>
        <v>_</v>
      </c>
      <c r="L1655" t="str">
        <f t="shared" ca="1" si="102"/>
        <v>__X_</v>
      </c>
      <c r="M1655" t="str">
        <f t="shared" ca="1" si="103"/>
        <v/>
      </c>
    </row>
    <row r="1656" spans="1:13" x14ac:dyDescent="0.25">
      <c r="A1656" s="5"/>
      <c r="B1656" s="4" t="str">
        <f t="shared" si="101"/>
        <v/>
      </c>
      <c r="C1656" t="str">
        <f>IF(AND(TRIM(A1656)&lt;&gt;"",IFERROR(VLOOKUP(TRIM(B1656),Inventory!E:E,1,0),0)=0),"X","_")</f>
        <v>_</v>
      </c>
      <c r="D1656" t="str">
        <f>IF(AND(TRIM(A1656)&lt;&gt;"",IFERROR(VLOOKUP(TRIM(B1656),'Full Inventory'!F:F,1,0),0)=0),"X","_")</f>
        <v>_</v>
      </c>
      <c r="E1656" t="str">
        <f t="shared" si="104"/>
        <v>X</v>
      </c>
      <c r="F1656" t="str">
        <f ca="1">IFERROR(IF(AND(C1656&amp;D1656&amp;E1656="___",INDIRECT("Inventory!A"&amp;MATCH(VLOOKUP(B1656,Inventory!E:E,1,0),Inventory!E:E,0))&lt;&gt;INDIRECT("'Full Inventory'!B"&amp;MATCH(VLOOKUP(B1656,'Full Inventory'!F:F,1,0),'Full Inventory'!F:F,0))),"X","_"),"_")</f>
        <v>_</v>
      </c>
      <c r="L1656" t="str">
        <f t="shared" ca="1" si="102"/>
        <v>__X_</v>
      </c>
      <c r="M1656" t="str">
        <f t="shared" ca="1" si="103"/>
        <v/>
      </c>
    </row>
    <row r="1657" spans="1:13" x14ac:dyDescent="0.25">
      <c r="A1657" s="5"/>
      <c r="B1657" s="4" t="str">
        <f t="shared" si="101"/>
        <v/>
      </c>
      <c r="C1657" t="str">
        <f>IF(AND(TRIM(A1657)&lt;&gt;"",IFERROR(VLOOKUP(TRIM(B1657),Inventory!E:E,1,0),0)=0),"X","_")</f>
        <v>_</v>
      </c>
      <c r="D1657" t="str">
        <f>IF(AND(TRIM(A1657)&lt;&gt;"",IFERROR(VLOOKUP(TRIM(B1657),'Full Inventory'!F:F,1,0),0)=0),"X","_")</f>
        <v>_</v>
      </c>
      <c r="E1657" t="str">
        <f t="shared" si="104"/>
        <v>X</v>
      </c>
      <c r="F1657" t="str">
        <f ca="1">IFERROR(IF(AND(C1657&amp;D1657&amp;E1657="___",INDIRECT("Inventory!A"&amp;MATCH(VLOOKUP(B1657,Inventory!E:E,1,0),Inventory!E:E,0))&lt;&gt;INDIRECT("'Full Inventory'!B"&amp;MATCH(VLOOKUP(B1657,'Full Inventory'!F:F,1,0),'Full Inventory'!F:F,0))),"X","_"),"_")</f>
        <v>_</v>
      </c>
      <c r="L1657" t="str">
        <f t="shared" ca="1" si="102"/>
        <v>__X_</v>
      </c>
      <c r="M1657" t="str">
        <f t="shared" ca="1" si="103"/>
        <v/>
      </c>
    </row>
    <row r="1658" spans="1:13" x14ac:dyDescent="0.25">
      <c r="A1658" s="5"/>
      <c r="B1658" s="4" t="str">
        <f t="shared" si="101"/>
        <v/>
      </c>
      <c r="C1658" t="str">
        <f>IF(AND(TRIM(A1658)&lt;&gt;"",IFERROR(VLOOKUP(TRIM(B1658),Inventory!E:E,1,0),0)=0),"X","_")</f>
        <v>_</v>
      </c>
      <c r="D1658" t="str">
        <f>IF(AND(TRIM(A1658)&lt;&gt;"",IFERROR(VLOOKUP(TRIM(B1658),'Full Inventory'!F:F,1,0),0)=0),"X","_")</f>
        <v>_</v>
      </c>
      <c r="E1658" t="str">
        <f t="shared" si="104"/>
        <v>X</v>
      </c>
      <c r="F1658" t="str">
        <f ca="1">IFERROR(IF(AND(C1658&amp;D1658&amp;E1658="___",INDIRECT("Inventory!A"&amp;MATCH(VLOOKUP(B1658,Inventory!E:E,1,0),Inventory!E:E,0))&lt;&gt;INDIRECT("'Full Inventory'!B"&amp;MATCH(VLOOKUP(B1658,'Full Inventory'!F:F,1,0),'Full Inventory'!F:F,0))),"X","_"),"_")</f>
        <v>_</v>
      </c>
      <c r="L1658" t="str">
        <f t="shared" ca="1" si="102"/>
        <v>__X_</v>
      </c>
      <c r="M1658" t="str">
        <f t="shared" ca="1" si="103"/>
        <v/>
      </c>
    </row>
    <row r="1659" spans="1:13" x14ac:dyDescent="0.25">
      <c r="A1659" s="5"/>
      <c r="B1659" s="4" t="str">
        <f t="shared" si="101"/>
        <v/>
      </c>
      <c r="C1659" t="str">
        <f>IF(AND(TRIM(A1659)&lt;&gt;"",IFERROR(VLOOKUP(TRIM(B1659),Inventory!E:E,1,0),0)=0),"X","_")</f>
        <v>_</v>
      </c>
      <c r="D1659" t="str">
        <f>IF(AND(TRIM(A1659)&lt;&gt;"",IFERROR(VLOOKUP(TRIM(B1659),'Full Inventory'!F:F,1,0),0)=0),"X","_")</f>
        <v>_</v>
      </c>
      <c r="E1659" t="str">
        <f t="shared" si="104"/>
        <v>X</v>
      </c>
      <c r="F1659" t="str">
        <f ca="1">IFERROR(IF(AND(C1659&amp;D1659&amp;E1659="___",INDIRECT("Inventory!A"&amp;MATCH(VLOOKUP(B1659,Inventory!E:E,1,0),Inventory!E:E,0))&lt;&gt;INDIRECT("'Full Inventory'!B"&amp;MATCH(VLOOKUP(B1659,'Full Inventory'!F:F,1,0),'Full Inventory'!F:F,0))),"X","_"),"_")</f>
        <v>_</v>
      </c>
      <c r="L1659" t="str">
        <f t="shared" ca="1" si="102"/>
        <v>__X_</v>
      </c>
      <c r="M1659" t="str">
        <f t="shared" ca="1" si="103"/>
        <v/>
      </c>
    </row>
    <row r="1660" spans="1:13" x14ac:dyDescent="0.25">
      <c r="A1660" s="5"/>
      <c r="B1660" s="4" t="str">
        <f t="shared" si="101"/>
        <v/>
      </c>
      <c r="C1660" t="str">
        <f>IF(AND(TRIM(A1660)&lt;&gt;"",IFERROR(VLOOKUP(TRIM(B1660),Inventory!E:E,1,0),0)=0),"X","_")</f>
        <v>_</v>
      </c>
      <c r="D1660" t="str">
        <f>IF(AND(TRIM(A1660)&lt;&gt;"",IFERROR(VLOOKUP(TRIM(B1660),'Full Inventory'!F:F,1,0),0)=0),"X","_")</f>
        <v>_</v>
      </c>
      <c r="E1660" t="str">
        <f t="shared" si="104"/>
        <v>X</v>
      </c>
      <c r="F1660" t="str">
        <f ca="1">IFERROR(IF(AND(C1660&amp;D1660&amp;E1660="___",INDIRECT("Inventory!A"&amp;MATCH(VLOOKUP(B1660,Inventory!E:E,1,0),Inventory!E:E,0))&lt;&gt;INDIRECT("'Full Inventory'!B"&amp;MATCH(VLOOKUP(B1660,'Full Inventory'!F:F,1,0),'Full Inventory'!F:F,0))),"X","_"),"_")</f>
        <v>_</v>
      </c>
      <c r="L1660" t="str">
        <f t="shared" ca="1" si="102"/>
        <v>__X_</v>
      </c>
      <c r="M1660" t="str">
        <f t="shared" ca="1" si="103"/>
        <v/>
      </c>
    </row>
    <row r="1661" spans="1:13" x14ac:dyDescent="0.25">
      <c r="A1661" s="5"/>
      <c r="B1661" s="4" t="str">
        <f t="shared" si="101"/>
        <v/>
      </c>
      <c r="C1661" t="str">
        <f>IF(AND(TRIM(A1661)&lt;&gt;"",IFERROR(VLOOKUP(TRIM(B1661),Inventory!E:E,1,0),0)=0),"X","_")</f>
        <v>_</v>
      </c>
      <c r="D1661" t="str">
        <f>IF(AND(TRIM(A1661)&lt;&gt;"",IFERROR(VLOOKUP(TRIM(B1661),'Full Inventory'!F:F,1,0),0)=0),"X","_")</f>
        <v>_</v>
      </c>
      <c r="E1661" t="str">
        <f t="shared" si="104"/>
        <v>X</v>
      </c>
      <c r="F1661" t="str">
        <f ca="1">IFERROR(IF(AND(C1661&amp;D1661&amp;E1661="___",INDIRECT("Inventory!A"&amp;MATCH(VLOOKUP(B1661,Inventory!E:E,1,0),Inventory!E:E,0))&lt;&gt;INDIRECT("'Full Inventory'!B"&amp;MATCH(VLOOKUP(B1661,'Full Inventory'!F:F,1,0),'Full Inventory'!F:F,0))),"X","_"),"_")</f>
        <v>_</v>
      </c>
      <c r="L1661" t="str">
        <f t="shared" ca="1" si="102"/>
        <v>__X_</v>
      </c>
      <c r="M1661" t="str">
        <f t="shared" ca="1" si="103"/>
        <v/>
      </c>
    </row>
    <row r="1662" spans="1:13" x14ac:dyDescent="0.25">
      <c r="A1662" s="5"/>
      <c r="B1662" s="4" t="str">
        <f t="shared" si="101"/>
        <v/>
      </c>
      <c r="C1662" t="str">
        <f>IF(AND(TRIM(A1662)&lt;&gt;"",IFERROR(VLOOKUP(TRIM(B1662),Inventory!E:E,1,0),0)=0),"X","_")</f>
        <v>_</v>
      </c>
      <c r="D1662" t="str">
        <f>IF(AND(TRIM(A1662)&lt;&gt;"",IFERROR(VLOOKUP(TRIM(B1662),'Full Inventory'!F:F,1,0),0)=0),"X","_")</f>
        <v>_</v>
      </c>
      <c r="E1662" t="str">
        <f t="shared" si="104"/>
        <v>X</v>
      </c>
      <c r="F1662" t="str">
        <f ca="1">IFERROR(IF(AND(C1662&amp;D1662&amp;E1662="___",INDIRECT("Inventory!A"&amp;MATCH(VLOOKUP(B1662,Inventory!E:E,1,0),Inventory!E:E,0))&lt;&gt;INDIRECT("'Full Inventory'!B"&amp;MATCH(VLOOKUP(B1662,'Full Inventory'!F:F,1,0),'Full Inventory'!F:F,0))),"X","_"),"_")</f>
        <v>_</v>
      </c>
      <c r="L1662" t="str">
        <f t="shared" ca="1" si="102"/>
        <v>__X_</v>
      </c>
      <c r="M1662" t="str">
        <f t="shared" ca="1" si="103"/>
        <v/>
      </c>
    </row>
    <row r="1663" spans="1:13" x14ac:dyDescent="0.25">
      <c r="A1663" s="5"/>
      <c r="B1663" s="4" t="str">
        <f t="shared" si="101"/>
        <v/>
      </c>
      <c r="C1663" t="str">
        <f>IF(AND(TRIM(A1663)&lt;&gt;"",IFERROR(VLOOKUP(TRIM(B1663),Inventory!E:E,1,0),0)=0),"X","_")</f>
        <v>_</v>
      </c>
      <c r="D1663" t="str">
        <f>IF(AND(TRIM(A1663)&lt;&gt;"",IFERROR(VLOOKUP(TRIM(B1663),'Full Inventory'!F:F,1,0),0)=0),"X","_")</f>
        <v>_</v>
      </c>
      <c r="E1663" t="str">
        <f t="shared" si="104"/>
        <v>X</v>
      </c>
      <c r="F1663" t="str">
        <f ca="1">IFERROR(IF(AND(C1663&amp;D1663&amp;E1663="___",INDIRECT("Inventory!A"&amp;MATCH(VLOOKUP(B1663,Inventory!E:E,1,0),Inventory!E:E,0))&lt;&gt;INDIRECT("'Full Inventory'!B"&amp;MATCH(VLOOKUP(B1663,'Full Inventory'!F:F,1,0),'Full Inventory'!F:F,0))),"X","_"),"_")</f>
        <v>_</v>
      </c>
      <c r="L1663" t="str">
        <f t="shared" ca="1" si="102"/>
        <v>__X_</v>
      </c>
      <c r="M1663" t="str">
        <f t="shared" ca="1" si="103"/>
        <v/>
      </c>
    </row>
    <row r="1664" spans="1:13" x14ac:dyDescent="0.25">
      <c r="A1664" s="5"/>
      <c r="B1664" s="4" t="str">
        <f t="shared" si="101"/>
        <v/>
      </c>
      <c r="C1664" t="str">
        <f>IF(AND(TRIM(A1664)&lt;&gt;"",IFERROR(VLOOKUP(TRIM(B1664),Inventory!E:E,1,0),0)=0),"X","_")</f>
        <v>_</v>
      </c>
      <c r="D1664" t="str">
        <f>IF(AND(TRIM(A1664)&lt;&gt;"",IFERROR(VLOOKUP(TRIM(B1664),'Full Inventory'!F:F,1,0),0)=0),"X","_")</f>
        <v>_</v>
      </c>
      <c r="E1664" t="str">
        <f t="shared" si="104"/>
        <v>X</v>
      </c>
      <c r="F1664" t="str">
        <f ca="1">IFERROR(IF(AND(C1664&amp;D1664&amp;E1664="___",INDIRECT("Inventory!A"&amp;MATCH(VLOOKUP(B1664,Inventory!E:E,1,0),Inventory!E:E,0))&lt;&gt;INDIRECT("'Full Inventory'!B"&amp;MATCH(VLOOKUP(B1664,'Full Inventory'!F:F,1,0),'Full Inventory'!F:F,0))),"X","_"),"_")</f>
        <v>_</v>
      </c>
      <c r="L1664" t="str">
        <f t="shared" ca="1" si="102"/>
        <v>__X_</v>
      </c>
      <c r="M1664" t="str">
        <f t="shared" ca="1" si="103"/>
        <v/>
      </c>
    </row>
    <row r="1665" spans="1:13" x14ac:dyDescent="0.25">
      <c r="A1665" s="5"/>
      <c r="B1665" s="4" t="str">
        <f t="shared" si="101"/>
        <v/>
      </c>
      <c r="C1665" t="str">
        <f>IF(AND(TRIM(A1665)&lt;&gt;"",IFERROR(VLOOKUP(TRIM(B1665),Inventory!E:E,1,0),0)=0),"X","_")</f>
        <v>_</v>
      </c>
      <c r="D1665" t="str">
        <f>IF(AND(TRIM(A1665)&lt;&gt;"",IFERROR(VLOOKUP(TRIM(B1665),'Full Inventory'!F:F,1,0),0)=0),"X","_")</f>
        <v>_</v>
      </c>
      <c r="E1665" t="str">
        <f t="shared" si="104"/>
        <v>X</v>
      </c>
      <c r="F1665" t="str">
        <f ca="1">IFERROR(IF(AND(C1665&amp;D1665&amp;E1665="___",INDIRECT("Inventory!A"&amp;MATCH(VLOOKUP(B1665,Inventory!E:E,1,0),Inventory!E:E,0))&lt;&gt;INDIRECT("'Full Inventory'!B"&amp;MATCH(VLOOKUP(B1665,'Full Inventory'!F:F,1,0),'Full Inventory'!F:F,0))),"X","_"),"_")</f>
        <v>_</v>
      </c>
      <c r="L1665" t="str">
        <f t="shared" ca="1" si="102"/>
        <v>__X_</v>
      </c>
      <c r="M1665" t="str">
        <f t="shared" ca="1" si="103"/>
        <v/>
      </c>
    </row>
    <row r="1666" spans="1:13" x14ac:dyDescent="0.25">
      <c r="A1666" s="5"/>
      <c r="B1666" s="4" t="str">
        <f t="shared" si="101"/>
        <v/>
      </c>
      <c r="C1666" t="str">
        <f>IF(AND(TRIM(A1666)&lt;&gt;"",IFERROR(VLOOKUP(TRIM(B1666),Inventory!E:E,1,0),0)=0),"X","_")</f>
        <v>_</v>
      </c>
      <c r="D1666" t="str">
        <f>IF(AND(TRIM(A1666)&lt;&gt;"",IFERROR(VLOOKUP(TRIM(B1666),'Full Inventory'!F:F,1,0),0)=0),"X","_")</f>
        <v>_</v>
      </c>
      <c r="E1666" t="str">
        <f t="shared" si="104"/>
        <v>X</v>
      </c>
      <c r="F1666" t="str">
        <f ca="1">IFERROR(IF(AND(C1666&amp;D1666&amp;E1666="___",INDIRECT("Inventory!A"&amp;MATCH(VLOOKUP(B1666,Inventory!E:E,1,0),Inventory!E:E,0))&lt;&gt;INDIRECT("'Full Inventory'!B"&amp;MATCH(VLOOKUP(B1666,'Full Inventory'!F:F,1,0),'Full Inventory'!F:F,0))),"X","_"),"_")</f>
        <v>_</v>
      </c>
      <c r="L1666" t="str">
        <f t="shared" ca="1" si="102"/>
        <v>__X_</v>
      </c>
      <c r="M1666" t="str">
        <f t="shared" ca="1" si="103"/>
        <v/>
      </c>
    </row>
    <row r="1667" spans="1:13" x14ac:dyDescent="0.25">
      <c r="A1667" s="5"/>
      <c r="B1667" s="4" t="str">
        <f t="shared" ref="B1667:B1730" si="105">SUBSTITUTE(SUBSTITUTE(A1667,"ö","0"),"Ö","0")</f>
        <v/>
      </c>
      <c r="C1667" t="str">
        <f>IF(AND(TRIM(A1667)&lt;&gt;"",IFERROR(VLOOKUP(TRIM(B1667),Inventory!E:E,1,0),0)=0),"X","_")</f>
        <v>_</v>
      </c>
      <c r="D1667" t="str">
        <f>IF(AND(TRIM(A1667)&lt;&gt;"",IFERROR(VLOOKUP(TRIM(B1667),'Full Inventory'!F:F,1,0),0)=0),"X","_")</f>
        <v>_</v>
      </c>
      <c r="E1667" t="str">
        <f t="shared" si="104"/>
        <v>X</v>
      </c>
      <c r="F1667" t="str">
        <f ca="1">IFERROR(IF(AND(C1667&amp;D1667&amp;E1667="___",INDIRECT("Inventory!A"&amp;MATCH(VLOOKUP(B1667,Inventory!E:E,1,0),Inventory!E:E,0))&lt;&gt;INDIRECT("'Full Inventory'!B"&amp;MATCH(VLOOKUP(B1667,'Full Inventory'!F:F,1,0),'Full Inventory'!F:F,0))),"X","_"),"_")</f>
        <v>_</v>
      </c>
      <c r="L1667" t="str">
        <f t="shared" ref="L1667:L1730" ca="1" si="106">C1667&amp;D1667&amp;E1667&amp;F1667</f>
        <v>__X_</v>
      </c>
      <c r="M1667" t="str">
        <f t="shared" ref="M1667:M1730" ca="1" si="107">IF(L1667="____","OK",IF(L1667="_X__","NOT IN FULL INVENTORY",IF(L1667="XX__","NOT IN FULL INVENTORY AND INVENTORY",IF(L1667="X___","NOT IN INVENTORY",IF(L1667="___X","DIFFERENT NAMES IN FULL INVENTORY AND INVENTORY","")))))</f>
        <v/>
      </c>
    </row>
    <row r="1668" spans="1:13" x14ac:dyDescent="0.25">
      <c r="A1668" s="5"/>
      <c r="B1668" s="4" t="str">
        <f t="shared" si="105"/>
        <v/>
      </c>
      <c r="C1668" t="str">
        <f>IF(AND(TRIM(A1668)&lt;&gt;"",IFERROR(VLOOKUP(TRIM(B1668),Inventory!E:E,1,0),0)=0),"X","_")</f>
        <v>_</v>
      </c>
      <c r="D1668" t="str">
        <f>IF(AND(TRIM(A1668)&lt;&gt;"",IFERROR(VLOOKUP(TRIM(B1668),'Full Inventory'!F:F,1,0),0)=0),"X","_")</f>
        <v>_</v>
      </c>
      <c r="E1668" t="str">
        <f t="shared" si="104"/>
        <v>X</v>
      </c>
      <c r="F1668" t="str">
        <f ca="1">IFERROR(IF(AND(C1668&amp;D1668&amp;E1668="___",INDIRECT("Inventory!A"&amp;MATCH(VLOOKUP(B1668,Inventory!E:E,1,0),Inventory!E:E,0))&lt;&gt;INDIRECT("'Full Inventory'!B"&amp;MATCH(VLOOKUP(B1668,'Full Inventory'!F:F,1,0),'Full Inventory'!F:F,0))),"X","_"),"_")</f>
        <v>_</v>
      </c>
      <c r="L1668" t="str">
        <f t="shared" ca="1" si="106"/>
        <v>__X_</v>
      </c>
      <c r="M1668" t="str">
        <f t="shared" ca="1" si="107"/>
        <v/>
      </c>
    </row>
    <row r="1669" spans="1:13" x14ac:dyDescent="0.25">
      <c r="A1669" s="5"/>
      <c r="B1669" s="4" t="str">
        <f t="shared" si="105"/>
        <v/>
      </c>
      <c r="C1669" t="str">
        <f>IF(AND(TRIM(A1669)&lt;&gt;"",IFERROR(VLOOKUP(TRIM(B1669),Inventory!E:E,1,0),0)=0),"X","_")</f>
        <v>_</v>
      </c>
      <c r="D1669" t="str">
        <f>IF(AND(TRIM(A1669)&lt;&gt;"",IFERROR(VLOOKUP(TRIM(B1669),'Full Inventory'!F:F,1,0),0)=0),"X","_")</f>
        <v>_</v>
      </c>
      <c r="E1669" t="str">
        <f t="shared" si="104"/>
        <v>X</v>
      </c>
      <c r="F1669" t="str">
        <f ca="1">IFERROR(IF(AND(C1669&amp;D1669&amp;E1669="___",INDIRECT("Inventory!A"&amp;MATCH(VLOOKUP(B1669,Inventory!E:E,1,0),Inventory!E:E,0))&lt;&gt;INDIRECT("'Full Inventory'!B"&amp;MATCH(VLOOKUP(B1669,'Full Inventory'!F:F,1,0),'Full Inventory'!F:F,0))),"X","_"),"_")</f>
        <v>_</v>
      </c>
      <c r="L1669" t="str">
        <f t="shared" ca="1" si="106"/>
        <v>__X_</v>
      </c>
      <c r="M1669" t="str">
        <f t="shared" ca="1" si="107"/>
        <v/>
      </c>
    </row>
    <row r="1670" spans="1:13" x14ac:dyDescent="0.25">
      <c r="A1670" s="5"/>
      <c r="B1670" s="4" t="str">
        <f t="shared" si="105"/>
        <v/>
      </c>
      <c r="C1670" t="str">
        <f>IF(AND(TRIM(A1670)&lt;&gt;"",IFERROR(VLOOKUP(TRIM(B1670),Inventory!E:E,1,0),0)=0),"X","_")</f>
        <v>_</v>
      </c>
      <c r="D1670" t="str">
        <f>IF(AND(TRIM(A1670)&lt;&gt;"",IFERROR(VLOOKUP(TRIM(B1670),'Full Inventory'!F:F,1,0),0)=0),"X","_")</f>
        <v>_</v>
      </c>
      <c r="E1670" t="str">
        <f t="shared" si="104"/>
        <v>X</v>
      </c>
      <c r="F1670" t="str">
        <f ca="1">IFERROR(IF(AND(C1670&amp;D1670&amp;E1670="___",INDIRECT("Inventory!A"&amp;MATCH(VLOOKUP(B1670,Inventory!E:E,1,0),Inventory!E:E,0))&lt;&gt;INDIRECT("'Full Inventory'!B"&amp;MATCH(VLOOKUP(B1670,'Full Inventory'!F:F,1,0),'Full Inventory'!F:F,0))),"X","_"),"_")</f>
        <v>_</v>
      </c>
      <c r="L1670" t="str">
        <f t="shared" ca="1" si="106"/>
        <v>__X_</v>
      </c>
      <c r="M1670" t="str">
        <f t="shared" ca="1" si="107"/>
        <v/>
      </c>
    </row>
    <row r="1671" spans="1:13" x14ac:dyDescent="0.25">
      <c r="A1671" s="5"/>
      <c r="B1671" s="4" t="str">
        <f t="shared" si="105"/>
        <v/>
      </c>
      <c r="C1671" t="str">
        <f>IF(AND(TRIM(A1671)&lt;&gt;"",IFERROR(VLOOKUP(TRIM(B1671),Inventory!E:E,1,0),0)=0),"X","_")</f>
        <v>_</v>
      </c>
      <c r="D1671" t="str">
        <f>IF(AND(TRIM(A1671)&lt;&gt;"",IFERROR(VLOOKUP(TRIM(B1671),'Full Inventory'!F:F,1,0),0)=0),"X","_")</f>
        <v>_</v>
      </c>
      <c r="E1671" t="str">
        <f t="shared" si="104"/>
        <v>X</v>
      </c>
      <c r="F1671" t="str">
        <f ca="1">IFERROR(IF(AND(C1671&amp;D1671&amp;E1671="___",INDIRECT("Inventory!A"&amp;MATCH(VLOOKUP(B1671,Inventory!E:E,1,0),Inventory!E:E,0))&lt;&gt;INDIRECT("'Full Inventory'!B"&amp;MATCH(VLOOKUP(B1671,'Full Inventory'!F:F,1,0),'Full Inventory'!F:F,0))),"X","_"),"_")</f>
        <v>_</v>
      </c>
      <c r="L1671" t="str">
        <f t="shared" ca="1" si="106"/>
        <v>__X_</v>
      </c>
      <c r="M1671" t="str">
        <f t="shared" ca="1" si="107"/>
        <v/>
      </c>
    </row>
    <row r="1672" spans="1:13" x14ac:dyDescent="0.25">
      <c r="A1672" s="5"/>
      <c r="B1672" s="4" t="str">
        <f t="shared" si="105"/>
        <v/>
      </c>
      <c r="C1672" t="str">
        <f>IF(AND(TRIM(A1672)&lt;&gt;"",IFERROR(VLOOKUP(TRIM(B1672),Inventory!E:E,1,0),0)=0),"X","_")</f>
        <v>_</v>
      </c>
      <c r="D1672" t="str">
        <f>IF(AND(TRIM(A1672)&lt;&gt;"",IFERROR(VLOOKUP(TRIM(B1672),'Full Inventory'!F:F,1,0),0)=0),"X","_")</f>
        <v>_</v>
      </c>
      <c r="E1672" t="str">
        <f t="shared" si="104"/>
        <v>X</v>
      </c>
      <c r="F1672" t="str">
        <f ca="1">IFERROR(IF(AND(C1672&amp;D1672&amp;E1672="___",INDIRECT("Inventory!A"&amp;MATCH(VLOOKUP(B1672,Inventory!E:E,1,0),Inventory!E:E,0))&lt;&gt;INDIRECT("'Full Inventory'!B"&amp;MATCH(VLOOKUP(B1672,'Full Inventory'!F:F,1,0),'Full Inventory'!F:F,0))),"X","_"),"_")</f>
        <v>_</v>
      </c>
      <c r="L1672" t="str">
        <f t="shared" ca="1" si="106"/>
        <v>__X_</v>
      </c>
      <c r="M1672" t="str">
        <f t="shared" ca="1" si="107"/>
        <v/>
      </c>
    </row>
    <row r="1673" spans="1:13" x14ac:dyDescent="0.25">
      <c r="A1673" s="5"/>
      <c r="B1673" s="4" t="str">
        <f t="shared" si="105"/>
        <v/>
      </c>
      <c r="C1673" t="str">
        <f>IF(AND(TRIM(A1673)&lt;&gt;"",IFERROR(VLOOKUP(TRIM(B1673),Inventory!E:E,1,0),0)=0),"X","_")</f>
        <v>_</v>
      </c>
      <c r="D1673" t="str">
        <f>IF(AND(TRIM(A1673)&lt;&gt;"",IFERROR(VLOOKUP(TRIM(B1673),'Full Inventory'!F:F,1,0),0)=0),"X","_")</f>
        <v>_</v>
      </c>
      <c r="E1673" t="str">
        <f t="shared" si="104"/>
        <v>X</v>
      </c>
      <c r="F1673" t="str">
        <f ca="1">IFERROR(IF(AND(C1673&amp;D1673&amp;E1673="___",INDIRECT("Inventory!A"&amp;MATCH(VLOOKUP(B1673,Inventory!E:E,1,0),Inventory!E:E,0))&lt;&gt;INDIRECT("'Full Inventory'!B"&amp;MATCH(VLOOKUP(B1673,'Full Inventory'!F:F,1,0),'Full Inventory'!F:F,0))),"X","_"),"_")</f>
        <v>_</v>
      </c>
      <c r="L1673" t="str">
        <f t="shared" ca="1" si="106"/>
        <v>__X_</v>
      </c>
      <c r="M1673" t="str">
        <f t="shared" ca="1" si="107"/>
        <v/>
      </c>
    </row>
    <row r="1674" spans="1:13" x14ac:dyDescent="0.25">
      <c r="A1674" s="5"/>
      <c r="B1674" s="4" t="str">
        <f t="shared" si="105"/>
        <v/>
      </c>
      <c r="C1674" t="str">
        <f>IF(AND(TRIM(A1674)&lt;&gt;"",IFERROR(VLOOKUP(TRIM(B1674),Inventory!E:E,1,0),0)=0),"X","_")</f>
        <v>_</v>
      </c>
      <c r="D1674" t="str">
        <f>IF(AND(TRIM(A1674)&lt;&gt;"",IFERROR(VLOOKUP(TRIM(B1674),'Full Inventory'!F:F,1,0),0)=0),"X","_")</f>
        <v>_</v>
      </c>
      <c r="E1674" t="str">
        <f t="shared" si="104"/>
        <v>X</v>
      </c>
      <c r="F1674" t="str">
        <f ca="1">IFERROR(IF(AND(C1674&amp;D1674&amp;E1674="___",INDIRECT("Inventory!A"&amp;MATCH(VLOOKUP(B1674,Inventory!E:E,1,0),Inventory!E:E,0))&lt;&gt;INDIRECT("'Full Inventory'!B"&amp;MATCH(VLOOKUP(B1674,'Full Inventory'!F:F,1,0),'Full Inventory'!F:F,0))),"X","_"),"_")</f>
        <v>_</v>
      </c>
      <c r="L1674" t="str">
        <f t="shared" ca="1" si="106"/>
        <v>__X_</v>
      </c>
      <c r="M1674" t="str">
        <f t="shared" ca="1" si="107"/>
        <v/>
      </c>
    </row>
    <row r="1675" spans="1:13" x14ac:dyDescent="0.25">
      <c r="A1675" s="5"/>
      <c r="B1675" s="4" t="str">
        <f t="shared" si="105"/>
        <v/>
      </c>
      <c r="C1675" t="str">
        <f>IF(AND(TRIM(A1675)&lt;&gt;"",IFERROR(VLOOKUP(TRIM(B1675),Inventory!E:E,1,0),0)=0),"X","_")</f>
        <v>_</v>
      </c>
      <c r="D1675" t="str">
        <f>IF(AND(TRIM(A1675)&lt;&gt;"",IFERROR(VLOOKUP(TRIM(B1675),'Full Inventory'!F:F,1,0),0)=0),"X","_")</f>
        <v>_</v>
      </c>
      <c r="E1675" t="str">
        <f t="shared" si="104"/>
        <v>X</v>
      </c>
      <c r="F1675" t="str">
        <f ca="1">IFERROR(IF(AND(C1675&amp;D1675&amp;E1675="___",INDIRECT("Inventory!A"&amp;MATCH(VLOOKUP(B1675,Inventory!E:E,1,0),Inventory!E:E,0))&lt;&gt;INDIRECT("'Full Inventory'!B"&amp;MATCH(VLOOKUP(B1675,'Full Inventory'!F:F,1,0),'Full Inventory'!F:F,0))),"X","_"),"_")</f>
        <v>_</v>
      </c>
      <c r="L1675" t="str">
        <f t="shared" ca="1" si="106"/>
        <v>__X_</v>
      </c>
      <c r="M1675" t="str">
        <f t="shared" ca="1" si="107"/>
        <v/>
      </c>
    </row>
    <row r="1676" spans="1:13" x14ac:dyDescent="0.25">
      <c r="A1676" s="5"/>
      <c r="B1676" s="4" t="str">
        <f t="shared" si="105"/>
        <v/>
      </c>
      <c r="C1676" t="str">
        <f>IF(AND(TRIM(A1676)&lt;&gt;"",IFERROR(VLOOKUP(TRIM(B1676),Inventory!E:E,1,0),0)=0),"X","_")</f>
        <v>_</v>
      </c>
      <c r="D1676" t="str">
        <f>IF(AND(TRIM(A1676)&lt;&gt;"",IFERROR(VLOOKUP(TRIM(B1676),'Full Inventory'!F:F,1,0),0)=0),"X","_")</f>
        <v>_</v>
      </c>
      <c r="E1676" t="str">
        <f t="shared" si="104"/>
        <v>X</v>
      </c>
      <c r="F1676" t="str">
        <f ca="1">IFERROR(IF(AND(C1676&amp;D1676&amp;E1676="___",INDIRECT("Inventory!A"&amp;MATCH(VLOOKUP(B1676,Inventory!E:E,1,0),Inventory!E:E,0))&lt;&gt;INDIRECT("'Full Inventory'!B"&amp;MATCH(VLOOKUP(B1676,'Full Inventory'!F:F,1,0),'Full Inventory'!F:F,0))),"X","_"),"_")</f>
        <v>_</v>
      </c>
      <c r="L1676" t="str">
        <f t="shared" ca="1" si="106"/>
        <v>__X_</v>
      </c>
      <c r="M1676" t="str">
        <f t="shared" ca="1" si="107"/>
        <v/>
      </c>
    </row>
    <row r="1677" spans="1:13" x14ac:dyDescent="0.25">
      <c r="A1677" s="5"/>
      <c r="B1677" s="4" t="str">
        <f t="shared" si="105"/>
        <v/>
      </c>
      <c r="C1677" t="str">
        <f>IF(AND(TRIM(A1677)&lt;&gt;"",IFERROR(VLOOKUP(TRIM(B1677),Inventory!E:E,1,0),0)=0),"X","_")</f>
        <v>_</v>
      </c>
      <c r="D1677" t="str">
        <f>IF(AND(TRIM(A1677)&lt;&gt;"",IFERROR(VLOOKUP(TRIM(B1677),'Full Inventory'!F:F,1,0),0)=0),"X","_")</f>
        <v>_</v>
      </c>
      <c r="E1677" t="str">
        <f t="shared" si="104"/>
        <v>X</v>
      </c>
      <c r="F1677" t="str">
        <f ca="1">IFERROR(IF(AND(C1677&amp;D1677&amp;E1677="___",INDIRECT("Inventory!A"&amp;MATCH(VLOOKUP(B1677,Inventory!E:E,1,0),Inventory!E:E,0))&lt;&gt;INDIRECT("'Full Inventory'!B"&amp;MATCH(VLOOKUP(B1677,'Full Inventory'!F:F,1,0),'Full Inventory'!F:F,0))),"X","_"),"_")</f>
        <v>_</v>
      </c>
      <c r="L1677" t="str">
        <f t="shared" ca="1" si="106"/>
        <v>__X_</v>
      </c>
      <c r="M1677" t="str">
        <f t="shared" ca="1" si="107"/>
        <v/>
      </c>
    </row>
    <row r="1678" spans="1:13" x14ac:dyDescent="0.25">
      <c r="A1678" s="5"/>
      <c r="B1678" s="4" t="str">
        <f t="shared" si="105"/>
        <v/>
      </c>
      <c r="C1678" t="str">
        <f>IF(AND(TRIM(A1678)&lt;&gt;"",IFERROR(VLOOKUP(TRIM(B1678),Inventory!E:E,1,0),0)=0),"X","_")</f>
        <v>_</v>
      </c>
      <c r="D1678" t="str">
        <f>IF(AND(TRIM(A1678)&lt;&gt;"",IFERROR(VLOOKUP(TRIM(B1678),'Full Inventory'!F:F,1,0),0)=0),"X","_")</f>
        <v>_</v>
      </c>
      <c r="E1678" t="str">
        <f t="shared" si="104"/>
        <v>X</v>
      </c>
      <c r="F1678" t="str">
        <f ca="1">IFERROR(IF(AND(C1678&amp;D1678&amp;E1678="___",INDIRECT("Inventory!A"&amp;MATCH(VLOOKUP(B1678,Inventory!E:E,1,0),Inventory!E:E,0))&lt;&gt;INDIRECT("'Full Inventory'!B"&amp;MATCH(VLOOKUP(B1678,'Full Inventory'!F:F,1,0),'Full Inventory'!F:F,0))),"X","_"),"_")</f>
        <v>_</v>
      </c>
      <c r="L1678" t="str">
        <f t="shared" ca="1" si="106"/>
        <v>__X_</v>
      </c>
      <c r="M1678" t="str">
        <f t="shared" ca="1" si="107"/>
        <v/>
      </c>
    </row>
    <row r="1679" spans="1:13" x14ac:dyDescent="0.25">
      <c r="A1679" s="5"/>
      <c r="B1679" s="4" t="str">
        <f t="shared" si="105"/>
        <v/>
      </c>
      <c r="C1679" t="str">
        <f>IF(AND(TRIM(A1679)&lt;&gt;"",IFERROR(VLOOKUP(TRIM(B1679),Inventory!E:E,1,0),0)=0),"X","_")</f>
        <v>_</v>
      </c>
      <c r="D1679" t="str">
        <f>IF(AND(TRIM(A1679)&lt;&gt;"",IFERROR(VLOOKUP(TRIM(B1679),'Full Inventory'!F:F,1,0),0)=0),"X","_")</f>
        <v>_</v>
      </c>
      <c r="E1679" t="str">
        <f t="shared" si="104"/>
        <v>X</v>
      </c>
      <c r="F1679" t="str">
        <f ca="1">IFERROR(IF(AND(C1679&amp;D1679&amp;E1679="___",INDIRECT("Inventory!A"&amp;MATCH(VLOOKUP(B1679,Inventory!E:E,1,0),Inventory!E:E,0))&lt;&gt;INDIRECT("'Full Inventory'!B"&amp;MATCH(VLOOKUP(B1679,'Full Inventory'!F:F,1,0),'Full Inventory'!F:F,0))),"X","_"),"_")</f>
        <v>_</v>
      </c>
      <c r="L1679" t="str">
        <f t="shared" ca="1" si="106"/>
        <v>__X_</v>
      </c>
      <c r="M1679" t="str">
        <f t="shared" ca="1" si="107"/>
        <v/>
      </c>
    </row>
    <row r="1680" spans="1:13" x14ac:dyDescent="0.25">
      <c r="A1680" s="5"/>
      <c r="B1680" s="4" t="str">
        <f t="shared" si="105"/>
        <v/>
      </c>
      <c r="C1680" t="str">
        <f>IF(AND(TRIM(A1680)&lt;&gt;"",IFERROR(VLOOKUP(TRIM(B1680),Inventory!E:E,1,0),0)=0),"X","_")</f>
        <v>_</v>
      </c>
      <c r="D1680" t="str">
        <f>IF(AND(TRIM(A1680)&lt;&gt;"",IFERROR(VLOOKUP(TRIM(B1680),'Full Inventory'!F:F,1,0),0)=0),"X","_")</f>
        <v>_</v>
      </c>
      <c r="E1680" t="str">
        <f t="shared" si="104"/>
        <v>X</v>
      </c>
      <c r="F1680" t="str">
        <f ca="1">IFERROR(IF(AND(C1680&amp;D1680&amp;E1680="___",INDIRECT("Inventory!A"&amp;MATCH(VLOOKUP(B1680,Inventory!E:E,1,0),Inventory!E:E,0))&lt;&gt;INDIRECT("'Full Inventory'!B"&amp;MATCH(VLOOKUP(B1680,'Full Inventory'!F:F,1,0),'Full Inventory'!F:F,0))),"X","_"),"_")</f>
        <v>_</v>
      </c>
      <c r="L1680" t="str">
        <f t="shared" ca="1" si="106"/>
        <v>__X_</v>
      </c>
      <c r="M1680" t="str">
        <f t="shared" ca="1" si="107"/>
        <v/>
      </c>
    </row>
    <row r="1681" spans="1:13" x14ac:dyDescent="0.25">
      <c r="A1681" s="5"/>
      <c r="B1681" s="4" t="str">
        <f t="shared" si="105"/>
        <v/>
      </c>
      <c r="C1681" t="str">
        <f>IF(AND(TRIM(A1681)&lt;&gt;"",IFERROR(VLOOKUP(TRIM(B1681),Inventory!E:E,1,0),0)=0),"X","_")</f>
        <v>_</v>
      </c>
      <c r="D1681" t="str">
        <f>IF(AND(TRIM(A1681)&lt;&gt;"",IFERROR(VLOOKUP(TRIM(B1681),'Full Inventory'!F:F,1,0),0)=0),"X","_")</f>
        <v>_</v>
      </c>
      <c r="E1681" t="str">
        <f t="shared" si="104"/>
        <v>X</v>
      </c>
      <c r="F1681" t="str">
        <f ca="1">IFERROR(IF(AND(C1681&amp;D1681&amp;E1681="___",INDIRECT("Inventory!A"&amp;MATCH(VLOOKUP(B1681,Inventory!E:E,1,0),Inventory!E:E,0))&lt;&gt;INDIRECT("'Full Inventory'!B"&amp;MATCH(VLOOKUP(B1681,'Full Inventory'!F:F,1,0),'Full Inventory'!F:F,0))),"X","_"),"_")</f>
        <v>_</v>
      </c>
      <c r="L1681" t="str">
        <f t="shared" ca="1" si="106"/>
        <v>__X_</v>
      </c>
      <c r="M1681" t="str">
        <f t="shared" ca="1" si="107"/>
        <v/>
      </c>
    </row>
    <row r="1682" spans="1:13" x14ac:dyDescent="0.25">
      <c r="A1682" s="5"/>
      <c r="B1682" s="4" t="str">
        <f t="shared" si="105"/>
        <v/>
      </c>
      <c r="C1682" t="str">
        <f>IF(AND(TRIM(A1682)&lt;&gt;"",IFERROR(VLOOKUP(TRIM(B1682),Inventory!E:E,1,0),0)=0),"X","_")</f>
        <v>_</v>
      </c>
      <c r="D1682" t="str">
        <f>IF(AND(TRIM(A1682)&lt;&gt;"",IFERROR(VLOOKUP(TRIM(B1682),'Full Inventory'!F:F,1,0),0)=0),"X","_")</f>
        <v>_</v>
      </c>
      <c r="E1682" t="str">
        <f t="shared" si="104"/>
        <v>X</v>
      </c>
      <c r="F1682" t="str">
        <f ca="1">IFERROR(IF(AND(C1682&amp;D1682&amp;E1682="___",INDIRECT("Inventory!A"&amp;MATCH(VLOOKUP(B1682,Inventory!E:E,1,0),Inventory!E:E,0))&lt;&gt;INDIRECT("'Full Inventory'!B"&amp;MATCH(VLOOKUP(B1682,'Full Inventory'!F:F,1,0),'Full Inventory'!F:F,0))),"X","_"),"_")</f>
        <v>_</v>
      </c>
      <c r="L1682" t="str">
        <f t="shared" ca="1" si="106"/>
        <v>__X_</v>
      </c>
      <c r="M1682" t="str">
        <f t="shared" ca="1" si="107"/>
        <v/>
      </c>
    </row>
    <row r="1683" spans="1:13" x14ac:dyDescent="0.25">
      <c r="A1683" s="5"/>
      <c r="B1683" s="4" t="str">
        <f t="shared" si="105"/>
        <v/>
      </c>
      <c r="C1683" t="str">
        <f>IF(AND(TRIM(A1683)&lt;&gt;"",IFERROR(VLOOKUP(TRIM(B1683),Inventory!E:E,1,0),0)=0),"X","_")</f>
        <v>_</v>
      </c>
      <c r="D1683" t="str">
        <f>IF(AND(TRIM(A1683)&lt;&gt;"",IFERROR(VLOOKUP(TRIM(B1683),'Full Inventory'!F:F,1,0),0)=0),"X","_")</f>
        <v>_</v>
      </c>
      <c r="E1683" t="str">
        <f t="shared" si="104"/>
        <v>X</v>
      </c>
      <c r="F1683" t="str">
        <f ca="1">IFERROR(IF(AND(C1683&amp;D1683&amp;E1683="___",INDIRECT("Inventory!A"&amp;MATCH(VLOOKUP(B1683,Inventory!E:E,1,0),Inventory!E:E,0))&lt;&gt;INDIRECT("'Full Inventory'!B"&amp;MATCH(VLOOKUP(B1683,'Full Inventory'!F:F,1,0),'Full Inventory'!F:F,0))),"X","_"),"_")</f>
        <v>_</v>
      </c>
      <c r="L1683" t="str">
        <f t="shared" ca="1" si="106"/>
        <v>__X_</v>
      </c>
      <c r="M1683" t="str">
        <f t="shared" ca="1" si="107"/>
        <v/>
      </c>
    </row>
    <row r="1684" spans="1:13" x14ac:dyDescent="0.25">
      <c r="A1684" s="5"/>
      <c r="B1684" s="4" t="str">
        <f t="shared" si="105"/>
        <v/>
      </c>
      <c r="C1684" t="str">
        <f>IF(AND(TRIM(A1684)&lt;&gt;"",IFERROR(VLOOKUP(TRIM(B1684),Inventory!E:E,1,0),0)=0),"X","_")</f>
        <v>_</v>
      </c>
      <c r="D1684" t="str">
        <f>IF(AND(TRIM(A1684)&lt;&gt;"",IFERROR(VLOOKUP(TRIM(B1684),'Full Inventory'!F:F,1,0),0)=0),"X","_")</f>
        <v>_</v>
      </c>
      <c r="E1684" t="str">
        <f t="shared" ref="E1684:E1747" si="108">IF(TRIM(A1684)&lt;&gt;"","_","X")</f>
        <v>X</v>
      </c>
      <c r="F1684" t="str">
        <f ca="1">IFERROR(IF(AND(C1684&amp;D1684&amp;E1684="___",INDIRECT("Inventory!A"&amp;MATCH(VLOOKUP(B1684,Inventory!E:E,1,0),Inventory!E:E,0))&lt;&gt;INDIRECT("'Full Inventory'!B"&amp;MATCH(VLOOKUP(B1684,'Full Inventory'!F:F,1,0),'Full Inventory'!F:F,0))),"X","_"),"_")</f>
        <v>_</v>
      </c>
      <c r="L1684" t="str">
        <f t="shared" ca="1" si="106"/>
        <v>__X_</v>
      </c>
      <c r="M1684" t="str">
        <f t="shared" ca="1" si="107"/>
        <v/>
      </c>
    </row>
    <row r="1685" spans="1:13" x14ac:dyDescent="0.25">
      <c r="A1685" s="5"/>
      <c r="B1685" s="4" t="str">
        <f t="shared" si="105"/>
        <v/>
      </c>
      <c r="C1685" t="str">
        <f>IF(AND(TRIM(A1685)&lt;&gt;"",IFERROR(VLOOKUP(TRIM(B1685),Inventory!E:E,1,0),0)=0),"X","_")</f>
        <v>_</v>
      </c>
      <c r="D1685" t="str">
        <f>IF(AND(TRIM(A1685)&lt;&gt;"",IFERROR(VLOOKUP(TRIM(B1685),'Full Inventory'!F:F,1,0),0)=0),"X","_")</f>
        <v>_</v>
      </c>
      <c r="E1685" t="str">
        <f t="shared" si="108"/>
        <v>X</v>
      </c>
      <c r="F1685" t="str">
        <f ca="1">IFERROR(IF(AND(C1685&amp;D1685&amp;E1685="___",INDIRECT("Inventory!A"&amp;MATCH(VLOOKUP(B1685,Inventory!E:E,1,0),Inventory!E:E,0))&lt;&gt;INDIRECT("'Full Inventory'!B"&amp;MATCH(VLOOKUP(B1685,'Full Inventory'!F:F,1,0),'Full Inventory'!F:F,0))),"X","_"),"_")</f>
        <v>_</v>
      </c>
      <c r="L1685" t="str">
        <f t="shared" ca="1" si="106"/>
        <v>__X_</v>
      </c>
      <c r="M1685" t="str">
        <f t="shared" ca="1" si="107"/>
        <v/>
      </c>
    </row>
    <row r="1686" spans="1:13" x14ac:dyDescent="0.25">
      <c r="A1686" s="5"/>
      <c r="B1686" s="4" t="str">
        <f t="shared" si="105"/>
        <v/>
      </c>
      <c r="C1686" t="str">
        <f>IF(AND(TRIM(A1686)&lt;&gt;"",IFERROR(VLOOKUP(TRIM(B1686),Inventory!E:E,1,0),0)=0),"X","_")</f>
        <v>_</v>
      </c>
      <c r="D1686" t="str">
        <f>IF(AND(TRIM(A1686)&lt;&gt;"",IFERROR(VLOOKUP(TRIM(B1686),'Full Inventory'!F:F,1,0),0)=0),"X","_")</f>
        <v>_</v>
      </c>
      <c r="E1686" t="str">
        <f t="shared" si="108"/>
        <v>X</v>
      </c>
      <c r="F1686" t="str">
        <f ca="1">IFERROR(IF(AND(C1686&amp;D1686&amp;E1686="___",INDIRECT("Inventory!A"&amp;MATCH(VLOOKUP(B1686,Inventory!E:E,1,0),Inventory!E:E,0))&lt;&gt;INDIRECT("'Full Inventory'!B"&amp;MATCH(VLOOKUP(B1686,'Full Inventory'!F:F,1,0),'Full Inventory'!F:F,0))),"X","_"),"_")</f>
        <v>_</v>
      </c>
      <c r="L1686" t="str">
        <f t="shared" ca="1" si="106"/>
        <v>__X_</v>
      </c>
      <c r="M1686" t="str">
        <f t="shared" ca="1" si="107"/>
        <v/>
      </c>
    </row>
    <row r="1687" spans="1:13" x14ac:dyDescent="0.25">
      <c r="A1687" s="5"/>
      <c r="B1687" s="4" t="str">
        <f t="shared" si="105"/>
        <v/>
      </c>
      <c r="C1687" t="str">
        <f>IF(AND(TRIM(A1687)&lt;&gt;"",IFERROR(VLOOKUP(TRIM(B1687),Inventory!E:E,1,0),0)=0),"X","_")</f>
        <v>_</v>
      </c>
      <c r="D1687" t="str">
        <f>IF(AND(TRIM(A1687)&lt;&gt;"",IFERROR(VLOOKUP(TRIM(B1687),'Full Inventory'!F:F,1,0),0)=0),"X","_")</f>
        <v>_</v>
      </c>
      <c r="E1687" t="str">
        <f t="shared" si="108"/>
        <v>X</v>
      </c>
      <c r="F1687" t="str">
        <f ca="1">IFERROR(IF(AND(C1687&amp;D1687&amp;E1687="___",INDIRECT("Inventory!A"&amp;MATCH(VLOOKUP(B1687,Inventory!E:E,1,0),Inventory!E:E,0))&lt;&gt;INDIRECT("'Full Inventory'!B"&amp;MATCH(VLOOKUP(B1687,'Full Inventory'!F:F,1,0),'Full Inventory'!F:F,0))),"X","_"),"_")</f>
        <v>_</v>
      </c>
      <c r="L1687" t="str">
        <f t="shared" ca="1" si="106"/>
        <v>__X_</v>
      </c>
      <c r="M1687" t="str">
        <f t="shared" ca="1" si="107"/>
        <v/>
      </c>
    </row>
    <row r="1688" spans="1:13" x14ac:dyDescent="0.25">
      <c r="A1688" s="5"/>
      <c r="B1688" s="4" t="str">
        <f t="shared" si="105"/>
        <v/>
      </c>
      <c r="C1688" t="str">
        <f>IF(AND(TRIM(A1688)&lt;&gt;"",IFERROR(VLOOKUP(TRIM(B1688),Inventory!E:E,1,0),0)=0),"X","_")</f>
        <v>_</v>
      </c>
      <c r="D1688" t="str">
        <f>IF(AND(TRIM(A1688)&lt;&gt;"",IFERROR(VLOOKUP(TRIM(B1688),'Full Inventory'!F:F,1,0),0)=0),"X","_")</f>
        <v>_</v>
      </c>
      <c r="E1688" t="str">
        <f t="shared" si="108"/>
        <v>X</v>
      </c>
      <c r="F1688" t="str">
        <f ca="1">IFERROR(IF(AND(C1688&amp;D1688&amp;E1688="___",INDIRECT("Inventory!A"&amp;MATCH(VLOOKUP(B1688,Inventory!E:E,1,0),Inventory!E:E,0))&lt;&gt;INDIRECT("'Full Inventory'!B"&amp;MATCH(VLOOKUP(B1688,'Full Inventory'!F:F,1,0),'Full Inventory'!F:F,0))),"X","_"),"_")</f>
        <v>_</v>
      </c>
      <c r="L1688" t="str">
        <f t="shared" ca="1" si="106"/>
        <v>__X_</v>
      </c>
      <c r="M1688" t="str">
        <f t="shared" ca="1" si="107"/>
        <v/>
      </c>
    </row>
    <row r="1689" spans="1:13" x14ac:dyDescent="0.25">
      <c r="A1689" s="5"/>
      <c r="B1689" s="4" t="str">
        <f t="shared" si="105"/>
        <v/>
      </c>
      <c r="C1689" t="str">
        <f>IF(AND(TRIM(A1689)&lt;&gt;"",IFERROR(VLOOKUP(TRIM(B1689),Inventory!E:E,1,0),0)=0),"X","_")</f>
        <v>_</v>
      </c>
      <c r="D1689" t="str">
        <f>IF(AND(TRIM(A1689)&lt;&gt;"",IFERROR(VLOOKUP(TRIM(B1689),'Full Inventory'!F:F,1,0),0)=0),"X","_")</f>
        <v>_</v>
      </c>
      <c r="E1689" t="str">
        <f t="shared" si="108"/>
        <v>X</v>
      </c>
      <c r="F1689" t="str">
        <f ca="1">IFERROR(IF(AND(C1689&amp;D1689&amp;E1689="___",INDIRECT("Inventory!A"&amp;MATCH(VLOOKUP(B1689,Inventory!E:E,1,0),Inventory!E:E,0))&lt;&gt;INDIRECT("'Full Inventory'!B"&amp;MATCH(VLOOKUP(B1689,'Full Inventory'!F:F,1,0),'Full Inventory'!F:F,0))),"X","_"),"_")</f>
        <v>_</v>
      </c>
      <c r="L1689" t="str">
        <f t="shared" ca="1" si="106"/>
        <v>__X_</v>
      </c>
      <c r="M1689" t="str">
        <f t="shared" ca="1" si="107"/>
        <v/>
      </c>
    </row>
    <row r="1690" spans="1:13" x14ac:dyDescent="0.25">
      <c r="A1690" s="5"/>
      <c r="B1690" s="4" t="str">
        <f t="shared" si="105"/>
        <v/>
      </c>
      <c r="C1690" t="str">
        <f>IF(AND(TRIM(A1690)&lt;&gt;"",IFERROR(VLOOKUP(TRIM(B1690),Inventory!E:E,1,0),0)=0),"X","_")</f>
        <v>_</v>
      </c>
      <c r="D1690" t="str">
        <f>IF(AND(TRIM(A1690)&lt;&gt;"",IFERROR(VLOOKUP(TRIM(B1690),'Full Inventory'!F:F,1,0),0)=0),"X","_")</f>
        <v>_</v>
      </c>
      <c r="E1690" t="str">
        <f t="shared" si="108"/>
        <v>X</v>
      </c>
      <c r="F1690" t="str">
        <f ca="1">IFERROR(IF(AND(C1690&amp;D1690&amp;E1690="___",INDIRECT("Inventory!A"&amp;MATCH(VLOOKUP(B1690,Inventory!E:E,1,0),Inventory!E:E,0))&lt;&gt;INDIRECT("'Full Inventory'!B"&amp;MATCH(VLOOKUP(B1690,'Full Inventory'!F:F,1,0),'Full Inventory'!F:F,0))),"X","_"),"_")</f>
        <v>_</v>
      </c>
      <c r="L1690" t="str">
        <f t="shared" ca="1" si="106"/>
        <v>__X_</v>
      </c>
      <c r="M1690" t="str">
        <f t="shared" ca="1" si="107"/>
        <v/>
      </c>
    </row>
    <row r="1691" spans="1:13" x14ac:dyDescent="0.25">
      <c r="A1691" s="5"/>
      <c r="B1691" s="4" t="str">
        <f t="shared" si="105"/>
        <v/>
      </c>
      <c r="C1691" t="str">
        <f>IF(AND(TRIM(A1691)&lt;&gt;"",IFERROR(VLOOKUP(TRIM(B1691),Inventory!E:E,1,0),0)=0),"X","_")</f>
        <v>_</v>
      </c>
      <c r="D1691" t="str">
        <f>IF(AND(TRIM(A1691)&lt;&gt;"",IFERROR(VLOOKUP(TRIM(B1691),'Full Inventory'!F:F,1,0),0)=0),"X","_")</f>
        <v>_</v>
      </c>
      <c r="E1691" t="str">
        <f t="shared" si="108"/>
        <v>X</v>
      </c>
      <c r="F1691" t="str">
        <f ca="1">IFERROR(IF(AND(C1691&amp;D1691&amp;E1691="___",INDIRECT("Inventory!A"&amp;MATCH(VLOOKUP(B1691,Inventory!E:E,1,0),Inventory!E:E,0))&lt;&gt;INDIRECT("'Full Inventory'!B"&amp;MATCH(VLOOKUP(B1691,'Full Inventory'!F:F,1,0),'Full Inventory'!F:F,0))),"X","_"),"_")</f>
        <v>_</v>
      </c>
      <c r="L1691" t="str">
        <f t="shared" ca="1" si="106"/>
        <v>__X_</v>
      </c>
      <c r="M1691" t="str">
        <f t="shared" ca="1" si="107"/>
        <v/>
      </c>
    </row>
    <row r="1692" spans="1:13" x14ac:dyDescent="0.25">
      <c r="A1692" s="5"/>
      <c r="B1692" s="4" t="str">
        <f t="shared" si="105"/>
        <v/>
      </c>
      <c r="C1692" t="str">
        <f>IF(AND(TRIM(A1692)&lt;&gt;"",IFERROR(VLOOKUP(TRIM(B1692),Inventory!E:E,1,0),0)=0),"X","_")</f>
        <v>_</v>
      </c>
      <c r="D1692" t="str">
        <f>IF(AND(TRIM(A1692)&lt;&gt;"",IFERROR(VLOOKUP(TRIM(B1692),'Full Inventory'!F:F,1,0),0)=0),"X","_")</f>
        <v>_</v>
      </c>
      <c r="E1692" t="str">
        <f t="shared" si="108"/>
        <v>X</v>
      </c>
      <c r="F1692" t="str">
        <f ca="1">IFERROR(IF(AND(C1692&amp;D1692&amp;E1692="___",INDIRECT("Inventory!A"&amp;MATCH(VLOOKUP(B1692,Inventory!E:E,1,0),Inventory!E:E,0))&lt;&gt;INDIRECT("'Full Inventory'!B"&amp;MATCH(VLOOKUP(B1692,'Full Inventory'!F:F,1,0),'Full Inventory'!F:F,0))),"X","_"),"_")</f>
        <v>_</v>
      </c>
      <c r="L1692" t="str">
        <f t="shared" ca="1" si="106"/>
        <v>__X_</v>
      </c>
      <c r="M1692" t="str">
        <f t="shared" ca="1" si="107"/>
        <v/>
      </c>
    </row>
    <row r="1693" spans="1:13" x14ac:dyDescent="0.25">
      <c r="A1693" s="5"/>
      <c r="B1693" s="4" t="str">
        <f t="shared" si="105"/>
        <v/>
      </c>
      <c r="C1693" t="str">
        <f>IF(AND(TRIM(A1693)&lt;&gt;"",IFERROR(VLOOKUP(TRIM(B1693),Inventory!E:E,1,0),0)=0),"X","_")</f>
        <v>_</v>
      </c>
      <c r="D1693" t="str">
        <f>IF(AND(TRIM(A1693)&lt;&gt;"",IFERROR(VLOOKUP(TRIM(B1693),'Full Inventory'!F:F,1,0),0)=0),"X","_")</f>
        <v>_</v>
      </c>
      <c r="E1693" t="str">
        <f t="shared" si="108"/>
        <v>X</v>
      </c>
      <c r="F1693" t="str">
        <f ca="1">IFERROR(IF(AND(C1693&amp;D1693&amp;E1693="___",INDIRECT("Inventory!A"&amp;MATCH(VLOOKUP(B1693,Inventory!E:E,1,0),Inventory!E:E,0))&lt;&gt;INDIRECT("'Full Inventory'!B"&amp;MATCH(VLOOKUP(B1693,'Full Inventory'!F:F,1,0),'Full Inventory'!F:F,0))),"X","_"),"_")</f>
        <v>_</v>
      </c>
      <c r="L1693" t="str">
        <f t="shared" ca="1" si="106"/>
        <v>__X_</v>
      </c>
      <c r="M1693" t="str">
        <f t="shared" ca="1" si="107"/>
        <v/>
      </c>
    </row>
    <row r="1694" spans="1:13" x14ac:dyDescent="0.25">
      <c r="A1694" s="5"/>
      <c r="B1694" s="4" t="str">
        <f t="shared" si="105"/>
        <v/>
      </c>
      <c r="C1694" t="str">
        <f>IF(AND(TRIM(A1694)&lt;&gt;"",IFERROR(VLOOKUP(TRIM(B1694),Inventory!E:E,1,0),0)=0),"X","_")</f>
        <v>_</v>
      </c>
      <c r="D1694" t="str">
        <f>IF(AND(TRIM(A1694)&lt;&gt;"",IFERROR(VLOOKUP(TRIM(B1694),'Full Inventory'!F:F,1,0),0)=0),"X","_")</f>
        <v>_</v>
      </c>
      <c r="E1694" t="str">
        <f t="shared" si="108"/>
        <v>X</v>
      </c>
      <c r="F1694" t="str">
        <f ca="1">IFERROR(IF(AND(C1694&amp;D1694&amp;E1694="___",INDIRECT("Inventory!A"&amp;MATCH(VLOOKUP(B1694,Inventory!E:E,1,0),Inventory!E:E,0))&lt;&gt;INDIRECT("'Full Inventory'!B"&amp;MATCH(VLOOKUP(B1694,'Full Inventory'!F:F,1,0),'Full Inventory'!F:F,0))),"X","_"),"_")</f>
        <v>_</v>
      </c>
      <c r="L1694" t="str">
        <f t="shared" ca="1" si="106"/>
        <v>__X_</v>
      </c>
      <c r="M1694" t="str">
        <f t="shared" ca="1" si="107"/>
        <v/>
      </c>
    </row>
    <row r="1695" spans="1:13" x14ac:dyDescent="0.25">
      <c r="A1695" s="5"/>
      <c r="B1695" s="4" t="str">
        <f t="shared" si="105"/>
        <v/>
      </c>
      <c r="C1695" t="str">
        <f>IF(AND(TRIM(A1695)&lt;&gt;"",IFERROR(VLOOKUP(TRIM(B1695),Inventory!E:E,1,0),0)=0),"X","_")</f>
        <v>_</v>
      </c>
      <c r="D1695" t="str">
        <f>IF(AND(TRIM(A1695)&lt;&gt;"",IFERROR(VLOOKUP(TRIM(B1695),'Full Inventory'!F:F,1,0),0)=0),"X","_")</f>
        <v>_</v>
      </c>
      <c r="E1695" t="str">
        <f t="shared" si="108"/>
        <v>X</v>
      </c>
      <c r="F1695" t="str">
        <f ca="1">IFERROR(IF(AND(C1695&amp;D1695&amp;E1695="___",INDIRECT("Inventory!A"&amp;MATCH(VLOOKUP(B1695,Inventory!E:E,1,0),Inventory!E:E,0))&lt;&gt;INDIRECT("'Full Inventory'!B"&amp;MATCH(VLOOKUP(B1695,'Full Inventory'!F:F,1,0),'Full Inventory'!F:F,0))),"X","_"),"_")</f>
        <v>_</v>
      </c>
      <c r="L1695" t="str">
        <f t="shared" ca="1" si="106"/>
        <v>__X_</v>
      </c>
      <c r="M1695" t="str">
        <f t="shared" ca="1" si="107"/>
        <v/>
      </c>
    </row>
    <row r="1696" spans="1:13" x14ac:dyDescent="0.25">
      <c r="A1696" s="5"/>
      <c r="B1696" s="4" t="str">
        <f t="shared" si="105"/>
        <v/>
      </c>
      <c r="C1696" t="str">
        <f>IF(AND(TRIM(A1696)&lt;&gt;"",IFERROR(VLOOKUP(TRIM(B1696),Inventory!E:E,1,0),0)=0),"X","_")</f>
        <v>_</v>
      </c>
      <c r="D1696" t="str">
        <f>IF(AND(TRIM(A1696)&lt;&gt;"",IFERROR(VLOOKUP(TRIM(B1696),'Full Inventory'!F:F,1,0),0)=0),"X","_")</f>
        <v>_</v>
      </c>
      <c r="E1696" t="str">
        <f t="shared" si="108"/>
        <v>X</v>
      </c>
      <c r="F1696" t="str">
        <f ca="1">IFERROR(IF(AND(C1696&amp;D1696&amp;E1696="___",INDIRECT("Inventory!A"&amp;MATCH(VLOOKUP(B1696,Inventory!E:E,1,0),Inventory!E:E,0))&lt;&gt;INDIRECT("'Full Inventory'!B"&amp;MATCH(VLOOKUP(B1696,'Full Inventory'!F:F,1,0),'Full Inventory'!F:F,0))),"X","_"),"_")</f>
        <v>_</v>
      </c>
      <c r="L1696" t="str">
        <f t="shared" ca="1" si="106"/>
        <v>__X_</v>
      </c>
      <c r="M1696" t="str">
        <f t="shared" ca="1" si="107"/>
        <v/>
      </c>
    </row>
    <row r="1697" spans="1:13" x14ac:dyDescent="0.25">
      <c r="A1697" s="5"/>
      <c r="B1697" s="4" t="str">
        <f t="shared" si="105"/>
        <v/>
      </c>
      <c r="C1697" t="str">
        <f>IF(AND(TRIM(A1697)&lt;&gt;"",IFERROR(VLOOKUP(TRIM(B1697),Inventory!E:E,1,0),0)=0),"X","_")</f>
        <v>_</v>
      </c>
      <c r="D1697" t="str">
        <f>IF(AND(TRIM(A1697)&lt;&gt;"",IFERROR(VLOOKUP(TRIM(B1697),'Full Inventory'!F:F,1,0),0)=0),"X","_")</f>
        <v>_</v>
      </c>
      <c r="E1697" t="str">
        <f t="shared" si="108"/>
        <v>X</v>
      </c>
      <c r="F1697" t="str">
        <f ca="1">IFERROR(IF(AND(C1697&amp;D1697&amp;E1697="___",INDIRECT("Inventory!A"&amp;MATCH(VLOOKUP(B1697,Inventory!E:E,1,0),Inventory!E:E,0))&lt;&gt;INDIRECT("'Full Inventory'!B"&amp;MATCH(VLOOKUP(B1697,'Full Inventory'!F:F,1,0),'Full Inventory'!F:F,0))),"X","_"),"_")</f>
        <v>_</v>
      </c>
      <c r="L1697" t="str">
        <f t="shared" ca="1" si="106"/>
        <v>__X_</v>
      </c>
      <c r="M1697" t="str">
        <f t="shared" ca="1" si="107"/>
        <v/>
      </c>
    </row>
    <row r="1698" spans="1:13" x14ac:dyDescent="0.25">
      <c r="A1698" s="5"/>
      <c r="B1698" s="4" t="str">
        <f t="shared" si="105"/>
        <v/>
      </c>
      <c r="C1698" t="str">
        <f>IF(AND(TRIM(A1698)&lt;&gt;"",IFERROR(VLOOKUP(TRIM(B1698),Inventory!E:E,1,0),0)=0),"X","_")</f>
        <v>_</v>
      </c>
      <c r="D1698" t="str">
        <f>IF(AND(TRIM(A1698)&lt;&gt;"",IFERROR(VLOOKUP(TRIM(B1698),'Full Inventory'!F:F,1,0),0)=0),"X","_")</f>
        <v>_</v>
      </c>
      <c r="E1698" t="str">
        <f t="shared" si="108"/>
        <v>X</v>
      </c>
      <c r="F1698" t="str">
        <f ca="1">IFERROR(IF(AND(C1698&amp;D1698&amp;E1698="___",INDIRECT("Inventory!A"&amp;MATCH(VLOOKUP(B1698,Inventory!E:E,1,0),Inventory!E:E,0))&lt;&gt;INDIRECT("'Full Inventory'!B"&amp;MATCH(VLOOKUP(B1698,'Full Inventory'!F:F,1,0),'Full Inventory'!F:F,0))),"X","_"),"_")</f>
        <v>_</v>
      </c>
      <c r="L1698" t="str">
        <f t="shared" ca="1" si="106"/>
        <v>__X_</v>
      </c>
      <c r="M1698" t="str">
        <f t="shared" ca="1" si="107"/>
        <v/>
      </c>
    </row>
    <row r="1699" spans="1:13" x14ac:dyDescent="0.25">
      <c r="A1699" s="5"/>
      <c r="B1699" s="4" t="str">
        <f t="shared" si="105"/>
        <v/>
      </c>
      <c r="C1699" t="str">
        <f>IF(AND(TRIM(A1699)&lt;&gt;"",IFERROR(VLOOKUP(TRIM(B1699),Inventory!E:E,1,0),0)=0),"X","_")</f>
        <v>_</v>
      </c>
      <c r="D1699" t="str">
        <f>IF(AND(TRIM(A1699)&lt;&gt;"",IFERROR(VLOOKUP(TRIM(B1699),'Full Inventory'!F:F,1,0),0)=0),"X","_")</f>
        <v>_</v>
      </c>
      <c r="E1699" t="str">
        <f t="shared" si="108"/>
        <v>X</v>
      </c>
      <c r="F1699" t="str">
        <f ca="1">IFERROR(IF(AND(C1699&amp;D1699&amp;E1699="___",INDIRECT("Inventory!A"&amp;MATCH(VLOOKUP(B1699,Inventory!E:E,1,0),Inventory!E:E,0))&lt;&gt;INDIRECT("'Full Inventory'!B"&amp;MATCH(VLOOKUP(B1699,'Full Inventory'!F:F,1,0),'Full Inventory'!F:F,0))),"X","_"),"_")</f>
        <v>_</v>
      </c>
      <c r="L1699" t="str">
        <f t="shared" ca="1" si="106"/>
        <v>__X_</v>
      </c>
      <c r="M1699" t="str">
        <f t="shared" ca="1" si="107"/>
        <v/>
      </c>
    </row>
    <row r="1700" spans="1:13" x14ac:dyDescent="0.25">
      <c r="A1700" s="5"/>
      <c r="B1700" s="4" t="str">
        <f t="shared" si="105"/>
        <v/>
      </c>
      <c r="C1700" t="str">
        <f>IF(AND(TRIM(A1700)&lt;&gt;"",IFERROR(VLOOKUP(TRIM(B1700),Inventory!E:E,1,0),0)=0),"X","_")</f>
        <v>_</v>
      </c>
      <c r="D1700" t="str">
        <f>IF(AND(TRIM(A1700)&lt;&gt;"",IFERROR(VLOOKUP(TRIM(B1700),'Full Inventory'!F:F,1,0),0)=0),"X","_")</f>
        <v>_</v>
      </c>
      <c r="E1700" t="str">
        <f t="shared" si="108"/>
        <v>X</v>
      </c>
      <c r="F1700" t="str">
        <f ca="1">IFERROR(IF(AND(C1700&amp;D1700&amp;E1700="___",INDIRECT("Inventory!A"&amp;MATCH(VLOOKUP(B1700,Inventory!E:E,1,0),Inventory!E:E,0))&lt;&gt;INDIRECT("'Full Inventory'!B"&amp;MATCH(VLOOKUP(B1700,'Full Inventory'!F:F,1,0),'Full Inventory'!F:F,0))),"X","_"),"_")</f>
        <v>_</v>
      </c>
      <c r="L1700" t="str">
        <f t="shared" ca="1" si="106"/>
        <v>__X_</v>
      </c>
      <c r="M1700" t="str">
        <f t="shared" ca="1" si="107"/>
        <v/>
      </c>
    </row>
    <row r="1701" spans="1:13" x14ac:dyDescent="0.25">
      <c r="A1701" s="5"/>
      <c r="B1701" s="4" t="str">
        <f t="shared" si="105"/>
        <v/>
      </c>
      <c r="C1701" t="str">
        <f>IF(AND(TRIM(A1701)&lt;&gt;"",IFERROR(VLOOKUP(TRIM(B1701),Inventory!E:E,1,0),0)=0),"X","_")</f>
        <v>_</v>
      </c>
      <c r="D1701" t="str">
        <f>IF(AND(TRIM(A1701)&lt;&gt;"",IFERROR(VLOOKUP(TRIM(B1701),'Full Inventory'!F:F,1,0),0)=0),"X","_")</f>
        <v>_</v>
      </c>
      <c r="E1701" t="str">
        <f t="shared" si="108"/>
        <v>X</v>
      </c>
      <c r="F1701" t="str">
        <f ca="1">IFERROR(IF(AND(C1701&amp;D1701&amp;E1701="___",INDIRECT("Inventory!A"&amp;MATCH(VLOOKUP(B1701,Inventory!E:E,1,0),Inventory!E:E,0))&lt;&gt;INDIRECT("'Full Inventory'!B"&amp;MATCH(VLOOKUP(B1701,'Full Inventory'!F:F,1,0),'Full Inventory'!F:F,0))),"X","_"),"_")</f>
        <v>_</v>
      </c>
      <c r="L1701" t="str">
        <f t="shared" ca="1" si="106"/>
        <v>__X_</v>
      </c>
      <c r="M1701" t="str">
        <f t="shared" ca="1" si="107"/>
        <v/>
      </c>
    </row>
    <row r="1702" spans="1:13" x14ac:dyDescent="0.25">
      <c r="A1702" s="5"/>
      <c r="B1702" s="4" t="str">
        <f t="shared" si="105"/>
        <v/>
      </c>
      <c r="C1702" t="str">
        <f>IF(AND(TRIM(A1702)&lt;&gt;"",IFERROR(VLOOKUP(TRIM(B1702),Inventory!E:E,1,0),0)=0),"X","_")</f>
        <v>_</v>
      </c>
      <c r="D1702" t="str">
        <f>IF(AND(TRIM(A1702)&lt;&gt;"",IFERROR(VLOOKUP(TRIM(B1702),'Full Inventory'!F:F,1,0),0)=0),"X","_")</f>
        <v>_</v>
      </c>
      <c r="E1702" t="str">
        <f t="shared" si="108"/>
        <v>X</v>
      </c>
      <c r="F1702" t="str">
        <f ca="1">IFERROR(IF(AND(C1702&amp;D1702&amp;E1702="___",INDIRECT("Inventory!A"&amp;MATCH(VLOOKUP(B1702,Inventory!E:E,1,0),Inventory!E:E,0))&lt;&gt;INDIRECT("'Full Inventory'!B"&amp;MATCH(VLOOKUP(B1702,'Full Inventory'!F:F,1,0),'Full Inventory'!F:F,0))),"X","_"),"_")</f>
        <v>_</v>
      </c>
      <c r="L1702" t="str">
        <f t="shared" ca="1" si="106"/>
        <v>__X_</v>
      </c>
      <c r="M1702" t="str">
        <f t="shared" ca="1" si="107"/>
        <v/>
      </c>
    </row>
    <row r="1703" spans="1:13" x14ac:dyDescent="0.25">
      <c r="A1703" s="5"/>
      <c r="B1703" s="4" t="str">
        <f t="shared" si="105"/>
        <v/>
      </c>
      <c r="C1703" t="str">
        <f>IF(AND(TRIM(A1703)&lt;&gt;"",IFERROR(VLOOKUP(TRIM(B1703),Inventory!E:E,1,0),0)=0),"X","_")</f>
        <v>_</v>
      </c>
      <c r="D1703" t="str">
        <f>IF(AND(TRIM(A1703)&lt;&gt;"",IFERROR(VLOOKUP(TRIM(B1703),'Full Inventory'!F:F,1,0),0)=0),"X","_")</f>
        <v>_</v>
      </c>
      <c r="E1703" t="str">
        <f t="shared" si="108"/>
        <v>X</v>
      </c>
      <c r="F1703" t="str">
        <f ca="1">IFERROR(IF(AND(C1703&amp;D1703&amp;E1703="___",INDIRECT("Inventory!A"&amp;MATCH(VLOOKUP(B1703,Inventory!E:E,1,0),Inventory!E:E,0))&lt;&gt;INDIRECT("'Full Inventory'!B"&amp;MATCH(VLOOKUP(B1703,'Full Inventory'!F:F,1,0),'Full Inventory'!F:F,0))),"X","_"),"_")</f>
        <v>_</v>
      </c>
      <c r="L1703" t="str">
        <f t="shared" ca="1" si="106"/>
        <v>__X_</v>
      </c>
      <c r="M1703" t="str">
        <f t="shared" ca="1" si="107"/>
        <v/>
      </c>
    </row>
    <row r="1704" spans="1:13" x14ac:dyDescent="0.25">
      <c r="A1704" s="5"/>
      <c r="B1704" s="4" t="str">
        <f t="shared" si="105"/>
        <v/>
      </c>
      <c r="C1704" t="str">
        <f>IF(AND(TRIM(A1704)&lt;&gt;"",IFERROR(VLOOKUP(TRIM(B1704),Inventory!E:E,1,0),0)=0),"X","_")</f>
        <v>_</v>
      </c>
      <c r="D1704" t="str">
        <f>IF(AND(TRIM(A1704)&lt;&gt;"",IFERROR(VLOOKUP(TRIM(B1704),'Full Inventory'!F:F,1,0),0)=0),"X","_")</f>
        <v>_</v>
      </c>
      <c r="E1704" t="str">
        <f t="shared" si="108"/>
        <v>X</v>
      </c>
      <c r="F1704" t="str">
        <f ca="1">IFERROR(IF(AND(C1704&amp;D1704&amp;E1704="___",INDIRECT("Inventory!A"&amp;MATCH(VLOOKUP(B1704,Inventory!E:E,1,0),Inventory!E:E,0))&lt;&gt;INDIRECT("'Full Inventory'!B"&amp;MATCH(VLOOKUP(B1704,'Full Inventory'!F:F,1,0),'Full Inventory'!F:F,0))),"X","_"),"_")</f>
        <v>_</v>
      </c>
      <c r="L1704" t="str">
        <f t="shared" ca="1" si="106"/>
        <v>__X_</v>
      </c>
      <c r="M1704" t="str">
        <f t="shared" ca="1" si="107"/>
        <v/>
      </c>
    </row>
    <row r="1705" spans="1:13" x14ac:dyDescent="0.25">
      <c r="A1705" s="5"/>
      <c r="B1705" s="4" t="str">
        <f t="shared" si="105"/>
        <v/>
      </c>
      <c r="C1705" t="str">
        <f>IF(AND(TRIM(A1705)&lt;&gt;"",IFERROR(VLOOKUP(TRIM(B1705),Inventory!E:E,1,0),0)=0),"X","_")</f>
        <v>_</v>
      </c>
      <c r="D1705" t="str">
        <f>IF(AND(TRIM(A1705)&lt;&gt;"",IFERROR(VLOOKUP(TRIM(B1705),'Full Inventory'!F:F,1,0),0)=0),"X","_")</f>
        <v>_</v>
      </c>
      <c r="E1705" t="str">
        <f t="shared" si="108"/>
        <v>X</v>
      </c>
      <c r="F1705" t="str">
        <f ca="1">IFERROR(IF(AND(C1705&amp;D1705&amp;E1705="___",INDIRECT("Inventory!A"&amp;MATCH(VLOOKUP(B1705,Inventory!E:E,1,0),Inventory!E:E,0))&lt;&gt;INDIRECT("'Full Inventory'!B"&amp;MATCH(VLOOKUP(B1705,'Full Inventory'!F:F,1,0),'Full Inventory'!F:F,0))),"X","_"),"_")</f>
        <v>_</v>
      </c>
      <c r="L1705" t="str">
        <f t="shared" ca="1" si="106"/>
        <v>__X_</v>
      </c>
      <c r="M1705" t="str">
        <f t="shared" ca="1" si="107"/>
        <v/>
      </c>
    </row>
    <row r="1706" spans="1:13" x14ac:dyDescent="0.25">
      <c r="A1706" s="5"/>
      <c r="B1706" s="4" t="str">
        <f t="shared" si="105"/>
        <v/>
      </c>
      <c r="C1706" t="str">
        <f>IF(AND(TRIM(A1706)&lt;&gt;"",IFERROR(VLOOKUP(TRIM(B1706),Inventory!E:E,1,0),0)=0),"X","_")</f>
        <v>_</v>
      </c>
      <c r="D1706" t="str">
        <f>IF(AND(TRIM(A1706)&lt;&gt;"",IFERROR(VLOOKUP(TRIM(B1706),'Full Inventory'!F:F,1,0),0)=0),"X","_")</f>
        <v>_</v>
      </c>
      <c r="E1706" t="str">
        <f t="shared" si="108"/>
        <v>X</v>
      </c>
      <c r="F1706" t="str">
        <f ca="1">IFERROR(IF(AND(C1706&amp;D1706&amp;E1706="___",INDIRECT("Inventory!A"&amp;MATCH(VLOOKUP(B1706,Inventory!E:E,1,0),Inventory!E:E,0))&lt;&gt;INDIRECT("'Full Inventory'!B"&amp;MATCH(VLOOKUP(B1706,'Full Inventory'!F:F,1,0),'Full Inventory'!F:F,0))),"X","_"),"_")</f>
        <v>_</v>
      </c>
      <c r="L1706" t="str">
        <f t="shared" ca="1" si="106"/>
        <v>__X_</v>
      </c>
      <c r="M1706" t="str">
        <f t="shared" ca="1" si="107"/>
        <v/>
      </c>
    </row>
    <row r="1707" spans="1:13" x14ac:dyDescent="0.25">
      <c r="A1707" s="5"/>
      <c r="B1707" s="4" t="str">
        <f t="shared" si="105"/>
        <v/>
      </c>
      <c r="C1707" t="str">
        <f>IF(AND(TRIM(A1707)&lt;&gt;"",IFERROR(VLOOKUP(TRIM(B1707),Inventory!E:E,1,0),0)=0),"X","_")</f>
        <v>_</v>
      </c>
      <c r="D1707" t="str">
        <f>IF(AND(TRIM(A1707)&lt;&gt;"",IFERROR(VLOOKUP(TRIM(B1707),'Full Inventory'!F:F,1,0),0)=0),"X","_")</f>
        <v>_</v>
      </c>
      <c r="E1707" t="str">
        <f t="shared" si="108"/>
        <v>X</v>
      </c>
      <c r="F1707" t="str">
        <f ca="1">IFERROR(IF(AND(C1707&amp;D1707&amp;E1707="___",INDIRECT("Inventory!A"&amp;MATCH(VLOOKUP(B1707,Inventory!E:E,1,0),Inventory!E:E,0))&lt;&gt;INDIRECT("'Full Inventory'!B"&amp;MATCH(VLOOKUP(B1707,'Full Inventory'!F:F,1,0),'Full Inventory'!F:F,0))),"X","_"),"_")</f>
        <v>_</v>
      </c>
      <c r="L1707" t="str">
        <f t="shared" ca="1" si="106"/>
        <v>__X_</v>
      </c>
      <c r="M1707" t="str">
        <f t="shared" ca="1" si="107"/>
        <v/>
      </c>
    </row>
    <row r="1708" spans="1:13" x14ac:dyDescent="0.25">
      <c r="A1708" s="5"/>
      <c r="B1708" s="4" t="str">
        <f t="shared" si="105"/>
        <v/>
      </c>
      <c r="C1708" t="str">
        <f>IF(AND(TRIM(A1708)&lt;&gt;"",IFERROR(VLOOKUP(TRIM(B1708),Inventory!E:E,1,0),0)=0),"X","_")</f>
        <v>_</v>
      </c>
      <c r="D1708" t="str">
        <f>IF(AND(TRIM(A1708)&lt;&gt;"",IFERROR(VLOOKUP(TRIM(B1708),'Full Inventory'!F:F,1,0),0)=0),"X","_")</f>
        <v>_</v>
      </c>
      <c r="E1708" t="str">
        <f t="shared" si="108"/>
        <v>X</v>
      </c>
      <c r="F1708" t="str">
        <f ca="1">IFERROR(IF(AND(C1708&amp;D1708&amp;E1708="___",INDIRECT("Inventory!A"&amp;MATCH(VLOOKUP(B1708,Inventory!E:E,1,0),Inventory!E:E,0))&lt;&gt;INDIRECT("'Full Inventory'!B"&amp;MATCH(VLOOKUP(B1708,'Full Inventory'!F:F,1,0),'Full Inventory'!F:F,0))),"X","_"),"_")</f>
        <v>_</v>
      </c>
      <c r="L1708" t="str">
        <f t="shared" ca="1" si="106"/>
        <v>__X_</v>
      </c>
      <c r="M1708" t="str">
        <f t="shared" ca="1" si="107"/>
        <v/>
      </c>
    </row>
    <row r="1709" spans="1:13" x14ac:dyDescent="0.25">
      <c r="A1709" s="5"/>
      <c r="B1709" s="4" t="str">
        <f t="shared" si="105"/>
        <v/>
      </c>
      <c r="C1709" t="str">
        <f>IF(AND(TRIM(A1709)&lt;&gt;"",IFERROR(VLOOKUP(TRIM(B1709),Inventory!E:E,1,0),0)=0),"X","_")</f>
        <v>_</v>
      </c>
      <c r="D1709" t="str">
        <f>IF(AND(TRIM(A1709)&lt;&gt;"",IFERROR(VLOOKUP(TRIM(B1709),'Full Inventory'!F:F,1,0),0)=0),"X","_")</f>
        <v>_</v>
      </c>
      <c r="E1709" t="str">
        <f t="shared" si="108"/>
        <v>X</v>
      </c>
      <c r="F1709" t="str">
        <f ca="1">IFERROR(IF(AND(C1709&amp;D1709&amp;E1709="___",INDIRECT("Inventory!A"&amp;MATCH(VLOOKUP(B1709,Inventory!E:E,1,0),Inventory!E:E,0))&lt;&gt;INDIRECT("'Full Inventory'!B"&amp;MATCH(VLOOKUP(B1709,'Full Inventory'!F:F,1,0),'Full Inventory'!F:F,0))),"X","_"),"_")</f>
        <v>_</v>
      </c>
      <c r="L1709" t="str">
        <f t="shared" ca="1" si="106"/>
        <v>__X_</v>
      </c>
      <c r="M1709" t="str">
        <f t="shared" ca="1" si="107"/>
        <v/>
      </c>
    </row>
    <row r="1710" spans="1:13" x14ac:dyDescent="0.25">
      <c r="A1710" s="5"/>
      <c r="B1710" s="4" t="str">
        <f t="shared" si="105"/>
        <v/>
      </c>
      <c r="C1710" t="str">
        <f>IF(AND(TRIM(A1710)&lt;&gt;"",IFERROR(VLOOKUP(TRIM(B1710),Inventory!E:E,1,0),0)=0),"X","_")</f>
        <v>_</v>
      </c>
      <c r="D1710" t="str">
        <f>IF(AND(TRIM(A1710)&lt;&gt;"",IFERROR(VLOOKUP(TRIM(B1710),'Full Inventory'!F:F,1,0),0)=0),"X","_")</f>
        <v>_</v>
      </c>
      <c r="E1710" t="str">
        <f t="shared" si="108"/>
        <v>X</v>
      </c>
      <c r="F1710" t="str">
        <f ca="1">IFERROR(IF(AND(C1710&amp;D1710&amp;E1710="___",INDIRECT("Inventory!A"&amp;MATCH(VLOOKUP(B1710,Inventory!E:E,1,0),Inventory!E:E,0))&lt;&gt;INDIRECT("'Full Inventory'!B"&amp;MATCH(VLOOKUP(B1710,'Full Inventory'!F:F,1,0),'Full Inventory'!F:F,0))),"X","_"),"_")</f>
        <v>_</v>
      </c>
      <c r="L1710" t="str">
        <f t="shared" ca="1" si="106"/>
        <v>__X_</v>
      </c>
      <c r="M1710" t="str">
        <f t="shared" ca="1" si="107"/>
        <v/>
      </c>
    </row>
    <row r="1711" spans="1:13" x14ac:dyDescent="0.25">
      <c r="A1711" s="5"/>
      <c r="B1711" s="4" t="str">
        <f t="shared" si="105"/>
        <v/>
      </c>
      <c r="C1711" t="str">
        <f>IF(AND(TRIM(A1711)&lt;&gt;"",IFERROR(VLOOKUP(TRIM(B1711),Inventory!E:E,1,0),0)=0),"X","_")</f>
        <v>_</v>
      </c>
      <c r="D1711" t="str">
        <f>IF(AND(TRIM(A1711)&lt;&gt;"",IFERROR(VLOOKUP(TRIM(B1711),'Full Inventory'!F:F,1,0),0)=0),"X","_")</f>
        <v>_</v>
      </c>
      <c r="E1711" t="str">
        <f t="shared" si="108"/>
        <v>X</v>
      </c>
      <c r="F1711" t="str">
        <f ca="1">IFERROR(IF(AND(C1711&amp;D1711&amp;E1711="___",INDIRECT("Inventory!A"&amp;MATCH(VLOOKUP(B1711,Inventory!E:E,1,0),Inventory!E:E,0))&lt;&gt;INDIRECT("'Full Inventory'!B"&amp;MATCH(VLOOKUP(B1711,'Full Inventory'!F:F,1,0),'Full Inventory'!F:F,0))),"X","_"),"_")</f>
        <v>_</v>
      </c>
      <c r="L1711" t="str">
        <f t="shared" ca="1" si="106"/>
        <v>__X_</v>
      </c>
      <c r="M1711" t="str">
        <f t="shared" ca="1" si="107"/>
        <v/>
      </c>
    </row>
    <row r="1712" spans="1:13" x14ac:dyDescent="0.25">
      <c r="A1712" s="5"/>
      <c r="B1712" s="4" t="str">
        <f t="shared" si="105"/>
        <v/>
      </c>
      <c r="C1712" t="str">
        <f>IF(AND(TRIM(A1712)&lt;&gt;"",IFERROR(VLOOKUP(TRIM(B1712),Inventory!E:E,1,0),0)=0),"X","_")</f>
        <v>_</v>
      </c>
      <c r="D1712" t="str">
        <f>IF(AND(TRIM(A1712)&lt;&gt;"",IFERROR(VLOOKUP(TRIM(B1712),'Full Inventory'!F:F,1,0),0)=0),"X","_")</f>
        <v>_</v>
      </c>
      <c r="E1712" t="str">
        <f t="shared" si="108"/>
        <v>X</v>
      </c>
      <c r="F1712" t="str">
        <f ca="1">IFERROR(IF(AND(C1712&amp;D1712&amp;E1712="___",INDIRECT("Inventory!A"&amp;MATCH(VLOOKUP(B1712,Inventory!E:E,1,0),Inventory!E:E,0))&lt;&gt;INDIRECT("'Full Inventory'!B"&amp;MATCH(VLOOKUP(B1712,'Full Inventory'!F:F,1,0),'Full Inventory'!F:F,0))),"X","_"),"_")</f>
        <v>_</v>
      </c>
      <c r="L1712" t="str">
        <f t="shared" ca="1" si="106"/>
        <v>__X_</v>
      </c>
      <c r="M1712" t="str">
        <f t="shared" ca="1" si="107"/>
        <v/>
      </c>
    </row>
    <row r="1713" spans="1:13" x14ac:dyDescent="0.25">
      <c r="A1713" s="5"/>
      <c r="B1713" s="4" t="str">
        <f t="shared" si="105"/>
        <v/>
      </c>
      <c r="C1713" t="str">
        <f>IF(AND(TRIM(A1713)&lt;&gt;"",IFERROR(VLOOKUP(TRIM(B1713),Inventory!E:E,1,0),0)=0),"X","_")</f>
        <v>_</v>
      </c>
      <c r="D1713" t="str">
        <f>IF(AND(TRIM(A1713)&lt;&gt;"",IFERROR(VLOOKUP(TRIM(B1713),'Full Inventory'!F:F,1,0),0)=0),"X","_")</f>
        <v>_</v>
      </c>
      <c r="E1713" t="str">
        <f t="shared" si="108"/>
        <v>X</v>
      </c>
      <c r="F1713" t="str">
        <f ca="1">IFERROR(IF(AND(C1713&amp;D1713&amp;E1713="___",INDIRECT("Inventory!A"&amp;MATCH(VLOOKUP(B1713,Inventory!E:E,1,0),Inventory!E:E,0))&lt;&gt;INDIRECT("'Full Inventory'!B"&amp;MATCH(VLOOKUP(B1713,'Full Inventory'!F:F,1,0),'Full Inventory'!F:F,0))),"X","_"),"_")</f>
        <v>_</v>
      </c>
      <c r="L1713" t="str">
        <f t="shared" ca="1" si="106"/>
        <v>__X_</v>
      </c>
      <c r="M1713" t="str">
        <f t="shared" ca="1" si="107"/>
        <v/>
      </c>
    </row>
    <row r="1714" spans="1:13" x14ac:dyDescent="0.25">
      <c r="A1714" s="5"/>
      <c r="B1714" s="4" t="str">
        <f t="shared" si="105"/>
        <v/>
      </c>
      <c r="C1714" t="str">
        <f>IF(AND(TRIM(A1714)&lt;&gt;"",IFERROR(VLOOKUP(TRIM(B1714),Inventory!E:E,1,0),0)=0),"X","_")</f>
        <v>_</v>
      </c>
      <c r="D1714" t="str">
        <f>IF(AND(TRIM(A1714)&lt;&gt;"",IFERROR(VLOOKUP(TRIM(B1714),'Full Inventory'!F:F,1,0),0)=0),"X","_")</f>
        <v>_</v>
      </c>
      <c r="E1714" t="str">
        <f t="shared" si="108"/>
        <v>X</v>
      </c>
      <c r="F1714" t="str">
        <f ca="1">IFERROR(IF(AND(C1714&amp;D1714&amp;E1714="___",INDIRECT("Inventory!A"&amp;MATCH(VLOOKUP(B1714,Inventory!E:E,1,0),Inventory!E:E,0))&lt;&gt;INDIRECT("'Full Inventory'!B"&amp;MATCH(VLOOKUP(B1714,'Full Inventory'!F:F,1,0),'Full Inventory'!F:F,0))),"X","_"),"_")</f>
        <v>_</v>
      </c>
      <c r="L1714" t="str">
        <f t="shared" ca="1" si="106"/>
        <v>__X_</v>
      </c>
      <c r="M1714" t="str">
        <f t="shared" ca="1" si="107"/>
        <v/>
      </c>
    </row>
    <row r="1715" spans="1:13" x14ac:dyDescent="0.25">
      <c r="A1715" s="5"/>
      <c r="B1715" s="4" t="str">
        <f t="shared" si="105"/>
        <v/>
      </c>
      <c r="C1715" t="str">
        <f>IF(AND(TRIM(A1715)&lt;&gt;"",IFERROR(VLOOKUP(TRIM(B1715),Inventory!E:E,1,0),0)=0),"X","_")</f>
        <v>_</v>
      </c>
      <c r="D1715" t="str">
        <f>IF(AND(TRIM(A1715)&lt;&gt;"",IFERROR(VLOOKUP(TRIM(B1715),'Full Inventory'!F:F,1,0),0)=0),"X","_")</f>
        <v>_</v>
      </c>
      <c r="E1715" t="str">
        <f t="shared" si="108"/>
        <v>X</v>
      </c>
      <c r="F1715" t="str">
        <f ca="1">IFERROR(IF(AND(C1715&amp;D1715&amp;E1715="___",INDIRECT("Inventory!A"&amp;MATCH(VLOOKUP(B1715,Inventory!E:E,1,0),Inventory!E:E,0))&lt;&gt;INDIRECT("'Full Inventory'!B"&amp;MATCH(VLOOKUP(B1715,'Full Inventory'!F:F,1,0),'Full Inventory'!F:F,0))),"X","_"),"_")</f>
        <v>_</v>
      </c>
      <c r="L1715" t="str">
        <f t="shared" ca="1" si="106"/>
        <v>__X_</v>
      </c>
      <c r="M1715" t="str">
        <f t="shared" ca="1" si="107"/>
        <v/>
      </c>
    </row>
    <row r="1716" spans="1:13" x14ac:dyDescent="0.25">
      <c r="A1716" s="5"/>
      <c r="B1716" s="4" t="str">
        <f t="shared" si="105"/>
        <v/>
      </c>
      <c r="C1716" t="str">
        <f>IF(AND(TRIM(A1716)&lt;&gt;"",IFERROR(VLOOKUP(TRIM(B1716),Inventory!E:E,1,0),0)=0),"X","_")</f>
        <v>_</v>
      </c>
      <c r="D1716" t="str">
        <f>IF(AND(TRIM(A1716)&lt;&gt;"",IFERROR(VLOOKUP(TRIM(B1716),'Full Inventory'!F:F,1,0),0)=0),"X","_")</f>
        <v>_</v>
      </c>
      <c r="E1716" t="str">
        <f t="shared" si="108"/>
        <v>X</v>
      </c>
      <c r="F1716" t="str">
        <f ca="1">IFERROR(IF(AND(C1716&amp;D1716&amp;E1716="___",INDIRECT("Inventory!A"&amp;MATCH(VLOOKUP(B1716,Inventory!E:E,1,0),Inventory!E:E,0))&lt;&gt;INDIRECT("'Full Inventory'!B"&amp;MATCH(VLOOKUP(B1716,'Full Inventory'!F:F,1,0),'Full Inventory'!F:F,0))),"X","_"),"_")</f>
        <v>_</v>
      </c>
      <c r="L1716" t="str">
        <f t="shared" ca="1" si="106"/>
        <v>__X_</v>
      </c>
      <c r="M1716" t="str">
        <f t="shared" ca="1" si="107"/>
        <v/>
      </c>
    </row>
    <row r="1717" spans="1:13" x14ac:dyDescent="0.25">
      <c r="A1717" s="5"/>
      <c r="B1717" s="4" t="str">
        <f t="shared" si="105"/>
        <v/>
      </c>
      <c r="C1717" t="str">
        <f>IF(AND(TRIM(A1717)&lt;&gt;"",IFERROR(VLOOKUP(TRIM(B1717),Inventory!E:E,1,0),0)=0),"X","_")</f>
        <v>_</v>
      </c>
      <c r="D1717" t="str">
        <f>IF(AND(TRIM(A1717)&lt;&gt;"",IFERROR(VLOOKUP(TRIM(B1717),'Full Inventory'!F:F,1,0),0)=0),"X","_")</f>
        <v>_</v>
      </c>
      <c r="E1717" t="str">
        <f t="shared" si="108"/>
        <v>X</v>
      </c>
      <c r="F1717" t="str">
        <f ca="1">IFERROR(IF(AND(C1717&amp;D1717&amp;E1717="___",INDIRECT("Inventory!A"&amp;MATCH(VLOOKUP(B1717,Inventory!E:E,1,0),Inventory!E:E,0))&lt;&gt;INDIRECT("'Full Inventory'!B"&amp;MATCH(VLOOKUP(B1717,'Full Inventory'!F:F,1,0),'Full Inventory'!F:F,0))),"X","_"),"_")</f>
        <v>_</v>
      </c>
      <c r="L1717" t="str">
        <f t="shared" ca="1" si="106"/>
        <v>__X_</v>
      </c>
      <c r="M1717" t="str">
        <f t="shared" ca="1" si="107"/>
        <v/>
      </c>
    </row>
    <row r="1718" spans="1:13" x14ac:dyDescent="0.25">
      <c r="A1718" s="5"/>
      <c r="B1718" s="4" t="str">
        <f t="shared" si="105"/>
        <v/>
      </c>
      <c r="C1718" t="str">
        <f>IF(AND(TRIM(A1718)&lt;&gt;"",IFERROR(VLOOKUP(TRIM(B1718),Inventory!E:E,1,0),0)=0),"X","_")</f>
        <v>_</v>
      </c>
      <c r="D1718" t="str">
        <f>IF(AND(TRIM(A1718)&lt;&gt;"",IFERROR(VLOOKUP(TRIM(B1718),'Full Inventory'!F:F,1,0),0)=0),"X","_")</f>
        <v>_</v>
      </c>
      <c r="E1718" t="str">
        <f t="shared" si="108"/>
        <v>X</v>
      </c>
      <c r="F1718" t="str">
        <f ca="1">IFERROR(IF(AND(C1718&amp;D1718&amp;E1718="___",INDIRECT("Inventory!A"&amp;MATCH(VLOOKUP(B1718,Inventory!E:E,1,0),Inventory!E:E,0))&lt;&gt;INDIRECT("'Full Inventory'!B"&amp;MATCH(VLOOKUP(B1718,'Full Inventory'!F:F,1,0),'Full Inventory'!F:F,0))),"X","_"),"_")</f>
        <v>_</v>
      </c>
      <c r="L1718" t="str">
        <f t="shared" ca="1" si="106"/>
        <v>__X_</v>
      </c>
      <c r="M1718" t="str">
        <f t="shared" ca="1" si="107"/>
        <v/>
      </c>
    </row>
    <row r="1719" spans="1:13" x14ac:dyDescent="0.25">
      <c r="A1719" s="5"/>
      <c r="B1719" s="4" t="str">
        <f t="shared" si="105"/>
        <v/>
      </c>
      <c r="C1719" t="str">
        <f>IF(AND(TRIM(A1719)&lt;&gt;"",IFERROR(VLOOKUP(TRIM(B1719),Inventory!E:E,1,0),0)=0),"X","_")</f>
        <v>_</v>
      </c>
      <c r="D1719" t="str">
        <f>IF(AND(TRIM(A1719)&lt;&gt;"",IFERROR(VLOOKUP(TRIM(B1719),'Full Inventory'!F:F,1,0),0)=0),"X","_")</f>
        <v>_</v>
      </c>
      <c r="E1719" t="str">
        <f t="shared" si="108"/>
        <v>X</v>
      </c>
      <c r="F1719" t="str">
        <f ca="1">IFERROR(IF(AND(C1719&amp;D1719&amp;E1719="___",INDIRECT("Inventory!A"&amp;MATCH(VLOOKUP(B1719,Inventory!E:E,1,0),Inventory!E:E,0))&lt;&gt;INDIRECT("'Full Inventory'!B"&amp;MATCH(VLOOKUP(B1719,'Full Inventory'!F:F,1,0),'Full Inventory'!F:F,0))),"X","_"),"_")</f>
        <v>_</v>
      </c>
      <c r="L1719" t="str">
        <f t="shared" ca="1" si="106"/>
        <v>__X_</v>
      </c>
      <c r="M1719" t="str">
        <f t="shared" ca="1" si="107"/>
        <v/>
      </c>
    </row>
    <row r="1720" spans="1:13" x14ac:dyDescent="0.25">
      <c r="A1720" s="5"/>
      <c r="B1720" s="4" t="str">
        <f t="shared" si="105"/>
        <v/>
      </c>
      <c r="C1720" t="str">
        <f>IF(AND(TRIM(A1720)&lt;&gt;"",IFERROR(VLOOKUP(TRIM(B1720),Inventory!E:E,1,0),0)=0),"X","_")</f>
        <v>_</v>
      </c>
      <c r="D1720" t="str">
        <f>IF(AND(TRIM(A1720)&lt;&gt;"",IFERROR(VLOOKUP(TRIM(B1720),'Full Inventory'!F:F,1,0),0)=0),"X","_")</f>
        <v>_</v>
      </c>
      <c r="E1720" t="str">
        <f t="shared" si="108"/>
        <v>X</v>
      </c>
      <c r="F1720" t="str">
        <f ca="1">IFERROR(IF(AND(C1720&amp;D1720&amp;E1720="___",INDIRECT("Inventory!A"&amp;MATCH(VLOOKUP(B1720,Inventory!E:E,1,0),Inventory!E:E,0))&lt;&gt;INDIRECT("'Full Inventory'!B"&amp;MATCH(VLOOKUP(B1720,'Full Inventory'!F:F,1,0),'Full Inventory'!F:F,0))),"X","_"),"_")</f>
        <v>_</v>
      </c>
      <c r="L1720" t="str">
        <f t="shared" ca="1" si="106"/>
        <v>__X_</v>
      </c>
      <c r="M1720" t="str">
        <f t="shared" ca="1" si="107"/>
        <v/>
      </c>
    </row>
    <row r="1721" spans="1:13" x14ac:dyDescent="0.25">
      <c r="A1721" s="5"/>
      <c r="B1721" s="4" t="str">
        <f t="shared" si="105"/>
        <v/>
      </c>
      <c r="C1721" t="str">
        <f>IF(AND(TRIM(A1721)&lt;&gt;"",IFERROR(VLOOKUP(TRIM(B1721),Inventory!E:E,1,0),0)=0),"X","_")</f>
        <v>_</v>
      </c>
      <c r="D1721" t="str">
        <f>IF(AND(TRIM(A1721)&lt;&gt;"",IFERROR(VLOOKUP(TRIM(B1721),'Full Inventory'!F:F,1,0),0)=0),"X","_")</f>
        <v>_</v>
      </c>
      <c r="E1721" t="str">
        <f t="shared" si="108"/>
        <v>X</v>
      </c>
      <c r="F1721" t="str">
        <f ca="1">IFERROR(IF(AND(C1721&amp;D1721&amp;E1721="___",INDIRECT("Inventory!A"&amp;MATCH(VLOOKUP(B1721,Inventory!E:E,1,0),Inventory!E:E,0))&lt;&gt;INDIRECT("'Full Inventory'!B"&amp;MATCH(VLOOKUP(B1721,'Full Inventory'!F:F,1,0),'Full Inventory'!F:F,0))),"X","_"),"_")</f>
        <v>_</v>
      </c>
      <c r="L1721" t="str">
        <f t="shared" ca="1" si="106"/>
        <v>__X_</v>
      </c>
      <c r="M1721" t="str">
        <f t="shared" ca="1" si="107"/>
        <v/>
      </c>
    </row>
    <row r="1722" spans="1:13" x14ac:dyDescent="0.25">
      <c r="A1722" s="5"/>
      <c r="B1722" s="4" t="str">
        <f t="shared" si="105"/>
        <v/>
      </c>
      <c r="C1722" t="str">
        <f>IF(AND(TRIM(A1722)&lt;&gt;"",IFERROR(VLOOKUP(TRIM(B1722),Inventory!E:E,1,0),0)=0),"X","_")</f>
        <v>_</v>
      </c>
      <c r="D1722" t="str">
        <f>IF(AND(TRIM(A1722)&lt;&gt;"",IFERROR(VLOOKUP(TRIM(B1722),'Full Inventory'!F:F,1,0),0)=0),"X","_")</f>
        <v>_</v>
      </c>
      <c r="E1722" t="str">
        <f t="shared" si="108"/>
        <v>X</v>
      </c>
      <c r="F1722" t="str">
        <f ca="1">IFERROR(IF(AND(C1722&amp;D1722&amp;E1722="___",INDIRECT("Inventory!A"&amp;MATCH(VLOOKUP(B1722,Inventory!E:E,1,0),Inventory!E:E,0))&lt;&gt;INDIRECT("'Full Inventory'!B"&amp;MATCH(VLOOKUP(B1722,'Full Inventory'!F:F,1,0),'Full Inventory'!F:F,0))),"X","_"),"_")</f>
        <v>_</v>
      </c>
      <c r="L1722" t="str">
        <f t="shared" ca="1" si="106"/>
        <v>__X_</v>
      </c>
      <c r="M1722" t="str">
        <f t="shared" ca="1" si="107"/>
        <v/>
      </c>
    </row>
    <row r="1723" spans="1:13" x14ac:dyDescent="0.25">
      <c r="A1723" s="5"/>
      <c r="B1723" s="4" t="str">
        <f t="shared" si="105"/>
        <v/>
      </c>
      <c r="C1723" t="str">
        <f>IF(AND(TRIM(A1723)&lt;&gt;"",IFERROR(VLOOKUP(TRIM(B1723),Inventory!E:E,1,0),0)=0),"X","_")</f>
        <v>_</v>
      </c>
      <c r="D1723" t="str">
        <f>IF(AND(TRIM(A1723)&lt;&gt;"",IFERROR(VLOOKUP(TRIM(B1723),'Full Inventory'!F:F,1,0),0)=0),"X","_")</f>
        <v>_</v>
      </c>
      <c r="E1723" t="str">
        <f t="shared" si="108"/>
        <v>X</v>
      </c>
      <c r="F1723" t="str">
        <f ca="1">IFERROR(IF(AND(C1723&amp;D1723&amp;E1723="___",INDIRECT("Inventory!A"&amp;MATCH(VLOOKUP(B1723,Inventory!E:E,1,0),Inventory!E:E,0))&lt;&gt;INDIRECT("'Full Inventory'!B"&amp;MATCH(VLOOKUP(B1723,'Full Inventory'!F:F,1,0),'Full Inventory'!F:F,0))),"X","_"),"_")</f>
        <v>_</v>
      </c>
      <c r="L1723" t="str">
        <f t="shared" ca="1" si="106"/>
        <v>__X_</v>
      </c>
      <c r="M1723" t="str">
        <f t="shared" ca="1" si="107"/>
        <v/>
      </c>
    </row>
    <row r="1724" spans="1:13" x14ac:dyDescent="0.25">
      <c r="A1724" s="5"/>
      <c r="B1724" s="4" t="str">
        <f t="shared" si="105"/>
        <v/>
      </c>
      <c r="C1724" t="str">
        <f>IF(AND(TRIM(A1724)&lt;&gt;"",IFERROR(VLOOKUP(TRIM(B1724),Inventory!E:E,1,0),0)=0),"X","_")</f>
        <v>_</v>
      </c>
      <c r="D1724" t="str">
        <f>IF(AND(TRIM(A1724)&lt;&gt;"",IFERROR(VLOOKUP(TRIM(B1724),'Full Inventory'!F:F,1,0),0)=0),"X","_")</f>
        <v>_</v>
      </c>
      <c r="E1724" t="str">
        <f t="shared" si="108"/>
        <v>X</v>
      </c>
      <c r="F1724" t="str">
        <f ca="1">IFERROR(IF(AND(C1724&amp;D1724&amp;E1724="___",INDIRECT("Inventory!A"&amp;MATCH(VLOOKUP(B1724,Inventory!E:E,1,0),Inventory!E:E,0))&lt;&gt;INDIRECT("'Full Inventory'!B"&amp;MATCH(VLOOKUP(B1724,'Full Inventory'!F:F,1,0),'Full Inventory'!F:F,0))),"X","_"),"_")</f>
        <v>_</v>
      </c>
      <c r="L1724" t="str">
        <f t="shared" ca="1" si="106"/>
        <v>__X_</v>
      </c>
      <c r="M1724" t="str">
        <f t="shared" ca="1" si="107"/>
        <v/>
      </c>
    </row>
    <row r="1725" spans="1:13" x14ac:dyDescent="0.25">
      <c r="A1725" s="5"/>
      <c r="B1725" s="4" t="str">
        <f t="shared" si="105"/>
        <v/>
      </c>
      <c r="C1725" t="str">
        <f>IF(AND(TRIM(A1725)&lt;&gt;"",IFERROR(VLOOKUP(TRIM(B1725),Inventory!E:E,1,0),0)=0),"X","_")</f>
        <v>_</v>
      </c>
      <c r="D1725" t="str">
        <f>IF(AND(TRIM(A1725)&lt;&gt;"",IFERROR(VLOOKUP(TRIM(B1725),'Full Inventory'!F:F,1,0),0)=0),"X","_")</f>
        <v>_</v>
      </c>
      <c r="E1725" t="str">
        <f t="shared" si="108"/>
        <v>X</v>
      </c>
      <c r="F1725" t="str">
        <f ca="1">IFERROR(IF(AND(C1725&amp;D1725&amp;E1725="___",INDIRECT("Inventory!A"&amp;MATCH(VLOOKUP(B1725,Inventory!E:E,1,0),Inventory!E:E,0))&lt;&gt;INDIRECT("'Full Inventory'!B"&amp;MATCH(VLOOKUP(B1725,'Full Inventory'!F:F,1,0),'Full Inventory'!F:F,0))),"X","_"),"_")</f>
        <v>_</v>
      </c>
      <c r="L1725" t="str">
        <f t="shared" ca="1" si="106"/>
        <v>__X_</v>
      </c>
      <c r="M1725" t="str">
        <f t="shared" ca="1" si="107"/>
        <v/>
      </c>
    </row>
    <row r="1726" spans="1:13" x14ac:dyDescent="0.25">
      <c r="A1726" s="5"/>
      <c r="B1726" s="4" t="str">
        <f t="shared" si="105"/>
        <v/>
      </c>
      <c r="C1726" t="str">
        <f>IF(AND(TRIM(A1726)&lt;&gt;"",IFERROR(VLOOKUP(TRIM(B1726),Inventory!E:E,1,0),0)=0),"X","_")</f>
        <v>_</v>
      </c>
      <c r="D1726" t="str">
        <f>IF(AND(TRIM(A1726)&lt;&gt;"",IFERROR(VLOOKUP(TRIM(B1726),'Full Inventory'!F:F,1,0),0)=0),"X","_")</f>
        <v>_</v>
      </c>
      <c r="E1726" t="str">
        <f t="shared" si="108"/>
        <v>X</v>
      </c>
      <c r="F1726" t="str">
        <f ca="1">IFERROR(IF(AND(C1726&amp;D1726&amp;E1726="___",INDIRECT("Inventory!A"&amp;MATCH(VLOOKUP(B1726,Inventory!E:E,1,0),Inventory!E:E,0))&lt;&gt;INDIRECT("'Full Inventory'!B"&amp;MATCH(VLOOKUP(B1726,'Full Inventory'!F:F,1,0),'Full Inventory'!F:F,0))),"X","_"),"_")</f>
        <v>_</v>
      </c>
      <c r="L1726" t="str">
        <f t="shared" ca="1" si="106"/>
        <v>__X_</v>
      </c>
      <c r="M1726" t="str">
        <f t="shared" ca="1" si="107"/>
        <v/>
      </c>
    </row>
    <row r="1727" spans="1:13" x14ac:dyDescent="0.25">
      <c r="A1727" s="5"/>
      <c r="B1727" s="4" t="str">
        <f t="shared" si="105"/>
        <v/>
      </c>
      <c r="C1727" t="str">
        <f>IF(AND(TRIM(A1727)&lt;&gt;"",IFERROR(VLOOKUP(TRIM(B1727),Inventory!E:E,1,0),0)=0),"X","_")</f>
        <v>_</v>
      </c>
      <c r="D1727" t="str">
        <f>IF(AND(TRIM(A1727)&lt;&gt;"",IFERROR(VLOOKUP(TRIM(B1727),'Full Inventory'!F:F,1,0),0)=0),"X","_")</f>
        <v>_</v>
      </c>
      <c r="E1727" t="str">
        <f t="shared" si="108"/>
        <v>X</v>
      </c>
      <c r="F1727" t="str">
        <f ca="1">IFERROR(IF(AND(C1727&amp;D1727&amp;E1727="___",INDIRECT("Inventory!A"&amp;MATCH(VLOOKUP(B1727,Inventory!E:E,1,0),Inventory!E:E,0))&lt;&gt;INDIRECT("'Full Inventory'!B"&amp;MATCH(VLOOKUP(B1727,'Full Inventory'!F:F,1,0),'Full Inventory'!F:F,0))),"X","_"),"_")</f>
        <v>_</v>
      </c>
      <c r="L1727" t="str">
        <f t="shared" ca="1" si="106"/>
        <v>__X_</v>
      </c>
      <c r="M1727" t="str">
        <f t="shared" ca="1" si="107"/>
        <v/>
      </c>
    </row>
    <row r="1728" spans="1:13" x14ac:dyDescent="0.25">
      <c r="A1728" s="5"/>
      <c r="B1728" s="4" t="str">
        <f t="shared" si="105"/>
        <v/>
      </c>
      <c r="C1728" t="str">
        <f>IF(AND(TRIM(A1728)&lt;&gt;"",IFERROR(VLOOKUP(TRIM(B1728),Inventory!E:E,1,0),0)=0),"X","_")</f>
        <v>_</v>
      </c>
      <c r="D1728" t="str">
        <f>IF(AND(TRIM(A1728)&lt;&gt;"",IFERROR(VLOOKUP(TRIM(B1728),'Full Inventory'!F:F,1,0),0)=0),"X","_")</f>
        <v>_</v>
      </c>
      <c r="E1728" t="str">
        <f t="shared" si="108"/>
        <v>X</v>
      </c>
      <c r="F1728" t="str">
        <f ca="1">IFERROR(IF(AND(C1728&amp;D1728&amp;E1728="___",INDIRECT("Inventory!A"&amp;MATCH(VLOOKUP(B1728,Inventory!E:E,1,0),Inventory!E:E,0))&lt;&gt;INDIRECT("'Full Inventory'!B"&amp;MATCH(VLOOKUP(B1728,'Full Inventory'!F:F,1,0),'Full Inventory'!F:F,0))),"X","_"),"_")</f>
        <v>_</v>
      </c>
      <c r="L1728" t="str">
        <f t="shared" ca="1" si="106"/>
        <v>__X_</v>
      </c>
      <c r="M1728" t="str">
        <f t="shared" ca="1" si="107"/>
        <v/>
      </c>
    </row>
    <row r="1729" spans="1:13" x14ac:dyDescent="0.25">
      <c r="A1729" s="5"/>
      <c r="B1729" s="4" t="str">
        <f t="shared" si="105"/>
        <v/>
      </c>
      <c r="C1729" t="str">
        <f>IF(AND(TRIM(A1729)&lt;&gt;"",IFERROR(VLOOKUP(TRIM(B1729),Inventory!E:E,1,0),0)=0),"X","_")</f>
        <v>_</v>
      </c>
      <c r="D1729" t="str">
        <f>IF(AND(TRIM(A1729)&lt;&gt;"",IFERROR(VLOOKUP(TRIM(B1729),'Full Inventory'!F:F,1,0),0)=0),"X","_")</f>
        <v>_</v>
      </c>
      <c r="E1729" t="str">
        <f t="shared" si="108"/>
        <v>X</v>
      </c>
      <c r="F1729" t="str">
        <f ca="1">IFERROR(IF(AND(C1729&amp;D1729&amp;E1729="___",INDIRECT("Inventory!A"&amp;MATCH(VLOOKUP(B1729,Inventory!E:E,1,0),Inventory!E:E,0))&lt;&gt;INDIRECT("'Full Inventory'!B"&amp;MATCH(VLOOKUP(B1729,'Full Inventory'!F:F,1,0),'Full Inventory'!F:F,0))),"X","_"),"_")</f>
        <v>_</v>
      </c>
      <c r="L1729" t="str">
        <f t="shared" ca="1" si="106"/>
        <v>__X_</v>
      </c>
      <c r="M1729" t="str">
        <f t="shared" ca="1" si="107"/>
        <v/>
      </c>
    </row>
    <row r="1730" spans="1:13" x14ac:dyDescent="0.25">
      <c r="A1730" s="5"/>
      <c r="B1730" s="4" t="str">
        <f t="shared" si="105"/>
        <v/>
      </c>
      <c r="C1730" t="str">
        <f>IF(AND(TRIM(A1730)&lt;&gt;"",IFERROR(VLOOKUP(TRIM(B1730),Inventory!E:E,1,0),0)=0),"X","_")</f>
        <v>_</v>
      </c>
      <c r="D1730" t="str">
        <f>IF(AND(TRIM(A1730)&lt;&gt;"",IFERROR(VLOOKUP(TRIM(B1730),'Full Inventory'!F:F,1,0),0)=0),"X","_")</f>
        <v>_</v>
      </c>
      <c r="E1730" t="str">
        <f t="shared" si="108"/>
        <v>X</v>
      </c>
      <c r="F1730" t="str">
        <f ca="1">IFERROR(IF(AND(C1730&amp;D1730&amp;E1730="___",INDIRECT("Inventory!A"&amp;MATCH(VLOOKUP(B1730,Inventory!E:E,1,0),Inventory!E:E,0))&lt;&gt;INDIRECT("'Full Inventory'!B"&amp;MATCH(VLOOKUP(B1730,'Full Inventory'!F:F,1,0),'Full Inventory'!F:F,0))),"X","_"),"_")</f>
        <v>_</v>
      </c>
      <c r="L1730" t="str">
        <f t="shared" ca="1" si="106"/>
        <v>__X_</v>
      </c>
      <c r="M1730" t="str">
        <f t="shared" ca="1" si="107"/>
        <v/>
      </c>
    </row>
    <row r="1731" spans="1:13" x14ac:dyDescent="0.25">
      <c r="A1731" s="5"/>
      <c r="B1731" s="4" t="str">
        <f t="shared" ref="B1731:B1794" si="109">SUBSTITUTE(SUBSTITUTE(A1731,"ö","0"),"Ö","0")</f>
        <v/>
      </c>
      <c r="C1731" t="str">
        <f>IF(AND(TRIM(A1731)&lt;&gt;"",IFERROR(VLOOKUP(TRIM(B1731),Inventory!E:E,1,0),0)=0),"X","_")</f>
        <v>_</v>
      </c>
      <c r="D1731" t="str">
        <f>IF(AND(TRIM(A1731)&lt;&gt;"",IFERROR(VLOOKUP(TRIM(B1731),'Full Inventory'!F:F,1,0),0)=0),"X","_")</f>
        <v>_</v>
      </c>
      <c r="E1731" t="str">
        <f t="shared" si="108"/>
        <v>X</v>
      </c>
      <c r="F1731" t="str">
        <f ca="1">IFERROR(IF(AND(C1731&amp;D1731&amp;E1731="___",INDIRECT("Inventory!A"&amp;MATCH(VLOOKUP(B1731,Inventory!E:E,1,0),Inventory!E:E,0))&lt;&gt;INDIRECT("'Full Inventory'!B"&amp;MATCH(VLOOKUP(B1731,'Full Inventory'!F:F,1,0),'Full Inventory'!F:F,0))),"X","_"),"_")</f>
        <v>_</v>
      </c>
      <c r="L1731" t="str">
        <f t="shared" ref="L1731:L1794" ca="1" si="110">C1731&amp;D1731&amp;E1731&amp;F1731</f>
        <v>__X_</v>
      </c>
      <c r="M1731" t="str">
        <f t="shared" ref="M1731:M1794" ca="1" si="111">IF(L1731="____","OK",IF(L1731="_X__","NOT IN FULL INVENTORY",IF(L1731="XX__","NOT IN FULL INVENTORY AND INVENTORY",IF(L1731="X___","NOT IN INVENTORY",IF(L1731="___X","DIFFERENT NAMES IN FULL INVENTORY AND INVENTORY","")))))</f>
        <v/>
      </c>
    </row>
    <row r="1732" spans="1:13" x14ac:dyDescent="0.25">
      <c r="A1732" s="5"/>
      <c r="B1732" s="4" t="str">
        <f t="shared" si="109"/>
        <v/>
      </c>
      <c r="C1732" t="str">
        <f>IF(AND(TRIM(A1732)&lt;&gt;"",IFERROR(VLOOKUP(TRIM(B1732),Inventory!E:E,1,0),0)=0),"X","_")</f>
        <v>_</v>
      </c>
      <c r="D1732" t="str">
        <f>IF(AND(TRIM(A1732)&lt;&gt;"",IFERROR(VLOOKUP(TRIM(B1732),'Full Inventory'!F:F,1,0),0)=0),"X","_")</f>
        <v>_</v>
      </c>
      <c r="E1732" t="str">
        <f t="shared" si="108"/>
        <v>X</v>
      </c>
      <c r="F1732" t="str">
        <f ca="1">IFERROR(IF(AND(C1732&amp;D1732&amp;E1732="___",INDIRECT("Inventory!A"&amp;MATCH(VLOOKUP(B1732,Inventory!E:E,1,0),Inventory!E:E,0))&lt;&gt;INDIRECT("'Full Inventory'!B"&amp;MATCH(VLOOKUP(B1732,'Full Inventory'!F:F,1,0),'Full Inventory'!F:F,0))),"X","_"),"_")</f>
        <v>_</v>
      </c>
      <c r="L1732" t="str">
        <f t="shared" ca="1" si="110"/>
        <v>__X_</v>
      </c>
      <c r="M1732" t="str">
        <f t="shared" ca="1" si="111"/>
        <v/>
      </c>
    </row>
    <row r="1733" spans="1:13" x14ac:dyDescent="0.25">
      <c r="A1733" s="5"/>
      <c r="B1733" s="4" t="str">
        <f t="shared" si="109"/>
        <v/>
      </c>
      <c r="C1733" t="str">
        <f>IF(AND(TRIM(A1733)&lt;&gt;"",IFERROR(VLOOKUP(TRIM(B1733),Inventory!E:E,1,0),0)=0),"X","_")</f>
        <v>_</v>
      </c>
      <c r="D1733" t="str">
        <f>IF(AND(TRIM(A1733)&lt;&gt;"",IFERROR(VLOOKUP(TRIM(B1733),'Full Inventory'!F:F,1,0),0)=0),"X","_")</f>
        <v>_</v>
      </c>
      <c r="E1733" t="str">
        <f t="shared" si="108"/>
        <v>X</v>
      </c>
      <c r="F1733" t="str">
        <f ca="1">IFERROR(IF(AND(C1733&amp;D1733&amp;E1733="___",INDIRECT("Inventory!A"&amp;MATCH(VLOOKUP(B1733,Inventory!E:E,1,0),Inventory!E:E,0))&lt;&gt;INDIRECT("'Full Inventory'!B"&amp;MATCH(VLOOKUP(B1733,'Full Inventory'!F:F,1,0),'Full Inventory'!F:F,0))),"X","_"),"_")</f>
        <v>_</v>
      </c>
      <c r="L1733" t="str">
        <f t="shared" ca="1" si="110"/>
        <v>__X_</v>
      </c>
      <c r="M1733" t="str">
        <f t="shared" ca="1" si="111"/>
        <v/>
      </c>
    </row>
    <row r="1734" spans="1:13" x14ac:dyDescent="0.25">
      <c r="A1734" s="5"/>
      <c r="B1734" s="4" t="str">
        <f t="shared" si="109"/>
        <v/>
      </c>
      <c r="C1734" t="str">
        <f>IF(AND(TRIM(A1734)&lt;&gt;"",IFERROR(VLOOKUP(TRIM(B1734),Inventory!E:E,1,0),0)=0),"X","_")</f>
        <v>_</v>
      </c>
      <c r="D1734" t="str">
        <f>IF(AND(TRIM(A1734)&lt;&gt;"",IFERROR(VLOOKUP(TRIM(B1734),'Full Inventory'!F:F,1,0),0)=0),"X","_")</f>
        <v>_</v>
      </c>
      <c r="E1734" t="str">
        <f t="shared" si="108"/>
        <v>X</v>
      </c>
      <c r="F1734" t="str">
        <f ca="1">IFERROR(IF(AND(C1734&amp;D1734&amp;E1734="___",INDIRECT("Inventory!A"&amp;MATCH(VLOOKUP(B1734,Inventory!E:E,1,0),Inventory!E:E,0))&lt;&gt;INDIRECT("'Full Inventory'!B"&amp;MATCH(VLOOKUP(B1734,'Full Inventory'!F:F,1,0),'Full Inventory'!F:F,0))),"X","_"),"_")</f>
        <v>_</v>
      </c>
      <c r="L1734" t="str">
        <f t="shared" ca="1" si="110"/>
        <v>__X_</v>
      </c>
      <c r="M1734" t="str">
        <f t="shared" ca="1" si="111"/>
        <v/>
      </c>
    </row>
    <row r="1735" spans="1:13" x14ac:dyDescent="0.25">
      <c r="A1735" s="5"/>
      <c r="B1735" s="4" t="str">
        <f t="shared" si="109"/>
        <v/>
      </c>
      <c r="C1735" t="str">
        <f>IF(AND(TRIM(A1735)&lt;&gt;"",IFERROR(VLOOKUP(TRIM(B1735),Inventory!E:E,1,0),0)=0),"X","_")</f>
        <v>_</v>
      </c>
      <c r="D1735" t="str">
        <f>IF(AND(TRIM(A1735)&lt;&gt;"",IFERROR(VLOOKUP(TRIM(B1735),'Full Inventory'!F:F,1,0),0)=0),"X","_")</f>
        <v>_</v>
      </c>
      <c r="E1735" t="str">
        <f t="shared" si="108"/>
        <v>X</v>
      </c>
      <c r="F1735" t="str">
        <f ca="1">IFERROR(IF(AND(C1735&amp;D1735&amp;E1735="___",INDIRECT("Inventory!A"&amp;MATCH(VLOOKUP(B1735,Inventory!E:E,1,0),Inventory!E:E,0))&lt;&gt;INDIRECT("'Full Inventory'!B"&amp;MATCH(VLOOKUP(B1735,'Full Inventory'!F:F,1,0),'Full Inventory'!F:F,0))),"X","_"),"_")</f>
        <v>_</v>
      </c>
      <c r="L1735" t="str">
        <f t="shared" ca="1" si="110"/>
        <v>__X_</v>
      </c>
      <c r="M1735" t="str">
        <f t="shared" ca="1" si="111"/>
        <v/>
      </c>
    </row>
    <row r="1736" spans="1:13" x14ac:dyDescent="0.25">
      <c r="A1736" s="5"/>
      <c r="B1736" s="4" t="str">
        <f t="shared" si="109"/>
        <v/>
      </c>
      <c r="C1736" t="str">
        <f>IF(AND(TRIM(A1736)&lt;&gt;"",IFERROR(VLOOKUP(TRIM(B1736),Inventory!E:E,1,0),0)=0),"X","_")</f>
        <v>_</v>
      </c>
      <c r="D1736" t="str">
        <f>IF(AND(TRIM(A1736)&lt;&gt;"",IFERROR(VLOOKUP(TRIM(B1736),'Full Inventory'!F:F,1,0),0)=0),"X","_")</f>
        <v>_</v>
      </c>
      <c r="E1736" t="str">
        <f t="shared" si="108"/>
        <v>X</v>
      </c>
      <c r="F1736" t="str">
        <f ca="1">IFERROR(IF(AND(C1736&amp;D1736&amp;E1736="___",INDIRECT("Inventory!A"&amp;MATCH(VLOOKUP(B1736,Inventory!E:E,1,0),Inventory!E:E,0))&lt;&gt;INDIRECT("'Full Inventory'!B"&amp;MATCH(VLOOKUP(B1736,'Full Inventory'!F:F,1,0),'Full Inventory'!F:F,0))),"X","_"),"_")</f>
        <v>_</v>
      </c>
      <c r="L1736" t="str">
        <f t="shared" ca="1" si="110"/>
        <v>__X_</v>
      </c>
      <c r="M1736" t="str">
        <f t="shared" ca="1" si="111"/>
        <v/>
      </c>
    </row>
    <row r="1737" spans="1:13" x14ac:dyDescent="0.25">
      <c r="A1737" s="5"/>
      <c r="B1737" s="4" t="str">
        <f t="shared" si="109"/>
        <v/>
      </c>
      <c r="C1737" t="str">
        <f>IF(AND(TRIM(A1737)&lt;&gt;"",IFERROR(VLOOKUP(TRIM(B1737),Inventory!E:E,1,0),0)=0),"X","_")</f>
        <v>_</v>
      </c>
      <c r="D1737" t="str">
        <f>IF(AND(TRIM(A1737)&lt;&gt;"",IFERROR(VLOOKUP(TRIM(B1737),'Full Inventory'!F:F,1,0),0)=0),"X","_")</f>
        <v>_</v>
      </c>
      <c r="E1737" t="str">
        <f t="shared" si="108"/>
        <v>X</v>
      </c>
      <c r="F1737" t="str">
        <f ca="1">IFERROR(IF(AND(C1737&amp;D1737&amp;E1737="___",INDIRECT("Inventory!A"&amp;MATCH(VLOOKUP(B1737,Inventory!E:E,1,0),Inventory!E:E,0))&lt;&gt;INDIRECT("'Full Inventory'!B"&amp;MATCH(VLOOKUP(B1737,'Full Inventory'!F:F,1,0),'Full Inventory'!F:F,0))),"X","_"),"_")</f>
        <v>_</v>
      </c>
      <c r="L1737" t="str">
        <f t="shared" ca="1" si="110"/>
        <v>__X_</v>
      </c>
      <c r="M1737" t="str">
        <f t="shared" ca="1" si="111"/>
        <v/>
      </c>
    </row>
    <row r="1738" spans="1:13" x14ac:dyDescent="0.25">
      <c r="A1738" s="5"/>
      <c r="B1738" s="4" t="str">
        <f t="shared" si="109"/>
        <v/>
      </c>
      <c r="C1738" t="str">
        <f>IF(AND(TRIM(A1738)&lt;&gt;"",IFERROR(VLOOKUP(TRIM(B1738),Inventory!E:E,1,0),0)=0),"X","_")</f>
        <v>_</v>
      </c>
      <c r="D1738" t="str">
        <f>IF(AND(TRIM(A1738)&lt;&gt;"",IFERROR(VLOOKUP(TRIM(B1738),'Full Inventory'!F:F,1,0),0)=0),"X","_")</f>
        <v>_</v>
      </c>
      <c r="E1738" t="str">
        <f t="shared" si="108"/>
        <v>X</v>
      </c>
      <c r="F1738" t="str">
        <f ca="1">IFERROR(IF(AND(C1738&amp;D1738&amp;E1738="___",INDIRECT("Inventory!A"&amp;MATCH(VLOOKUP(B1738,Inventory!E:E,1,0),Inventory!E:E,0))&lt;&gt;INDIRECT("'Full Inventory'!B"&amp;MATCH(VLOOKUP(B1738,'Full Inventory'!F:F,1,0),'Full Inventory'!F:F,0))),"X","_"),"_")</f>
        <v>_</v>
      </c>
      <c r="L1738" t="str">
        <f t="shared" ca="1" si="110"/>
        <v>__X_</v>
      </c>
      <c r="M1738" t="str">
        <f t="shared" ca="1" si="111"/>
        <v/>
      </c>
    </row>
    <row r="1739" spans="1:13" x14ac:dyDescent="0.25">
      <c r="A1739" s="5"/>
      <c r="B1739" s="4" t="str">
        <f t="shared" si="109"/>
        <v/>
      </c>
      <c r="C1739" t="str">
        <f>IF(AND(TRIM(A1739)&lt;&gt;"",IFERROR(VLOOKUP(TRIM(B1739),Inventory!E:E,1,0),0)=0),"X","_")</f>
        <v>_</v>
      </c>
      <c r="D1739" t="str">
        <f>IF(AND(TRIM(A1739)&lt;&gt;"",IFERROR(VLOOKUP(TRIM(B1739),'Full Inventory'!F:F,1,0),0)=0),"X","_")</f>
        <v>_</v>
      </c>
      <c r="E1739" t="str">
        <f t="shared" si="108"/>
        <v>X</v>
      </c>
      <c r="F1739" t="str">
        <f ca="1">IFERROR(IF(AND(C1739&amp;D1739&amp;E1739="___",INDIRECT("Inventory!A"&amp;MATCH(VLOOKUP(B1739,Inventory!E:E,1,0),Inventory!E:E,0))&lt;&gt;INDIRECT("'Full Inventory'!B"&amp;MATCH(VLOOKUP(B1739,'Full Inventory'!F:F,1,0),'Full Inventory'!F:F,0))),"X","_"),"_")</f>
        <v>_</v>
      </c>
      <c r="L1739" t="str">
        <f t="shared" ca="1" si="110"/>
        <v>__X_</v>
      </c>
      <c r="M1739" t="str">
        <f t="shared" ca="1" si="111"/>
        <v/>
      </c>
    </row>
    <row r="1740" spans="1:13" x14ac:dyDescent="0.25">
      <c r="A1740" s="5"/>
      <c r="B1740" s="4" t="str">
        <f t="shared" si="109"/>
        <v/>
      </c>
      <c r="C1740" t="str">
        <f>IF(AND(TRIM(A1740)&lt;&gt;"",IFERROR(VLOOKUP(TRIM(B1740),Inventory!E:E,1,0),0)=0),"X","_")</f>
        <v>_</v>
      </c>
      <c r="D1740" t="str">
        <f>IF(AND(TRIM(A1740)&lt;&gt;"",IFERROR(VLOOKUP(TRIM(B1740),'Full Inventory'!F:F,1,0),0)=0),"X","_")</f>
        <v>_</v>
      </c>
      <c r="E1740" t="str">
        <f t="shared" si="108"/>
        <v>X</v>
      </c>
      <c r="F1740" t="str">
        <f ca="1">IFERROR(IF(AND(C1740&amp;D1740&amp;E1740="___",INDIRECT("Inventory!A"&amp;MATCH(VLOOKUP(B1740,Inventory!E:E,1,0),Inventory!E:E,0))&lt;&gt;INDIRECT("'Full Inventory'!B"&amp;MATCH(VLOOKUP(B1740,'Full Inventory'!F:F,1,0),'Full Inventory'!F:F,0))),"X","_"),"_")</f>
        <v>_</v>
      </c>
      <c r="L1740" t="str">
        <f t="shared" ca="1" si="110"/>
        <v>__X_</v>
      </c>
      <c r="M1740" t="str">
        <f t="shared" ca="1" si="111"/>
        <v/>
      </c>
    </row>
    <row r="1741" spans="1:13" x14ac:dyDescent="0.25">
      <c r="A1741" s="5"/>
      <c r="B1741" s="4" t="str">
        <f t="shared" si="109"/>
        <v/>
      </c>
      <c r="C1741" t="str">
        <f>IF(AND(TRIM(A1741)&lt;&gt;"",IFERROR(VLOOKUP(TRIM(B1741),Inventory!E:E,1,0),0)=0),"X","_")</f>
        <v>_</v>
      </c>
      <c r="D1741" t="str">
        <f>IF(AND(TRIM(A1741)&lt;&gt;"",IFERROR(VLOOKUP(TRIM(B1741),'Full Inventory'!F:F,1,0),0)=0),"X","_")</f>
        <v>_</v>
      </c>
      <c r="E1741" t="str">
        <f t="shared" si="108"/>
        <v>X</v>
      </c>
      <c r="F1741" t="str">
        <f ca="1">IFERROR(IF(AND(C1741&amp;D1741&amp;E1741="___",INDIRECT("Inventory!A"&amp;MATCH(VLOOKUP(B1741,Inventory!E:E,1,0),Inventory!E:E,0))&lt;&gt;INDIRECT("'Full Inventory'!B"&amp;MATCH(VLOOKUP(B1741,'Full Inventory'!F:F,1,0),'Full Inventory'!F:F,0))),"X","_"),"_")</f>
        <v>_</v>
      </c>
      <c r="L1741" t="str">
        <f t="shared" ca="1" si="110"/>
        <v>__X_</v>
      </c>
      <c r="M1741" t="str">
        <f t="shared" ca="1" si="111"/>
        <v/>
      </c>
    </row>
    <row r="1742" spans="1:13" x14ac:dyDescent="0.25">
      <c r="A1742" s="5"/>
      <c r="B1742" s="4" t="str">
        <f t="shared" si="109"/>
        <v/>
      </c>
      <c r="C1742" t="str">
        <f>IF(AND(TRIM(A1742)&lt;&gt;"",IFERROR(VLOOKUP(TRIM(B1742),Inventory!E:E,1,0),0)=0),"X","_")</f>
        <v>_</v>
      </c>
      <c r="D1742" t="str">
        <f>IF(AND(TRIM(A1742)&lt;&gt;"",IFERROR(VLOOKUP(TRIM(B1742),'Full Inventory'!F:F,1,0),0)=0),"X","_")</f>
        <v>_</v>
      </c>
      <c r="E1742" t="str">
        <f t="shared" si="108"/>
        <v>X</v>
      </c>
      <c r="F1742" t="str">
        <f ca="1">IFERROR(IF(AND(C1742&amp;D1742&amp;E1742="___",INDIRECT("Inventory!A"&amp;MATCH(VLOOKUP(B1742,Inventory!E:E,1,0),Inventory!E:E,0))&lt;&gt;INDIRECT("'Full Inventory'!B"&amp;MATCH(VLOOKUP(B1742,'Full Inventory'!F:F,1,0),'Full Inventory'!F:F,0))),"X","_"),"_")</f>
        <v>_</v>
      </c>
      <c r="L1742" t="str">
        <f t="shared" ca="1" si="110"/>
        <v>__X_</v>
      </c>
      <c r="M1742" t="str">
        <f t="shared" ca="1" si="111"/>
        <v/>
      </c>
    </row>
    <row r="1743" spans="1:13" x14ac:dyDescent="0.25">
      <c r="A1743" s="5"/>
      <c r="B1743" s="4" t="str">
        <f t="shared" si="109"/>
        <v/>
      </c>
      <c r="C1743" t="str">
        <f>IF(AND(TRIM(A1743)&lt;&gt;"",IFERROR(VLOOKUP(TRIM(B1743),Inventory!E:E,1,0),0)=0),"X","_")</f>
        <v>_</v>
      </c>
      <c r="D1743" t="str">
        <f>IF(AND(TRIM(A1743)&lt;&gt;"",IFERROR(VLOOKUP(TRIM(B1743),'Full Inventory'!F:F,1,0),0)=0),"X","_")</f>
        <v>_</v>
      </c>
      <c r="E1743" t="str">
        <f t="shared" si="108"/>
        <v>X</v>
      </c>
      <c r="F1743" t="str">
        <f ca="1">IFERROR(IF(AND(C1743&amp;D1743&amp;E1743="___",INDIRECT("Inventory!A"&amp;MATCH(VLOOKUP(B1743,Inventory!E:E,1,0),Inventory!E:E,0))&lt;&gt;INDIRECT("'Full Inventory'!B"&amp;MATCH(VLOOKUP(B1743,'Full Inventory'!F:F,1,0),'Full Inventory'!F:F,0))),"X","_"),"_")</f>
        <v>_</v>
      </c>
      <c r="L1743" t="str">
        <f t="shared" ca="1" si="110"/>
        <v>__X_</v>
      </c>
      <c r="M1743" t="str">
        <f t="shared" ca="1" si="111"/>
        <v/>
      </c>
    </row>
    <row r="1744" spans="1:13" x14ac:dyDescent="0.25">
      <c r="A1744" s="5"/>
      <c r="B1744" s="4" t="str">
        <f t="shared" si="109"/>
        <v/>
      </c>
      <c r="C1744" t="str">
        <f>IF(AND(TRIM(A1744)&lt;&gt;"",IFERROR(VLOOKUP(TRIM(B1744),Inventory!E:E,1,0),0)=0),"X","_")</f>
        <v>_</v>
      </c>
      <c r="D1744" t="str">
        <f>IF(AND(TRIM(A1744)&lt;&gt;"",IFERROR(VLOOKUP(TRIM(B1744),'Full Inventory'!F:F,1,0),0)=0),"X","_")</f>
        <v>_</v>
      </c>
      <c r="E1744" t="str">
        <f t="shared" si="108"/>
        <v>X</v>
      </c>
      <c r="F1744" t="str">
        <f ca="1">IFERROR(IF(AND(C1744&amp;D1744&amp;E1744="___",INDIRECT("Inventory!A"&amp;MATCH(VLOOKUP(B1744,Inventory!E:E,1,0),Inventory!E:E,0))&lt;&gt;INDIRECT("'Full Inventory'!B"&amp;MATCH(VLOOKUP(B1744,'Full Inventory'!F:F,1,0),'Full Inventory'!F:F,0))),"X","_"),"_")</f>
        <v>_</v>
      </c>
      <c r="L1744" t="str">
        <f t="shared" ca="1" si="110"/>
        <v>__X_</v>
      </c>
      <c r="M1744" t="str">
        <f t="shared" ca="1" si="111"/>
        <v/>
      </c>
    </row>
    <row r="1745" spans="1:13" x14ac:dyDescent="0.25">
      <c r="A1745" s="5"/>
      <c r="B1745" s="4" t="str">
        <f t="shared" si="109"/>
        <v/>
      </c>
      <c r="C1745" t="str">
        <f>IF(AND(TRIM(A1745)&lt;&gt;"",IFERROR(VLOOKUP(TRIM(B1745),Inventory!E:E,1,0),0)=0),"X","_")</f>
        <v>_</v>
      </c>
      <c r="D1745" t="str">
        <f>IF(AND(TRIM(A1745)&lt;&gt;"",IFERROR(VLOOKUP(TRIM(B1745),'Full Inventory'!F:F,1,0),0)=0),"X","_")</f>
        <v>_</v>
      </c>
      <c r="E1745" t="str">
        <f t="shared" si="108"/>
        <v>X</v>
      </c>
      <c r="F1745" t="str">
        <f ca="1">IFERROR(IF(AND(C1745&amp;D1745&amp;E1745="___",INDIRECT("Inventory!A"&amp;MATCH(VLOOKUP(B1745,Inventory!E:E,1,0),Inventory!E:E,0))&lt;&gt;INDIRECT("'Full Inventory'!B"&amp;MATCH(VLOOKUP(B1745,'Full Inventory'!F:F,1,0),'Full Inventory'!F:F,0))),"X","_"),"_")</f>
        <v>_</v>
      </c>
      <c r="L1745" t="str">
        <f t="shared" ca="1" si="110"/>
        <v>__X_</v>
      </c>
      <c r="M1745" t="str">
        <f t="shared" ca="1" si="111"/>
        <v/>
      </c>
    </row>
    <row r="1746" spans="1:13" x14ac:dyDescent="0.25">
      <c r="A1746" s="5"/>
      <c r="B1746" s="4" t="str">
        <f t="shared" si="109"/>
        <v/>
      </c>
      <c r="C1746" t="str">
        <f>IF(AND(TRIM(A1746)&lt;&gt;"",IFERROR(VLOOKUP(TRIM(B1746),Inventory!E:E,1,0),0)=0),"X","_")</f>
        <v>_</v>
      </c>
      <c r="D1746" t="str">
        <f>IF(AND(TRIM(A1746)&lt;&gt;"",IFERROR(VLOOKUP(TRIM(B1746),'Full Inventory'!F:F,1,0),0)=0),"X","_")</f>
        <v>_</v>
      </c>
      <c r="E1746" t="str">
        <f t="shared" si="108"/>
        <v>X</v>
      </c>
      <c r="F1746" t="str">
        <f ca="1">IFERROR(IF(AND(C1746&amp;D1746&amp;E1746="___",INDIRECT("Inventory!A"&amp;MATCH(VLOOKUP(B1746,Inventory!E:E,1,0),Inventory!E:E,0))&lt;&gt;INDIRECT("'Full Inventory'!B"&amp;MATCH(VLOOKUP(B1746,'Full Inventory'!F:F,1,0),'Full Inventory'!F:F,0))),"X","_"),"_")</f>
        <v>_</v>
      </c>
      <c r="L1746" t="str">
        <f t="shared" ca="1" si="110"/>
        <v>__X_</v>
      </c>
      <c r="M1746" t="str">
        <f t="shared" ca="1" si="111"/>
        <v/>
      </c>
    </row>
    <row r="1747" spans="1:13" x14ac:dyDescent="0.25">
      <c r="A1747" s="5"/>
      <c r="B1747" s="4" t="str">
        <f t="shared" si="109"/>
        <v/>
      </c>
      <c r="C1747" t="str">
        <f>IF(AND(TRIM(A1747)&lt;&gt;"",IFERROR(VLOOKUP(TRIM(B1747),Inventory!E:E,1,0),0)=0),"X","_")</f>
        <v>_</v>
      </c>
      <c r="D1747" t="str">
        <f>IF(AND(TRIM(A1747)&lt;&gt;"",IFERROR(VLOOKUP(TRIM(B1747),'Full Inventory'!F:F,1,0),0)=0),"X","_")</f>
        <v>_</v>
      </c>
      <c r="E1747" t="str">
        <f t="shared" si="108"/>
        <v>X</v>
      </c>
      <c r="F1747" t="str">
        <f ca="1">IFERROR(IF(AND(C1747&amp;D1747&amp;E1747="___",INDIRECT("Inventory!A"&amp;MATCH(VLOOKUP(B1747,Inventory!E:E,1,0),Inventory!E:E,0))&lt;&gt;INDIRECT("'Full Inventory'!B"&amp;MATCH(VLOOKUP(B1747,'Full Inventory'!F:F,1,0),'Full Inventory'!F:F,0))),"X","_"),"_")</f>
        <v>_</v>
      </c>
      <c r="L1747" t="str">
        <f t="shared" ca="1" si="110"/>
        <v>__X_</v>
      </c>
      <c r="M1747" t="str">
        <f t="shared" ca="1" si="111"/>
        <v/>
      </c>
    </row>
    <row r="1748" spans="1:13" x14ac:dyDescent="0.25">
      <c r="A1748" s="5"/>
      <c r="B1748" s="4" t="str">
        <f t="shared" si="109"/>
        <v/>
      </c>
      <c r="C1748" t="str">
        <f>IF(AND(TRIM(A1748)&lt;&gt;"",IFERROR(VLOOKUP(TRIM(B1748),Inventory!E:E,1,0),0)=0),"X","_")</f>
        <v>_</v>
      </c>
      <c r="D1748" t="str">
        <f>IF(AND(TRIM(A1748)&lt;&gt;"",IFERROR(VLOOKUP(TRIM(B1748),'Full Inventory'!F:F,1,0),0)=0),"X","_")</f>
        <v>_</v>
      </c>
      <c r="E1748" t="str">
        <f t="shared" ref="E1748:E1811" si="112">IF(TRIM(A1748)&lt;&gt;"","_","X")</f>
        <v>X</v>
      </c>
      <c r="F1748" t="str">
        <f ca="1">IFERROR(IF(AND(C1748&amp;D1748&amp;E1748="___",INDIRECT("Inventory!A"&amp;MATCH(VLOOKUP(B1748,Inventory!E:E,1,0),Inventory!E:E,0))&lt;&gt;INDIRECT("'Full Inventory'!B"&amp;MATCH(VLOOKUP(B1748,'Full Inventory'!F:F,1,0),'Full Inventory'!F:F,0))),"X","_"),"_")</f>
        <v>_</v>
      </c>
      <c r="L1748" t="str">
        <f t="shared" ca="1" si="110"/>
        <v>__X_</v>
      </c>
      <c r="M1748" t="str">
        <f t="shared" ca="1" si="111"/>
        <v/>
      </c>
    </row>
    <row r="1749" spans="1:13" x14ac:dyDescent="0.25">
      <c r="A1749" s="5"/>
      <c r="B1749" s="4" t="str">
        <f t="shared" si="109"/>
        <v/>
      </c>
      <c r="C1749" t="str">
        <f>IF(AND(TRIM(A1749)&lt;&gt;"",IFERROR(VLOOKUP(TRIM(B1749),Inventory!E:E,1,0),0)=0),"X","_")</f>
        <v>_</v>
      </c>
      <c r="D1749" t="str">
        <f>IF(AND(TRIM(A1749)&lt;&gt;"",IFERROR(VLOOKUP(TRIM(B1749),'Full Inventory'!F:F,1,0),0)=0),"X","_")</f>
        <v>_</v>
      </c>
      <c r="E1749" t="str">
        <f t="shared" si="112"/>
        <v>X</v>
      </c>
      <c r="F1749" t="str">
        <f ca="1">IFERROR(IF(AND(C1749&amp;D1749&amp;E1749="___",INDIRECT("Inventory!A"&amp;MATCH(VLOOKUP(B1749,Inventory!E:E,1,0),Inventory!E:E,0))&lt;&gt;INDIRECT("'Full Inventory'!B"&amp;MATCH(VLOOKUP(B1749,'Full Inventory'!F:F,1,0),'Full Inventory'!F:F,0))),"X","_"),"_")</f>
        <v>_</v>
      </c>
      <c r="L1749" t="str">
        <f t="shared" ca="1" si="110"/>
        <v>__X_</v>
      </c>
      <c r="M1749" t="str">
        <f t="shared" ca="1" si="111"/>
        <v/>
      </c>
    </row>
    <row r="1750" spans="1:13" x14ac:dyDescent="0.25">
      <c r="A1750" s="5"/>
      <c r="B1750" s="4" t="str">
        <f t="shared" si="109"/>
        <v/>
      </c>
      <c r="C1750" t="str">
        <f>IF(AND(TRIM(A1750)&lt;&gt;"",IFERROR(VLOOKUP(TRIM(B1750),Inventory!E:E,1,0),0)=0),"X","_")</f>
        <v>_</v>
      </c>
      <c r="D1750" t="str">
        <f>IF(AND(TRIM(A1750)&lt;&gt;"",IFERROR(VLOOKUP(TRIM(B1750),'Full Inventory'!F:F,1,0),0)=0),"X","_")</f>
        <v>_</v>
      </c>
      <c r="E1750" t="str">
        <f t="shared" si="112"/>
        <v>X</v>
      </c>
      <c r="F1750" t="str">
        <f ca="1">IFERROR(IF(AND(C1750&amp;D1750&amp;E1750="___",INDIRECT("Inventory!A"&amp;MATCH(VLOOKUP(B1750,Inventory!E:E,1,0),Inventory!E:E,0))&lt;&gt;INDIRECT("'Full Inventory'!B"&amp;MATCH(VLOOKUP(B1750,'Full Inventory'!F:F,1,0),'Full Inventory'!F:F,0))),"X","_"),"_")</f>
        <v>_</v>
      </c>
      <c r="L1750" t="str">
        <f t="shared" ca="1" si="110"/>
        <v>__X_</v>
      </c>
      <c r="M1750" t="str">
        <f t="shared" ca="1" si="111"/>
        <v/>
      </c>
    </row>
    <row r="1751" spans="1:13" x14ac:dyDescent="0.25">
      <c r="A1751" s="5"/>
      <c r="B1751" s="4" t="str">
        <f t="shared" si="109"/>
        <v/>
      </c>
      <c r="C1751" t="str">
        <f>IF(AND(TRIM(A1751)&lt;&gt;"",IFERROR(VLOOKUP(TRIM(B1751),Inventory!E:E,1,0),0)=0),"X","_")</f>
        <v>_</v>
      </c>
      <c r="D1751" t="str">
        <f>IF(AND(TRIM(A1751)&lt;&gt;"",IFERROR(VLOOKUP(TRIM(B1751),'Full Inventory'!F:F,1,0),0)=0),"X","_")</f>
        <v>_</v>
      </c>
      <c r="E1751" t="str">
        <f t="shared" si="112"/>
        <v>X</v>
      </c>
      <c r="F1751" t="str">
        <f ca="1">IFERROR(IF(AND(C1751&amp;D1751&amp;E1751="___",INDIRECT("Inventory!A"&amp;MATCH(VLOOKUP(B1751,Inventory!E:E,1,0),Inventory!E:E,0))&lt;&gt;INDIRECT("'Full Inventory'!B"&amp;MATCH(VLOOKUP(B1751,'Full Inventory'!F:F,1,0),'Full Inventory'!F:F,0))),"X","_"),"_")</f>
        <v>_</v>
      </c>
      <c r="L1751" t="str">
        <f t="shared" ca="1" si="110"/>
        <v>__X_</v>
      </c>
      <c r="M1751" t="str">
        <f t="shared" ca="1" si="111"/>
        <v/>
      </c>
    </row>
    <row r="1752" spans="1:13" x14ac:dyDescent="0.25">
      <c r="A1752" s="5"/>
      <c r="B1752" s="4" t="str">
        <f t="shared" si="109"/>
        <v/>
      </c>
      <c r="C1752" t="str">
        <f>IF(AND(TRIM(A1752)&lt;&gt;"",IFERROR(VLOOKUP(TRIM(B1752),Inventory!E:E,1,0),0)=0),"X","_")</f>
        <v>_</v>
      </c>
      <c r="D1752" t="str">
        <f>IF(AND(TRIM(A1752)&lt;&gt;"",IFERROR(VLOOKUP(TRIM(B1752),'Full Inventory'!F:F,1,0),0)=0),"X","_")</f>
        <v>_</v>
      </c>
      <c r="E1752" t="str">
        <f t="shared" si="112"/>
        <v>X</v>
      </c>
      <c r="F1752" t="str">
        <f ca="1">IFERROR(IF(AND(C1752&amp;D1752&amp;E1752="___",INDIRECT("Inventory!A"&amp;MATCH(VLOOKUP(B1752,Inventory!E:E,1,0),Inventory!E:E,0))&lt;&gt;INDIRECT("'Full Inventory'!B"&amp;MATCH(VLOOKUP(B1752,'Full Inventory'!F:F,1,0),'Full Inventory'!F:F,0))),"X","_"),"_")</f>
        <v>_</v>
      </c>
      <c r="L1752" t="str">
        <f t="shared" ca="1" si="110"/>
        <v>__X_</v>
      </c>
      <c r="M1752" t="str">
        <f t="shared" ca="1" si="111"/>
        <v/>
      </c>
    </row>
    <row r="1753" spans="1:13" x14ac:dyDescent="0.25">
      <c r="A1753" s="5"/>
      <c r="B1753" s="4" t="str">
        <f t="shared" si="109"/>
        <v/>
      </c>
      <c r="C1753" t="str">
        <f>IF(AND(TRIM(A1753)&lt;&gt;"",IFERROR(VLOOKUP(TRIM(B1753),Inventory!E:E,1,0),0)=0),"X","_")</f>
        <v>_</v>
      </c>
      <c r="D1753" t="str">
        <f>IF(AND(TRIM(A1753)&lt;&gt;"",IFERROR(VLOOKUP(TRIM(B1753),'Full Inventory'!F:F,1,0),0)=0),"X","_")</f>
        <v>_</v>
      </c>
      <c r="E1753" t="str">
        <f t="shared" si="112"/>
        <v>X</v>
      </c>
      <c r="F1753" t="str">
        <f ca="1">IFERROR(IF(AND(C1753&amp;D1753&amp;E1753="___",INDIRECT("Inventory!A"&amp;MATCH(VLOOKUP(B1753,Inventory!E:E,1,0),Inventory!E:E,0))&lt;&gt;INDIRECT("'Full Inventory'!B"&amp;MATCH(VLOOKUP(B1753,'Full Inventory'!F:F,1,0),'Full Inventory'!F:F,0))),"X","_"),"_")</f>
        <v>_</v>
      </c>
      <c r="L1753" t="str">
        <f t="shared" ca="1" si="110"/>
        <v>__X_</v>
      </c>
      <c r="M1753" t="str">
        <f t="shared" ca="1" si="111"/>
        <v/>
      </c>
    </row>
    <row r="1754" spans="1:13" x14ac:dyDescent="0.25">
      <c r="A1754" s="5"/>
      <c r="B1754" s="4" t="str">
        <f t="shared" si="109"/>
        <v/>
      </c>
      <c r="C1754" t="str">
        <f>IF(AND(TRIM(A1754)&lt;&gt;"",IFERROR(VLOOKUP(TRIM(B1754),Inventory!E:E,1,0),0)=0),"X","_")</f>
        <v>_</v>
      </c>
      <c r="D1754" t="str">
        <f>IF(AND(TRIM(A1754)&lt;&gt;"",IFERROR(VLOOKUP(TRIM(B1754),'Full Inventory'!F:F,1,0),0)=0),"X","_")</f>
        <v>_</v>
      </c>
      <c r="E1754" t="str">
        <f t="shared" si="112"/>
        <v>X</v>
      </c>
      <c r="F1754" t="str">
        <f ca="1">IFERROR(IF(AND(C1754&amp;D1754&amp;E1754="___",INDIRECT("Inventory!A"&amp;MATCH(VLOOKUP(B1754,Inventory!E:E,1,0),Inventory!E:E,0))&lt;&gt;INDIRECT("'Full Inventory'!B"&amp;MATCH(VLOOKUP(B1754,'Full Inventory'!F:F,1,0),'Full Inventory'!F:F,0))),"X","_"),"_")</f>
        <v>_</v>
      </c>
      <c r="L1754" t="str">
        <f t="shared" ca="1" si="110"/>
        <v>__X_</v>
      </c>
      <c r="M1754" t="str">
        <f t="shared" ca="1" si="111"/>
        <v/>
      </c>
    </row>
    <row r="1755" spans="1:13" x14ac:dyDescent="0.25">
      <c r="A1755" s="5"/>
      <c r="B1755" s="4" t="str">
        <f t="shared" si="109"/>
        <v/>
      </c>
      <c r="C1755" t="str">
        <f>IF(AND(TRIM(A1755)&lt;&gt;"",IFERROR(VLOOKUP(TRIM(B1755),Inventory!E:E,1,0),0)=0),"X","_")</f>
        <v>_</v>
      </c>
      <c r="D1755" t="str">
        <f>IF(AND(TRIM(A1755)&lt;&gt;"",IFERROR(VLOOKUP(TRIM(B1755),'Full Inventory'!F:F,1,0),0)=0),"X","_")</f>
        <v>_</v>
      </c>
      <c r="E1755" t="str">
        <f t="shared" si="112"/>
        <v>X</v>
      </c>
      <c r="F1755" t="str">
        <f ca="1">IFERROR(IF(AND(C1755&amp;D1755&amp;E1755="___",INDIRECT("Inventory!A"&amp;MATCH(VLOOKUP(B1755,Inventory!E:E,1,0),Inventory!E:E,0))&lt;&gt;INDIRECT("'Full Inventory'!B"&amp;MATCH(VLOOKUP(B1755,'Full Inventory'!F:F,1,0),'Full Inventory'!F:F,0))),"X","_"),"_")</f>
        <v>_</v>
      </c>
      <c r="L1755" t="str">
        <f t="shared" ca="1" si="110"/>
        <v>__X_</v>
      </c>
      <c r="M1755" t="str">
        <f t="shared" ca="1" si="111"/>
        <v/>
      </c>
    </row>
    <row r="1756" spans="1:13" x14ac:dyDescent="0.25">
      <c r="A1756" s="5"/>
      <c r="B1756" s="4" t="str">
        <f t="shared" si="109"/>
        <v/>
      </c>
      <c r="C1756" t="str">
        <f>IF(AND(TRIM(A1756)&lt;&gt;"",IFERROR(VLOOKUP(TRIM(B1756),Inventory!E:E,1,0),0)=0),"X","_")</f>
        <v>_</v>
      </c>
      <c r="D1756" t="str">
        <f>IF(AND(TRIM(A1756)&lt;&gt;"",IFERROR(VLOOKUP(TRIM(B1756),'Full Inventory'!F:F,1,0),0)=0),"X","_")</f>
        <v>_</v>
      </c>
      <c r="E1756" t="str">
        <f t="shared" si="112"/>
        <v>X</v>
      </c>
      <c r="F1756" t="str">
        <f ca="1">IFERROR(IF(AND(C1756&amp;D1756&amp;E1756="___",INDIRECT("Inventory!A"&amp;MATCH(VLOOKUP(B1756,Inventory!E:E,1,0),Inventory!E:E,0))&lt;&gt;INDIRECT("'Full Inventory'!B"&amp;MATCH(VLOOKUP(B1756,'Full Inventory'!F:F,1,0),'Full Inventory'!F:F,0))),"X","_"),"_")</f>
        <v>_</v>
      </c>
      <c r="L1756" t="str">
        <f t="shared" ca="1" si="110"/>
        <v>__X_</v>
      </c>
      <c r="M1756" t="str">
        <f t="shared" ca="1" si="111"/>
        <v/>
      </c>
    </row>
    <row r="1757" spans="1:13" x14ac:dyDescent="0.25">
      <c r="A1757" s="5"/>
      <c r="B1757" s="4" t="str">
        <f t="shared" si="109"/>
        <v/>
      </c>
      <c r="C1757" t="str">
        <f>IF(AND(TRIM(A1757)&lt;&gt;"",IFERROR(VLOOKUP(TRIM(B1757),Inventory!E:E,1,0),0)=0),"X","_")</f>
        <v>_</v>
      </c>
      <c r="D1757" t="str">
        <f>IF(AND(TRIM(A1757)&lt;&gt;"",IFERROR(VLOOKUP(TRIM(B1757),'Full Inventory'!F:F,1,0),0)=0),"X","_")</f>
        <v>_</v>
      </c>
      <c r="E1757" t="str">
        <f t="shared" si="112"/>
        <v>X</v>
      </c>
      <c r="F1757" t="str">
        <f ca="1">IFERROR(IF(AND(C1757&amp;D1757&amp;E1757="___",INDIRECT("Inventory!A"&amp;MATCH(VLOOKUP(B1757,Inventory!E:E,1,0),Inventory!E:E,0))&lt;&gt;INDIRECT("'Full Inventory'!B"&amp;MATCH(VLOOKUP(B1757,'Full Inventory'!F:F,1,0),'Full Inventory'!F:F,0))),"X","_"),"_")</f>
        <v>_</v>
      </c>
      <c r="L1757" t="str">
        <f t="shared" ca="1" si="110"/>
        <v>__X_</v>
      </c>
      <c r="M1757" t="str">
        <f t="shared" ca="1" si="111"/>
        <v/>
      </c>
    </row>
    <row r="1758" spans="1:13" x14ac:dyDescent="0.25">
      <c r="A1758" s="5"/>
      <c r="B1758" s="4" t="str">
        <f t="shared" si="109"/>
        <v/>
      </c>
      <c r="C1758" t="str">
        <f>IF(AND(TRIM(A1758)&lt;&gt;"",IFERROR(VLOOKUP(TRIM(B1758),Inventory!E:E,1,0),0)=0),"X","_")</f>
        <v>_</v>
      </c>
      <c r="D1758" t="str">
        <f>IF(AND(TRIM(A1758)&lt;&gt;"",IFERROR(VLOOKUP(TRIM(B1758),'Full Inventory'!F:F,1,0),0)=0),"X","_")</f>
        <v>_</v>
      </c>
      <c r="E1758" t="str">
        <f t="shared" si="112"/>
        <v>X</v>
      </c>
      <c r="F1758" t="str">
        <f ca="1">IFERROR(IF(AND(C1758&amp;D1758&amp;E1758="___",INDIRECT("Inventory!A"&amp;MATCH(VLOOKUP(B1758,Inventory!E:E,1,0),Inventory!E:E,0))&lt;&gt;INDIRECT("'Full Inventory'!B"&amp;MATCH(VLOOKUP(B1758,'Full Inventory'!F:F,1,0),'Full Inventory'!F:F,0))),"X","_"),"_")</f>
        <v>_</v>
      </c>
      <c r="L1758" t="str">
        <f t="shared" ca="1" si="110"/>
        <v>__X_</v>
      </c>
      <c r="M1758" t="str">
        <f t="shared" ca="1" si="111"/>
        <v/>
      </c>
    </row>
    <row r="1759" spans="1:13" x14ac:dyDescent="0.25">
      <c r="A1759" s="5"/>
      <c r="B1759" s="4" t="str">
        <f t="shared" si="109"/>
        <v/>
      </c>
      <c r="C1759" t="str">
        <f>IF(AND(TRIM(A1759)&lt;&gt;"",IFERROR(VLOOKUP(TRIM(B1759),Inventory!E:E,1,0),0)=0),"X","_")</f>
        <v>_</v>
      </c>
      <c r="D1759" t="str">
        <f>IF(AND(TRIM(A1759)&lt;&gt;"",IFERROR(VLOOKUP(TRIM(B1759),'Full Inventory'!F:F,1,0),0)=0),"X","_")</f>
        <v>_</v>
      </c>
      <c r="E1759" t="str">
        <f t="shared" si="112"/>
        <v>X</v>
      </c>
      <c r="F1759" t="str">
        <f ca="1">IFERROR(IF(AND(C1759&amp;D1759&amp;E1759="___",INDIRECT("Inventory!A"&amp;MATCH(VLOOKUP(B1759,Inventory!E:E,1,0),Inventory!E:E,0))&lt;&gt;INDIRECT("'Full Inventory'!B"&amp;MATCH(VLOOKUP(B1759,'Full Inventory'!F:F,1,0),'Full Inventory'!F:F,0))),"X","_"),"_")</f>
        <v>_</v>
      </c>
      <c r="L1759" t="str">
        <f t="shared" ca="1" si="110"/>
        <v>__X_</v>
      </c>
      <c r="M1759" t="str">
        <f t="shared" ca="1" si="111"/>
        <v/>
      </c>
    </row>
    <row r="1760" spans="1:13" x14ac:dyDescent="0.25">
      <c r="A1760" s="5"/>
      <c r="B1760" s="4" t="str">
        <f t="shared" si="109"/>
        <v/>
      </c>
      <c r="C1760" t="str">
        <f>IF(AND(TRIM(A1760)&lt;&gt;"",IFERROR(VLOOKUP(TRIM(B1760),Inventory!E:E,1,0),0)=0),"X","_")</f>
        <v>_</v>
      </c>
      <c r="D1760" t="str">
        <f>IF(AND(TRIM(A1760)&lt;&gt;"",IFERROR(VLOOKUP(TRIM(B1760),'Full Inventory'!F:F,1,0),0)=0),"X","_")</f>
        <v>_</v>
      </c>
      <c r="E1760" t="str">
        <f t="shared" si="112"/>
        <v>X</v>
      </c>
      <c r="F1760" t="str">
        <f ca="1">IFERROR(IF(AND(C1760&amp;D1760&amp;E1760="___",INDIRECT("Inventory!A"&amp;MATCH(VLOOKUP(B1760,Inventory!E:E,1,0),Inventory!E:E,0))&lt;&gt;INDIRECT("'Full Inventory'!B"&amp;MATCH(VLOOKUP(B1760,'Full Inventory'!F:F,1,0),'Full Inventory'!F:F,0))),"X","_"),"_")</f>
        <v>_</v>
      </c>
      <c r="L1760" t="str">
        <f t="shared" ca="1" si="110"/>
        <v>__X_</v>
      </c>
      <c r="M1760" t="str">
        <f t="shared" ca="1" si="111"/>
        <v/>
      </c>
    </row>
    <row r="1761" spans="1:13" x14ac:dyDescent="0.25">
      <c r="A1761" s="5"/>
      <c r="B1761" s="4" t="str">
        <f t="shared" si="109"/>
        <v/>
      </c>
      <c r="C1761" t="str">
        <f>IF(AND(TRIM(A1761)&lt;&gt;"",IFERROR(VLOOKUP(TRIM(B1761),Inventory!E:E,1,0),0)=0),"X","_")</f>
        <v>_</v>
      </c>
      <c r="D1761" t="str">
        <f>IF(AND(TRIM(A1761)&lt;&gt;"",IFERROR(VLOOKUP(TRIM(B1761),'Full Inventory'!F:F,1,0),0)=0),"X","_")</f>
        <v>_</v>
      </c>
      <c r="E1761" t="str">
        <f t="shared" si="112"/>
        <v>X</v>
      </c>
      <c r="F1761" t="str">
        <f ca="1">IFERROR(IF(AND(C1761&amp;D1761&amp;E1761="___",INDIRECT("Inventory!A"&amp;MATCH(VLOOKUP(B1761,Inventory!E:E,1,0),Inventory!E:E,0))&lt;&gt;INDIRECT("'Full Inventory'!B"&amp;MATCH(VLOOKUP(B1761,'Full Inventory'!F:F,1,0),'Full Inventory'!F:F,0))),"X","_"),"_")</f>
        <v>_</v>
      </c>
      <c r="L1761" t="str">
        <f t="shared" ca="1" si="110"/>
        <v>__X_</v>
      </c>
      <c r="M1761" t="str">
        <f t="shared" ca="1" si="111"/>
        <v/>
      </c>
    </row>
    <row r="1762" spans="1:13" x14ac:dyDescent="0.25">
      <c r="A1762" s="5"/>
      <c r="B1762" s="4" t="str">
        <f t="shared" si="109"/>
        <v/>
      </c>
      <c r="C1762" t="str">
        <f>IF(AND(TRIM(A1762)&lt;&gt;"",IFERROR(VLOOKUP(TRIM(B1762),Inventory!E:E,1,0),0)=0),"X","_")</f>
        <v>_</v>
      </c>
      <c r="D1762" t="str">
        <f>IF(AND(TRIM(A1762)&lt;&gt;"",IFERROR(VLOOKUP(TRIM(B1762),'Full Inventory'!F:F,1,0),0)=0),"X","_")</f>
        <v>_</v>
      </c>
      <c r="E1762" t="str">
        <f t="shared" si="112"/>
        <v>X</v>
      </c>
      <c r="F1762" t="str">
        <f ca="1">IFERROR(IF(AND(C1762&amp;D1762&amp;E1762="___",INDIRECT("Inventory!A"&amp;MATCH(VLOOKUP(B1762,Inventory!E:E,1,0),Inventory!E:E,0))&lt;&gt;INDIRECT("'Full Inventory'!B"&amp;MATCH(VLOOKUP(B1762,'Full Inventory'!F:F,1,0),'Full Inventory'!F:F,0))),"X","_"),"_")</f>
        <v>_</v>
      </c>
      <c r="L1762" t="str">
        <f t="shared" ca="1" si="110"/>
        <v>__X_</v>
      </c>
      <c r="M1762" t="str">
        <f t="shared" ca="1" si="111"/>
        <v/>
      </c>
    </row>
    <row r="1763" spans="1:13" x14ac:dyDescent="0.25">
      <c r="A1763" s="5"/>
      <c r="B1763" s="4" t="str">
        <f t="shared" si="109"/>
        <v/>
      </c>
      <c r="C1763" t="str">
        <f>IF(AND(TRIM(A1763)&lt;&gt;"",IFERROR(VLOOKUP(TRIM(B1763),Inventory!E:E,1,0),0)=0),"X","_")</f>
        <v>_</v>
      </c>
      <c r="D1763" t="str">
        <f>IF(AND(TRIM(A1763)&lt;&gt;"",IFERROR(VLOOKUP(TRIM(B1763),'Full Inventory'!F:F,1,0),0)=0),"X","_")</f>
        <v>_</v>
      </c>
      <c r="E1763" t="str">
        <f t="shared" si="112"/>
        <v>X</v>
      </c>
      <c r="F1763" t="str">
        <f ca="1">IFERROR(IF(AND(C1763&amp;D1763&amp;E1763="___",INDIRECT("Inventory!A"&amp;MATCH(VLOOKUP(B1763,Inventory!E:E,1,0),Inventory!E:E,0))&lt;&gt;INDIRECT("'Full Inventory'!B"&amp;MATCH(VLOOKUP(B1763,'Full Inventory'!F:F,1,0),'Full Inventory'!F:F,0))),"X","_"),"_")</f>
        <v>_</v>
      </c>
      <c r="L1763" t="str">
        <f t="shared" ca="1" si="110"/>
        <v>__X_</v>
      </c>
      <c r="M1763" t="str">
        <f t="shared" ca="1" si="111"/>
        <v/>
      </c>
    </row>
    <row r="1764" spans="1:13" x14ac:dyDescent="0.25">
      <c r="A1764" s="5"/>
      <c r="B1764" s="4" t="str">
        <f t="shared" si="109"/>
        <v/>
      </c>
      <c r="C1764" t="str">
        <f>IF(AND(TRIM(A1764)&lt;&gt;"",IFERROR(VLOOKUP(TRIM(B1764),Inventory!E:E,1,0),0)=0),"X","_")</f>
        <v>_</v>
      </c>
      <c r="D1764" t="str">
        <f>IF(AND(TRIM(A1764)&lt;&gt;"",IFERROR(VLOOKUP(TRIM(B1764),'Full Inventory'!F:F,1,0),0)=0),"X","_")</f>
        <v>_</v>
      </c>
      <c r="E1764" t="str">
        <f t="shared" si="112"/>
        <v>X</v>
      </c>
      <c r="F1764" t="str">
        <f ca="1">IFERROR(IF(AND(C1764&amp;D1764&amp;E1764="___",INDIRECT("Inventory!A"&amp;MATCH(VLOOKUP(B1764,Inventory!E:E,1,0),Inventory!E:E,0))&lt;&gt;INDIRECT("'Full Inventory'!B"&amp;MATCH(VLOOKUP(B1764,'Full Inventory'!F:F,1,0),'Full Inventory'!F:F,0))),"X","_"),"_")</f>
        <v>_</v>
      </c>
      <c r="L1764" t="str">
        <f t="shared" ca="1" si="110"/>
        <v>__X_</v>
      </c>
      <c r="M1764" t="str">
        <f t="shared" ca="1" si="111"/>
        <v/>
      </c>
    </row>
    <row r="1765" spans="1:13" x14ac:dyDescent="0.25">
      <c r="A1765" s="5"/>
      <c r="B1765" s="4" t="str">
        <f t="shared" si="109"/>
        <v/>
      </c>
      <c r="C1765" t="str">
        <f>IF(AND(TRIM(A1765)&lt;&gt;"",IFERROR(VLOOKUP(TRIM(B1765),Inventory!E:E,1,0),0)=0),"X","_")</f>
        <v>_</v>
      </c>
      <c r="D1765" t="str">
        <f>IF(AND(TRIM(A1765)&lt;&gt;"",IFERROR(VLOOKUP(TRIM(B1765),'Full Inventory'!F:F,1,0),0)=0),"X","_")</f>
        <v>_</v>
      </c>
      <c r="E1765" t="str">
        <f t="shared" si="112"/>
        <v>X</v>
      </c>
      <c r="F1765" t="str">
        <f ca="1">IFERROR(IF(AND(C1765&amp;D1765&amp;E1765="___",INDIRECT("Inventory!A"&amp;MATCH(VLOOKUP(B1765,Inventory!E:E,1,0),Inventory!E:E,0))&lt;&gt;INDIRECT("'Full Inventory'!B"&amp;MATCH(VLOOKUP(B1765,'Full Inventory'!F:F,1,0),'Full Inventory'!F:F,0))),"X","_"),"_")</f>
        <v>_</v>
      </c>
      <c r="L1765" t="str">
        <f t="shared" ca="1" si="110"/>
        <v>__X_</v>
      </c>
      <c r="M1765" t="str">
        <f t="shared" ca="1" si="111"/>
        <v/>
      </c>
    </row>
    <row r="1766" spans="1:13" x14ac:dyDescent="0.25">
      <c r="A1766" s="5"/>
      <c r="B1766" s="4" t="str">
        <f t="shared" si="109"/>
        <v/>
      </c>
      <c r="C1766" t="str">
        <f>IF(AND(TRIM(A1766)&lt;&gt;"",IFERROR(VLOOKUP(TRIM(B1766),Inventory!E:E,1,0),0)=0),"X","_")</f>
        <v>_</v>
      </c>
      <c r="D1766" t="str">
        <f>IF(AND(TRIM(A1766)&lt;&gt;"",IFERROR(VLOOKUP(TRIM(B1766),'Full Inventory'!F:F,1,0),0)=0),"X","_")</f>
        <v>_</v>
      </c>
      <c r="E1766" t="str">
        <f t="shared" si="112"/>
        <v>X</v>
      </c>
      <c r="F1766" t="str">
        <f ca="1">IFERROR(IF(AND(C1766&amp;D1766&amp;E1766="___",INDIRECT("Inventory!A"&amp;MATCH(VLOOKUP(B1766,Inventory!E:E,1,0),Inventory!E:E,0))&lt;&gt;INDIRECT("'Full Inventory'!B"&amp;MATCH(VLOOKUP(B1766,'Full Inventory'!F:F,1,0),'Full Inventory'!F:F,0))),"X","_"),"_")</f>
        <v>_</v>
      </c>
      <c r="L1766" t="str">
        <f t="shared" ca="1" si="110"/>
        <v>__X_</v>
      </c>
      <c r="M1766" t="str">
        <f t="shared" ca="1" si="111"/>
        <v/>
      </c>
    </row>
    <row r="1767" spans="1:13" x14ac:dyDescent="0.25">
      <c r="A1767" s="5"/>
      <c r="B1767" s="4" t="str">
        <f t="shared" si="109"/>
        <v/>
      </c>
      <c r="C1767" t="str">
        <f>IF(AND(TRIM(A1767)&lt;&gt;"",IFERROR(VLOOKUP(TRIM(B1767),Inventory!E:E,1,0),0)=0),"X","_")</f>
        <v>_</v>
      </c>
      <c r="D1767" t="str">
        <f>IF(AND(TRIM(A1767)&lt;&gt;"",IFERROR(VLOOKUP(TRIM(B1767),'Full Inventory'!F:F,1,0),0)=0),"X","_")</f>
        <v>_</v>
      </c>
      <c r="E1767" t="str">
        <f t="shared" si="112"/>
        <v>X</v>
      </c>
      <c r="F1767" t="str">
        <f ca="1">IFERROR(IF(AND(C1767&amp;D1767&amp;E1767="___",INDIRECT("Inventory!A"&amp;MATCH(VLOOKUP(B1767,Inventory!E:E,1,0),Inventory!E:E,0))&lt;&gt;INDIRECT("'Full Inventory'!B"&amp;MATCH(VLOOKUP(B1767,'Full Inventory'!F:F,1,0),'Full Inventory'!F:F,0))),"X","_"),"_")</f>
        <v>_</v>
      </c>
      <c r="L1767" t="str">
        <f t="shared" ca="1" si="110"/>
        <v>__X_</v>
      </c>
      <c r="M1767" t="str">
        <f t="shared" ca="1" si="111"/>
        <v/>
      </c>
    </row>
    <row r="1768" spans="1:13" x14ac:dyDescent="0.25">
      <c r="A1768" s="5"/>
      <c r="B1768" s="4" t="str">
        <f t="shared" si="109"/>
        <v/>
      </c>
      <c r="C1768" t="str">
        <f>IF(AND(TRIM(A1768)&lt;&gt;"",IFERROR(VLOOKUP(TRIM(B1768),Inventory!E:E,1,0),0)=0),"X","_")</f>
        <v>_</v>
      </c>
      <c r="D1768" t="str">
        <f>IF(AND(TRIM(A1768)&lt;&gt;"",IFERROR(VLOOKUP(TRIM(B1768),'Full Inventory'!F:F,1,0),0)=0),"X","_")</f>
        <v>_</v>
      </c>
      <c r="E1768" t="str">
        <f t="shared" si="112"/>
        <v>X</v>
      </c>
      <c r="F1768" t="str">
        <f ca="1">IFERROR(IF(AND(C1768&amp;D1768&amp;E1768="___",INDIRECT("Inventory!A"&amp;MATCH(VLOOKUP(B1768,Inventory!E:E,1,0),Inventory!E:E,0))&lt;&gt;INDIRECT("'Full Inventory'!B"&amp;MATCH(VLOOKUP(B1768,'Full Inventory'!F:F,1,0),'Full Inventory'!F:F,0))),"X","_"),"_")</f>
        <v>_</v>
      </c>
      <c r="L1768" t="str">
        <f t="shared" ca="1" si="110"/>
        <v>__X_</v>
      </c>
      <c r="M1768" t="str">
        <f t="shared" ca="1" si="111"/>
        <v/>
      </c>
    </row>
    <row r="1769" spans="1:13" x14ac:dyDescent="0.25">
      <c r="A1769" s="5"/>
      <c r="B1769" s="4" t="str">
        <f t="shared" si="109"/>
        <v/>
      </c>
      <c r="C1769" t="str">
        <f>IF(AND(TRIM(A1769)&lt;&gt;"",IFERROR(VLOOKUP(TRIM(B1769),Inventory!E:E,1,0),0)=0),"X","_")</f>
        <v>_</v>
      </c>
      <c r="D1769" t="str">
        <f>IF(AND(TRIM(A1769)&lt;&gt;"",IFERROR(VLOOKUP(TRIM(B1769),'Full Inventory'!F:F,1,0),0)=0),"X","_")</f>
        <v>_</v>
      </c>
      <c r="E1769" t="str">
        <f t="shared" si="112"/>
        <v>X</v>
      </c>
      <c r="F1769" t="str">
        <f ca="1">IFERROR(IF(AND(C1769&amp;D1769&amp;E1769="___",INDIRECT("Inventory!A"&amp;MATCH(VLOOKUP(B1769,Inventory!E:E,1,0),Inventory!E:E,0))&lt;&gt;INDIRECT("'Full Inventory'!B"&amp;MATCH(VLOOKUP(B1769,'Full Inventory'!F:F,1,0),'Full Inventory'!F:F,0))),"X","_"),"_")</f>
        <v>_</v>
      </c>
      <c r="L1769" t="str">
        <f t="shared" ca="1" si="110"/>
        <v>__X_</v>
      </c>
      <c r="M1769" t="str">
        <f t="shared" ca="1" si="111"/>
        <v/>
      </c>
    </row>
    <row r="1770" spans="1:13" x14ac:dyDescent="0.25">
      <c r="A1770" s="5"/>
      <c r="B1770" s="4" t="str">
        <f t="shared" si="109"/>
        <v/>
      </c>
      <c r="C1770" t="str">
        <f>IF(AND(TRIM(A1770)&lt;&gt;"",IFERROR(VLOOKUP(TRIM(B1770),Inventory!E:E,1,0),0)=0),"X","_")</f>
        <v>_</v>
      </c>
      <c r="D1770" t="str">
        <f>IF(AND(TRIM(A1770)&lt;&gt;"",IFERROR(VLOOKUP(TRIM(B1770),'Full Inventory'!F:F,1,0),0)=0),"X","_")</f>
        <v>_</v>
      </c>
      <c r="E1770" t="str">
        <f t="shared" si="112"/>
        <v>X</v>
      </c>
      <c r="F1770" t="str">
        <f ca="1">IFERROR(IF(AND(C1770&amp;D1770&amp;E1770="___",INDIRECT("Inventory!A"&amp;MATCH(VLOOKUP(B1770,Inventory!E:E,1,0),Inventory!E:E,0))&lt;&gt;INDIRECT("'Full Inventory'!B"&amp;MATCH(VLOOKUP(B1770,'Full Inventory'!F:F,1,0),'Full Inventory'!F:F,0))),"X","_"),"_")</f>
        <v>_</v>
      </c>
      <c r="L1770" t="str">
        <f t="shared" ca="1" si="110"/>
        <v>__X_</v>
      </c>
      <c r="M1770" t="str">
        <f t="shared" ca="1" si="111"/>
        <v/>
      </c>
    </row>
    <row r="1771" spans="1:13" x14ac:dyDescent="0.25">
      <c r="A1771" s="5"/>
      <c r="B1771" s="4" t="str">
        <f t="shared" si="109"/>
        <v/>
      </c>
      <c r="C1771" t="str">
        <f>IF(AND(TRIM(A1771)&lt;&gt;"",IFERROR(VLOOKUP(TRIM(B1771),Inventory!E:E,1,0),0)=0),"X","_")</f>
        <v>_</v>
      </c>
      <c r="D1771" t="str">
        <f>IF(AND(TRIM(A1771)&lt;&gt;"",IFERROR(VLOOKUP(TRIM(B1771),'Full Inventory'!F:F,1,0),0)=0),"X","_")</f>
        <v>_</v>
      </c>
      <c r="E1771" t="str">
        <f t="shared" si="112"/>
        <v>X</v>
      </c>
      <c r="F1771" t="str">
        <f ca="1">IFERROR(IF(AND(C1771&amp;D1771&amp;E1771="___",INDIRECT("Inventory!A"&amp;MATCH(VLOOKUP(B1771,Inventory!E:E,1,0),Inventory!E:E,0))&lt;&gt;INDIRECT("'Full Inventory'!B"&amp;MATCH(VLOOKUP(B1771,'Full Inventory'!F:F,1,0),'Full Inventory'!F:F,0))),"X","_"),"_")</f>
        <v>_</v>
      </c>
      <c r="L1771" t="str">
        <f t="shared" ca="1" si="110"/>
        <v>__X_</v>
      </c>
      <c r="M1771" t="str">
        <f t="shared" ca="1" si="111"/>
        <v/>
      </c>
    </row>
    <row r="1772" spans="1:13" x14ac:dyDescent="0.25">
      <c r="A1772" s="5"/>
      <c r="B1772" s="4" t="str">
        <f t="shared" si="109"/>
        <v/>
      </c>
      <c r="C1772" t="str">
        <f>IF(AND(TRIM(A1772)&lt;&gt;"",IFERROR(VLOOKUP(TRIM(B1772),Inventory!E:E,1,0),0)=0),"X","_")</f>
        <v>_</v>
      </c>
      <c r="D1772" t="str">
        <f>IF(AND(TRIM(A1772)&lt;&gt;"",IFERROR(VLOOKUP(TRIM(B1772),'Full Inventory'!F:F,1,0),0)=0),"X","_")</f>
        <v>_</v>
      </c>
      <c r="E1772" t="str">
        <f t="shared" si="112"/>
        <v>X</v>
      </c>
      <c r="F1772" t="str">
        <f ca="1">IFERROR(IF(AND(C1772&amp;D1772&amp;E1772="___",INDIRECT("Inventory!A"&amp;MATCH(VLOOKUP(B1772,Inventory!E:E,1,0),Inventory!E:E,0))&lt;&gt;INDIRECT("'Full Inventory'!B"&amp;MATCH(VLOOKUP(B1772,'Full Inventory'!F:F,1,0),'Full Inventory'!F:F,0))),"X","_"),"_")</f>
        <v>_</v>
      </c>
      <c r="L1772" t="str">
        <f t="shared" ca="1" si="110"/>
        <v>__X_</v>
      </c>
      <c r="M1772" t="str">
        <f t="shared" ca="1" si="111"/>
        <v/>
      </c>
    </row>
    <row r="1773" spans="1:13" x14ac:dyDescent="0.25">
      <c r="A1773" s="5"/>
      <c r="B1773" s="4" t="str">
        <f t="shared" si="109"/>
        <v/>
      </c>
      <c r="C1773" t="str">
        <f>IF(AND(TRIM(A1773)&lt;&gt;"",IFERROR(VLOOKUP(TRIM(B1773),Inventory!E:E,1,0),0)=0),"X","_")</f>
        <v>_</v>
      </c>
      <c r="D1773" t="str">
        <f>IF(AND(TRIM(A1773)&lt;&gt;"",IFERROR(VLOOKUP(TRIM(B1773),'Full Inventory'!F:F,1,0),0)=0),"X","_")</f>
        <v>_</v>
      </c>
      <c r="E1773" t="str">
        <f t="shared" si="112"/>
        <v>X</v>
      </c>
      <c r="F1773" t="str">
        <f ca="1">IFERROR(IF(AND(C1773&amp;D1773&amp;E1773="___",INDIRECT("Inventory!A"&amp;MATCH(VLOOKUP(B1773,Inventory!E:E,1,0),Inventory!E:E,0))&lt;&gt;INDIRECT("'Full Inventory'!B"&amp;MATCH(VLOOKUP(B1773,'Full Inventory'!F:F,1,0),'Full Inventory'!F:F,0))),"X","_"),"_")</f>
        <v>_</v>
      </c>
      <c r="L1773" t="str">
        <f t="shared" ca="1" si="110"/>
        <v>__X_</v>
      </c>
      <c r="M1773" t="str">
        <f t="shared" ca="1" si="111"/>
        <v/>
      </c>
    </row>
    <row r="1774" spans="1:13" x14ac:dyDescent="0.25">
      <c r="A1774" s="5"/>
      <c r="B1774" s="4" t="str">
        <f t="shared" si="109"/>
        <v/>
      </c>
      <c r="C1774" t="str">
        <f>IF(AND(TRIM(A1774)&lt;&gt;"",IFERROR(VLOOKUP(TRIM(B1774),Inventory!E:E,1,0),0)=0),"X","_")</f>
        <v>_</v>
      </c>
      <c r="D1774" t="str">
        <f>IF(AND(TRIM(A1774)&lt;&gt;"",IFERROR(VLOOKUP(TRIM(B1774),'Full Inventory'!F:F,1,0),0)=0),"X","_")</f>
        <v>_</v>
      </c>
      <c r="E1774" t="str">
        <f t="shared" si="112"/>
        <v>X</v>
      </c>
      <c r="F1774" t="str">
        <f ca="1">IFERROR(IF(AND(C1774&amp;D1774&amp;E1774="___",INDIRECT("Inventory!A"&amp;MATCH(VLOOKUP(B1774,Inventory!E:E,1,0),Inventory!E:E,0))&lt;&gt;INDIRECT("'Full Inventory'!B"&amp;MATCH(VLOOKUP(B1774,'Full Inventory'!F:F,1,0),'Full Inventory'!F:F,0))),"X","_"),"_")</f>
        <v>_</v>
      </c>
      <c r="L1774" t="str">
        <f t="shared" ca="1" si="110"/>
        <v>__X_</v>
      </c>
      <c r="M1774" t="str">
        <f t="shared" ca="1" si="111"/>
        <v/>
      </c>
    </row>
    <row r="1775" spans="1:13" x14ac:dyDescent="0.25">
      <c r="A1775" s="5"/>
      <c r="B1775" s="4" t="str">
        <f t="shared" si="109"/>
        <v/>
      </c>
      <c r="C1775" t="str">
        <f>IF(AND(TRIM(A1775)&lt;&gt;"",IFERROR(VLOOKUP(TRIM(B1775),Inventory!E:E,1,0),0)=0),"X","_")</f>
        <v>_</v>
      </c>
      <c r="D1775" t="str">
        <f>IF(AND(TRIM(A1775)&lt;&gt;"",IFERROR(VLOOKUP(TRIM(B1775),'Full Inventory'!F:F,1,0),0)=0),"X","_")</f>
        <v>_</v>
      </c>
      <c r="E1775" t="str">
        <f t="shared" si="112"/>
        <v>X</v>
      </c>
      <c r="F1775" t="str">
        <f ca="1">IFERROR(IF(AND(C1775&amp;D1775&amp;E1775="___",INDIRECT("Inventory!A"&amp;MATCH(VLOOKUP(B1775,Inventory!E:E,1,0),Inventory!E:E,0))&lt;&gt;INDIRECT("'Full Inventory'!B"&amp;MATCH(VLOOKUP(B1775,'Full Inventory'!F:F,1,0),'Full Inventory'!F:F,0))),"X","_"),"_")</f>
        <v>_</v>
      </c>
      <c r="L1775" t="str">
        <f t="shared" ca="1" si="110"/>
        <v>__X_</v>
      </c>
      <c r="M1775" t="str">
        <f t="shared" ca="1" si="111"/>
        <v/>
      </c>
    </row>
    <row r="1776" spans="1:13" x14ac:dyDescent="0.25">
      <c r="A1776" s="5"/>
      <c r="B1776" s="4" t="str">
        <f t="shared" si="109"/>
        <v/>
      </c>
      <c r="C1776" t="str">
        <f>IF(AND(TRIM(A1776)&lt;&gt;"",IFERROR(VLOOKUP(TRIM(B1776),Inventory!E:E,1,0),0)=0),"X","_")</f>
        <v>_</v>
      </c>
      <c r="D1776" t="str">
        <f>IF(AND(TRIM(A1776)&lt;&gt;"",IFERROR(VLOOKUP(TRIM(B1776),'Full Inventory'!F:F,1,0),0)=0),"X","_")</f>
        <v>_</v>
      </c>
      <c r="E1776" t="str">
        <f t="shared" si="112"/>
        <v>X</v>
      </c>
      <c r="F1776" t="str">
        <f ca="1">IFERROR(IF(AND(C1776&amp;D1776&amp;E1776="___",INDIRECT("Inventory!A"&amp;MATCH(VLOOKUP(B1776,Inventory!E:E,1,0),Inventory!E:E,0))&lt;&gt;INDIRECT("'Full Inventory'!B"&amp;MATCH(VLOOKUP(B1776,'Full Inventory'!F:F,1,0),'Full Inventory'!F:F,0))),"X","_"),"_")</f>
        <v>_</v>
      </c>
      <c r="L1776" t="str">
        <f t="shared" ca="1" si="110"/>
        <v>__X_</v>
      </c>
      <c r="M1776" t="str">
        <f t="shared" ca="1" si="111"/>
        <v/>
      </c>
    </row>
    <row r="1777" spans="1:13" x14ac:dyDescent="0.25">
      <c r="A1777" s="5"/>
      <c r="B1777" s="4" t="str">
        <f t="shared" si="109"/>
        <v/>
      </c>
      <c r="C1777" t="str">
        <f>IF(AND(TRIM(A1777)&lt;&gt;"",IFERROR(VLOOKUP(TRIM(B1777),Inventory!E:E,1,0),0)=0),"X","_")</f>
        <v>_</v>
      </c>
      <c r="D1777" t="str">
        <f>IF(AND(TRIM(A1777)&lt;&gt;"",IFERROR(VLOOKUP(TRIM(B1777),'Full Inventory'!F:F,1,0),0)=0),"X","_")</f>
        <v>_</v>
      </c>
      <c r="E1777" t="str">
        <f t="shared" si="112"/>
        <v>X</v>
      </c>
      <c r="F1777" t="str">
        <f ca="1">IFERROR(IF(AND(C1777&amp;D1777&amp;E1777="___",INDIRECT("Inventory!A"&amp;MATCH(VLOOKUP(B1777,Inventory!E:E,1,0),Inventory!E:E,0))&lt;&gt;INDIRECT("'Full Inventory'!B"&amp;MATCH(VLOOKUP(B1777,'Full Inventory'!F:F,1,0),'Full Inventory'!F:F,0))),"X","_"),"_")</f>
        <v>_</v>
      </c>
      <c r="L1777" t="str">
        <f t="shared" ca="1" si="110"/>
        <v>__X_</v>
      </c>
      <c r="M1777" t="str">
        <f t="shared" ca="1" si="111"/>
        <v/>
      </c>
    </row>
    <row r="1778" spans="1:13" x14ac:dyDescent="0.25">
      <c r="A1778" s="5"/>
      <c r="B1778" s="4" t="str">
        <f t="shared" si="109"/>
        <v/>
      </c>
      <c r="C1778" t="str">
        <f>IF(AND(TRIM(A1778)&lt;&gt;"",IFERROR(VLOOKUP(TRIM(B1778),Inventory!E:E,1,0),0)=0),"X","_")</f>
        <v>_</v>
      </c>
      <c r="D1778" t="str">
        <f>IF(AND(TRIM(A1778)&lt;&gt;"",IFERROR(VLOOKUP(TRIM(B1778),'Full Inventory'!F:F,1,0),0)=0),"X","_")</f>
        <v>_</v>
      </c>
      <c r="E1778" t="str">
        <f t="shared" si="112"/>
        <v>X</v>
      </c>
      <c r="F1778" t="str">
        <f ca="1">IFERROR(IF(AND(C1778&amp;D1778&amp;E1778="___",INDIRECT("Inventory!A"&amp;MATCH(VLOOKUP(B1778,Inventory!E:E,1,0),Inventory!E:E,0))&lt;&gt;INDIRECT("'Full Inventory'!B"&amp;MATCH(VLOOKUP(B1778,'Full Inventory'!F:F,1,0),'Full Inventory'!F:F,0))),"X","_"),"_")</f>
        <v>_</v>
      </c>
      <c r="L1778" t="str">
        <f t="shared" ca="1" si="110"/>
        <v>__X_</v>
      </c>
      <c r="M1778" t="str">
        <f t="shared" ca="1" si="111"/>
        <v/>
      </c>
    </row>
    <row r="1779" spans="1:13" x14ac:dyDescent="0.25">
      <c r="A1779" s="5"/>
      <c r="B1779" s="4" t="str">
        <f t="shared" si="109"/>
        <v/>
      </c>
      <c r="C1779" t="str">
        <f>IF(AND(TRIM(A1779)&lt;&gt;"",IFERROR(VLOOKUP(TRIM(B1779),Inventory!E:E,1,0),0)=0),"X","_")</f>
        <v>_</v>
      </c>
      <c r="D1779" t="str">
        <f>IF(AND(TRIM(A1779)&lt;&gt;"",IFERROR(VLOOKUP(TRIM(B1779),'Full Inventory'!F:F,1,0),0)=0),"X","_")</f>
        <v>_</v>
      </c>
      <c r="E1779" t="str">
        <f t="shared" si="112"/>
        <v>X</v>
      </c>
      <c r="F1779" t="str">
        <f ca="1">IFERROR(IF(AND(C1779&amp;D1779&amp;E1779="___",INDIRECT("Inventory!A"&amp;MATCH(VLOOKUP(B1779,Inventory!E:E,1,0),Inventory!E:E,0))&lt;&gt;INDIRECT("'Full Inventory'!B"&amp;MATCH(VLOOKUP(B1779,'Full Inventory'!F:F,1,0),'Full Inventory'!F:F,0))),"X","_"),"_")</f>
        <v>_</v>
      </c>
      <c r="L1779" t="str">
        <f t="shared" ca="1" si="110"/>
        <v>__X_</v>
      </c>
      <c r="M1779" t="str">
        <f t="shared" ca="1" si="111"/>
        <v/>
      </c>
    </row>
    <row r="1780" spans="1:13" x14ac:dyDescent="0.25">
      <c r="A1780" s="5"/>
      <c r="B1780" s="4" t="str">
        <f t="shared" si="109"/>
        <v/>
      </c>
      <c r="C1780" t="str">
        <f>IF(AND(TRIM(A1780)&lt;&gt;"",IFERROR(VLOOKUP(TRIM(B1780),Inventory!E:E,1,0),0)=0),"X","_")</f>
        <v>_</v>
      </c>
      <c r="D1780" t="str">
        <f>IF(AND(TRIM(A1780)&lt;&gt;"",IFERROR(VLOOKUP(TRIM(B1780),'Full Inventory'!F:F,1,0),0)=0),"X","_")</f>
        <v>_</v>
      </c>
      <c r="E1780" t="str">
        <f t="shared" si="112"/>
        <v>X</v>
      </c>
      <c r="F1780" t="str">
        <f ca="1">IFERROR(IF(AND(C1780&amp;D1780&amp;E1780="___",INDIRECT("Inventory!A"&amp;MATCH(VLOOKUP(B1780,Inventory!E:E,1,0),Inventory!E:E,0))&lt;&gt;INDIRECT("'Full Inventory'!B"&amp;MATCH(VLOOKUP(B1780,'Full Inventory'!F:F,1,0),'Full Inventory'!F:F,0))),"X","_"),"_")</f>
        <v>_</v>
      </c>
      <c r="L1780" t="str">
        <f t="shared" ca="1" si="110"/>
        <v>__X_</v>
      </c>
      <c r="M1780" t="str">
        <f t="shared" ca="1" si="111"/>
        <v/>
      </c>
    </row>
    <row r="1781" spans="1:13" x14ac:dyDescent="0.25">
      <c r="A1781" s="5"/>
      <c r="B1781" s="4" t="str">
        <f t="shared" si="109"/>
        <v/>
      </c>
      <c r="C1781" t="str">
        <f>IF(AND(TRIM(A1781)&lt;&gt;"",IFERROR(VLOOKUP(TRIM(B1781),Inventory!E:E,1,0),0)=0),"X","_")</f>
        <v>_</v>
      </c>
      <c r="D1781" t="str">
        <f>IF(AND(TRIM(A1781)&lt;&gt;"",IFERROR(VLOOKUP(TRIM(B1781),'Full Inventory'!F:F,1,0),0)=0),"X","_")</f>
        <v>_</v>
      </c>
      <c r="E1781" t="str">
        <f t="shared" si="112"/>
        <v>X</v>
      </c>
      <c r="F1781" t="str">
        <f ca="1">IFERROR(IF(AND(C1781&amp;D1781&amp;E1781="___",INDIRECT("Inventory!A"&amp;MATCH(VLOOKUP(B1781,Inventory!E:E,1,0),Inventory!E:E,0))&lt;&gt;INDIRECT("'Full Inventory'!B"&amp;MATCH(VLOOKUP(B1781,'Full Inventory'!F:F,1,0),'Full Inventory'!F:F,0))),"X","_"),"_")</f>
        <v>_</v>
      </c>
      <c r="L1781" t="str">
        <f t="shared" ca="1" si="110"/>
        <v>__X_</v>
      </c>
      <c r="M1781" t="str">
        <f t="shared" ca="1" si="111"/>
        <v/>
      </c>
    </row>
    <row r="1782" spans="1:13" x14ac:dyDescent="0.25">
      <c r="A1782" s="5"/>
      <c r="B1782" s="4" t="str">
        <f t="shared" si="109"/>
        <v/>
      </c>
      <c r="C1782" t="str">
        <f>IF(AND(TRIM(A1782)&lt;&gt;"",IFERROR(VLOOKUP(TRIM(B1782),Inventory!E:E,1,0),0)=0),"X","_")</f>
        <v>_</v>
      </c>
      <c r="D1782" t="str">
        <f>IF(AND(TRIM(A1782)&lt;&gt;"",IFERROR(VLOOKUP(TRIM(B1782),'Full Inventory'!F:F,1,0),0)=0),"X","_")</f>
        <v>_</v>
      </c>
      <c r="E1782" t="str">
        <f t="shared" si="112"/>
        <v>X</v>
      </c>
      <c r="F1782" t="str">
        <f ca="1">IFERROR(IF(AND(C1782&amp;D1782&amp;E1782="___",INDIRECT("Inventory!A"&amp;MATCH(VLOOKUP(B1782,Inventory!E:E,1,0),Inventory!E:E,0))&lt;&gt;INDIRECT("'Full Inventory'!B"&amp;MATCH(VLOOKUP(B1782,'Full Inventory'!F:F,1,0),'Full Inventory'!F:F,0))),"X","_"),"_")</f>
        <v>_</v>
      </c>
      <c r="L1782" t="str">
        <f t="shared" ca="1" si="110"/>
        <v>__X_</v>
      </c>
      <c r="M1782" t="str">
        <f t="shared" ca="1" si="111"/>
        <v/>
      </c>
    </row>
    <row r="1783" spans="1:13" x14ac:dyDescent="0.25">
      <c r="A1783" s="5"/>
      <c r="B1783" s="4" t="str">
        <f t="shared" si="109"/>
        <v/>
      </c>
      <c r="C1783" t="str">
        <f>IF(AND(TRIM(A1783)&lt;&gt;"",IFERROR(VLOOKUP(TRIM(B1783),Inventory!E:E,1,0),0)=0),"X","_")</f>
        <v>_</v>
      </c>
      <c r="D1783" t="str">
        <f>IF(AND(TRIM(A1783)&lt;&gt;"",IFERROR(VLOOKUP(TRIM(B1783),'Full Inventory'!F:F,1,0),0)=0),"X","_")</f>
        <v>_</v>
      </c>
      <c r="E1783" t="str">
        <f t="shared" si="112"/>
        <v>X</v>
      </c>
      <c r="F1783" t="str">
        <f ca="1">IFERROR(IF(AND(C1783&amp;D1783&amp;E1783="___",INDIRECT("Inventory!A"&amp;MATCH(VLOOKUP(B1783,Inventory!E:E,1,0),Inventory!E:E,0))&lt;&gt;INDIRECT("'Full Inventory'!B"&amp;MATCH(VLOOKUP(B1783,'Full Inventory'!F:F,1,0),'Full Inventory'!F:F,0))),"X","_"),"_")</f>
        <v>_</v>
      </c>
      <c r="L1783" t="str">
        <f t="shared" ca="1" si="110"/>
        <v>__X_</v>
      </c>
      <c r="M1783" t="str">
        <f t="shared" ca="1" si="111"/>
        <v/>
      </c>
    </row>
    <row r="1784" spans="1:13" x14ac:dyDescent="0.25">
      <c r="A1784" s="5"/>
      <c r="B1784" s="4" t="str">
        <f t="shared" si="109"/>
        <v/>
      </c>
      <c r="C1784" t="str">
        <f>IF(AND(TRIM(A1784)&lt;&gt;"",IFERROR(VLOOKUP(TRIM(B1784),Inventory!E:E,1,0),0)=0),"X","_")</f>
        <v>_</v>
      </c>
      <c r="D1784" t="str">
        <f>IF(AND(TRIM(A1784)&lt;&gt;"",IFERROR(VLOOKUP(TRIM(B1784),'Full Inventory'!F:F,1,0),0)=0),"X","_")</f>
        <v>_</v>
      </c>
      <c r="E1784" t="str">
        <f t="shared" si="112"/>
        <v>X</v>
      </c>
      <c r="F1784" t="str">
        <f ca="1">IFERROR(IF(AND(C1784&amp;D1784&amp;E1784="___",INDIRECT("Inventory!A"&amp;MATCH(VLOOKUP(B1784,Inventory!E:E,1,0),Inventory!E:E,0))&lt;&gt;INDIRECT("'Full Inventory'!B"&amp;MATCH(VLOOKUP(B1784,'Full Inventory'!F:F,1,0),'Full Inventory'!F:F,0))),"X","_"),"_")</f>
        <v>_</v>
      </c>
      <c r="L1784" t="str">
        <f t="shared" ca="1" si="110"/>
        <v>__X_</v>
      </c>
      <c r="M1784" t="str">
        <f t="shared" ca="1" si="111"/>
        <v/>
      </c>
    </row>
    <row r="1785" spans="1:13" x14ac:dyDescent="0.25">
      <c r="A1785" s="5"/>
      <c r="B1785" s="4" t="str">
        <f t="shared" si="109"/>
        <v/>
      </c>
      <c r="C1785" t="str">
        <f>IF(AND(TRIM(A1785)&lt;&gt;"",IFERROR(VLOOKUP(TRIM(B1785),Inventory!E:E,1,0),0)=0),"X","_")</f>
        <v>_</v>
      </c>
      <c r="D1785" t="str">
        <f>IF(AND(TRIM(A1785)&lt;&gt;"",IFERROR(VLOOKUP(TRIM(B1785),'Full Inventory'!F:F,1,0),0)=0),"X","_")</f>
        <v>_</v>
      </c>
      <c r="E1785" t="str">
        <f t="shared" si="112"/>
        <v>X</v>
      </c>
      <c r="F1785" t="str">
        <f ca="1">IFERROR(IF(AND(C1785&amp;D1785&amp;E1785="___",INDIRECT("Inventory!A"&amp;MATCH(VLOOKUP(B1785,Inventory!E:E,1,0),Inventory!E:E,0))&lt;&gt;INDIRECT("'Full Inventory'!B"&amp;MATCH(VLOOKUP(B1785,'Full Inventory'!F:F,1,0),'Full Inventory'!F:F,0))),"X","_"),"_")</f>
        <v>_</v>
      </c>
      <c r="L1785" t="str">
        <f t="shared" ca="1" si="110"/>
        <v>__X_</v>
      </c>
      <c r="M1785" t="str">
        <f t="shared" ca="1" si="111"/>
        <v/>
      </c>
    </row>
    <row r="1786" spans="1:13" x14ac:dyDescent="0.25">
      <c r="A1786" s="5"/>
      <c r="B1786" s="4" t="str">
        <f t="shared" si="109"/>
        <v/>
      </c>
      <c r="C1786" t="str">
        <f>IF(AND(TRIM(A1786)&lt;&gt;"",IFERROR(VLOOKUP(TRIM(B1786),Inventory!E:E,1,0),0)=0),"X","_")</f>
        <v>_</v>
      </c>
      <c r="D1786" t="str">
        <f>IF(AND(TRIM(A1786)&lt;&gt;"",IFERROR(VLOOKUP(TRIM(B1786),'Full Inventory'!F:F,1,0),0)=0),"X","_")</f>
        <v>_</v>
      </c>
      <c r="E1786" t="str">
        <f t="shared" si="112"/>
        <v>X</v>
      </c>
      <c r="F1786" t="str">
        <f ca="1">IFERROR(IF(AND(C1786&amp;D1786&amp;E1786="___",INDIRECT("Inventory!A"&amp;MATCH(VLOOKUP(B1786,Inventory!E:E,1,0),Inventory!E:E,0))&lt;&gt;INDIRECT("'Full Inventory'!B"&amp;MATCH(VLOOKUP(B1786,'Full Inventory'!F:F,1,0),'Full Inventory'!F:F,0))),"X","_"),"_")</f>
        <v>_</v>
      </c>
      <c r="L1786" t="str">
        <f t="shared" ca="1" si="110"/>
        <v>__X_</v>
      </c>
      <c r="M1786" t="str">
        <f t="shared" ca="1" si="111"/>
        <v/>
      </c>
    </row>
    <row r="1787" spans="1:13" x14ac:dyDescent="0.25">
      <c r="A1787" s="5"/>
      <c r="B1787" s="4" t="str">
        <f t="shared" si="109"/>
        <v/>
      </c>
      <c r="C1787" t="str">
        <f>IF(AND(TRIM(A1787)&lt;&gt;"",IFERROR(VLOOKUP(TRIM(B1787),Inventory!E:E,1,0),0)=0),"X","_")</f>
        <v>_</v>
      </c>
      <c r="D1787" t="str">
        <f>IF(AND(TRIM(A1787)&lt;&gt;"",IFERROR(VLOOKUP(TRIM(B1787),'Full Inventory'!F:F,1,0),0)=0),"X","_")</f>
        <v>_</v>
      </c>
      <c r="E1787" t="str">
        <f t="shared" si="112"/>
        <v>X</v>
      </c>
      <c r="F1787" t="str">
        <f ca="1">IFERROR(IF(AND(C1787&amp;D1787&amp;E1787="___",INDIRECT("Inventory!A"&amp;MATCH(VLOOKUP(B1787,Inventory!E:E,1,0),Inventory!E:E,0))&lt;&gt;INDIRECT("'Full Inventory'!B"&amp;MATCH(VLOOKUP(B1787,'Full Inventory'!F:F,1,0),'Full Inventory'!F:F,0))),"X","_"),"_")</f>
        <v>_</v>
      </c>
      <c r="L1787" t="str">
        <f t="shared" ca="1" si="110"/>
        <v>__X_</v>
      </c>
      <c r="M1787" t="str">
        <f t="shared" ca="1" si="111"/>
        <v/>
      </c>
    </row>
    <row r="1788" spans="1:13" x14ac:dyDescent="0.25">
      <c r="A1788" s="5"/>
      <c r="B1788" s="4" t="str">
        <f t="shared" si="109"/>
        <v/>
      </c>
      <c r="C1788" t="str">
        <f>IF(AND(TRIM(A1788)&lt;&gt;"",IFERROR(VLOOKUP(TRIM(B1788),Inventory!E:E,1,0),0)=0),"X","_")</f>
        <v>_</v>
      </c>
      <c r="D1788" t="str">
        <f>IF(AND(TRIM(A1788)&lt;&gt;"",IFERROR(VLOOKUP(TRIM(B1788),'Full Inventory'!F:F,1,0),0)=0),"X","_")</f>
        <v>_</v>
      </c>
      <c r="E1788" t="str">
        <f t="shared" si="112"/>
        <v>X</v>
      </c>
      <c r="F1788" t="str">
        <f ca="1">IFERROR(IF(AND(C1788&amp;D1788&amp;E1788="___",INDIRECT("Inventory!A"&amp;MATCH(VLOOKUP(B1788,Inventory!E:E,1,0),Inventory!E:E,0))&lt;&gt;INDIRECT("'Full Inventory'!B"&amp;MATCH(VLOOKUP(B1788,'Full Inventory'!F:F,1,0),'Full Inventory'!F:F,0))),"X","_"),"_")</f>
        <v>_</v>
      </c>
      <c r="L1788" t="str">
        <f t="shared" ca="1" si="110"/>
        <v>__X_</v>
      </c>
      <c r="M1788" t="str">
        <f t="shared" ca="1" si="111"/>
        <v/>
      </c>
    </row>
    <row r="1789" spans="1:13" x14ac:dyDescent="0.25">
      <c r="A1789" s="5"/>
      <c r="B1789" s="4" t="str">
        <f t="shared" si="109"/>
        <v/>
      </c>
      <c r="C1789" t="str">
        <f>IF(AND(TRIM(A1789)&lt;&gt;"",IFERROR(VLOOKUP(TRIM(B1789),Inventory!E:E,1,0),0)=0),"X","_")</f>
        <v>_</v>
      </c>
      <c r="D1789" t="str">
        <f>IF(AND(TRIM(A1789)&lt;&gt;"",IFERROR(VLOOKUP(TRIM(B1789),'Full Inventory'!F:F,1,0),0)=0),"X","_")</f>
        <v>_</v>
      </c>
      <c r="E1789" t="str">
        <f t="shared" si="112"/>
        <v>X</v>
      </c>
      <c r="F1789" t="str">
        <f ca="1">IFERROR(IF(AND(C1789&amp;D1789&amp;E1789="___",INDIRECT("Inventory!A"&amp;MATCH(VLOOKUP(B1789,Inventory!E:E,1,0),Inventory!E:E,0))&lt;&gt;INDIRECT("'Full Inventory'!B"&amp;MATCH(VLOOKUP(B1789,'Full Inventory'!F:F,1,0),'Full Inventory'!F:F,0))),"X","_"),"_")</f>
        <v>_</v>
      </c>
      <c r="L1789" t="str">
        <f t="shared" ca="1" si="110"/>
        <v>__X_</v>
      </c>
      <c r="M1789" t="str">
        <f t="shared" ca="1" si="111"/>
        <v/>
      </c>
    </row>
    <row r="1790" spans="1:13" x14ac:dyDescent="0.25">
      <c r="A1790" s="5"/>
      <c r="B1790" s="4" t="str">
        <f t="shared" si="109"/>
        <v/>
      </c>
      <c r="C1790" t="str">
        <f>IF(AND(TRIM(A1790)&lt;&gt;"",IFERROR(VLOOKUP(TRIM(B1790),Inventory!E:E,1,0),0)=0),"X","_")</f>
        <v>_</v>
      </c>
      <c r="D1790" t="str">
        <f>IF(AND(TRIM(A1790)&lt;&gt;"",IFERROR(VLOOKUP(TRIM(B1790),'Full Inventory'!F:F,1,0),0)=0),"X","_")</f>
        <v>_</v>
      </c>
      <c r="E1790" t="str">
        <f t="shared" si="112"/>
        <v>X</v>
      </c>
      <c r="F1790" t="str">
        <f ca="1">IFERROR(IF(AND(C1790&amp;D1790&amp;E1790="___",INDIRECT("Inventory!A"&amp;MATCH(VLOOKUP(B1790,Inventory!E:E,1,0),Inventory!E:E,0))&lt;&gt;INDIRECT("'Full Inventory'!B"&amp;MATCH(VLOOKUP(B1790,'Full Inventory'!F:F,1,0),'Full Inventory'!F:F,0))),"X","_"),"_")</f>
        <v>_</v>
      </c>
      <c r="L1790" t="str">
        <f t="shared" ca="1" si="110"/>
        <v>__X_</v>
      </c>
      <c r="M1790" t="str">
        <f t="shared" ca="1" si="111"/>
        <v/>
      </c>
    </row>
    <row r="1791" spans="1:13" x14ac:dyDescent="0.25">
      <c r="A1791" s="5"/>
      <c r="B1791" s="4" t="str">
        <f t="shared" si="109"/>
        <v/>
      </c>
      <c r="C1791" t="str">
        <f>IF(AND(TRIM(A1791)&lt;&gt;"",IFERROR(VLOOKUP(TRIM(B1791),Inventory!E:E,1,0),0)=0),"X","_")</f>
        <v>_</v>
      </c>
      <c r="D1791" t="str">
        <f>IF(AND(TRIM(A1791)&lt;&gt;"",IFERROR(VLOOKUP(TRIM(B1791),'Full Inventory'!F:F,1,0),0)=0),"X","_")</f>
        <v>_</v>
      </c>
      <c r="E1791" t="str">
        <f t="shared" si="112"/>
        <v>X</v>
      </c>
      <c r="F1791" t="str">
        <f ca="1">IFERROR(IF(AND(C1791&amp;D1791&amp;E1791="___",INDIRECT("Inventory!A"&amp;MATCH(VLOOKUP(B1791,Inventory!E:E,1,0),Inventory!E:E,0))&lt;&gt;INDIRECT("'Full Inventory'!B"&amp;MATCH(VLOOKUP(B1791,'Full Inventory'!F:F,1,0),'Full Inventory'!F:F,0))),"X","_"),"_")</f>
        <v>_</v>
      </c>
      <c r="L1791" t="str">
        <f t="shared" ca="1" si="110"/>
        <v>__X_</v>
      </c>
      <c r="M1791" t="str">
        <f t="shared" ca="1" si="111"/>
        <v/>
      </c>
    </row>
    <row r="1792" spans="1:13" x14ac:dyDescent="0.25">
      <c r="A1792" s="5"/>
      <c r="B1792" s="4" t="str">
        <f t="shared" si="109"/>
        <v/>
      </c>
      <c r="C1792" t="str">
        <f>IF(AND(TRIM(A1792)&lt;&gt;"",IFERROR(VLOOKUP(TRIM(B1792),Inventory!E:E,1,0),0)=0),"X","_")</f>
        <v>_</v>
      </c>
      <c r="D1792" t="str">
        <f>IF(AND(TRIM(A1792)&lt;&gt;"",IFERROR(VLOOKUP(TRIM(B1792),'Full Inventory'!F:F,1,0),0)=0),"X","_")</f>
        <v>_</v>
      </c>
      <c r="E1792" t="str">
        <f t="shared" si="112"/>
        <v>X</v>
      </c>
      <c r="F1792" t="str">
        <f ca="1">IFERROR(IF(AND(C1792&amp;D1792&amp;E1792="___",INDIRECT("Inventory!A"&amp;MATCH(VLOOKUP(B1792,Inventory!E:E,1,0),Inventory!E:E,0))&lt;&gt;INDIRECT("'Full Inventory'!B"&amp;MATCH(VLOOKUP(B1792,'Full Inventory'!F:F,1,0),'Full Inventory'!F:F,0))),"X","_"),"_")</f>
        <v>_</v>
      </c>
      <c r="L1792" t="str">
        <f t="shared" ca="1" si="110"/>
        <v>__X_</v>
      </c>
      <c r="M1792" t="str">
        <f t="shared" ca="1" si="111"/>
        <v/>
      </c>
    </row>
    <row r="1793" spans="1:13" x14ac:dyDescent="0.25">
      <c r="A1793" s="5"/>
      <c r="B1793" s="4" t="str">
        <f t="shared" si="109"/>
        <v/>
      </c>
      <c r="C1793" t="str">
        <f>IF(AND(TRIM(A1793)&lt;&gt;"",IFERROR(VLOOKUP(TRIM(B1793),Inventory!E:E,1,0),0)=0),"X","_")</f>
        <v>_</v>
      </c>
      <c r="D1793" t="str">
        <f>IF(AND(TRIM(A1793)&lt;&gt;"",IFERROR(VLOOKUP(TRIM(B1793),'Full Inventory'!F:F,1,0),0)=0),"X","_")</f>
        <v>_</v>
      </c>
      <c r="E1793" t="str">
        <f t="shared" si="112"/>
        <v>X</v>
      </c>
      <c r="F1793" t="str">
        <f ca="1">IFERROR(IF(AND(C1793&amp;D1793&amp;E1793="___",INDIRECT("Inventory!A"&amp;MATCH(VLOOKUP(B1793,Inventory!E:E,1,0),Inventory!E:E,0))&lt;&gt;INDIRECT("'Full Inventory'!B"&amp;MATCH(VLOOKUP(B1793,'Full Inventory'!F:F,1,0),'Full Inventory'!F:F,0))),"X","_"),"_")</f>
        <v>_</v>
      </c>
      <c r="L1793" t="str">
        <f t="shared" ca="1" si="110"/>
        <v>__X_</v>
      </c>
      <c r="M1793" t="str">
        <f t="shared" ca="1" si="111"/>
        <v/>
      </c>
    </row>
    <row r="1794" spans="1:13" x14ac:dyDescent="0.25">
      <c r="A1794" s="5"/>
      <c r="B1794" s="4" t="str">
        <f t="shared" si="109"/>
        <v/>
      </c>
      <c r="C1794" t="str">
        <f>IF(AND(TRIM(A1794)&lt;&gt;"",IFERROR(VLOOKUP(TRIM(B1794),Inventory!E:E,1,0),0)=0),"X","_")</f>
        <v>_</v>
      </c>
      <c r="D1794" t="str">
        <f>IF(AND(TRIM(A1794)&lt;&gt;"",IFERROR(VLOOKUP(TRIM(B1794),'Full Inventory'!F:F,1,0),0)=0),"X","_")</f>
        <v>_</v>
      </c>
      <c r="E1794" t="str">
        <f t="shared" si="112"/>
        <v>X</v>
      </c>
      <c r="F1794" t="str">
        <f ca="1">IFERROR(IF(AND(C1794&amp;D1794&amp;E1794="___",INDIRECT("Inventory!A"&amp;MATCH(VLOOKUP(B1794,Inventory!E:E,1,0),Inventory!E:E,0))&lt;&gt;INDIRECT("'Full Inventory'!B"&amp;MATCH(VLOOKUP(B1794,'Full Inventory'!F:F,1,0),'Full Inventory'!F:F,0))),"X","_"),"_")</f>
        <v>_</v>
      </c>
      <c r="L1794" t="str">
        <f t="shared" ca="1" si="110"/>
        <v>__X_</v>
      </c>
      <c r="M1794" t="str">
        <f t="shared" ca="1" si="111"/>
        <v/>
      </c>
    </row>
    <row r="1795" spans="1:13" x14ac:dyDescent="0.25">
      <c r="A1795" s="5"/>
      <c r="B1795" s="4" t="str">
        <f t="shared" ref="B1795:B1858" si="113">SUBSTITUTE(SUBSTITUTE(A1795,"ö","0"),"Ö","0")</f>
        <v/>
      </c>
      <c r="C1795" t="str">
        <f>IF(AND(TRIM(A1795)&lt;&gt;"",IFERROR(VLOOKUP(TRIM(B1795),Inventory!E:E,1,0),0)=0),"X","_")</f>
        <v>_</v>
      </c>
      <c r="D1795" t="str">
        <f>IF(AND(TRIM(A1795)&lt;&gt;"",IFERROR(VLOOKUP(TRIM(B1795),'Full Inventory'!F:F,1,0),0)=0),"X","_")</f>
        <v>_</v>
      </c>
      <c r="E1795" t="str">
        <f t="shared" si="112"/>
        <v>X</v>
      </c>
      <c r="F1795" t="str">
        <f ca="1">IFERROR(IF(AND(C1795&amp;D1795&amp;E1795="___",INDIRECT("Inventory!A"&amp;MATCH(VLOOKUP(B1795,Inventory!E:E,1,0),Inventory!E:E,0))&lt;&gt;INDIRECT("'Full Inventory'!B"&amp;MATCH(VLOOKUP(B1795,'Full Inventory'!F:F,1,0),'Full Inventory'!F:F,0))),"X","_"),"_")</f>
        <v>_</v>
      </c>
      <c r="L1795" t="str">
        <f t="shared" ref="L1795:L1858" ca="1" si="114">C1795&amp;D1795&amp;E1795&amp;F1795</f>
        <v>__X_</v>
      </c>
      <c r="M1795" t="str">
        <f t="shared" ref="M1795:M1858" ca="1" si="115">IF(L1795="____","OK",IF(L1795="_X__","NOT IN FULL INVENTORY",IF(L1795="XX__","NOT IN FULL INVENTORY AND INVENTORY",IF(L1795="X___","NOT IN INVENTORY",IF(L1795="___X","DIFFERENT NAMES IN FULL INVENTORY AND INVENTORY","")))))</f>
        <v/>
      </c>
    </row>
    <row r="1796" spans="1:13" x14ac:dyDescent="0.25">
      <c r="A1796" s="5"/>
      <c r="B1796" s="4" t="str">
        <f t="shared" si="113"/>
        <v/>
      </c>
      <c r="C1796" t="str">
        <f>IF(AND(TRIM(A1796)&lt;&gt;"",IFERROR(VLOOKUP(TRIM(B1796),Inventory!E:E,1,0),0)=0),"X","_")</f>
        <v>_</v>
      </c>
      <c r="D1796" t="str">
        <f>IF(AND(TRIM(A1796)&lt;&gt;"",IFERROR(VLOOKUP(TRIM(B1796),'Full Inventory'!F:F,1,0),0)=0),"X","_")</f>
        <v>_</v>
      </c>
      <c r="E1796" t="str">
        <f t="shared" si="112"/>
        <v>X</v>
      </c>
      <c r="F1796" t="str">
        <f ca="1">IFERROR(IF(AND(C1796&amp;D1796&amp;E1796="___",INDIRECT("Inventory!A"&amp;MATCH(VLOOKUP(B1796,Inventory!E:E,1,0),Inventory!E:E,0))&lt;&gt;INDIRECT("'Full Inventory'!B"&amp;MATCH(VLOOKUP(B1796,'Full Inventory'!F:F,1,0),'Full Inventory'!F:F,0))),"X","_"),"_")</f>
        <v>_</v>
      </c>
      <c r="L1796" t="str">
        <f t="shared" ca="1" si="114"/>
        <v>__X_</v>
      </c>
      <c r="M1796" t="str">
        <f t="shared" ca="1" si="115"/>
        <v/>
      </c>
    </row>
    <row r="1797" spans="1:13" x14ac:dyDescent="0.25">
      <c r="A1797" s="5"/>
      <c r="B1797" s="4" t="str">
        <f t="shared" si="113"/>
        <v/>
      </c>
      <c r="C1797" t="str">
        <f>IF(AND(TRIM(A1797)&lt;&gt;"",IFERROR(VLOOKUP(TRIM(B1797),Inventory!E:E,1,0),0)=0),"X","_")</f>
        <v>_</v>
      </c>
      <c r="D1797" t="str">
        <f>IF(AND(TRIM(A1797)&lt;&gt;"",IFERROR(VLOOKUP(TRIM(B1797),'Full Inventory'!F:F,1,0),0)=0),"X","_")</f>
        <v>_</v>
      </c>
      <c r="E1797" t="str">
        <f t="shared" si="112"/>
        <v>X</v>
      </c>
      <c r="F1797" t="str">
        <f ca="1">IFERROR(IF(AND(C1797&amp;D1797&amp;E1797="___",INDIRECT("Inventory!A"&amp;MATCH(VLOOKUP(B1797,Inventory!E:E,1,0),Inventory!E:E,0))&lt;&gt;INDIRECT("'Full Inventory'!B"&amp;MATCH(VLOOKUP(B1797,'Full Inventory'!F:F,1,0),'Full Inventory'!F:F,0))),"X","_"),"_")</f>
        <v>_</v>
      </c>
      <c r="L1797" t="str">
        <f t="shared" ca="1" si="114"/>
        <v>__X_</v>
      </c>
      <c r="M1797" t="str">
        <f t="shared" ca="1" si="115"/>
        <v/>
      </c>
    </row>
    <row r="1798" spans="1:13" x14ac:dyDescent="0.25">
      <c r="A1798" s="5"/>
      <c r="B1798" s="4" t="str">
        <f t="shared" si="113"/>
        <v/>
      </c>
      <c r="C1798" t="str">
        <f>IF(AND(TRIM(A1798)&lt;&gt;"",IFERROR(VLOOKUP(TRIM(B1798),Inventory!E:E,1,0),0)=0),"X","_")</f>
        <v>_</v>
      </c>
      <c r="D1798" t="str">
        <f>IF(AND(TRIM(A1798)&lt;&gt;"",IFERROR(VLOOKUP(TRIM(B1798),'Full Inventory'!F:F,1,0),0)=0),"X","_")</f>
        <v>_</v>
      </c>
      <c r="E1798" t="str">
        <f t="shared" si="112"/>
        <v>X</v>
      </c>
      <c r="F1798" t="str">
        <f ca="1">IFERROR(IF(AND(C1798&amp;D1798&amp;E1798="___",INDIRECT("Inventory!A"&amp;MATCH(VLOOKUP(B1798,Inventory!E:E,1,0),Inventory!E:E,0))&lt;&gt;INDIRECT("'Full Inventory'!B"&amp;MATCH(VLOOKUP(B1798,'Full Inventory'!F:F,1,0),'Full Inventory'!F:F,0))),"X","_"),"_")</f>
        <v>_</v>
      </c>
      <c r="L1798" t="str">
        <f t="shared" ca="1" si="114"/>
        <v>__X_</v>
      </c>
      <c r="M1798" t="str">
        <f t="shared" ca="1" si="115"/>
        <v/>
      </c>
    </row>
    <row r="1799" spans="1:13" x14ac:dyDescent="0.25">
      <c r="A1799" s="5"/>
      <c r="B1799" s="4" t="str">
        <f t="shared" si="113"/>
        <v/>
      </c>
      <c r="C1799" t="str">
        <f>IF(AND(TRIM(A1799)&lt;&gt;"",IFERROR(VLOOKUP(TRIM(B1799),Inventory!E:E,1,0),0)=0),"X","_")</f>
        <v>_</v>
      </c>
      <c r="D1799" t="str">
        <f>IF(AND(TRIM(A1799)&lt;&gt;"",IFERROR(VLOOKUP(TRIM(B1799),'Full Inventory'!F:F,1,0),0)=0),"X","_")</f>
        <v>_</v>
      </c>
      <c r="E1799" t="str">
        <f t="shared" si="112"/>
        <v>X</v>
      </c>
      <c r="F1799" t="str">
        <f ca="1">IFERROR(IF(AND(C1799&amp;D1799&amp;E1799="___",INDIRECT("Inventory!A"&amp;MATCH(VLOOKUP(B1799,Inventory!E:E,1,0),Inventory!E:E,0))&lt;&gt;INDIRECT("'Full Inventory'!B"&amp;MATCH(VLOOKUP(B1799,'Full Inventory'!F:F,1,0),'Full Inventory'!F:F,0))),"X","_"),"_")</f>
        <v>_</v>
      </c>
      <c r="L1799" t="str">
        <f t="shared" ca="1" si="114"/>
        <v>__X_</v>
      </c>
      <c r="M1799" t="str">
        <f t="shared" ca="1" si="115"/>
        <v/>
      </c>
    </row>
    <row r="1800" spans="1:13" x14ac:dyDescent="0.25">
      <c r="A1800" s="5"/>
      <c r="B1800" s="4" t="str">
        <f t="shared" si="113"/>
        <v/>
      </c>
      <c r="C1800" t="str">
        <f>IF(AND(TRIM(A1800)&lt;&gt;"",IFERROR(VLOOKUP(TRIM(B1800),Inventory!E:E,1,0),0)=0),"X","_")</f>
        <v>_</v>
      </c>
      <c r="D1800" t="str">
        <f>IF(AND(TRIM(A1800)&lt;&gt;"",IFERROR(VLOOKUP(TRIM(B1800),'Full Inventory'!F:F,1,0),0)=0),"X","_")</f>
        <v>_</v>
      </c>
      <c r="E1800" t="str">
        <f t="shared" si="112"/>
        <v>X</v>
      </c>
      <c r="F1800" t="str">
        <f ca="1">IFERROR(IF(AND(C1800&amp;D1800&amp;E1800="___",INDIRECT("Inventory!A"&amp;MATCH(VLOOKUP(B1800,Inventory!E:E,1,0),Inventory!E:E,0))&lt;&gt;INDIRECT("'Full Inventory'!B"&amp;MATCH(VLOOKUP(B1800,'Full Inventory'!F:F,1,0),'Full Inventory'!F:F,0))),"X","_"),"_")</f>
        <v>_</v>
      </c>
      <c r="L1800" t="str">
        <f t="shared" ca="1" si="114"/>
        <v>__X_</v>
      </c>
      <c r="M1800" t="str">
        <f t="shared" ca="1" si="115"/>
        <v/>
      </c>
    </row>
    <row r="1801" spans="1:13" x14ac:dyDescent="0.25">
      <c r="A1801" s="5"/>
      <c r="B1801" s="4" t="str">
        <f t="shared" si="113"/>
        <v/>
      </c>
      <c r="C1801" t="str">
        <f>IF(AND(TRIM(A1801)&lt;&gt;"",IFERROR(VLOOKUP(TRIM(B1801),Inventory!E:E,1,0),0)=0),"X","_")</f>
        <v>_</v>
      </c>
      <c r="D1801" t="str">
        <f>IF(AND(TRIM(A1801)&lt;&gt;"",IFERROR(VLOOKUP(TRIM(B1801),'Full Inventory'!F:F,1,0),0)=0),"X","_")</f>
        <v>_</v>
      </c>
      <c r="E1801" t="str">
        <f t="shared" si="112"/>
        <v>X</v>
      </c>
      <c r="F1801" t="str">
        <f ca="1">IFERROR(IF(AND(C1801&amp;D1801&amp;E1801="___",INDIRECT("Inventory!A"&amp;MATCH(VLOOKUP(B1801,Inventory!E:E,1,0),Inventory!E:E,0))&lt;&gt;INDIRECT("'Full Inventory'!B"&amp;MATCH(VLOOKUP(B1801,'Full Inventory'!F:F,1,0),'Full Inventory'!F:F,0))),"X","_"),"_")</f>
        <v>_</v>
      </c>
      <c r="L1801" t="str">
        <f t="shared" ca="1" si="114"/>
        <v>__X_</v>
      </c>
      <c r="M1801" t="str">
        <f t="shared" ca="1" si="115"/>
        <v/>
      </c>
    </row>
    <row r="1802" spans="1:13" x14ac:dyDescent="0.25">
      <c r="A1802" s="5"/>
      <c r="B1802" s="4" t="str">
        <f t="shared" si="113"/>
        <v/>
      </c>
      <c r="C1802" t="str">
        <f>IF(AND(TRIM(A1802)&lt;&gt;"",IFERROR(VLOOKUP(TRIM(B1802),Inventory!E:E,1,0),0)=0),"X","_")</f>
        <v>_</v>
      </c>
      <c r="D1802" t="str">
        <f>IF(AND(TRIM(A1802)&lt;&gt;"",IFERROR(VLOOKUP(TRIM(B1802),'Full Inventory'!F:F,1,0),0)=0),"X","_")</f>
        <v>_</v>
      </c>
      <c r="E1802" t="str">
        <f t="shared" si="112"/>
        <v>X</v>
      </c>
      <c r="F1802" t="str">
        <f ca="1">IFERROR(IF(AND(C1802&amp;D1802&amp;E1802="___",INDIRECT("Inventory!A"&amp;MATCH(VLOOKUP(B1802,Inventory!E:E,1,0),Inventory!E:E,0))&lt;&gt;INDIRECT("'Full Inventory'!B"&amp;MATCH(VLOOKUP(B1802,'Full Inventory'!F:F,1,0),'Full Inventory'!F:F,0))),"X","_"),"_")</f>
        <v>_</v>
      </c>
      <c r="L1802" t="str">
        <f t="shared" ca="1" si="114"/>
        <v>__X_</v>
      </c>
      <c r="M1802" t="str">
        <f t="shared" ca="1" si="115"/>
        <v/>
      </c>
    </row>
    <row r="1803" spans="1:13" x14ac:dyDescent="0.25">
      <c r="A1803" s="5"/>
      <c r="B1803" s="4" t="str">
        <f t="shared" si="113"/>
        <v/>
      </c>
      <c r="C1803" t="str">
        <f>IF(AND(TRIM(A1803)&lt;&gt;"",IFERROR(VLOOKUP(TRIM(B1803),Inventory!E:E,1,0),0)=0),"X","_")</f>
        <v>_</v>
      </c>
      <c r="D1803" t="str">
        <f>IF(AND(TRIM(A1803)&lt;&gt;"",IFERROR(VLOOKUP(TRIM(B1803),'Full Inventory'!F:F,1,0),0)=0),"X","_")</f>
        <v>_</v>
      </c>
      <c r="E1803" t="str">
        <f t="shared" si="112"/>
        <v>X</v>
      </c>
      <c r="F1803" t="str">
        <f ca="1">IFERROR(IF(AND(C1803&amp;D1803&amp;E1803="___",INDIRECT("Inventory!A"&amp;MATCH(VLOOKUP(B1803,Inventory!E:E,1,0),Inventory!E:E,0))&lt;&gt;INDIRECT("'Full Inventory'!B"&amp;MATCH(VLOOKUP(B1803,'Full Inventory'!F:F,1,0),'Full Inventory'!F:F,0))),"X","_"),"_")</f>
        <v>_</v>
      </c>
      <c r="L1803" t="str">
        <f t="shared" ca="1" si="114"/>
        <v>__X_</v>
      </c>
      <c r="M1803" t="str">
        <f t="shared" ca="1" si="115"/>
        <v/>
      </c>
    </row>
    <row r="1804" spans="1:13" x14ac:dyDescent="0.25">
      <c r="A1804" s="5"/>
      <c r="B1804" s="4" t="str">
        <f t="shared" si="113"/>
        <v/>
      </c>
      <c r="C1804" t="str">
        <f>IF(AND(TRIM(A1804)&lt;&gt;"",IFERROR(VLOOKUP(TRIM(B1804),Inventory!E:E,1,0),0)=0),"X","_")</f>
        <v>_</v>
      </c>
      <c r="D1804" t="str">
        <f>IF(AND(TRIM(A1804)&lt;&gt;"",IFERROR(VLOOKUP(TRIM(B1804),'Full Inventory'!F:F,1,0),0)=0),"X","_")</f>
        <v>_</v>
      </c>
      <c r="E1804" t="str">
        <f t="shared" si="112"/>
        <v>X</v>
      </c>
      <c r="F1804" t="str">
        <f ca="1">IFERROR(IF(AND(C1804&amp;D1804&amp;E1804="___",INDIRECT("Inventory!A"&amp;MATCH(VLOOKUP(B1804,Inventory!E:E,1,0),Inventory!E:E,0))&lt;&gt;INDIRECT("'Full Inventory'!B"&amp;MATCH(VLOOKUP(B1804,'Full Inventory'!F:F,1,0),'Full Inventory'!F:F,0))),"X","_"),"_")</f>
        <v>_</v>
      </c>
      <c r="L1804" t="str">
        <f t="shared" ca="1" si="114"/>
        <v>__X_</v>
      </c>
      <c r="M1804" t="str">
        <f t="shared" ca="1" si="115"/>
        <v/>
      </c>
    </row>
    <row r="1805" spans="1:13" x14ac:dyDescent="0.25">
      <c r="A1805" s="5"/>
      <c r="B1805" s="4" t="str">
        <f t="shared" si="113"/>
        <v/>
      </c>
      <c r="C1805" t="str">
        <f>IF(AND(TRIM(A1805)&lt;&gt;"",IFERROR(VLOOKUP(TRIM(B1805),Inventory!E:E,1,0),0)=0),"X","_")</f>
        <v>_</v>
      </c>
      <c r="D1805" t="str">
        <f>IF(AND(TRIM(A1805)&lt;&gt;"",IFERROR(VLOOKUP(TRIM(B1805),'Full Inventory'!F:F,1,0),0)=0),"X","_")</f>
        <v>_</v>
      </c>
      <c r="E1805" t="str">
        <f t="shared" si="112"/>
        <v>X</v>
      </c>
      <c r="F1805" t="str">
        <f ca="1">IFERROR(IF(AND(C1805&amp;D1805&amp;E1805="___",INDIRECT("Inventory!A"&amp;MATCH(VLOOKUP(B1805,Inventory!E:E,1,0),Inventory!E:E,0))&lt;&gt;INDIRECT("'Full Inventory'!B"&amp;MATCH(VLOOKUP(B1805,'Full Inventory'!F:F,1,0),'Full Inventory'!F:F,0))),"X","_"),"_")</f>
        <v>_</v>
      </c>
      <c r="L1805" t="str">
        <f t="shared" ca="1" si="114"/>
        <v>__X_</v>
      </c>
      <c r="M1805" t="str">
        <f t="shared" ca="1" si="115"/>
        <v/>
      </c>
    </row>
    <row r="1806" spans="1:13" x14ac:dyDescent="0.25">
      <c r="A1806" s="5"/>
      <c r="B1806" s="4" t="str">
        <f t="shared" si="113"/>
        <v/>
      </c>
      <c r="C1806" t="str">
        <f>IF(AND(TRIM(A1806)&lt;&gt;"",IFERROR(VLOOKUP(TRIM(B1806),Inventory!E:E,1,0),0)=0),"X","_")</f>
        <v>_</v>
      </c>
      <c r="D1806" t="str">
        <f>IF(AND(TRIM(A1806)&lt;&gt;"",IFERROR(VLOOKUP(TRIM(B1806),'Full Inventory'!F:F,1,0),0)=0),"X","_")</f>
        <v>_</v>
      </c>
      <c r="E1806" t="str">
        <f t="shared" si="112"/>
        <v>X</v>
      </c>
      <c r="F1806" t="str">
        <f ca="1">IFERROR(IF(AND(C1806&amp;D1806&amp;E1806="___",INDIRECT("Inventory!A"&amp;MATCH(VLOOKUP(B1806,Inventory!E:E,1,0),Inventory!E:E,0))&lt;&gt;INDIRECT("'Full Inventory'!B"&amp;MATCH(VLOOKUP(B1806,'Full Inventory'!F:F,1,0),'Full Inventory'!F:F,0))),"X","_"),"_")</f>
        <v>_</v>
      </c>
      <c r="L1806" t="str">
        <f t="shared" ca="1" si="114"/>
        <v>__X_</v>
      </c>
      <c r="M1806" t="str">
        <f t="shared" ca="1" si="115"/>
        <v/>
      </c>
    </row>
    <row r="1807" spans="1:13" x14ac:dyDescent="0.25">
      <c r="A1807" s="5"/>
      <c r="B1807" s="4" t="str">
        <f t="shared" si="113"/>
        <v/>
      </c>
      <c r="C1807" t="str">
        <f>IF(AND(TRIM(A1807)&lt;&gt;"",IFERROR(VLOOKUP(TRIM(B1807),Inventory!E:E,1,0),0)=0),"X","_")</f>
        <v>_</v>
      </c>
      <c r="D1807" t="str">
        <f>IF(AND(TRIM(A1807)&lt;&gt;"",IFERROR(VLOOKUP(TRIM(B1807),'Full Inventory'!F:F,1,0),0)=0),"X","_")</f>
        <v>_</v>
      </c>
      <c r="E1807" t="str">
        <f t="shared" si="112"/>
        <v>X</v>
      </c>
      <c r="F1807" t="str">
        <f ca="1">IFERROR(IF(AND(C1807&amp;D1807&amp;E1807="___",INDIRECT("Inventory!A"&amp;MATCH(VLOOKUP(B1807,Inventory!E:E,1,0),Inventory!E:E,0))&lt;&gt;INDIRECT("'Full Inventory'!B"&amp;MATCH(VLOOKUP(B1807,'Full Inventory'!F:F,1,0),'Full Inventory'!F:F,0))),"X","_"),"_")</f>
        <v>_</v>
      </c>
      <c r="L1807" t="str">
        <f t="shared" ca="1" si="114"/>
        <v>__X_</v>
      </c>
      <c r="M1807" t="str">
        <f t="shared" ca="1" si="115"/>
        <v/>
      </c>
    </row>
    <row r="1808" spans="1:13" x14ac:dyDescent="0.25">
      <c r="A1808" s="5"/>
      <c r="B1808" s="4" t="str">
        <f t="shared" si="113"/>
        <v/>
      </c>
      <c r="C1808" t="str">
        <f>IF(AND(TRIM(A1808)&lt;&gt;"",IFERROR(VLOOKUP(TRIM(B1808),Inventory!E:E,1,0),0)=0),"X","_")</f>
        <v>_</v>
      </c>
      <c r="D1808" t="str">
        <f>IF(AND(TRIM(A1808)&lt;&gt;"",IFERROR(VLOOKUP(TRIM(B1808),'Full Inventory'!F:F,1,0),0)=0),"X","_")</f>
        <v>_</v>
      </c>
      <c r="E1808" t="str">
        <f t="shared" si="112"/>
        <v>X</v>
      </c>
      <c r="F1808" t="str">
        <f ca="1">IFERROR(IF(AND(C1808&amp;D1808&amp;E1808="___",INDIRECT("Inventory!A"&amp;MATCH(VLOOKUP(B1808,Inventory!E:E,1,0),Inventory!E:E,0))&lt;&gt;INDIRECT("'Full Inventory'!B"&amp;MATCH(VLOOKUP(B1808,'Full Inventory'!F:F,1,0),'Full Inventory'!F:F,0))),"X","_"),"_")</f>
        <v>_</v>
      </c>
      <c r="L1808" t="str">
        <f t="shared" ca="1" si="114"/>
        <v>__X_</v>
      </c>
      <c r="M1808" t="str">
        <f t="shared" ca="1" si="115"/>
        <v/>
      </c>
    </row>
    <row r="1809" spans="1:13" x14ac:dyDescent="0.25">
      <c r="A1809" s="5"/>
      <c r="B1809" s="4" t="str">
        <f t="shared" si="113"/>
        <v/>
      </c>
      <c r="C1809" t="str">
        <f>IF(AND(TRIM(A1809)&lt;&gt;"",IFERROR(VLOOKUP(TRIM(B1809),Inventory!E:E,1,0),0)=0),"X","_")</f>
        <v>_</v>
      </c>
      <c r="D1809" t="str">
        <f>IF(AND(TRIM(A1809)&lt;&gt;"",IFERROR(VLOOKUP(TRIM(B1809),'Full Inventory'!F:F,1,0),0)=0),"X","_")</f>
        <v>_</v>
      </c>
      <c r="E1809" t="str">
        <f t="shared" si="112"/>
        <v>X</v>
      </c>
      <c r="F1809" t="str">
        <f ca="1">IFERROR(IF(AND(C1809&amp;D1809&amp;E1809="___",INDIRECT("Inventory!A"&amp;MATCH(VLOOKUP(B1809,Inventory!E:E,1,0),Inventory!E:E,0))&lt;&gt;INDIRECT("'Full Inventory'!B"&amp;MATCH(VLOOKUP(B1809,'Full Inventory'!F:F,1,0),'Full Inventory'!F:F,0))),"X","_"),"_")</f>
        <v>_</v>
      </c>
      <c r="L1809" t="str">
        <f t="shared" ca="1" si="114"/>
        <v>__X_</v>
      </c>
      <c r="M1809" t="str">
        <f t="shared" ca="1" si="115"/>
        <v/>
      </c>
    </row>
    <row r="1810" spans="1:13" x14ac:dyDescent="0.25">
      <c r="A1810" s="5"/>
      <c r="B1810" s="4" t="str">
        <f t="shared" si="113"/>
        <v/>
      </c>
      <c r="C1810" t="str">
        <f>IF(AND(TRIM(A1810)&lt;&gt;"",IFERROR(VLOOKUP(TRIM(B1810),Inventory!E:E,1,0),0)=0),"X","_")</f>
        <v>_</v>
      </c>
      <c r="D1810" t="str">
        <f>IF(AND(TRIM(A1810)&lt;&gt;"",IFERROR(VLOOKUP(TRIM(B1810),'Full Inventory'!F:F,1,0),0)=0),"X","_")</f>
        <v>_</v>
      </c>
      <c r="E1810" t="str">
        <f t="shared" si="112"/>
        <v>X</v>
      </c>
      <c r="F1810" t="str">
        <f ca="1">IFERROR(IF(AND(C1810&amp;D1810&amp;E1810="___",INDIRECT("Inventory!A"&amp;MATCH(VLOOKUP(B1810,Inventory!E:E,1,0),Inventory!E:E,0))&lt;&gt;INDIRECT("'Full Inventory'!B"&amp;MATCH(VLOOKUP(B1810,'Full Inventory'!F:F,1,0),'Full Inventory'!F:F,0))),"X","_"),"_")</f>
        <v>_</v>
      </c>
      <c r="L1810" t="str">
        <f t="shared" ca="1" si="114"/>
        <v>__X_</v>
      </c>
      <c r="M1810" t="str">
        <f t="shared" ca="1" si="115"/>
        <v/>
      </c>
    </row>
    <row r="1811" spans="1:13" x14ac:dyDescent="0.25">
      <c r="A1811" s="5"/>
      <c r="B1811" s="4" t="str">
        <f t="shared" si="113"/>
        <v/>
      </c>
      <c r="C1811" t="str">
        <f>IF(AND(TRIM(A1811)&lt;&gt;"",IFERROR(VLOOKUP(TRIM(B1811),Inventory!E:E,1,0),0)=0),"X","_")</f>
        <v>_</v>
      </c>
      <c r="D1811" t="str">
        <f>IF(AND(TRIM(A1811)&lt;&gt;"",IFERROR(VLOOKUP(TRIM(B1811),'Full Inventory'!F:F,1,0),0)=0),"X","_")</f>
        <v>_</v>
      </c>
      <c r="E1811" t="str">
        <f t="shared" si="112"/>
        <v>X</v>
      </c>
      <c r="F1811" t="str">
        <f ca="1">IFERROR(IF(AND(C1811&amp;D1811&amp;E1811="___",INDIRECT("Inventory!A"&amp;MATCH(VLOOKUP(B1811,Inventory!E:E,1,0),Inventory!E:E,0))&lt;&gt;INDIRECT("'Full Inventory'!B"&amp;MATCH(VLOOKUP(B1811,'Full Inventory'!F:F,1,0),'Full Inventory'!F:F,0))),"X","_"),"_")</f>
        <v>_</v>
      </c>
      <c r="L1811" t="str">
        <f t="shared" ca="1" si="114"/>
        <v>__X_</v>
      </c>
      <c r="M1811" t="str">
        <f t="shared" ca="1" si="115"/>
        <v/>
      </c>
    </row>
    <row r="1812" spans="1:13" x14ac:dyDescent="0.25">
      <c r="A1812" s="5"/>
      <c r="B1812" s="4" t="str">
        <f t="shared" si="113"/>
        <v/>
      </c>
      <c r="C1812" t="str">
        <f>IF(AND(TRIM(A1812)&lt;&gt;"",IFERROR(VLOOKUP(TRIM(B1812),Inventory!E:E,1,0),0)=0),"X","_")</f>
        <v>_</v>
      </c>
      <c r="D1812" t="str">
        <f>IF(AND(TRIM(A1812)&lt;&gt;"",IFERROR(VLOOKUP(TRIM(B1812),'Full Inventory'!F:F,1,0),0)=0),"X","_")</f>
        <v>_</v>
      </c>
      <c r="E1812" t="str">
        <f t="shared" ref="E1812:E1875" si="116">IF(TRIM(A1812)&lt;&gt;"","_","X")</f>
        <v>X</v>
      </c>
      <c r="F1812" t="str">
        <f ca="1">IFERROR(IF(AND(C1812&amp;D1812&amp;E1812="___",INDIRECT("Inventory!A"&amp;MATCH(VLOOKUP(B1812,Inventory!E:E,1,0),Inventory!E:E,0))&lt;&gt;INDIRECT("'Full Inventory'!B"&amp;MATCH(VLOOKUP(B1812,'Full Inventory'!F:F,1,0),'Full Inventory'!F:F,0))),"X","_"),"_")</f>
        <v>_</v>
      </c>
      <c r="L1812" t="str">
        <f t="shared" ca="1" si="114"/>
        <v>__X_</v>
      </c>
      <c r="M1812" t="str">
        <f t="shared" ca="1" si="115"/>
        <v/>
      </c>
    </row>
    <row r="1813" spans="1:13" x14ac:dyDescent="0.25">
      <c r="A1813" s="5"/>
      <c r="B1813" s="4" t="str">
        <f t="shared" si="113"/>
        <v/>
      </c>
      <c r="C1813" t="str">
        <f>IF(AND(TRIM(A1813)&lt;&gt;"",IFERROR(VLOOKUP(TRIM(B1813),Inventory!E:E,1,0),0)=0),"X","_")</f>
        <v>_</v>
      </c>
      <c r="D1813" t="str">
        <f>IF(AND(TRIM(A1813)&lt;&gt;"",IFERROR(VLOOKUP(TRIM(B1813),'Full Inventory'!F:F,1,0),0)=0),"X","_")</f>
        <v>_</v>
      </c>
      <c r="E1813" t="str">
        <f t="shared" si="116"/>
        <v>X</v>
      </c>
      <c r="F1813" t="str">
        <f ca="1">IFERROR(IF(AND(C1813&amp;D1813&amp;E1813="___",INDIRECT("Inventory!A"&amp;MATCH(VLOOKUP(B1813,Inventory!E:E,1,0),Inventory!E:E,0))&lt;&gt;INDIRECT("'Full Inventory'!B"&amp;MATCH(VLOOKUP(B1813,'Full Inventory'!F:F,1,0),'Full Inventory'!F:F,0))),"X","_"),"_")</f>
        <v>_</v>
      </c>
      <c r="L1813" t="str">
        <f t="shared" ca="1" si="114"/>
        <v>__X_</v>
      </c>
      <c r="M1813" t="str">
        <f t="shared" ca="1" si="115"/>
        <v/>
      </c>
    </row>
    <row r="1814" spans="1:13" x14ac:dyDescent="0.25">
      <c r="A1814" s="5"/>
      <c r="B1814" s="4" t="str">
        <f t="shared" si="113"/>
        <v/>
      </c>
      <c r="C1814" t="str">
        <f>IF(AND(TRIM(A1814)&lt;&gt;"",IFERROR(VLOOKUP(TRIM(B1814),Inventory!E:E,1,0),0)=0),"X","_")</f>
        <v>_</v>
      </c>
      <c r="D1814" t="str">
        <f>IF(AND(TRIM(A1814)&lt;&gt;"",IFERROR(VLOOKUP(TRIM(B1814),'Full Inventory'!F:F,1,0),0)=0),"X","_")</f>
        <v>_</v>
      </c>
      <c r="E1814" t="str">
        <f t="shared" si="116"/>
        <v>X</v>
      </c>
      <c r="F1814" t="str">
        <f ca="1">IFERROR(IF(AND(C1814&amp;D1814&amp;E1814="___",INDIRECT("Inventory!A"&amp;MATCH(VLOOKUP(B1814,Inventory!E:E,1,0),Inventory!E:E,0))&lt;&gt;INDIRECT("'Full Inventory'!B"&amp;MATCH(VLOOKUP(B1814,'Full Inventory'!F:F,1,0),'Full Inventory'!F:F,0))),"X","_"),"_")</f>
        <v>_</v>
      </c>
      <c r="L1814" t="str">
        <f t="shared" ca="1" si="114"/>
        <v>__X_</v>
      </c>
      <c r="M1814" t="str">
        <f t="shared" ca="1" si="115"/>
        <v/>
      </c>
    </row>
    <row r="1815" spans="1:13" x14ac:dyDescent="0.25">
      <c r="A1815" s="5"/>
      <c r="B1815" s="4" t="str">
        <f t="shared" si="113"/>
        <v/>
      </c>
      <c r="C1815" t="str">
        <f>IF(AND(TRIM(A1815)&lt;&gt;"",IFERROR(VLOOKUP(TRIM(B1815),Inventory!E:E,1,0),0)=0),"X","_")</f>
        <v>_</v>
      </c>
      <c r="D1815" t="str">
        <f>IF(AND(TRIM(A1815)&lt;&gt;"",IFERROR(VLOOKUP(TRIM(B1815),'Full Inventory'!F:F,1,0),0)=0),"X","_")</f>
        <v>_</v>
      </c>
      <c r="E1815" t="str">
        <f t="shared" si="116"/>
        <v>X</v>
      </c>
      <c r="F1815" t="str">
        <f ca="1">IFERROR(IF(AND(C1815&amp;D1815&amp;E1815="___",INDIRECT("Inventory!A"&amp;MATCH(VLOOKUP(B1815,Inventory!E:E,1,0),Inventory!E:E,0))&lt;&gt;INDIRECT("'Full Inventory'!B"&amp;MATCH(VLOOKUP(B1815,'Full Inventory'!F:F,1,0),'Full Inventory'!F:F,0))),"X","_"),"_")</f>
        <v>_</v>
      </c>
      <c r="L1815" t="str">
        <f t="shared" ca="1" si="114"/>
        <v>__X_</v>
      </c>
      <c r="M1815" t="str">
        <f t="shared" ca="1" si="115"/>
        <v/>
      </c>
    </row>
    <row r="1816" spans="1:13" x14ac:dyDescent="0.25">
      <c r="A1816" s="5"/>
      <c r="B1816" s="4" t="str">
        <f t="shared" si="113"/>
        <v/>
      </c>
      <c r="C1816" t="str">
        <f>IF(AND(TRIM(A1816)&lt;&gt;"",IFERROR(VLOOKUP(TRIM(B1816),Inventory!E:E,1,0),0)=0),"X","_")</f>
        <v>_</v>
      </c>
      <c r="D1816" t="str">
        <f>IF(AND(TRIM(A1816)&lt;&gt;"",IFERROR(VLOOKUP(TRIM(B1816),'Full Inventory'!F:F,1,0),0)=0),"X","_")</f>
        <v>_</v>
      </c>
      <c r="E1816" t="str">
        <f t="shared" si="116"/>
        <v>X</v>
      </c>
      <c r="F1816" t="str">
        <f ca="1">IFERROR(IF(AND(C1816&amp;D1816&amp;E1816="___",INDIRECT("Inventory!A"&amp;MATCH(VLOOKUP(B1816,Inventory!E:E,1,0),Inventory!E:E,0))&lt;&gt;INDIRECT("'Full Inventory'!B"&amp;MATCH(VLOOKUP(B1816,'Full Inventory'!F:F,1,0),'Full Inventory'!F:F,0))),"X","_"),"_")</f>
        <v>_</v>
      </c>
      <c r="L1816" t="str">
        <f t="shared" ca="1" si="114"/>
        <v>__X_</v>
      </c>
      <c r="M1816" t="str">
        <f t="shared" ca="1" si="115"/>
        <v/>
      </c>
    </row>
    <row r="1817" spans="1:13" x14ac:dyDescent="0.25">
      <c r="A1817" s="5"/>
      <c r="B1817" s="4" t="str">
        <f t="shared" si="113"/>
        <v/>
      </c>
      <c r="C1817" t="str">
        <f>IF(AND(TRIM(A1817)&lt;&gt;"",IFERROR(VLOOKUP(TRIM(B1817),Inventory!E:E,1,0),0)=0),"X","_")</f>
        <v>_</v>
      </c>
      <c r="D1817" t="str">
        <f>IF(AND(TRIM(A1817)&lt;&gt;"",IFERROR(VLOOKUP(TRIM(B1817),'Full Inventory'!F:F,1,0),0)=0),"X","_")</f>
        <v>_</v>
      </c>
      <c r="E1817" t="str">
        <f t="shared" si="116"/>
        <v>X</v>
      </c>
      <c r="F1817" t="str">
        <f ca="1">IFERROR(IF(AND(C1817&amp;D1817&amp;E1817="___",INDIRECT("Inventory!A"&amp;MATCH(VLOOKUP(B1817,Inventory!E:E,1,0),Inventory!E:E,0))&lt;&gt;INDIRECT("'Full Inventory'!B"&amp;MATCH(VLOOKUP(B1817,'Full Inventory'!F:F,1,0),'Full Inventory'!F:F,0))),"X","_"),"_")</f>
        <v>_</v>
      </c>
      <c r="L1817" t="str">
        <f t="shared" ca="1" si="114"/>
        <v>__X_</v>
      </c>
      <c r="M1817" t="str">
        <f t="shared" ca="1" si="115"/>
        <v/>
      </c>
    </row>
    <row r="1818" spans="1:13" x14ac:dyDescent="0.25">
      <c r="A1818" s="5"/>
      <c r="B1818" s="4" t="str">
        <f t="shared" si="113"/>
        <v/>
      </c>
      <c r="C1818" t="str">
        <f>IF(AND(TRIM(A1818)&lt;&gt;"",IFERROR(VLOOKUP(TRIM(B1818),Inventory!E:E,1,0),0)=0),"X","_")</f>
        <v>_</v>
      </c>
      <c r="D1818" t="str">
        <f>IF(AND(TRIM(A1818)&lt;&gt;"",IFERROR(VLOOKUP(TRIM(B1818),'Full Inventory'!F:F,1,0),0)=0),"X","_")</f>
        <v>_</v>
      </c>
      <c r="E1818" t="str">
        <f t="shared" si="116"/>
        <v>X</v>
      </c>
      <c r="F1818" t="str">
        <f ca="1">IFERROR(IF(AND(C1818&amp;D1818&amp;E1818="___",INDIRECT("Inventory!A"&amp;MATCH(VLOOKUP(B1818,Inventory!E:E,1,0),Inventory!E:E,0))&lt;&gt;INDIRECT("'Full Inventory'!B"&amp;MATCH(VLOOKUP(B1818,'Full Inventory'!F:F,1,0),'Full Inventory'!F:F,0))),"X","_"),"_")</f>
        <v>_</v>
      </c>
      <c r="L1818" t="str">
        <f t="shared" ca="1" si="114"/>
        <v>__X_</v>
      </c>
      <c r="M1818" t="str">
        <f t="shared" ca="1" si="115"/>
        <v/>
      </c>
    </row>
    <row r="1819" spans="1:13" x14ac:dyDescent="0.25">
      <c r="A1819" s="5"/>
      <c r="B1819" s="4" t="str">
        <f t="shared" si="113"/>
        <v/>
      </c>
      <c r="C1819" t="str">
        <f>IF(AND(TRIM(A1819)&lt;&gt;"",IFERROR(VLOOKUP(TRIM(B1819),Inventory!E:E,1,0),0)=0),"X","_")</f>
        <v>_</v>
      </c>
      <c r="D1819" t="str">
        <f>IF(AND(TRIM(A1819)&lt;&gt;"",IFERROR(VLOOKUP(TRIM(B1819),'Full Inventory'!F:F,1,0),0)=0),"X","_")</f>
        <v>_</v>
      </c>
      <c r="E1819" t="str">
        <f t="shared" si="116"/>
        <v>X</v>
      </c>
      <c r="F1819" t="str">
        <f ca="1">IFERROR(IF(AND(C1819&amp;D1819&amp;E1819="___",INDIRECT("Inventory!A"&amp;MATCH(VLOOKUP(B1819,Inventory!E:E,1,0),Inventory!E:E,0))&lt;&gt;INDIRECT("'Full Inventory'!B"&amp;MATCH(VLOOKUP(B1819,'Full Inventory'!F:F,1,0),'Full Inventory'!F:F,0))),"X","_"),"_")</f>
        <v>_</v>
      </c>
      <c r="L1819" t="str">
        <f t="shared" ca="1" si="114"/>
        <v>__X_</v>
      </c>
      <c r="M1819" t="str">
        <f t="shared" ca="1" si="115"/>
        <v/>
      </c>
    </row>
    <row r="1820" spans="1:13" x14ac:dyDescent="0.25">
      <c r="A1820" s="5"/>
      <c r="B1820" s="4" t="str">
        <f t="shared" si="113"/>
        <v/>
      </c>
      <c r="C1820" t="str">
        <f>IF(AND(TRIM(A1820)&lt;&gt;"",IFERROR(VLOOKUP(TRIM(B1820),Inventory!E:E,1,0),0)=0),"X","_")</f>
        <v>_</v>
      </c>
      <c r="D1820" t="str">
        <f>IF(AND(TRIM(A1820)&lt;&gt;"",IFERROR(VLOOKUP(TRIM(B1820),'Full Inventory'!F:F,1,0),0)=0),"X","_")</f>
        <v>_</v>
      </c>
      <c r="E1820" t="str">
        <f t="shared" si="116"/>
        <v>X</v>
      </c>
      <c r="F1820" t="str">
        <f ca="1">IFERROR(IF(AND(C1820&amp;D1820&amp;E1820="___",INDIRECT("Inventory!A"&amp;MATCH(VLOOKUP(B1820,Inventory!E:E,1,0),Inventory!E:E,0))&lt;&gt;INDIRECT("'Full Inventory'!B"&amp;MATCH(VLOOKUP(B1820,'Full Inventory'!F:F,1,0),'Full Inventory'!F:F,0))),"X","_"),"_")</f>
        <v>_</v>
      </c>
      <c r="L1820" t="str">
        <f t="shared" ca="1" si="114"/>
        <v>__X_</v>
      </c>
      <c r="M1820" t="str">
        <f t="shared" ca="1" si="115"/>
        <v/>
      </c>
    </row>
    <row r="1821" spans="1:13" x14ac:dyDescent="0.25">
      <c r="A1821" s="5"/>
      <c r="B1821" s="4" t="str">
        <f t="shared" si="113"/>
        <v/>
      </c>
      <c r="C1821" t="str">
        <f>IF(AND(TRIM(A1821)&lt;&gt;"",IFERROR(VLOOKUP(TRIM(B1821),Inventory!E:E,1,0),0)=0),"X","_")</f>
        <v>_</v>
      </c>
      <c r="D1821" t="str">
        <f>IF(AND(TRIM(A1821)&lt;&gt;"",IFERROR(VLOOKUP(TRIM(B1821),'Full Inventory'!F:F,1,0),0)=0),"X","_")</f>
        <v>_</v>
      </c>
      <c r="E1821" t="str">
        <f t="shared" si="116"/>
        <v>X</v>
      </c>
      <c r="F1821" t="str">
        <f ca="1">IFERROR(IF(AND(C1821&amp;D1821&amp;E1821="___",INDIRECT("Inventory!A"&amp;MATCH(VLOOKUP(B1821,Inventory!E:E,1,0),Inventory!E:E,0))&lt;&gt;INDIRECT("'Full Inventory'!B"&amp;MATCH(VLOOKUP(B1821,'Full Inventory'!F:F,1,0),'Full Inventory'!F:F,0))),"X","_"),"_")</f>
        <v>_</v>
      </c>
      <c r="L1821" t="str">
        <f t="shared" ca="1" si="114"/>
        <v>__X_</v>
      </c>
      <c r="M1821" t="str">
        <f t="shared" ca="1" si="115"/>
        <v/>
      </c>
    </row>
    <row r="1822" spans="1:13" x14ac:dyDescent="0.25">
      <c r="A1822" s="5"/>
      <c r="B1822" s="4" t="str">
        <f t="shared" si="113"/>
        <v/>
      </c>
      <c r="C1822" t="str">
        <f>IF(AND(TRIM(A1822)&lt;&gt;"",IFERROR(VLOOKUP(TRIM(B1822),Inventory!E:E,1,0),0)=0),"X","_")</f>
        <v>_</v>
      </c>
      <c r="D1822" t="str">
        <f>IF(AND(TRIM(A1822)&lt;&gt;"",IFERROR(VLOOKUP(TRIM(B1822),'Full Inventory'!F:F,1,0),0)=0),"X","_")</f>
        <v>_</v>
      </c>
      <c r="E1822" t="str">
        <f t="shared" si="116"/>
        <v>X</v>
      </c>
      <c r="F1822" t="str">
        <f ca="1">IFERROR(IF(AND(C1822&amp;D1822&amp;E1822="___",INDIRECT("Inventory!A"&amp;MATCH(VLOOKUP(B1822,Inventory!E:E,1,0),Inventory!E:E,0))&lt;&gt;INDIRECT("'Full Inventory'!B"&amp;MATCH(VLOOKUP(B1822,'Full Inventory'!F:F,1,0),'Full Inventory'!F:F,0))),"X","_"),"_")</f>
        <v>_</v>
      </c>
      <c r="L1822" t="str">
        <f t="shared" ca="1" si="114"/>
        <v>__X_</v>
      </c>
      <c r="M1822" t="str">
        <f t="shared" ca="1" si="115"/>
        <v/>
      </c>
    </row>
    <row r="1823" spans="1:13" x14ac:dyDescent="0.25">
      <c r="A1823" s="5"/>
      <c r="B1823" s="4" t="str">
        <f t="shared" si="113"/>
        <v/>
      </c>
      <c r="C1823" t="str">
        <f>IF(AND(TRIM(A1823)&lt;&gt;"",IFERROR(VLOOKUP(TRIM(B1823),Inventory!E:E,1,0),0)=0),"X","_")</f>
        <v>_</v>
      </c>
      <c r="D1823" t="str">
        <f>IF(AND(TRIM(A1823)&lt;&gt;"",IFERROR(VLOOKUP(TRIM(B1823),'Full Inventory'!F:F,1,0),0)=0),"X","_")</f>
        <v>_</v>
      </c>
      <c r="E1823" t="str">
        <f t="shared" si="116"/>
        <v>X</v>
      </c>
      <c r="F1823" t="str">
        <f ca="1">IFERROR(IF(AND(C1823&amp;D1823&amp;E1823="___",INDIRECT("Inventory!A"&amp;MATCH(VLOOKUP(B1823,Inventory!E:E,1,0),Inventory!E:E,0))&lt;&gt;INDIRECT("'Full Inventory'!B"&amp;MATCH(VLOOKUP(B1823,'Full Inventory'!F:F,1,0),'Full Inventory'!F:F,0))),"X","_"),"_")</f>
        <v>_</v>
      </c>
      <c r="L1823" t="str">
        <f t="shared" ca="1" si="114"/>
        <v>__X_</v>
      </c>
      <c r="M1823" t="str">
        <f t="shared" ca="1" si="115"/>
        <v/>
      </c>
    </row>
    <row r="1824" spans="1:13" x14ac:dyDescent="0.25">
      <c r="A1824" s="5"/>
      <c r="B1824" s="4" t="str">
        <f t="shared" si="113"/>
        <v/>
      </c>
      <c r="C1824" t="str">
        <f>IF(AND(TRIM(A1824)&lt;&gt;"",IFERROR(VLOOKUP(TRIM(B1824),Inventory!E:E,1,0),0)=0),"X","_")</f>
        <v>_</v>
      </c>
      <c r="D1824" t="str">
        <f>IF(AND(TRIM(A1824)&lt;&gt;"",IFERROR(VLOOKUP(TRIM(B1824),'Full Inventory'!F:F,1,0),0)=0),"X","_")</f>
        <v>_</v>
      </c>
      <c r="E1824" t="str">
        <f t="shared" si="116"/>
        <v>X</v>
      </c>
      <c r="F1824" t="str">
        <f ca="1">IFERROR(IF(AND(C1824&amp;D1824&amp;E1824="___",INDIRECT("Inventory!A"&amp;MATCH(VLOOKUP(B1824,Inventory!E:E,1,0),Inventory!E:E,0))&lt;&gt;INDIRECT("'Full Inventory'!B"&amp;MATCH(VLOOKUP(B1824,'Full Inventory'!F:F,1,0),'Full Inventory'!F:F,0))),"X","_"),"_")</f>
        <v>_</v>
      </c>
      <c r="L1824" t="str">
        <f t="shared" ca="1" si="114"/>
        <v>__X_</v>
      </c>
      <c r="M1824" t="str">
        <f t="shared" ca="1" si="115"/>
        <v/>
      </c>
    </row>
    <row r="1825" spans="1:13" x14ac:dyDescent="0.25">
      <c r="A1825" s="5"/>
      <c r="B1825" s="4" t="str">
        <f t="shared" si="113"/>
        <v/>
      </c>
      <c r="C1825" t="str">
        <f>IF(AND(TRIM(A1825)&lt;&gt;"",IFERROR(VLOOKUP(TRIM(B1825),Inventory!E:E,1,0),0)=0),"X","_")</f>
        <v>_</v>
      </c>
      <c r="D1825" t="str">
        <f>IF(AND(TRIM(A1825)&lt;&gt;"",IFERROR(VLOOKUP(TRIM(B1825),'Full Inventory'!F:F,1,0),0)=0),"X","_")</f>
        <v>_</v>
      </c>
      <c r="E1825" t="str">
        <f t="shared" si="116"/>
        <v>X</v>
      </c>
      <c r="F1825" t="str">
        <f ca="1">IFERROR(IF(AND(C1825&amp;D1825&amp;E1825="___",INDIRECT("Inventory!A"&amp;MATCH(VLOOKUP(B1825,Inventory!E:E,1,0),Inventory!E:E,0))&lt;&gt;INDIRECT("'Full Inventory'!B"&amp;MATCH(VLOOKUP(B1825,'Full Inventory'!F:F,1,0),'Full Inventory'!F:F,0))),"X","_"),"_")</f>
        <v>_</v>
      </c>
      <c r="L1825" t="str">
        <f t="shared" ca="1" si="114"/>
        <v>__X_</v>
      </c>
      <c r="M1825" t="str">
        <f t="shared" ca="1" si="115"/>
        <v/>
      </c>
    </row>
    <row r="1826" spans="1:13" x14ac:dyDescent="0.25">
      <c r="A1826" s="5"/>
      <c r="B1826" s="4" t="str">
        <f t="shared" si="113"/>
        <v/>
      </c>
      <c r="C1826" t="str">
        <f>IF(AND(TRIM(A1826)&lt;&gt;"",IFERROR(VLOOKUP(TRIM(B1826),Inventory!E:E,1,0),0)=0),"X","_")</f>
        <v>_</v>
      </c>
      <c r="D1826" t="str">
        <f>IF(AND(TRIM(A1826)&lt;&gt;"",IFERROR(VLOOKUP(TRIM(B1826),'Full Inventory'!F:F,1,0),0)=0),"X","_")</f>
        <v>_</v>
      </c>
      <c r="E1826" t="str">
        <f t="shared" si="116"/>
        <v>X</v>
      </c>
      <c r="F1826" t="str">
        <f ca="1">IFERROR(IF(AND(C1826&amp;D1826&amp;E1826="___",INDIRECT("Inventory!A"&amp;MATCH(VLOOKUP(B1826,Inventory!E:E,1,0),Inventory!E:E,0))&lt;&gt;INDIRECT("'Full Inventory'!B"&amp;MATCH(VLOOKUP(B1826,'Full Inventory'!F:F,1,0),'Full Inventory'!F:F,0))),"X","_"),"_")</f>
        <v>_</v>
      </c>
      <c r="L1826" t="str">
        <f t="shared" ca="1" si="114"/>
        <v>__X_</v>
      </c>
      <c r="M1826" t="str">
        <f t="shared" ca="1" si="115"/>
        <v/>
      </c>
    </row>
    <row r="1827" spans="1:13" x14ac:dyDescent="0.25">
      <c r="A1827" s="5"/>
      <c r="B1827" s="4" t="str">
        <f t="shared" si="113"/>
        <v/>
      </c>
      <c r="C1827" t="str">
        <f>IF(AND(TRIM(A1827)&lt;&gt;"",IFERROR(VLOOKUP(TRIM(B1827),Inventory!E:E,1,0),0)=0),"X","_")</f>
        <v>_</v>
      </c>
      <c r="D1827" t="str">
        <f>IF(AND(TRIM(A1827)&lt;&gt;"",IFERROR(VLOOKUP(TRIM(B1827),'Full Inventory'!F:F,1,0),0)=0),"X","_")</f>
        <v>_</v>
      </c>
      <c r="E1827" t="str">
        <f t="shared" si="116"/>
        <v>X</v>
      </c>
      <c r="F1827" t="str">
        <f ca="1">IFERROR(IF(AND(C1827&amp;D1827&amp;E1827="___",INDIRECT("Inventory!A"&amp;MATCH(VLOOKUP(B1827,Inventory!E:E,1,0),Inventory!E:E,0))&lt;&gt;INDIRECT("'Full Inventory'!B"&amp;MATCH(VLOOKUP(B1827,'Full Inventory'!F:F,1,0),'Full Inventory'!F:F,0))),"X","_"),"_")</f>
        <v>_</v>
      </c>
      <c r="L1827" t="str">
        <f t="shared" ca="1" si="114"/>
        <v>__X_</v>
      </c>
      <c r="M1827" t="str">
        <f t="shared" ca="1" si="115"/>
        <v/>
      </c>
    </row>
    <row r="1828" spans="1:13" x14ac:dyDescent="0.25">
      <c r="A1828" s="5"/>
      <c r="B1828" s="4" t="str">
        <f t="shared" si="113"/>
        <v/>
      </c>
      <c r="C1828" t="str">
        <f>IF(AND(TRIM(A1828)&lt;&gt;"",IFERROR(VLOOKUP(TRIM(B1828),Inventory!E:E,1,0),0)=0),"X","_")</f>
        <v>_</v>
      </c>
      <c r="D1828" t="str">
        <f>IF(AND(TRIM(A1828)&lt;&gt;"",IFERROR(VLOOKUP(TRIM(B1828),'Full Inventory'!F:F,1,0),0)=0),"X","_")</f>
        <v>_</v>
      </c>
      <c r="E1828" t="str">
        <f t="shared" si="116"/>
        <v>X</v>
      </c>
      <c r="F1828" t="str">
        <f ca="1">IFERROR(IF(AND(C1828&amp;D1828&amp;E1828="___",INDIRECT("Inventory!A"&amp;MATCH(VLOOKUP(B1828,Inventory!E:E,1,0),Inventory!E:E,0))&lt;&gt;INDIRECT("'Full Inventory'!B"&amp;MATCH(VLOOKUP(B1828,'Full Inventory'!F:F,1,0),'Full Inventory'!F:F,0))),"X","_"),"_")</f>
        <v>_</v>
      </c>
      <c r="L1828" t="str">
        <f t="shared" ca="1" si="114"/>
        <v>__X_</v>
      </c>
      <c r="M1828" t="str">
        <f t="shared" ca="1" si="115"/>
        <v/>
      </c>
    </row>
    <row r="1829" spans="1:13" x14ac:dyDescent="0.25">
      <c r="A1829" s="5"/>
      <c r="B1829" s="4" t="str">
        <f t="shared" si="113"/>
        <v/>
      </c>
      <c r="C1829" t="str">
        <f>IF(AND(TRIM(A1829)&lt;&gt;"",IFERROR(VLOOKUP(TRIM(B1829),Inventory!E:E,1,0),0)=0),"X","_")</f>
        <v>_</v>
      </c>
      <c r="D1829" t="str">
        <f>IF(AND(TRIM(A1829)&lt;&gt;"",IFERROR(VLOOKUP(TRIM(B1829),'Full Inventory'!F:F,1,0),0)=0),"X","_")</f>
        <v>_</v>
      </c>
      <c r="E1829" t="str">
        <f t="shared" si="116"/>
        <v>X</v>
      </c>
      <c r="F1829" t="str">
        <f ca="1">IFERROR(IF(AND(C1829&amp;D1829&amp;E1829="___",INDIRECT("Inventory!A"&amp;MATCH(VLOOKUP(B1829,Inventory!E:E,1,0),Inventory!E:E,0))&lt;&gt;INDIRECT("'Full Inventory'!B"&amp;MATCH(VLOOKUP(B1829,'Full Inventory'!F:F,1,0),'Full Inventory'!F:F,0))),"X","_"),"_")</f>
        <v>_</v>
      </c>
      <c r="L1829" t="str">
        <f t="shared" ca="1" si="114"/>
        <v>__X_</v>
      </c>
      <c r="M1829" t="str">
        <f t="shared" ca="1" si="115"/>
        <v/>
      </c>
    </row>
    <row r="1830" spans="1:13" x14ac:dyDescent="0.25">
      <c r="A1830" s="5"/>
      <c r="B1830" s="4" t="str">
        <f t="shared" si="113"/>
        <v/>
      </c>
      <c r="C1830" t="str">
        <f>IF(AND(TRIM(A1830)&lt;&gt;"",IFERROR(VLOOKUP(TRIM(B1830),Inventory!E:E,1,0),0)=0),"X","_")</f>
        <v>_</v>
      </c>
      <c r="D1830" t="str">
        <f>IF(AND(TRIM(A1830)&lt;&gt;"",IFERROR(VLOOKUP(TRIM(B1830),'Full Inventory'!F:F,1,0),0)=0),"X","_")</f>
        <v>_</v>
      </c>
      <c r="E1830" t="str">
        <f t="shared" si="116"/>
        <v>X</v>
      </c>
      <c r="F1830" t="str">
        <f ca="1">IFERROR(IF(AND(C1830&amp;D1830&amp;E1830="___",INDIRECT("Inventory!A"&amp;MATCH(VLOOKUP(B1830,Inventory!E:E,1,0),Inventory!E:E,0))&lt;&gt;INDIRECT("'Full Inventory'!B"&amp;MATCH(VLOOKUP(B1830,'Full Inventory'!F:F,1,0),'Full Inventory'!F:F,0))),"X","_"),"_")</f>
        <v>_</v>
      </c>
      <c r="L1830" t="str">
        <f t="shared" ca="1" si="114"/>
        <v>__X_</v>
      </c>
      <c r="M1830" t="str">
        <f t="shared" ca="1" si="115"/>
        <v/>
      </c>
    </row>
    <row r="1831" spans="1:13" x14ac:dyDescent="0.25">
      <c r="A1831" s="5"/>
      <c r="B1831" s="4" t="str">
        <f t="shared" si="113"/>
        <v/>
      </c>
      <c r="C1831" t="str">
        <f>IF(AND(TRIM(A1831)&lt;&gt;"",IFERROR(VLOOKUP(TRIM(B1831),Inventory!E:E,1,0),0)=0),"X","_")</f>
        <v>_</v>
      </c>
      <c r="D1831" t="str">
        <f>IF(AND(TRIM(A1831)&lt;&gt;"",IFERROR(VLOOKUP(TRIM(B1831),'Full Inventory'!F:F,1,0),0)=0),"X","_")</f>
        <v>_</v>
      </c>
      <c r="E1831" t="str">
        <f t="shared" si="116"/>
        <v>X</v>
      </c>
      <c r="F1831" t="str">
        <f ca="1">IFERROR(IF(AND(C1831&amp;D1831&amp;E1831="___",INDIRECT("Inventory!A"&amp;MATCH(VLOOKUP(B1831,Inventory!E:E,1,0),Inventory!E:E,0))&lt;&gt;INDIRECT("'Full Inventory'!B"&amp;MATCH(VLOOKUP(B1831,'Full Inventory'!F:F,1,0),'Full Inventory'!F:F,0))),"X","_"),"_")</f>
        <v>_</v>
      </c>
      <c r="L1831" t="str">
        <f t="shared" ca="1" si="114"/>
        <v>__X_</v>
      </c>
      <c r="M1831" t="str">
        <f t="shared" ca="1" si="115"/>
        <v/>
      </c>
    </row>
    <row r="1832" spans="1:13" x14ac:dyDescent="0.25">
      <c r="A1832" s="5"/>
      <c r="B1832" s="4" t="str">
        <f t="shared" si="113"/>
        <v/>
      </c>
      <c r="C1832" t="str">
        <f>IF(AND(TRIM(A1832)&lt;&gt;"",IFERROR(VLOOKUP(TRIM(B1832),Inventory!E:E,1,0),0)=0),"X","_")</f>
        <v>_</v>
      </c>
      <c r="D1832" t="str">
        <f>IF(AND(TRIM(A1832)&lt;&gt;"",IFERROR(VLOOKUP(TRIM(B1832),'Full Inventory'!F:F,1,0),0)=0),"X","_")</f>
        <v>_</v>
      </c>
      <c r="E1832" t="str">
        <f t="shared" si="116"/>
        <v>X</v>
      </c>
      <c r="F1832" t="str">
        <f ca="1">IFERROR(IF(AND(C1832&amp;D1832&amp;E1832="___",INDIRECT("Inventory!A"&amp;MATCH(VLOOKUP(B1832,Inventory!E:E,1,0),Inventory!E:E,0))&lt;&gt;INDIRECT("'Full Inventory'!B"&amp;MATCH(VLOOKUP(B1832,'Full Inventory'!F:F,1,0),'Full Inventory'!F:F,0))),"X","_"),"_")</f>
        <v>_</v>
      </c>
      <c r="L1832" t="str">
        <f t="shared" ca="1" si="114"/>
        <v>__X_</v>
      </c>
      <c r="M1832" t="str">
        <f t="shared" ca="1" si="115"/>
        <v/>
      </c>
    </row>
    <row r="1833" spans="1:13" x14ac:dyDescent="0.25">
      <c r="A1833" s="5"/>
      <c r="B1833" s="4" t="str">
        <f t="shared" si="113"/>
        <v/>
      </c>
      <c r="C1833" t="str">
        <f>IF(AND(TRIM(A1833)&lt;&gt;"",IFERROR(VLOOKUP(TRIM(B1833),Inventory!E:E,1,0),0)=0),"X","_")</f>
        <v>_</v>
      </c>
      <c r="D1833" t="str">
        <f>IF(AND(TRIM(A1833)&lt;&gt;"",IFERROR(VLOOKUP(TRIM(B1833),'Full Inventory'!F:F,1,0),0)=0),"X","_")</f>
        <v>_</v>
      </c>
      <c r="E1833" t="str">
        <f t="shared" si="116"/>
        <v>X</v>
      </c>
      <c r="F1833" t="str">
        <f ca="1">IFERROR(IF(AND(C1833&amp;D1833&amp;E1833="___",INDIRECT("Inventory!A"&amp;MATCH(VLOOKUP(B1833,Inventory!E:E,1,0),Inventory!E:E,0))&lt;&gt;INDIRECT("'Full Inventory'!B"&amp;MATCH(VLOOKUP(B1833,'Full Inventory'!F:F,1,0),'Full Inventory'!F:F,0))),"X","_"),"_")</f>
        <v>_</v>
      </c>
      <c r="L1833" t="str">
        <f t="shared" ca="1" si="114"/>
        <v>__X_</v>
      </c>
      <c r="M1833" t="str">
        <f t="shared" ca="1" si="115"/>
        <v/>
      </c>
    </row>
    <row r="1834" spans="1:13" x14ac:dyDescent="0.25">
      <c r="A1834" s="5"/>
      <c r="B1834" s="4" t="str">
        <f t="shared" si="113"/>
        <v/>
      </c>
      <c r="C1834" t="str">
        <f>IF(AND(TRIM(A1834)&lt;&gt;"",IFERROR(VLOOKUP(TRIM(B1834),Inventory!E:E,1,0),0)=0),"X","_")</f>
        <v>_</v>
      </c>
      <c r="D1834" t="str">
        <f>IF(AND(TRIM(A1834)&lt;&gt;"",IFERROR(VLOOKUP(TRIM(B1834),'Full Inventory'!F:F,1,0),0)=0),"X","_")</f>
        <v>_</v>
      </c>
      <c r="E1834" t="str">
        <f t="shared" si="116"/>
        <v>X</v>
      </c>
      <c r="F1834" t="str">
        <f ca="1">IFERROR(IF(AND(C1834&amp;D1834&amp;E1834="___",INDIRECT("Inventory!A"&amp;MATCH(VLOOKUP(B1834,Inventory!E:E,1,0),Inventory!E:E,0))&lt;&gt;INDIRECT("'Full Inventory'!B"&amp;MATCH(VLOOKUP(B1834,'Full Inventory'!F:F,1,0),'Full Inventory'!F:F,0))),"X","_"),"_")</f>
        <v>_</v>
      </c>
      <c r="L1834" t="str">
        <f t="shared" ca="1" si="114"/>
        <v>__X_</v>
      </c>
      <c r="M1834" t="str">
        <f t="shared" ca="1" si="115"/>
        <v/>
      </c>
    </row>
    <row r="1835" spans="1:13" x14ac:dyDescent="0.25">
      <c r="A1835" s="5"/>
      <c r="B1835" s="4" t="str">
        <f t="shared" si="113"/>
        <v/>
      </c>
      <c r="C1835" t="str">
        <f>IF(AND(TRIM(A1835)&lt;&gt;"",IFERROR(VLOOKUP(TRIM(B1835),Inventory!E:E,1,0),0)=0),"X","_")</f>
        <v>_</v>
      </c>
      <c r="D1835" t="str">
        <f>IF(AND(TRIM(A1835)&lt;&gt;"",IFERROR(VLOOKUP(TRIM(B1835),'Full Inventory'!F:F,1,0),0)=0),"X","_")</f>
        <v>_</v>
      </c>
      <c r="E1835" t="str">
        <f t="shared" si="116"/>
        <v>X</v>
      </c>
      <c r="F1835" t="str">
        <f ca="1">IFERROR(IF(AND(C1835&amp;D1835&amp;E1835="___",INDIRECT("Inventory!A"&amp;MATCH(VLOOKUP(B1835,Inventory!E:E,1,0),Inventory!E:E,0))&lt;&gt;INDIRECT("'Full Inventory'!B"&amp;MATCH(VLOOKUP(B1835,'Full Inventory'!F:F,1,0),'Full Inventory'!F:F,0))),"X","_"),"_")</f>
        <v>_</v>
      </c>
      <c r="L1835" t="str">
        <f t="shared" ca="1" si="114"/>
        <v>__X_</v>
      </c>
      <c r="M1835" t="str">
        <f t="shared" ca="1" si="115"/>
        <v/>
      </c>
    </row>
    <row r="1836" spans="1:13" x14ac:dyDescent="0.25">
      <c r="A1836" s="5"/>
      <c r="B1836" s="4" t="str">
        <f t="shared" si="113"/>
        <v/>
      </c>
      <c r="C1836" t="str">
        <f>IF(AND(TRIM(A1836)&lt;&gt;"",IFERROR(VLOOKUP(TRIM(B1836),Inventory!E:E,1,0),0)=0),"X","_")</f>
        <v>_</v>
      </c>
      <c r="D1836" t="str">
        <f>IF(AND(TRIM(A1836)&lt;&gt;"",IFERROR(VLOOKUP(TRIM(B1836),'Full Inventory'!F:F,1,0),0)=0),"X","_")</f>
        <v>_</v>
      </c>
      <c r="E1836" t="str">
        <f t="shared" si="116"/>
        <v>X</v>
      </c>
      <c r="F1836" t="str">
        <f ca="1">IFERROR(IF(AND(C1836&amp;D1836&amp;E1836="___",INDIRECT("Inventory!A"&amp;MATCH(VLOOKUP(B1836,Inventory!E:E,1,0),Inventory!E:E,0))&lt;&gt;INDIRECT("'Full Inventory'!B"&amp;MATCH(VLOOKUP(B1836,'Full Inventory'!F:F,1,0),'Full Inventory'!F:F,0))),"X","_"),"_")</f>
        <v>_</v>
      </c>
      <c r="L1836" t="str">
        <f t="shared" ca="1" si="114"/>
        <v>__X_</v>
      </c>
      <c r="M1836" t="str">
        <f t="shared" ca="1" si="115"/>
        <v/>
      </c>
    </row>
    <row r="1837" spans="1:13" x14ac:dyDescent="0.25">
      <c r="A1837" s="5"/>
      <c r="B1837" s="4" t="str">
        <f t="shared" si="113"/>
        <v/>
      </c>
      <c r="C1837" t="str">
        <f>IF(AND(TRIM(A1837)&lt;&gt;"",IFERROR(VLOOKUP(TRIM(B1837),Inventory!E:E,1,0),0)=0),"X","_")</f>
        <v>_</v>
      </c>
      <c r="D1837" t="str">
        <f>IF(AND(TRIM(A1837)&lt;&gt;"",IFERROR(VLOOKUP(TRIM(B1837),'Full Inventory'!F:F,1,0),0)=0),"X","_")</f>
        <v>_</v>
      </c>
      <c r="E1837" t="str">
        <f t="shared" si="116"/>
        <v>X</v>
      </c>
      <c r="F1837" t="str">
        <f ca="1">IFERROR(IF(AND(C1837&amp;D1837&amp;E1837="___",INDIRECT("Inventory!A"&amp;MATCH(VLOOKUP(B1837,Inventory!E:E,1,0),Inventory!E:E,0))&lt;&gt;INDIRECT("'Full Inventory'!B"&amp;MATCH(VLOOKUP(B1837,'Full Inventory'!F:F,1,0),'Full Inventory'!F:F,0))),"X","_"),"_")</f>
        <v>_</v>
      </c>
      <c r="L1837" t="str">
        <f t="shared" ca="1" si="114"/>
        <v>__X_</v>
      </c>
      <c r="M1837" t="str">
        <f t="shared" ca="1" si="115"/>
        <v/>
      </c>
    </row>
    <row r="1838" spans="1:13" x14ac:dyDescent="0.25">
      <c r="A1838" s="5"/>
      <c r="B1838" s="4" t="str">
        <f t="shared" si="113"/>
        <v/>
      </c>
      <c r="C1838" t="str">
        <f>IF(AND(TRIM(A1838)&lt;&gt;"",IFERROR(VLOOKUP(TRIM(B1838),Inventory!E:E,1,0),0)=0),"X","_")</f>
        <v>_</v>
      </c>
      <c r="D1838" t="str">
        <f>IF(AND(TRIM(A1838)&lt;&gt;"",IFERROR(VLOOKUP(TRIM(B1838),'Full Inventory'!F:F,1,0),0)=0),"X","_")</f>
        <v>_</v>
      </c>
      <c r="E1838" t="str">
        <f t="shared" si="116"/>
        <v>X</v>
      </c>
      <c r="F1838" t="str">
        <f ca="1">IFERROR(IF(AND(C1838&amp;D1838&amp;E1838="___",INDIRECT("Inventory!A"&amp;MATCH(VLOOKUP(B1838,Inventory!E:E,1,0),Inventory!E:E,0))&lt;&gt;INDIRECT("'Full Inventory'!B"&amp;MATCH(VLOOKUP(B1838,'Full Inventory'!F:F,1,0),'Full Inventory'!F:F,0))),"X","_"),"_")</f>
        <v>_</v>
      </c>
      <c r="L1838" t="str">
        <f t="shared" ca="1" si="114"/>
        <v>__X_</v>
      </c>
      <c r="M1838" t="str">
        <f t="shared" ca="1" si="115"/>
        <v/>
      </c>
    </row>
    <row r="1839" spans="1:13" x14ac:dyDescent="0.25">
      <c r="A1839" s="5"/>
      <c r="B1839" s="4" t="str">
        <f t="shared" si="113"/>
        <v/>
      </c>
      <c r="C1839" t="str">
        <f>IF(AND(TRIM(A1839)&lt;&gt;"",IFERROR(VLOOKUP(TRIM(B1839),Inventory!E:E,1,0),0)=0),"X","_")</f>
        <v>_</v>
      </c>
      <c r="D1839" t="str">
        <f>IF(AND(TRIM(A1839)&lt;&gt;"",IFERROR(VLOOKUP(TRIM(B1839),'Full Inventory'!F:F,1,0),0)=0),"X","_")</f>
        <v>_</v>
      </c>
      <c r="E1839" t="str">
        <f t="shared" si="116"/>
        <v>X</v>
      </c>
      <c r="F1839" t="str">
        <f ca="1">IFERROR(IF(AND(C1839&amp;D1839&amp;E1839="___",INDIRECT("Inventory!A"&amp;MATCH(VLOOKUP(B1839,Inventory!E:E,1,0),Inventory!E:E,0))&lt;&gt;INDIRECT("'Full Inventory'!B"&amp;MATCH(VLOOKUP(B1839,'Full Inventory'!F:F,1,0),'Full Inventory'!F:F,0))),"X","_"),"_")</f>
        <v>_</v>
      </c>
      <c r="L1839" t="str">
        <f t="shared" ca="1" si="114"/>
        <v>__X_</v>
      </c>
      <c r="M1839" t="str">
        <f t="shared" ca="1" si="115"/>
        <v/>
      </c>
    </row>
    <row r="1840" spans="1:13" x14ac:dyDescent="0.25">
      <c r="A1840" s="5"/>
      <c r="B1840" s="4" t="str">
        <f t="shared" si="113"/>
        <v/>
      </c>
      <c r="C1840" t="str">
        <f>IF(AND(TRIM(A1840)&lt;&gt;"",IFERROR(VLOOKUP(TRIM(B1840),Inventory!E:E,1,0),0)=0),"X","_")</f>
        <v>_</v>
      </c>
      <c r="D1840" t="str">
        <f>IF(AND(TRIM(A1840)&lt;&gt;"",IFERROR(VLOOKUP(TRIM(B1840),'Full Inventory'!F:F,1,0),0)=0),"X","_")</f>
        <v>_</v>
      </c>
      <c r="E1840" t="str">
        <f t="shared" si="116"/>
        <v>X</v>
      </c>
      <c r="F1840" t="str">
        <f ca="1">IFERROR(IF(AND(C1840&amp;D1840&amp;E1840="___",INDIRECT("Inventory!A"&amp;MATCH(VLOOKUP(B1840,Inventory!E:E,1,0),Inventory!E:E,0))&lt;&gt;INDIRECT("'Full Inventory'!B"&amp;MATCH(VLOOKUP(B1840,'Full Inventory'!F:F,1,0),'Full Inventory'!F:F,0))),"X","_"),"_")</f>
        <v>_</v>
      </c>
      <c r="L1840" t="str">
        <f t="shared" ca="1" si="114"/>
        <v>__X_</v>
      </c>
      <c r="M1840" t="str">
        <f t="shared" ca="1" si="115"/>
        <v/>
      </c>
    </row>
    <row r="1841" spans="1:13" x14ac:dyDescent="0.25">
      <c r="A1841" s="5"/>
      <c r="B1841" s="4" t="str">
        <f t="shared" si="113"/>
        <v/>
      </c>
      <c r="C1841" t="str">
        <f>IF(AND(TRIM(A1841)&lt;&gt;"",IFERROR(VLOOKUP(TRIM(B1841),Inventory!E:E,1,0),0)=0),"X","_")</f>
        <v>_</v>
      </c>
      <c r="D1841" t="str">
        <f>IF(AND(TRIM(A1841)&lt;&gt;"",IFERROR(VLOOKUP(TRIM(B1841),'Full Inventory'!F:F,1,0),0)=0),"X","_")</f>
        <v>_</v>
      </c>
      <c r="E1841" t="str">
        <f t="shared" si="116"/>
        <v>X</v>
      </c>
      <c r="F1841" t="str">
        <f ca="1">IFERROR(IF(AND(C1841&amp;D1841&amp;E1841="___",INDIRECT("Inventory!A"&amp;MATCH(VLOOKUP(B1841,Inventory!E:E,1,0),Inventory!E:E,0))&lt;&gt;INDIRECT("'Full Inventory'!B"&amp;MATCH(VLOOKUP(B1841,'Full Inventory'!F:F,1,0),'Full Inventory'!F:F,0))),"X","_"),"_")</f>
        <v>_</v>
      </c>
      <c r="L1841" t="str">
        <f t="shared" ca="1" si="114"/>
        <v>__X_</v>
      </c>
      <c r="M1841" t="str">
        <f t="shared" ca="1" si="115"/>
        <v/>
      </c>
    </row>
    <row r="1842" spans="1:13" x14ac:dyDescent="0.25">
      <c r="A1842" s="5"/>
      <c r="B1842" s="4" t="str">
        <f t="shared" si="113"/>
        <v/>
      </c>
      <c r="C1842" t="str">
        <f>IF(AND(TRIM(A1842)&lt;&gt;"",IFERROR(VLOOKUP(TRIM(B1842),Inventory!E:E,1,0),0)=0),"X","_")</f>
        <v>_</v>
      </c>
      <c r="D1842" t="str">
        <f>IF(AND(TRIM(A1842)&lt;&gt;"",IFERROR(VLOOKUP(TRIM(B1842),'Full Inventory'!F:F,1,0),0)=0),"X","_")</f>
        <v>_</v>
      </c>
      <c r="E1842" t="str">
        <f t="shared" si="116"/>
        <v>X</v>
      </c>
      <c r="F1842" t="str">
        <f ca="1">IFERROR(IF(AND(C1842&amp;D1842&amp;E1842="___",INDIRECT("Inventory!A"&amp;MATCH(VLOOKUP(B1842,Inventory!E:E,1,0),Inventory!E:E,0))&lt;&gt;INDIRECT("'Full Inventory'!B"&amp;MATCH(VLOOKUP(B1842,'Full Inventory'!F:F,1,0),'Full Inventory'!F:F,0))),"X","_"),"_")</f>
        <v>_</v>
      </c>
      <c r="L1842" t="str">
        <f t="shared" ca="1" si="114"/>
        <v>__X_</v>
      </c>
      <c r="M1842" t="str">
        <f t="shared" ca="1" si="115"/>
        <v/>
      </c>
    </row>
    <row r="1843" spans="1:13" x14ac:dyDescent="0.25">
      <c r="A1843" s="5"/>
      <c r="B1843" s="4" t="str">
        <f t="shared" si="113"/>
        <v/>
      </c>
      <c r="C1843" t="str">
        <f>IF(AND(TRIM(A1843)&lt;&gt;"",IFERROR(VLOOKUP(TRIM(B1843),Inventory!E:E,1,0),0)=0),"X","_")</f>
        <v>_</v>
      </c>
      <c r="D1843" t="str">
        <f>IF(AND(TRIM(A1843)&lt;&gt;"",IFERROR(VLOOKUP(TRIM(B1843),'Full Inventory'!F:F,1,0),0)=0),"X","_")</f>
        <v>_</v>
      </c>
      <c r="E1843" t="str">
        <f t="shared" si="116"/>
        <v>X</v>
      </c>
      <c r="F1843" t="str">
        <f ca="1">IFERROR(IF(AND(C1843&amp;D1843&amp;E1843="___",INDIRECT("Inventory!A"&amp;MATCH(VLOOKUP(B1843,Inventory!E:E,1,0),Inventory!E:E,0))&lt;&gt;INDIRECT("'Full Inventory'!B"&amp;MATCH(VLOOKUP(B1843,'Full Inventory'!F:F,1,0),'Full Inventory'!F:F,0))),"X","_"),"_")</f>
        <v>_</v>
      </c>
      <c r="L1843" t="str">
        <f t="shared" ca="1" si="114"/>
        <v>__X_</v>
      </c>
      <c r="M1843" t="str">
        <f t="shared" ca="1" si="115"/>
        <v/>
      </c>
    </row>
    <row r="1844" spans="1:13" x14ac:dyDescent="0.25">
      <c r="A1844" s="5"/>
      <c r="B1844" s="4" t="str">
        <f t="shared" si="113"/>
        <v/>
      </c>
      <c r="C1844" t="str">
        <f>IF(AND(TRIM(A1844)&lt;&gt;"",IFERROR(VLOOKUP(TRIM(B1844),Inventory!E:E,1,0),0)=0),"X","_")</f>
        <v>_</v>
      </c>
      <c r="D1844" t="str">
        <f>IF(AND(TRIM(A1844)&lt;&gt;"",IFERROR(VLOOKUP(TRIM(B1844),'Full Inventory'!F:F,1,0),0)=0),"X","_")</f>
        <v>_</v>
      </c>
      <c r="E1844" t="str">
        <f t="shared" si="116"/>
        <v>X</v>
      </c>
      <c r="F1844" t="str">
        <f ca="1">IFERROR(IF(AND(C1844&amp;D1844&amp;E1844="___",INDIRECT("Inventory!A"&amp;MATCH(VLOOKUP(B1844,Inventory!E:E,1,0),Inventory!E:E,0))&lt;&gt;INDIRECT("'Full Inventory'!B"&amp;MATCH(VLOOKUP(B1844,'Full Inventory'!F:F,1,0),'Full Inventory'!F:F,0))),"X","_"),"_")</f>
        <v>_</v>
      </c>
      <c r="L1844" t="str">
        <f t="shared" ca="1" si="114"/>
        <v>__X_</v>
      </c>
      <c r="M1844" t="str">
        <f t="shared" ca="1" si="115"/>
        <v/>
      </c>
    </row>
    <row r="1845" spans="1:13" x14ac:dyDescent="0.25">
      <c r="A1845" s="5"/>
      <c r="B1845" s="4" t="str">
        <f t="shared" si="113"/>
        <v/>
      </c>
      <c r="C1845" t="str">
        <f>IF(AND(TRIM(A1845)&lt;&gt;"",IFERROR(VLOOKUP(TRIM(B1845),Inventory!E:E,1,0),0)=0),"X","_")</f>
        <v>_</v>
      </c>
      <c r="D1845" t="str">
        <f>IF(AND(TRIM(A1845)&lt;&gt;"",IFERROR(VLOOKUP(TRIM(B1845),'Full Inventory'!F:F,1,0),0)=0),"X","_")</f>
        <v>_</v>
      </c>
      <c r="E1845" t="str">
        <f t="shared" si="116"/>
        <v>X</v>
      </c>
      <c r="F1845" t="str">
        <f ca="1">IFERROR(IF(AND(C1845&amp;D1845&amp;E1845="___",INDIRECT("Inventory!A"&amp;MATCH(VLOOKUP(B1845,Inventory!E:E,1,0),Inventory!E:E,0))&lt;&gt;INDIRECT("'Full Inventory'!B"&amp;MATCH(VLOOKUP(B1845,'Full Inventory'!F:F,1,0),'Full Inventory'!F:F,0))),"X","_"),"_")</f>
        <v>_</v>
      </c>
      <c r="L1845" t="str">
        <f t="shared" ca="1" si="114"/>
        <v>__X_</v>
      </c>
      <c r="M1845" t="str">
        <f t="shared" ca="1" si="115"/>
        <v/>
      </c>
    </row>
    <row r="1846" spans="1:13" x14ac:dyDescent="0.25">
      <c r="A1846" s="5"/>
      <c r="B1846" s="4" t="str">
        <f t="shared" si="113"/>
        <v/>
      </c>
      <c r="C1846" t="str">
        <f>IF(AND(TRIM(A1846)&lt;&gt;"",IFERROR(VLOOKUP(TRIM(B1846),Inventory!E:E,1,0),0)=0),"X","_")</f>
        <v>_</v>
      </c>
      <c r="D1846" t="str">
        <f>IF(AND(TRIM(A1846)&lt;&gt;"",IFERROR(VLOOKUP(TRIM(B1846),'Full Inventory'!F:F,1,0),0)=0),"X","_")</f>
        <v>_</v>
      </c>
      <c r="E1846" t="str">
        <f t="shared" si="116"/>
        <v>X</v>
      </c>
      <c r="F1846" t="str">
        <f ca="1">IFERROR(IF(AND(C1846&amp;D1846&amp;E1846="___",INDIRECT("Inventory!A"&amp;MATCH(VLOOKUP(B1846,Inventory!E:E,1,0),Inventory!E:E,0))&lt;&gt;INDIRECT("'Full Inventory'!B"&amp;MATCH(VLOOKUP(B1846,'Full Inventory'!F:F,1,0),'Full Inventory'!F:F,0))),"X","_"),"_")</f>
        <v>_</v>
      </c>
      <c r="L1846" t="str">
        <f t="shared" ca="1" si="114"/>
        <v>__X_</v>
      </c>
      <c r="M1846" t="str">
        <f t="shared" ca="1" si="115"/>
        <v/>
      </c>
    </row>
    <row r="1847" spans="1:13" x14ac:dyDescent="0.25">
      <c r="A1847" s="5"/>
      <c r="B1847" s="4" t="str">
        <f t="shared" si="113"/>
        <v/>
      </c>
      <c r="C1847" t="str">
        <f>IF(AND(TRIM(A1847)&lt;&gt;"",IFERROR(VLOOKUP(TRIM(B1847),Inventory!E:E,1,0),0)=0),"X","_")</f>
        <v>_</v>
      </c>
      <c r="D1847" t="str">
        <f>IF(AND(TRIM(A1847)&lt;&gt;"",IFERROR(VLOOKUP(TRIM(B1847),'Full Inventory'!F:F,1,0),0)=0),"X","_")</f>
        <v>_</v>
      </c>
      <c r="E1847" t="str">
        <f t="shared" si="116"/>
        <v>X</v>
      </c>
      <c r="F1847" t="str">
        <f ca="1">IFERROR(IF(AND(C1847&amp;D1847&amp;E1847="___",INDIRECT("Inventory!A"&amp;MATCH(VLOOKUP(B1847,Inventory!E:E,1,0),Inventory!E:E,0))&lt;&gt;INDIRECT("'Full Inventory'!B"&amp;MATCH(VLOOKUP(B1847,'Full Inventory'!F:F,1,0),'Full Inventory'!F:F,0))),"X","_"),"_")</f>
        <v>_</v>
      </c>
      <c r="L1847" t="str">
        <f t="shared" ca="1" si="114"/>
        <v>__X_</v>
      </c>
      <c r="M1847" t="str">
        <f t="shared" ca="1" si="115"/>
        <v/>
      </c>
    </row>
    <row r="1848" spans="1:13" x14ac:dyDescent="0.25">
      <c r="A1848" s="5"/>
      <c r="B1848" s="4" t="str">
        <f t="shared" si="113"/>
        <v/>
      </c>
      <c r="C1848" t="str">
        <f>IF(AND(TRIM(A1848)&lt;&gt;"",IFERROR(VLOOKUP(TRIM(B1848),Inventory!E:E,1,0),0)=0),"X","_")</f>
        <v>_</v>
      </c>
      <c r="D1848" t="str">
        <f>IF(AND(TRIM(A1848)&lt;&gt;"",IFERROR(VLOOKUP(TRIM(B1848),'Full Inventory'!F:F,1,0),0)=0),"X","_")</f>
        <v>_</v>
      </c>
      <c r="E1848" t="str">
        <f t="shared" si="116"/>
        <v>X</v>
      </c>
      <c r="F1848" t="str">
        <f ca="1">IFERROR(IF(AND(C1848&amp;D1848&amp;E1848="___",INDIRECT("Inventory!A"&amp;MATCH(VLOOKUP(B1848,Inventory!E:E,1,0),Inventory!E:E,0))&lt;&gt;INDIRECT("'Full Inventory'!B"&amp;MATCH(VLOOKUP(B1848,'Full Inventory'!F:F,1,0),'Full Inventory'!F:F,0))),"X","_"),"_")</f>
        <v>_</v>
      </c>
      <c r="L1848" t="str">
        <f t="shared" ca="1" si="114"/>
        <v>__X_</v>
      </c>
      <c r="M1848" t="str">
        <f t="shared" ca="1" si="115"/>
        <v/>
      </c>
    </row>
    <row r="1849" spans="1:13" x14ac:dyDescent="0.25">
      <c r="A1849" s="5"/>
      <c r="B1849" s="4" t="str">
        <f t="shared" si="113"/>
        <v/>
      </c>
      <c r="C1849" t="str">
        <f>IF(AND(TRIM(A1849)&lt;&gt;"",IFERROR(VLOOKUP(TRIM(B1849),Inventory!E:E,1,0),0)=0),"X","_")</f>
        <v>_</v>
      </c>
      <c r="D1849" t="str">
        <f>IF(AND(TRIM(A1849)&lt;&gt;"",IFERROR(VLOOKUP(TRIM(B1849),'Full Inventory'!F:F,1,0),0)=0),"X","_")</f>
        <v>_</v>
      </c>
      <c r="E1849" t="str">
        <f t="shared" si="116"/>
        <v>X</v>
      </c>
      <c r="F1849" t="str">
        <f ca="1">IFERROR(IF(AND(C1849&amp;D1849&amp;E1849="___",INDIRECT("Inventory!A"&amp;MATCH(VLOOKUP(B1849,Inventory!E:E,1,0),Inventory!E:E,0))&lt;&gt;INDIRECT("'Full Inventory'!B"&amp;MATCH(VLOOKUP(B1849,'Full Inventory'!F:F,1,0),'Full Inventory'!F:F,0))),"X","_"),"_")</f>
        <v>_</v>
      </c>
      <c r="L1849" t="str">
        <f t="shared" ca="1" si="114"/>
        <v>__X_</v>
      </c>
      <c r="M1849" t="str">
        <f t="shared" ca="1" si="115"/>
        <v/>
      </c>
    </row>
    <row r="1850" spans="1:13" x14ac:dyDescent="0.25">
      <c r="A1850" s="5"/>
      <c r="B1850" s="4" t="str">
        <f t="shared" si="113"/>
        <v/>
      </c>
      <c r="C1850" t="str">
        <f>IF(AND(TRIM(A1850)&lt;&gt;"",IFERROR(VLOOKUP(TRIM(B1850),Inventory!E:E,1,0),0)=0),"X","_")</f>
        <v>_</v>
      </c>
      <c r="D1850" t="str">
        <f>IF(AND(TRIM(A1850)&lt;&gt;"",IFERROR(VLOOKUP(TRIM(B1850),'Full Inventory'!F:F,1,0),0)=0),"X","_")</f>
        <v>_</v>
      </c>
      <c r="E1850" t="str">
        <f t="shared" si="116"/>
        <v>X</v>
      </c>
      <c r="F1850" t="str">
        <f ca="1">IFERROR(IF(AND(C1850&amp;D1850&amp;E1850="___",INDIRECT("Inventory!A"&amp;MATCH(VLOOKUP(B1850,Inventory!E:E,1,0),Inventory!E:E,0))&lt;&gt;INDIRECT("'Full Inventory'!B"&amp;MATCH(VLOOKUP(B1850,'Full Inventory'!F:F,1,0),'Full Inventory'!F:F,0))),"X","_"),"_")</f>
        <v>_</v>
      </c>
      <c r="L1850" t="str">
        <f t="shared" ca="1" si="114"/>
        <v>__X_</v>
      </c>
      <c r="M1850" t="str">
        <f t="shared" ca="1" si="115"/>
        <v/>
      </c>
    </row>
    <row r="1851" spans="1:13" x14ac:dyDescent="0.25">
      <c r="A1851" s="5"/>
      <c r="B1851" s="4" t="str">
        <f t="shared" si="113"/>
        <v/>
      </c>
      <c r="C1851" t="str">
        <f>IF(AND(TRIM(A1851)&lt;&gt;"",IFERROR(VLOOKUP(TRIM(B1851),Inventory!E:E,1,0),0)=0),"X","_")</f>
        <v>_</v>
      </c>
      <c r="D1851" t="str">
        <f>IF(AND(TRIM(A1851)&lt;&gt;"",IFERROR(VLOOKUP(TRIM(B1851),'Full Inventory'!F:F,1,0),0)=0),"X","_")</f>
        <v>_</v>
      </c>
      <c r="E1851" t="str">
        <f t="shared" si="116"/>
        <v>X</v>
      </c>
      <c r="F1851" t="str">
        <f ca="1">IFERROR(IF(AND(C1851&amp;D1851&amp;E1851="___",INDIRECT("Inventory!A"&amp;MATCH(VLOOKUP(B1851,Inventory!E:E,1,0),Inventory!E:E,0))&lt;&gt;INDIRECT("'Full Inventory'!B"&amp;MATCH(VLOOKUP(B1851,'Full Inventory'!F:F,1,0),'Full Inventory'!F:F,0))),"X","_"),"_")</f>
        <v>_</v>
      </c>
      <c r="L1851" t="str">
        <f t="shared" ca="1" si="114"/>
        <v>__X_</v>
      </c>
      <c r="M1851" t="str">
        <f t="shared" ca="1" si="115"/>
        <v/>
      </c>
    </row>
    <row r="1852" spans="1:13" x14ac:dyDescent="0.25">
      <c r="A1852" s="5"/>
      <c r="B1852" s="4" t="str">
        <f t="shared" si="113"/>
        <v/>
      </c>
      <c r="C1852" t="str">
        <f>IF(AND(TRIM(A1852)&lt;&gt;"",IFERROR(VLOOKUP(TRIM(B1852),Inventory!E:E,1,0),0)=0),"X","_")</f>
        <v>_</v>
      </c>
      <c r="D1852" t="str">
        <f>IF(AND(TRIM(A1852)&lt;&gt;"",IFERROR(VLOOKUP(TRIM(B1852),'Full Inventory'!F:F,1,0),0)=0),"X","_")</f>
        <v>_</v>
      </c>
      <c r="E1852" t="str">
        <f t="shared" si="116"/>
        <v>X</v>
      </c>
      <c r="F1852" t="str">
        <f ca="1">IFERROR(IF(AND(C1852&amp;D1852&amp;E1852="___",INDIRECT("Inventory!A"&amp;MATCH(VLOOKUP(B1852,Inventory!E:E,1,0),Inventory!E:E,0))&lt;&gt;INDIRECT("'Full Inventory'!B"&amp;MATCH(VLOOKUP(B1852,'Full Inventory'!F:F,1,0),'Full Inventory'!F:F,0))),"X","_"),"_")</f>
        <v>_</v>
      </c>
      <c r="L1852" t="str">
        <f t="shared" ca="1" si="114"/>
        <v>__X_</v>
      </c>
      <c r="M1852" t="str">
        <f t="shared" ca="1" si="115"/>
        <v/>
      </c>
    </row>
    <row r="1853" spans="1:13" x14ac:dyDescent="0.25">
      <c r="A1853" s="5"/>
      <c r="B1853" s="4" t="str">
        <f t="shared" si="113"/>
        <v/>
      </c>
      <c r="C1853" t="str">
        <f>IF(AND(TRIM(A1853)&lt;&gt;"",IFERROR(VLOOKUP(TRIM(B1853),Inventory!E:E,1,0),0)=0),"X","_")</f>
        <v>_</v>
      </c>
      <c r="D1853" t="str">
        <f>IF(AND(TRIM(A1853)&lt;&gt;"",IFERROR(VLOOKUP(TRIM(B1853),'Full Inventory'!F:F,1,0),0)=0),"X","_")</f>
        <v>_</v>
      </c>
      <c r="E1853" t="str">
        <f t="shared" si="116"/>
        <v>X</v>
      </c>
      <c r="F1853" t="str">
        <f ca="1">IFERROR(IF(AND(C1853&amp;D1853&amp;E1853="___",INDIRECT("Inventory!A"&amp;MATCH(VLOOKUP(B1853,Inventory!E:E,1,0),Inventory!E:E,0))&lt;&gt;INDIRECT("'Full Inventory'!B"&amp;MATCH(VLOOKUP(B1853,'Full Inventory'!F:F,1,0),'Full Inventory'!F:F,0))),"X","_"),"_")</f>
        <v>_</v>
      </c>
      <c r="L1853" t="str">
        <f t="shared" ca="1" si="114"/>
        <v>__X_</v>
      </c>
      <c r="M1853" t="str">
        <f t="shared" ca="1" si="115"/>
        <v/>
      </c>
    </row>
    <row r="1854" spans="1:13" x14ac:dyDescent="0.25">
      <c r="A1854" s="5"/>
      <c r="B1854" s="4" t="str">
        <f t="shared" si="113"/>
        <v/>
      </c>
      <c r="C1854" t="str">
        <f>IF(AND(TRIM(A1854)&lt;&gt;"",IFERROR(VLOOKUP(TRIM(B1854),Inventory!E:E,1,0),0)=0),"X","_")</f>
        <v>_</v>
      </c>
      <c r="D1854" t="str">
        <f>IF(AND(TRIM(A1854)&lt;&gt;"",IFERROR(VLOOKUP(TRIM(B1854),'Full Inventory'!F:F,1,0),0)=0),"X","_")</f>
        <v>_</v>
      </c>
      <c r="E1854" t="str">
        <f t="shared" si="116"/>
        <v>X</v>
      </c>
      <c r="F1854" t="str">
        <f ca="1">IFERROR(IF(AND(C1854&amp;D1854&amp;E1854="___",INDIRECT("Inventory!A"&amp;MATCH(VLOOKUP(B1854,Inventory!E:E,1,0),Inventory!E:E,0))&lt;&gt;INDIRECT("'Full Inventory'!B"&amp;MATCH(VLOOKUP(B1854,'Full Inventory'!F:F,1,0),'Full Inventory'!F:F,0))),"X","_"),"_")</f>
        <v>_</v>
      </c>
      <c r="L1854" t="str">
        <f t="shared" ca="1" si="114"/>
        <v>__X_</v>
      </c>
      <c r="M1854" t="str">
        <f t="shared" ca="1" si="115"/>
        <v/>
      </c>
    </row>
    <row r="1855" spans="1:13" x14ac:dyDescent="0.25">
      <c r="A1855" s="5"/>
      <c r="B1855" s="4" t="str">
        <f t="shared" si="113"/>
        <v/>
      </c>
      <c r="C1855" t="str">
        <f>IF(AND(TRIM(A1855)&lt;&gt;"",IFERROR(VLOOKUP(TRIM(B1855),Inventory!E:E,1,0),0)=0),"X","_")</f>
        <v>_</v>
      </c>
      <c r="D1855" t="str">
        <f>IF(AND(TRIM(A1855)&lt;&gt;"",IFERROR(VLOOKUP(TRIM(B1855),'Full Inventory'!F:F,1,0),0)=0),"X","_")</f>
        <v>_</v>
      </c>
      <c r="E1855" t="str">
        <f t="shared" si="116"/>
        <v>X</v>
      </c>
      <c r="F1855" t="str">
        <f ca="1">IFERROR(IF(AND(C1855&amp;D1855&amp;E1855="___",INDIRECT("Inventory!A"&amp;MATCH(VLOOKUP(B1855,Inventory!E:E,1,0),Inventory!E:E,0))&lt;&gt;INDIRECT("'Full Inventory'!B"&amp;MATCH(VLOOKUP(B1855,'Full Inventory'!F:F,1,0),'Full Inventory'!F:F,0))),"X","_"),"_")</f>
        <v>_</v>
      </c>
      <c r="L1855" t="str">
        <f t="shared" ca="1" si="114"/>
        <v>__X_</v>
      </c>
      <c r="M1855" t="str">
        <f t="shared" ca="1" si="115"/>
        <v/>
      </c>
    </row>
    <row r="1856" spans="1:13" x14ac:dyDescent="0.25">
      <c r="A1856" s="5"/>
      <c r="B1856" s="4" t="str">
        <f t="shared" si="113"/>
        <v/>
      </c>
      <c r="C1856" t="str">
        <f>IF(AND(TRIM(A1856)&lt;&gt;"",IFERROR(VLOOKUP(TRIM(B1856),Inventory!E:E,1,0),0)=0),"X","_")</f>
        <v>_</v>
      </c>
      <c r="D1856" t="str">
        <f>IF(AND(TRIM(A1856)&lt;&gt;"",IFERROR(VLOOKUP(TRIM(B1856),'Full Inventory'!F:F,1,0),0)=0),"X","_")</f>
        <v>_</v>
      </c>
      <c r="E1856" t="str">
        <f t="shared" si="116"/>
        <v>X</v>
      </c>
      <c r="F1856" t="str">
        <f ca="1">IFERROR(IF(AND(C1856&amp;D1856&amp;E1856="___",INDIRECT("Inventory!A"&amp;MATCH(VLOOKUP(B1856,Inventory!E:E,1,0),Inventory!E:E,0))&lt;&gt;INDIRECT("'Full Inventory'!B"&amp;MATCH(VLOOKUP(B1856,'Full Inventory'!F:F,1,0),'Full Inventory'!F:F,0))),"X","_"),"_")</f>
        <v>_</v>
      </c>
      <c r="L1856" t="str">
        <f t="shared" ca="1" si="114"/>
        <v>__X_</v>
      </c>
      <c r="M1856" t="str">
        <f t="shared" ca="1" si="115"/>
        <v/>
      </c>
    </row>
    <row r="1857" spans="1:13" x14ac:dyDescent="0.25">
      <c r="A1857" s="5"/>
      <c r="B1857" s="4" t="str">
        <f t="shared" si="113"/>
        <v/>
      </c>
      <c r="C1857" t="str">
        <f>IF(AND(TRIM(A1857)&lt;&gt;"",IFERROR(VLOOKUP(TRIM(B1857),Inventory!E:E,1,0),0)=0),"X","_")</f>
        <v>_</v>
      </c>
      <c r="D1857" t="str">
        <f>IF(AND(TRIM(A1857)&lt;&gt;"",IFERROR(VLOOKUP(TRIM(B1857),'Full Inventory'!F:F,1,0),0)=0),"X","_")</f>
        <v>_</v>
      </c>
      <c r="E1857" t="str">
        <f t="shared" si="116"/>
        <v>X</v>
      </c>
      <c r="F1857" t="str">
        <f ca="1">IFERROR(IF(AND(C1857&amp;D1857&amp;E1857="___",INDIRECT("Inventory!A"&amp;MATCH(VLOOKUP(B1857,Inventory!E:E,1,0),Inventory!E:E,0))&lt;&gt;INDIRECT("'Full Inventory'!B"&amp;MATCH(VLOOKUP(B1857,'Full Inventory'!F:F,1,0),'Full Inventory'!F:F,0))),"X","_"),"_")</f>
        <v>_</v>
      </c>
      <c r="L1857" t="str">
        <f t="shared" ca="1" si="114"/>
        <v>__X_</v>
      </c>
      <c r="M1857" t="str">
        <f t="shared" ca="1" si="115"/>
        <v/>
      </c>
    </row>
    <row r="1858" spans="1:13" x14ac:dyDescent="0.25">
      <c r="A1858" s="5"/>
      <c r="B1858" s="4" t="str">
        <f t="shared" si="113"/>
        <v/>
      </c>
      <c r="C1858" t="str">
        <f>IF(AND(TRIM(A1858)&lt;&gt;"",IFERROR(VLOOKUP(TRIM(B1858),Inventory!E:E,1,0),0)=0),"X","_")</f>
        <v>_</v>
      </c>
      <c r="D1858" t="str">
        <f>IF(AND(TRIM(A1858)&lt;&gt;"",IFERROR(VLOOKUP(TRIM(B1858),'Full Inventory'!F:F,1,0),0)=0),"X","_")</f>
        <v>_</v>
      </c>
      <c r="E1858" t="str">
        <f t="shared" si="116"/>
        <v>X</v>
      </c>
      <c r="F1858" t="str">
        <f ca="1">IFERROR(IF(AND(C1858&amp;D1858&amp;E1858="___",INDIRECT("Inventory!A"&amp;MATCH(VLOOKUP(B1858,Inventory!E:E,1,0),Inventory!E:E,0))&lt;&gt;INDIRECT("'Full Inventory'!B"&amp;MATCH(VLOOKUP(B1858,'Full Inventory'!F:F,1,0),'Full Inventory'!F:F,0))),"X","_"),"_")</f>
        <v>_</v>
      </c>
      <c r="L1858" t="str">
        <f t="shared" ca="1" si="114"/>
        <v>__X_</v>
      </c>
      <c r="M1858" t="str">
        <f t="shared" ca="1" si="115"/>
        <v/>
      </c>
    </row>
    <row r="1859" spans="1:13" x14ac:dyDescent="0.25">
      <c r="A1859" s="5"/>
      <c r="B1859" s="4" t="str">
        <f t="shared" ref="B1859:B1922" si="117">SUBSTITUTE(SUBSTITUTE(A1859,"ö","0"),"Ö","0")</f>
        <v/>
      </c>
      <c r="C1859" t="str">
        <f>IF(AND(TRIM(A1859)&lt;&gt;"",IFERROR(VLOOKUP(TRIM(B1859),Inventory!E:E,1,0),0)=0),"X","_")</f>
        <v>_</v>
      </c>
      <c r="D1859" t="str">
        <f>IF(AND(TRIM(A1859)&lt;&gt;"",IFERROR(VLOOKUP(TRIM(B1859),'Full Inventory'!F:F,1,0),0)=0),"X","_")</f>
        <v>_</v>
      </c>
      <c r="E1859" t="str">
        <f t="shared" si="116"/>
        <v>X</v>
      </c>
      <c r="F1859" t="str">
        <f ca="1">IFERROR(IF(AND(C1859&amp;D1859&amp;E1859="___",INDIRECT("Inventory!A"&amp;MATCH(VLOOKUP(B1859,Inventory!E:E,1,0),Inventory!E:E,0))&lt;&gt;INDIRECT("'Full Inventory'!B"&amp;MATCH(VLOOKUP(B1859,'Full Inventory'!F:F,1,0),'Full Inventory'!F:F,0))),"X","_"),"_")</f>
        <v>_</v>
      </c>
      <c r="L1859" t="str">
        <f t="shared" ref="L1859:L1922" ca="1" si="118">C1859&amp;D1859&amp;E1859&amp;F1859</f>
        <v>__X_</v>
      </c>
      <c r="M1859" t="str">
        <f t="shared" ref="M1859:M1922" ca="1" si="119">IF(L1859="____","OK",IF(L1859="_X__","NOT IN FULL INVENTORY",IF(L1859="XX__","NOT IN FULL INVENTORY AND INVENTORY",IF(L1859="X___","NOT IN INVENTORY",IF(L1859="___X","DIFFERENT NAMES IN FULL INVENTORY AND INVENTORY","")))))</f>
        <v/>
      </c>
    </row>
    <row r="1860" spans="1:13" x14ac:dyDescent="0.25">
      <c r="A1860" s="5"/>
      <c r="B1860" s="4" t="str">
        <f t="shared" si="117"/>
        <v/>
      </c>
      <c r="C1860" t="str">
        <f>IF(AND(TRIM(A1860)&lt;&gt;"",IFERROR(VLOOKUP(TRIM(B1860),Inventory!E:E,1,0),0)=0),"X","_")</f>
        <v>_</v>
      </c>
      <c r="D1860" t="str">
        <f>IF(AND(TRIM(A1860)&lt;&gt;"",IFERROR(VLOOKUP(TRIM(B1860),'Full Inventory'!F:F,1,0),0)=0),"X","_")</f>
        <v>_</v>
      </c>
      <c r="E1860" t="str">
        <f t="shared" si="116"/>
        <v>X</v>
      </c>
      <c r="F1860" t="str">
        <f ca="1">IFERROR(IF(AND(C1860&amp;D1860&amp;E1860="___",INDIRECT("Inventory!A"&amp;MATCH(VLOOKUP(B1860,Inventory!E:E,1,0),Inventory!E:E,0))&lt;&gt;INDIRECT("'Full Inventory'!B"&amp;MATCH(VLOOKUP(B1860,'Full Inventory'!F:F,1,0),'Full Inventory'!F:F,0))),"X","_"),"_")</f>
        <v>_</v>
      </c>
      <c r="L1860" t="str">
        <f t="shared" ca="1" si="118"/>
        <v>__X_</v>
      </c>
      <c r="M1860" t="str">
        <f t="shared" ca="1" si="119"/>
        <v/>
      </c>
    </row>
    <row r="1861" spans="1:13" x14ac:dyDescent="0.25">
      <c r="A1861" s="5"/>
      <c r="B1861" s="4" t="str">
        <f t="shared" si="117"/>
        <v/>
      </c>
      <c r="C1861" t="str">
        <f>IF(AND(TRIM(A1861)&lt;&gt;"",IFERROR(VLOOKUP(TRIM(B1861),Inventory!E:E,1,0),0)=0),"X","_")</f>
        <v>_</v>
      </c>
      <c r="D1861" t="str">
        <f>IF(AND(TRIM(A1861)&lt;&gt;"",IFERROR(VLOOKUP(TRIM(B1861),'Full Inventory'!F:F,1,0),0)=0),"X","_")</f>
        <v>_</v>
      </c>
      <c r="E1861" t="str">
        <f t="shared" si="116"/>
        <v>X</v>
      </c>
      <c r="F1861" t="str">
        <f ca="1">IFERROR(IF(AND(C1861&amp;D1861&amp;E1861="___",INDIRECT("Inventory!A"&amp;MATCH(VLOOKUP(B1861,Inventory!E:E,1,0),Inventory!E:E,0))&lt;&gt;INDIRECT("'Full Inventory'!B"&amp;MATCH(VLOOKUP(B1861,'Full Inventory'!F:F,1,0),'Full Inventory'!F:F,0))),"X","_"),"_")</f>
        <v>_</v>
      </c>
      <c r="L1861" t="str">
        <f t="shared" ca="1" si="118"/>
        <v>__X_</v>
      </c>
      <c r="M1861" t="str">
        <f t="shared" ca="1" si="119"/>
        <v/>
      </c>
    </row>
    <row r="1862" spans="1:13" x14ac:dyDescent="0.25">
      <c r="A1862" s="5"/>
      <c r="B1862" s="4" t="str">
        <f t="shared" si="117"/>
        <v/>
      </c>
      <c r="C1862" t="str">
        <f>IF(AND(TRIM(A1862)&lt;&gt;"",IFERROR(VLOOKUP(TRIM(B1862),Inventory!E:E,1,0),0)=0),"X","_")</f>
        <v>_</v>
      </c>
      <c r="D1862" t="str">
        <f>IF(AND(TRIM(A1862)&lt;&gt;"",IFERROR(VLOOKUP(TRIM(B1862),'Full Inventory'!F:F,1,0),0)=0),"X","_")</f>
        <v>_</v>
      </c>
      <c r="E1862" t="str">
        <f t="shared" si="116"/>
        <v>X</v>
      </c>
      <c r="F1862" t="str">
        <f ca="1">IFERROR(IF(AND(C1862&amp;D1862&amp;E1862="___",INDIRECT("Inventory!A"&amp;MATCH(VLOOKUP(B1862,Inventory!E:E,1,0),Inventory!E:E,0))&lt;&gt;INDIRECT("'Full Inventory'!B"&amp;MATCH(VLOOKUP(B1862,'Full Inventory'!F:F,1,0),'Full Inventory'!F:F,0))),"X","_"),"_")</f>
        <v>_</v>
      </c>
      <c r="L1862" t="str">
        <f t="shared" ca="1" si="118"/>
        <v>__X_</v>
      </c>
      <c r="M1862" t="str">
        <f t="shared" ca="1" si="119"/>
        <v/>
      </c>
    </row>
    <row r="1863" spans="1:13" x14ac:dyDescent="0.25">
      <c r="A1863" s="5"/>
      <c r="B1863" s="4" t="str">
        <f t="shared" si="117"/>
        <v/>
      </c>
      <c r="C1863" t="str">
        <f>IF(AND(TRIM(A1863)&lt;&gt;"",IFERROR(VLOOKUP(TRIM(B1863),Inventory!E:E,1,0),0)=0),"X","_")</f>
        <v>_</v>
      </c>
      <c r="D1863" t="str">
        <f>IF(AND(TRIM(A1863)&lt;&gt;"",IFERROR(VLOOKUP(TRIM(B1863),'Full Inventory'!F:F,1,0),0)=0),"X","_")</f>
        <v>_</v>
      </c>
      <c r="E1863" t="str">
        <f t="shared" si="116"/>
        <v>X</v>
      </c>
      <c r="F1863" t="str">
        <f ca="1">IFERROR(IF(AND(C1863&amp;D1863&amp;E1863="___",INDIRECT("Inventory!A"&amp;MATCH(VLOOKUP(B1863,Inventory!E:E,1,0),Inventory!E:E,0))&lt;&gt;INDIRECT("'Full Inventory'!B"&amp;MATCH(VLOOKUP(B1863,'Full Inventory'!F:F,1,0),'Full Inventory'!F:F,0))),"X","_"),"_")</f>
        <v>_</v>
      </c>
      <c r="L1863" t="str">
        <f t="shared" ca="1" si="118"/>
        <v>__X_</v>
      </c>
      <c r="M1863" t="str">
        <f t="shared" ca="1" si="119"/>
        <v/>
      </c>
    </row>
    <row r="1864" spans="1:13" x14ac:dyDescent="0.25">
      <c r="A1864" s="5"/>
      <c r="B1864" s="4" t="str">
        <f t="shared" si="117"/>
        <v/>
      </c>
      <c r="C1864" t="str">
        <f>IF(AND(TRIM(A1864)&lt;&gt;"",IFERROR(VLOOKUP(TRIM(B1864),Inventory!E:E,1,0),0)=0),"X","_")</f>
        <v>_</v>
      </c>
      <c r="D1864" t="str">
        <f>IF(AND(TRIM(A1864)&lt;&gt;"",IFERROR(VLOOKUP(TRIM(B1864),'Full Inventory'!F:F,1,0),0)=0),"X","_")</f>
        <v>_</v>
      </c>
      <c r="E1864" t="str">
        <f t="shared" si="116"/>
        <v>X</v>
      </c>
      <c r="F1864" t="str">
        <f ca="1">IFERROR(IF(AND(C1864&amp;D1864&amp;E1864="___",INDIRECT("Inventory!A"&amp;MATCH(VLOOKUP(B1864,Inventory!E:E,1,0),Inventory!E:E,0))&lt;&gt;INDIRECT("'Full Inventory'!B"&amp;MATCH(VLOOKUP(B1864,'Full Inventory'!F:F,1,0),'Full Inventory'!F:F,0))),"X","_"),"_")</f>
        <v>_</v>
      </c>
      <c r="L1864" t="str">
        <f t="shared" ca="1" si="118"/>
        <v>__X_</v>
      </c>
      <c r="M1864" t="str">
        <f t="shared" ca="1" si="119"/>
        <v/>
      </c>
    </row>
    <row r="1865" spans="1:13" x14ac:dyDescent="0.25">
      <c r="A1865" s="5"/>
      <c r="B1865" s="4" t="str">
        <f t="shared" si="117"/>
        <v/>
      </c>
      <c r="C1865" t="str">
        <f>IF(AND(TRIM(A1865)&lt;&gt;"",IFERROR(VLOOKUP(TRIM(B1865),Inventory!E:E,1,0),0)=0),"X","_")</f>
        <v>_</v>
      </c>
      <c r="D1865" t="str">
        <f>IF(AND(TRIM(A1865)&lt;&gt;"",IFERROR(VLOOKUP(TRIM(B1865),'Full Inventory'!F:F,1,0),0)=0),"X","_")</f>
        <v>_</v>
      </c>
      <c r="E1865" t="str">
        <f t="shared" si="116"/>
        <v>X</v>
      </c>
      <c r="F1865" t="str">
        <f ca="1">IFERROR(IF(AND(C1865&amp;D1865&amp;E1865="___",INDIRECT("Inventory!A"&amp;MATCH(VLOOKUP(B1865,Inventory!E:E,1,0),Inventory!E:E,0))&lt;&gt;INDIRECT("'Full Inventory'!B"&amp;MATCH(VLOOKUP(B1865,'Full Inventory'!F:F,1,0),'Full Inventory'!F:F,0))),"X","_"),"_")</f>
        <v>_</v>
      </c>
      <c r="L1865" t="str">
        <f t="shared" ca="1" si="118"/>
        <v>__X_</v>
      </c>
      <c r="M1865" t="str">
        <f t="shared" ca="1" si="119"/>
        <v/>
      </c>
    </row>
    <row r="1866" spans="1:13" x14ac:dyDescent="0.25">
      <c r="A1866" s="5"/>
      <c r="B1866" s="4" t="str">
        <f t="shared" si="117"/>
        <v/>
      </c>
      <c r="C1866" t="str">
        <f>IF(AND(TRIM(A1866)&lt;&gt;"",IFERROR(VLOOKUP(TRIM(B1866),Inventory!E:E,1,0),0)=0),"X","_")</f>
        <v>_</v>
      </c>
      <c r="D1866" t="str">
        <f>IF(AND(TRIM(A1866)&lt;&gt;"",IFERROR(VLOOKUP(TRIM(B1866),'Full Inventory'!F:F,1,0),0)=0),"X","_")</f>
        <v>_</v>
      </c>
      <c r="E1866" t="str">
        <f t="shared" si="116"/>
        <v>X</v>
      </c>
      <c r="F1866" t="str">
        <f ca="1">IFERROR(IF(AND(C1866&amp;D1866&amp;E1866="___",INDIRECT("Inventory!A"&amp;MATCH(VLOOKUP(B1866,Inventory!E:E,1,0),Inventory!E:E,0))&lt;&gt;INDIRECT("'Full Inventory'!B"&amp;MATCH(VLOOKUP(B1866,'Full Inventory'!F:F,1,0),'Full Inventory'!F:F,0))),"X","_"),"_")</f>
        <v>_</v>
      </c>
      <c r="L1866" t="str">
        <f t="shared" ca="1" si="118"/>
        <v>__X_</v>
      </c>
      <c r="M1866" t="str">
        <f t="shared" ca="1" si="119"/>
        <v/>
      </c>
    </row>
    <row r="1867" spans="1:13" x14ac:dyDescent="0.25">
      <c r="A1867" s="5"/>
      <c r="B1867" s="4" t="str">
        <f t="shared" si="117"/>
        <v/>
      </c>
      <c r="C1867" t="str">
        <f>IF(AND(TRIM(A1867)&lt;&gt;"",IFERROR(VLOOKUP(TRIM(B1867),Inventory!E:E,1,0),0)=0),"X","_")</f>
        <v>_</v>
      </c>
      <c r="D1867" t="str">
        <f>IF(AND(TRIM(A1867)&lt;&gt;"",IFERROR(VLOOKUP(TRIM(B1867),'Full Inventory'!F:F,1,0),0)=0),"X","_")</f>
        <v>_</v>
      </c>
      <c r="E1867" t="str">
        <f t="shared" si="116"/>
        <v>X</v>
      </c>
      <c r="F1867" t="str">
        <f ca="1">IFERROR(IF(AND(C1867&amp;D1867&amp;E1867="___",INDIRECT("Inventory!A"&amp;MATCH(VLOOKUP(B1867,Inventory!E:E,1,0),Inventory!E:E,0))&lt;&gt;INDIRECT("'Full Inventory'!B"&amp;MATCH(VLOOKUP(B1867,'Full Inventory'!F:F,1,0),'Full Inventory'!F:F,0))),"X","_"),"_")</f>
        <v>_</v>
      </c>
      <c r="L1867" t="str">
        <f t="shared" ca="1" si="118"/>
        <v>__X_</v>
      </c>
      <c r="M1867" t="str">
        <f t="shared" ca="1" si="119"/>
        <v/>
      </c>
    </row>
    <row r="1868" spans="1:13" x14ac:dyDescent="0.25">
      <c r="A1868" s="5"/>
      <c r="B1868" s="4" t="str">
        <f t="shared" si="117"/>
        <v/>
      </c>
      <c r="C1868" t="str">
        <f>IF(AND(TRIM(A1868)&lt;&gt;"",IFERROR(VLOOKUP(TRIM(B1868),Inventory!E:E,1,0),0)=0),"X","_")</f>
        <v>_</v>
      </c>
      <c r="D1868" t="str">
        <f>IF(AND(TRIM(A1868)&lt;&gt;"",IFERROR(VLOOKUP(TRIM(B1868),'Full Inventory'!F:F,1,0),0)=0),"X","_")</f>
        <v>_</v>
      </c>
      <c r="E1868" t="str">
        <f t="shared" si="116"/>
        <v>X</v>
      </c>
      <c r="F1868" t="str">
        <f ca="1">IFERROR(IF(AND(C1868&amp;D1868&amp;E1868="___",INDIRECT("Inventory!A"&amp;MATCH(VLOOKUP(B1868,Inventory!E:E,1,0),Inventory!E:E,0))&lt;&gt;INDIRECT("'Full Inventory'!B"&amp;MATCH(VLOOKUP(B1868,'Full Inventory'!F:F,1,0),'Full Inventory'!F:F,0))),"X","_"),"_")</f>
        <v>_</v>
      </c>
      <c r="L1868" t="str">
        <f t="shared" ca="1" si="118"/>
        <v>__X_</v>
      </c>
      <c r="M1868" t="str">
        <f t="shared" ca="1" si="119"/>
        <v/>
      </c>
    </row>
    <row r="1869" spans="1:13" x14ac:dyDescent="0.25">
      <c r="A1869" s="5"/>
      <c r="B1869" s="4" t="str">
        <f t="shared" si="117"/>
        <v/>
      </c>
      <c r="C1869" t="str">
        <f>IF(AND(TRIM(A1869)&lt;&gt;"",IFERROR(VLOOKUP(TRIM(B1869),Inventory!E:E,1,0),0)=0),"X","_")</f>
        <v>_</v>
      </c>
      <c r="D1869" t="str">
        <f>IF(AND(TRIM(A1869)&lt;&gt;"",IFERROR(VLOOKUP(TRIM(B1869),'Full Inventory'!F:F,1,0),0)=0),"X","_")</f>
        <v>_</v>
      </c>
      <c r="E1869" t="str">
        <f t="shared" si="116"/>
        <v>X</v>
      </c>
      <c r="F1869" t="str">
        <f ca="1">IFERROR(IF(AND(C1869&amp;D1869&amp;E1869="___",INDIRECT("Inventory!A"&amp;MATCH(VLOOKUP(B1869,Inventory!E:E,1,0),Inventory!E:E,0))&lt;&gt;INDIRECT("'Full Inventory'!B"&amp;MATCH(VLOOKUP(B1869,'Full Inventory'!F:F,1,0),'Full Inventory'!F:F,0))),"X","_"),"_")</f>
        <v>_</v>
      </c>
      <c r="L1869" t="str">
        <f t="shared" ca="1" si="118"/>
        <v>__X_</v>
      </c>
      <c r="M1869" t="str">
        <f t="shared" ca="1" si="119"/>
        <v/>
      </c>
    </row>
    <row r="1870" spans="1:13" x14ac:dyDescent="0.25">
      <c r="A1870" s="5"/>
      <c r="B1870" s="4" t="str">
        <f t="shared" si="117"/>
        <v/>
      </c>
      <c r="C1870" t="str">
        <f>IF(AND(TRIM(A1870)&lt;&gt;"",IFERROR(VLOOKUP(TRIM(B1870),Inventory!E:E,1,0),0)=0),"X","_")</f>
        <v>_</v>
      </c>
      <c r="D1870" t="str">
        <f>IF(AND(TRIM(A1870)&lt;&gt;"",IFERROR(VLOOKUP(TRIM(B1870),'Full Inventory'!F:F,1,0),0)=0),"X","_")</f>
        <v>_</v>
      </c>
      <c r="E1870" t="str">
        <f t="shared" si="116"/>
        <v>X</v>
      </c>
      <c r="F1870" t="str">
        <f ca="1">IFERROR(IF(AND(C1870&amp;D1870&amp;E1870="___",INDIRECT("Inventory!A"&amp;MATCH(VLOOKUP(B1870,Inventory!E:E,1,0),Inventory!E:E,0))&lt;&gt;INDIRECT("'Full Inventory'!B"&amp;MATCH(VLOOKUP(B1870,'Full Inventory'!F:F,1,0),'Full Inventory'!F:F,0))),"X","_"),"_")</f>
        <v>_</v>
      </c>
      <c r="L1870" t="str">
        <f t="shared" ca="1" si="118"/>
        <v>__X_</v>
      </c>
      <c r="M1870" t="str">
        <f t="shared" ca="1" si="119"/>
        <v/>
      </c>
    </row>
    <row r="1871" spans="1:13" x14ac:dyDescent="0.25">
      <c r="A1871" s="5"/>
      <c r="B1871" s="4" t="str">
        <f t="shared" si="117"/>
        <v/>
      </c>
      <c r="C1871" t="str">
        <f>IF(AND(TRIM(A1871)&lt;&gt;"",IFERROR(VLOOKUP(TRIM(B1871),Inventory!E:E,1,0),0)=0),"X","_")</f>
        <v>_</v>
      </c>
      <c r="D1871" t="str">
        <f>IF(AND(TRIM(A1871)&lt;&gt;"",IFERROR(VLOOKUP(TRIM(B1871),'Full Inventory'!F:F,1,0),0)=0),"X","_")</f>
        <v>_</v>
      </c>
      <c r="E1871" t="str">
        <f t="shared" si="116"/>
        <v>X</v>
      </c>
      <c r="F1871" t="str">
        <f ca="1">IFERROR(IF(AND(C1871&amp;D1871&amp;E1871="___",INDIRECT("Inventory!A"&amp;MATCH(VLOOKUP(B1871,Inventory!E:E,1,0),Inventory!E:E,0))&lt;&gt;INDIRECT("'Full Inventory'!B"&amp;MATCH(VLOOKUP(B1871,'Full Inventory'!F:F,1,0),'Full Inventory'!F:F,0))),"X","_"),"_")</f>
        <v>_</v>
      </c>
      <c r="L1871" t="str">
        <f t="shared" ca="1" si="118"/>
        <v>__X_</v>
      </c>
      <c r="M1871" t="str">
        <f t="shared" ca="1" si="119"/>
        <v/>
      </c>
    </row>
    <row r="1872" spans="1:13" x14ac:dyDescent="0.25">
      <c r="A1872" s="5"/>
      <c r="B1872" s="4" t="str">
        <f t="shared" si="117"/>
        <v/>
      </c>
      <c r="C1872" t="str">
        <f>IF(AND(TRIM(A1872)&lt;&gt;"",IFERROR(VLOOKUP(TRIM(B1872),Inventory!E:E,1,0),0)=0),"X","_")</f>
        <v>_</v>
      </c>
      <c r="D1872" t="str">
        <f>IF(AND(TRIM(A1872)&lt;&gt;"",IFERROR(VLOOKUP(TRIM(B1872),'Full Inventory'!F:F,1,0),0)=0),"X","_")</f>
        <v>_</v>
      </c>
      <c r="E1872" t="str">
        <f t="shared" si="116"/>
        <v>X</v>
      </c>
      <c r="F1872" t="str">
        <f ca="1">IFERROR(IF(AND(C1872&amp;D1872&amp;E1872="___",INDIRECT("Inventory!A"&amp;MATCH(VLOOKUP(B1872,Inventory!E:E,1,0),Inventory!E:E,0))&lt;&gt;INDIRECT("'Full Inventory'!B"&amp;MATCH(VLOOKUP(B1872,'Full Inventory'!F:F,1,0),'Full Inventory'!F:F,0))),"X","_"),"_")</f>
        <v>_</v>
      </c>
      <c r="L1872" t="str">
        <f t="shared" ca="1" si="118"/>
        <v>__X_</v>
      </c>
      <c r="M1872" t="str">
        <f t="shared" ca="1" si="119"/>
        <v/>
      </c>
    </row>
    <row r="1873" spans="1:13" x14ac:dyDescent="0.25">
      <c r="A1873" s="5"/>
      <c r="B1873" s="4" t="str">
        <f t="shared" si="117"/>
        <v/>
      </c>
      <c r="C1873" t="str">
        <f>IF(AND(TRIM(A1873)&lt;&gt;"",IFERROR(VLOOKUP(TRIM(B1873),Inventory!E:E,1,0),0)=0),"X","_")</f>
        <v>_</v>
      </c>
      <c r="D1873" t="str">
        <f>IF(AND(TRIM(A1873)&lt;&gt;"",IFERROR(VLOOKUP(TRIM(B1873),'Full Inventory'!F:F,1,0),0)=0),"X","_")</f>
        <v>_</v>
      </c>
      <c r="E1873" t="str">
        <f t="shared" si="116"/>
        <v>X</v>
      </c>
      <c r="F1873" t="str">
        <f ca="1">IFERROR(IF(AND(C1873&amp;D1873&amp;E1873="___",INDIRECT("Inventory!A"&amp;MATCH(VLOOKUP(B1873,Inventory!E:E,1,0),Inventory!E:E,0))&lt;&gt;INDIRECT("'Full Inventory'!B"&amp;MATCH(VLOOKUP(B1873,'Full Inventory'!F:F,1,0),'Full Inventory'!F:F,0))),"X","_"),"_")</f>
        <v>_</v>
      </c>
      <c r="L1873" t="str">
        <f t="shared" ca="1" si="118"/>
        <v>__X_</v>
      </c>
      <c r="M1873" t="str">
        <f t="shared" ca="1" si="119"/>
        <v/>
      </c>
    </row>
    <row r="1874" spans="1:13" x14ac:dyDescent="0.25">
      <c r="A1874" s="5"/>
      <c r="B1874" s="4" t="str">
        <f t="shared" si="117"/>
        <v/>
      </c>
      <c r="C1874" t="str">
        <f>IF(AND(TRIM(A1874)&lt;&gt;"",IFERROR(VLOOKUP(TRIM(B1874),Inventory!E:E,1,0),0)=0),"X","_")</f>
        <v>_</v>
      </c>
      <c r="D1874" t="str">
        <f>IF(AND(TRIM(A1874)&lt;&gt;"",IFERROR(VLOOKUP(TRIM(B1874),'Full Inventory'!F:F,1,0),0)=0),"X","_")</f>
        <v>_</v>
      </c>
      <c r="E1874" t="str">
        <f t="shared" si="116"/>
        <v>X</v>
      </c>
      <c r="F1874" t="str">
        <f ca="1">IFERROR(IF(AND(C1874&amp;D1874&amp;E1874="___",INDIRECT("Inventory!A"&amp;MATCH(VLOOKUP(B1874,Inventory!E:E,1,0),Inventory!E:E,0))&lt;&gt;INDIRECT("'Full Inventory'!B"&amp;MATCH(VLOOKUP(B1874,'Full Inventory'!F:F,1,0),'Full Inventory'!F:F,0))),"X","_"),"_")</f>
        <v>_</v>
      </c>
      <c r="L1874" t="str">
        <f t="shared" ca="1" si="118"/>
        <v>__X_</v>
      </c>
      <c r="M1874" t="str">
        <f t="shared" ca="1" si="119"/>
        <v/>
      </c>
    </row>
    <row r="1875" spans="1:13" x14ac:dyDescent="0.25">
      <c r="A1875" s="5"/>
      <c r="B1875" s="4" t="str">
        <f t="shared" si="117"/>
        <v/>
      </c>
      <c r="C1875" t="str">
        <f>IF(AND(TRIM(A1875)&lt;&gt;"",IFERROR(VLOOKUP(TRIM(B1875),Inventory!E:E,1,0),0)=0),"X","_")</f>
        <v>_</v>
      </c>
      <c r="D1875" t="str">
        <f>IF(AND(TRIM(A1875)&lt;&gt;"",IFERROR(VLOOKUP(TRIM(B1875),'Full Inventory'!F:F,1,0),0)=0),"X","_")</f>
        <v>_</v>
      </c>
      <c r="E1875" t="str">
        <f t="shared" si="116"/>
        <v>X</v>
      </c>
      <c r="F1875" t="str">
        <f ca="1">IFERROR(IF(AND(C1875&amp;D1875&amp;E1875="___",INDIRECT("Inventory!A"&amp;MATCH(VLOOKUP(B1875,Inventory!E:E,1,0),Inventory!E:E,0))&lt;&gt;INDIRECT("'Full Inventory'!B"&amp;MATCH(VLOOKUP(B1875,'Full Inventory'!F:F,1,0),'Full Inventory'!F:F,0))),"X","_"),"_")</f>
        <v>_</v>
      </c>
      <c r="L1875" t="str">
        <f t="shared" ca="1" si="118"/>
        <v>__X_</v>
      </c>
      <c r="M1875" t="str">
        <f t="shared" ca="1" si="119"/>
        <v/>
      </c>
    </row>
    <row r="1876" spans="1:13" x14ac:dyDescent="0.25">
      <c r="A1876" s="5"/>
      <c r="B1876" s="4" t="str">
        <f t="shared" si="117"/>
        <v/>
      </c>
      <c r="C1876" t="str">
        <f>IF(AND(TRIM(A1876)&lt;&gt;"",IFERROR(VLOOKUP(TRIM(B1876),Inventory!E:E,1,0),0)=0),"X","_")</f>
        <v>_</v>
      </c>
      <c r="D1876" t="str">
        <f>IF(AND(TRIM(A1876)&lt;&gt;"",IFERROR(VLOOKUP(TRIM(B1876),'Full Inventory'!F:F,1,0),0)=0),"X","_")</f>
        <v>_</v>
      </c>
      <c r="E1876" t="str">
        <f t="shared" ref="E1876:E1939" si="120">IF(TRIM(A1876)&lt;&gt;"","_","X")</f>
        <v>X</v>
      </c>
      <c r="F1876" t="str">
        <f ca="1">IFERROR(IF(AND(C1876&amp;D1876&amp;E1876="___",INDIRECT("Inventory!A"&amp;MATCH(VLOOKUP(B1876,Inventory!E:E,1,0),Inventory!E:E,0))&lt;&gt;INDIRECT("'Full Inventory'!B"&amp;MATCH(VLOOKUP(B1876,'Full Inventory'!F:F,1,0),'Full Inventory'!F:F,0))),"X","_"),"_")</f>
        <v>_</v>
      </c>
      <c r="L1876" t="str">
        <f t="shared" ca="1" si="118"/>
        <v>__X_</v>
      </c>
      <c r="M1876" t="str">
        <f t="shared" ca="1" si="119"/>
        <v/>
      </c>
    </row>
    <row r="1877" spans="1:13" x14ac:dyDescent="0.25">
      <c r="A1877" s="5"/>
      <c r="B1877" s="4" t="str">
        <f t="shared" si="117"/>
        <v/>
      </c>
      <c r="C1877" t="str">
        <f>IF(AND(TRIM(A1877)&lt;&gt;"",IFERROR(VLOOKUP(TRIM(B1877),Inventory!E:E,1,0),0)=0),"X","_")</f>
        <v>_</v>
      </c>
      <c r="D1877" t="str">
        <f>IF(AND(TRIM(A1877)&lt;&gt;"",IFERROR(VLOOKUP(TRIM(B1877),'Full Inventory'!F:F,1,0),0)=0),"X","_")</f>
        <v>_</v>
      </c>
      <c r="E1877" t="str">
        <f t="shared" si="120"/>
        <v>X</v>
      </c>
      <c r="F1877" t="str">
        <f ca="1">IFERROR(IF(AND(C1877&amp;D1877&amp;E1877="___",INDIRECT("Inventory!A"&amp;MATCH(VLOOKUP(B1877,Inventory!E:E,1,0),Inventory!E:E,0))&lt;&gt;INDIRECT("'Full Inventory'!B"&amp;MATCH(VLOOKUP(B1877,'Full Inventory'!F:F,1,0),'Full Inventory'!F:F,0))),"X","_"),"_")</f>
        <v>_</v>
      </c>
      <c r="L1877" t="str">
        <f t="shared" ca="1" si="118"/>
        <v>__X_</v>
      </c>
      <c r="M1877" t="str">
        <f t="shared" ca="1" si="119"/>
        <v/>
      </c>
    </row>
    <row r="1878" spans="1:13" x14ac:dyDescent="0.25">
      <c r="A1878" s="5"/>
      <c r="B1878" s="4" t="str">
        <f t="shared" si="117"/>
        <v/>
      </c>
      <c r="C1878" t="str">
        <f>IF(AND(TRIM(A1878)&lt;&gt;"",IFERROR(VLOOKUP(TRIM(B1878),Inventory!E:E,1,0),0)=0),"X","_")</f>
        <v>_</v>
      </c>
      <c r="D1878" t="str">
        <f>IF(AND(TRIM(A1878)&lt;&gt;"",IFERROR(VLOOKUP(TRIM(B1878),'Full Inventory'!F:F,1,0),0)=0),"X","_")</f>
        <v>_</v>
      </c>
      <c r="E1878" t="str">
        <f t="shared" si="120"/>
        <v>X</v>
      </c>
      <c r="F1878" t="str">
        <f ca="1">IFERROR(IF(AND(C1878&amp;D1878&amp;E1878="___",INDIRECT("Inventory!A"&amp;MATCH(VLOOKUP(B1878,Inventory!E:E,1,0),Inventory!E:E,0))&lt;&gt;INDIRECT("'Full Inventory'!B"&amp;MATCH(VLOOKUP(B1878,'Full Inventory'!F:F,1,0),'Full Inventory'!F:F,0))),"X","_"),"_")</f>
        <v>_</v>
      </c>
      <c r="L1878" t="str">
        <f t="shared" ca="1" si="118"/>
        <v>__X_</v>
      </c>
      <c r="M1878" t="str">
        <f t="shared" ca="1" si="119"/>
        <v/>
      </c>
    </row>
    <row r="1879" spans="1:13" x14ac:dyDescent="0.25">
      <c r="A1879" s="5"/>
      <c r="B1879" s="4" t="str">
        <f t="shared" si="117"/>
        <v/>
      </c>
      <c r="C1879" t="str">
        <f>IF(AND(TRIM(A1879)&lt;&gt;"",IFERROR(VLOOKUP(TRIM(B1879),Inventory!E:E,1,0),0)=0),"X","_")</f>
        <v>_</v>
      </c>
      <c r="D1879" t="str">
        <f>IF(AND(TRIM(A1879)&lt;&gt;"",IFERROR(VLOOKUP(TRIM(B1879),'Full Inventory'!F:F,1,0),0)=0),"X","_")</f>
        <v>_</v>
      </c>
      <c r="E1879" t="str">
        <f t="shared" si="120"/>
        <v>X</v>
      </c>
      <c r="F1879" t="str">
        <f ca="1">IFERROR(IF(AND(C1879&amp;D1879&amp;E1879="___",INDIRECT("Inventory!A"&amp;MATCH(VLOOKUP(B1879,Inventory!E:E,1,0),Inventory!E:E,0))&lt;&gt;INDIRECT("'Full Inventory'!B"&amp;MATCH(VLOOKUP(B1879,'Full Inventory'!F:F,1,0),'Full Inventory'!F:F,0))),"X","_"),"_")</f>
        <v>_</v>
      </c>
      <c r="L1879" t="str">
        <f t="shared" ca="1" si="118"/>
        <v>__X_</v>
      </c>
      <c r="M1879" t="str">
        <f t="shared" ca="1" si="119"/>
        <v/>
      </c>
    </row>
    <row r="1880" spans="1:13" x14ac:dyDescent="0.25">
      <c r="A1880" s="5"/>
      <c r="B1880" s="4" t="str">
        <f t="shared" si="117"/>
        <v/>
      </c>
      <c r="C1880" t="str">
        <f>IF(AND(TRIM(A1880)&lt;&gt;"",IFERROR(VLOOKUP(TRIM(B1880),Inventory!E:E,1,0),0)=0),"X","_")</f>
        <v>_</v>
      </c>
      <c r="D1880" t="str">
        <f>IF(AND(TRIM(A1880)&lt;&gt;"",IFERROR(VLOOKUP(TRIM(B1880),'Full Inventory'!F:F,1,0),0)=0),"X","_")</f>
        <v>_</v>
      </c>
      <c r="E1880" t="str">
        <f t="shared" si="120"/>
        <v>X</v>
      </c>
      <c r="F1880" t="str">
        <f ca="1">IFERROR(IF(AND(C1880&amp;D1880&amp;E1880="___",INDIRECT("Inventory!A"&amp;MATCH(VLOOKUP(B1880,Inventory!E:E,1,0),Inventory!E:E,0))&lt;&gt;INDIRECT("'Full Inventory'!B"&amp;MATCH(VLOOKUP(B1880,'Full Inventory'!F:F,1,0),'Full Inventory'!F:F,0))),"X","_"),"_")</f>
        <v>_</v>
      </c>
      <c r="L1880" t="str">
        <f t="shared" ca="1" si="118"/>
        <v>__X_</v>
      </c>
      <c r="M1880" t="str">
        <f t="shared" ca="1" si="119"/>
        <v/>
      </c>
    </row>
    <row r="1881" spans="1:13" x14ac:dyDescent="0.25">
      <c r="A1881" s="5"/>
      <c r="B1881" s="4" t="str">
        <f t="shared" si="117"/>
        <v/>
      </c>
      <c r="C1881" t="str">
        <f>IF(AND(TRIM(A1881)&lt;&gt;"",IFERROR(VLOOKUP(TRIM(B1881),Inventory!E:E,1,0),0)=0),"X","_")</f>
        <v>_</v>
      </c>
      <c r="D1881" t="str">
        <f>IF(AND(TRIM(A1881)&lt;&gt;"",IFERROR(VLOOKUP(TRIM(B1881),'Full Inventory'!F:F,1,0),0)=0),"X","_")</f>
        <v>_</v>
      </c>
      <c r="E1881" t="str">
        <f t="shared" si="120"/>
        <v>X</v>
      </c>
      <c r="F1881" t="str">
        <f ca="1">IFERROR(IF(AND(C1881&amp;D1881&amp;E1881="___",INDIRECT("Inventory!A"&amp;MATCH(VLOOKUP(B1881,Inventory!E:E,1,0),Inventory!E:E,0))&lt;&gt;INDIRECT("'Full Inventory'!B"&amp;MATCH(VLOOKUP(B1881,'Full Inventory'!F:F,1,0),'Full Inventory'!F:F,0))),"X","_"),"_")</f>
        <v>_</v>
      </c>
      <c r="L1881" t="str">
        <f t="shared" ca="1" si="118"/>
        <v>__X_</v>
      </c>
      <c r="M1881" t="str">
        <f t="shared" ca="1" si="119"/>
        <v/>
      </c>
    </row>
    <row r="1882" spans="1:13" x14ac:dyDescent="0.25">
      <c r="A1882" s="5"/>
      <c r="B1882" s="4" t="str">
        <f t="shared" si="117"/>
        <v/>
      </c>
      <c r="C1882" t="str">
        <f>IF(AND(TRIM(A1882)&lt;&gt;"",IFERROR(VLOOKUP(TRIM(B1882),Inventory!E:E,1,0),0)=0),"X","_")</f>
        <v>_</v>
      </c>
      <c r="D1882" t="str">
        <f>IF(AND(TRIM(A1882)&lt;&gt;"",IFERROR(VLOOKUP(TRIM(B1882),'Full Inventory'!F:F,1,0),0)=0),"X","_")</f>
        <v>_</v>
      </c>
      <c r="E1882" t="str">
        <f t="shared" si="120"/>
        <v>X</v>
      </c>
      <c r="F1882" t="str">
        <f ca="1">IFERROR(IF(AND(C1882&amp;D1882&amp;E1882="___",INDIRECT("Inventory!A"&amp;MATCH(VLOOKUP(B1882,Inventory!E:E,1,0),Inventory!E:E,0))&lt;&gt;INDIRECT("'Full Inventory'!B"&amp;MATCH(VLOOKUP(B1882,'Full Inventory'!F:F,1,0),'Full Inventory'!F:F,0))),"X","_"),"_")</f>
        <v>_</v>
      </c>
      <c r="L1882" t="str">
        <f t="shared" ca="1" si="118"/>
        <v>__X_</v>
      </c>
      <c r="M1882" t="str">
        <f t="shared" ca="1" si="119"/>
        <v/>
      </c>
    </row>
    <row r="1883" spans="1:13" x14ac:dyDescent="0.25">
      <c r="A1883" s="5"/>
      <c r="B1883" s="4" t="str">
        <f t="shared" si="117"/>
        <v/>
      </c>
      <c r="C1883" t="str">
        <f>IF(AND(TRIM(A1883)&lt;&gt;"",IFERROR(VLOOKUP(TRIM(B1883),Inventory!E:E,1,0),0)=0),"X","_")</f>
        <v>_</v>
      </c>
      <c r="D1883" t="str">
        <f>IF(AND(TRIM(A1883)&lt;&gt;"",IFERROR(VLOOKUP(TRIM(B1883),'Full Inventory'!F:F,1,0),0)=0),"X","_")</f>
        <v>_</v>
      </c>
      <c r="E1883" t="str">
        <f t="shared" si="120"/>
        <v>X</v>
      </c>
      <c r="F1883" t="str">
        <f ca="1">IFERROR(IF(AND(C1883&amp;D1883&amp;E1883="___",INDIRECT("Inventory!A"&amp;MATCH(VLOOKUP(B1883,Inventory!E:E,1,0),Inventory!E:E,0))&lt;&gt;INDIRECT("'Full Inventory'!B"&amp;MATCH(VLOOKUP(B1883,'Full Inventory'!F:F,1,0),'Full Inventory'!F:F,0))),"X","_"),"_")</f>
        <v>_</v>
      </c>
      <c r="L1883" t="str">
        <f t="shared" ca="1" si="118"/>
        <v>__X_</v>
      </c>
      <c r="M1883" t="str">
        <f t="shared" ca="1" si="119"/>
        <v/>
      </c>
    </row>
    <row r="1884" spans="1:13" x14ac:dyDescent="0.25">
      <c r="A1884" s="5"/>
      <c r="B1884" s="4" t="str">
        <f t="shared" si="117"/>
        <v/>
      </c>
      <c r="C1884" t="str">
        <f>IF(AND(TRIM(A1884)&lt;&gt;"",IFERROR(VLOOKUP(TRIM(B1884),Inventory!E:E,1,0),0)=0),"X","_")</f>
        <v>_</v>
      </c>
      <c r="D1884" t="str">
        <f>IF(AND(TRIM(A1884)&lt;&gt;"",IFERROR(VLOOKUP(TRIM(B1884),'Full Inventory'!F:F,1,0),0)=0),"X","_")</f>
        <v>_</v>
      </c>
      <c r="E1884" t="str">
        <f t="shared" si="120"/>
        <v>X</v>
      </c>
      <c r="F1884" t="str">
        <f ca="1">IFERROR(IF(AND(C1884&amp;D1884&amp;E1884="___",INDIRECT("Inventory!A"&amp;MATCH(VLOOKUP(B1884,Inventory!E:E,1,0),Inventory!E:E,0))&lt;&gt;INDIRECT("'Full Inventory'!B"&amp;MATCH(VLOOKUP(B1884,'Full Inventory'!F:F,1,0),'Full Inventory'!F:F,0))),"X","_"),"_")</f>
        <v>_</v>
      </c>
      <c r="L1884" t="str">
        <f t="shared" ca="1" si="118"/>
        <v>__X_</v>
      </c>
      <c r="M1884" t="str">
        <f t="shared" ca="1" si="119"/>
        <v/>
      </c>
    </row>
    <row r="1885" spans="1:13" x14ac:dyDescent="0.25">
      <c r="A1885" s="5"/>
      <c r="B1885" s="4" t="str">
        <f t="shared" si="117"/>
        <v/>
      </c>
      <c r="C1885" t="str">
        <f>IF(AND(TRIM(A1885)&lt;&gt;"",IFERROR(VLOOKUP(TRIM(B1885),Inventory!E:E,1,0),0)=0),"X","_")</f>
        <v>_</v>
      </c>
      <c r="D1885" t="str">
        <f>IF(AND(TRIM(A1885)&lt;&gt;"",IFERROR(VLOOKUP(TRIM(B1885),'Full Inventory'!F:F,1,0),0)=0),"X","_")</f>
        <v>_</v>
      </c>
      <c r="E1885" t="str">
        <f t="shared" si="120"/>
        <v>X</v>
      </c>
      <c r="F1885" t="str">
        <f ca="1">IFERROR(IF(AND(C1885&amp;D1885&amp;E1885="___",INDIRECT("Inventory!A"&amp;MATCH(VLOOKUP(B1885,Inventory!E:E,1,0),Inventory!E:E,0))&lt;&gt;INDIRECT("'Full Inventory'!B"&amp;MATCH(VLOOKUP(B1885,'Full Inventory'!F:F,1,0),'Full Inventory'!F:F,0))),"X","_"),"_")</f>
        <v>_</v>
      </c>
      <c r="L1885" t="str">
        <f t="shared" ca="1" si="118"/>
        <v>__X_</v>
      </c>
      <c r="M1885" t="str">
        <f t="shared" ca="1" si="119"/>
        <v/>
      </c>
    </row>
    <row r="1886" spans="1:13" x14ac:dyDescent="0.25">
      <c r="A1886" s="5"/>
      <c r="B1886" s="4" t="str">
        <f t="shared" si="117"/>
        <v/>
      </c>
      <c r="C1886" t="str">
        <f>IF(AND(TRIM(A1886)&lt;&gt;"",IFERROR(VLOOKUP(TRIM(B1886),Inventory!E:E,1,0),0)=0),"X","_")</f>
        <v>_</v>
      </c>
      <c r="D1886" t="str">
        <f>IF(AND(TRIM(A1886)&lt;&gt;"",IFERROR(VLOOKUP(TRIM(B1886),'Full Inventory'!F:F,1,0),0)=0),"X","_")</f>
        <v>_</v>
      </c>
      <c r="E1886" t="str">
        <f t="shared" si="120"/>
        <v>X</v>
      </c>
      <c r="F1886" t="str">
        <f ca="1">IFERROR(IF(AND(C1886&amp;D1886&amp;E1886="___",INDIRECT("Inventory!A"&amp;MATCH(VLOOKUP(B1886,Inventory!E:E,1,0),Inventory!E:E,0))&lt;&gt;INDIRECT("'Full Inventory'!B"&amp;MATCH(VLOOKUP(B1886,'Full Inventory'!F:F,1,0),'Full Inventory'!F:F,0))),"X","_"),"_")</f>
        <v>_</v>
      </c>
      <c r="L1886" t="str">
        <f t="shared" ca="1" si="118"/>
        <v>__X_</v>
      </c>
      <c r="M1886" t="str">
        <f t="shared" ca="1" si="119"/>
        <v/>
      </c>
    </row>
    <row r="1887" spans="1:13" x14ac:dyDescent="0.25">
      <c r="A1887" s="5"/>
      <c r="B1887" s="4" t="str">
        <f t="shared" si="117"/>
        <v/>
      </c>
      <c r="C1887" t="str">
        <f>IF(AND(TRIM(A1887)&lt;&gt;"",IFERROR(VLOOKUP(TRIM(B1887),Inventory!E:E,1,0),0)=0),"X","_")</f>
        <v>_</v>
      </c>
      <c r="D1887" t="str">
        <f>IF(AND(TRIM(A1887)&lt;&gt;"",IFERROR(VLOOKUP(TRIM(B1887),'Full Inventory'!F:F,1,0),0)=0),"X","_")</f>
        <v>_</v>
      </c>
      <c r="E1887" t="str">
        <f t="shared" si="120"/>
        <v>X</v>
      </c>
      <c r="F1887" t="str">
        <f ca="1">IFERROR(IF(AND(C1887&amp;D1887&amp;E1887="___",INDIRECT("Inventory!A"&amp;MATCH(VLOOKUP(B1887,Inventory!E:E,1,0),Inventory!E:E,0))&lt;&gt;INDIRECT("'Full Inventory'!B"&amp;MATCH(VLOOKUP(B1887,'Full Inventory'!F:F,1,0),'Full Inventory'!F:F,0))),"X","_"),"_")</f>
        <v>_</v>
      </c>
      <c r="L1887" t="str">
        <f t="shared" ca="1" si="118"/>
        <v>__X_</v>
      </c>
      <c r="M1887" t="str">
        <f t="shared" ca="1" si="119"/>
        <v/>
      </c>
    </row>
    <row r="1888" spans="1:13" x14ac:dyDescent="0.25">
      <c r="A1888" s="5"/>
      <c r="B1888" s="4" t="str">
        <f t="shared" si="117"/>
        <v/>
      </c>
      <c r="C1888" t="str">
        <f>IF(AND(TRIM(A1888)&lt;&gt;"",IFERROR(VLOOKUP(TRIM(B1888),Inventory!E:E,1,0),0)=0),"X","_")</f>
        <v>_</v>
      </c>
      <c r="D1888" t="str">
        <f>IF(AND(TRIM(A1888)&lt;&gt;"",IFERROR(VLOOKUP(TRIM(B1888),'Full Inventory'!F:F,1,0),0)=0),"X","_")</f>
        <v>_</v>
      </c>
      <c r="E1888" t="str">
        <f t="shared" si="120"/>
        <v>X</v>
      </c>
      <c r="F1888" t="str">
        <f ca="1">IFERROR(IF(AND(C1888&amp;D1888&amp;E1888="___",INDIRECT("Inventory!A"&amp;MATCH(VLOOKUP(B1888,Inventory!E:E,1,0),Inventory!E:E,0))&lt;&gt;INDIRECT("'Full Inventory'!B"&amp;MATCH(VLOOKUP(B1888,'Full Inventory'!F:F,1,0),'Full Inventory'!F:F,0))),"X","_"),"_")</f>
        <v>_</v>
      </c>
      <c r="L1888" t="str">
        <f t="shared" ca="1" si="118"/>
        <v>__X_</v>
      </c>
      <c r="M1888" t="str">
        <f t="shared" ca="1" si="119"/>
        <v/>
      </c>
    </row>
    <row r="1889" spans="1:13" x14ac:dyDescent="0.25">
      <c r="A1889" s="5"/>
      <c r="B1889" s="4" t="str">
        <f t="shared" si="117"/>
        <v/>
      </c>
      <c r="C1889" t="str">
        <f>IF(AND(TRIM(A1889)&lt;&gt;"",IFERROR(VLOOKUP(TRIM(B1889),Inventory!E:E,1,0),0)=0),"X","_")</f>
        <v>_</v>
      </c>
      <c r="D1889" t="str">
        <f>IF(AND(TRIM(A1889)&lt;&gt;"",IFERROR(VLOOKUP(TRIM(B1889),'Full Inventory'!F:F,1,0),0)=0),"X","_")</f>
        <v>_</v>
      </c>
      <c r="E1889" t="str">
        <f t="shared" si="120"/>
        <v>X</v>
      </c>
      <c r="F1889" t="str">
        <f ca="1">IFERROR(IF(AND(C1889&amp;D1889&amp;E1889="___",INDIRECT("Inventory!A"&amp;MATCH(VLOOKUP(B1889,Inventory!E:E,1,0),Inventory!E:E,0))&lt;&gt;INDIRECT("'Full Inventory'!B"&amp;MATCH(VLOOKUP(B1889,'Full Inventory'!F:F,1,0),'Full Inventory'!F:F,0))),"X","_"),"_")</f>
        <v>_</v>
      </c>
      <c r="L1889" t="str">
        <f t="shared" ca="1" si="118"/>
        <v>__X_</v>
      </c>
      <c r="M1889" t="str">
        <f t="shared" ca="1" si="119"/>
        <v/>
      </c>
    </row>
    <row r="1890" spans="1:13" x14ac:dyDescent="0.25">
      <c r="A1890" s="5"/>
      <c r="B1890" s="4" t="str">
        <f t="shared" si="117"/>
        <v/>
      </c>
      <c r="C1890" t="str">
        <f>IF(AND(TRIM(A1890)&lt;&gt;"",IFERROR(VLOOKUP(TRIM(B1890),Inventory!E:E,1,0),0)=0),"X","_")</f>
        <v>_</v>
      </c>
      <c r="D1890" t="str">
        <f>IF(AND(TRIM(A1890)&lt;&gt;"",IFERROR(VLOOKUP(TRIM(B1890),'Full Inventory'!F:F,1,0),0)=0),"X","_")</f>
        <v>_</v>
      </c>
      <c r="E1890" t="str">
        <f t="shared" si="120"/>
        <v>X</v>
      </c>
      <c r="F1890" t="str">
        <f ca="1">IFERROR(IF(AND(C1890&amp;D1890&amp;E1890="___",INDIRECT("Inventory!A"&amp;MATCH(VLOOKUP(B1890,Inventory!E:E,1,0),Inventory!E:E,0))&lt;&gt;INDIRECT("'Full Inventory'!B"&amp;MATCH(VLOOKUP(B1890,'Full Inventory'!F:F,1,0),'Full Inventory'!F:F,0))),"X","_"),"_")</f>
        <v>_</v>
      </c>
      <c r="L1890" t="str">
        <f t="shared" ca="1" si="118"/>
        <v>__X_</v>
      </c>
      <c r="M1890" t="str">
        <f t="shared" ca="1" si="119"/>
        <v/>
      </c>
    </row>
    <row r="1891" spans="1:13" x14ac:dyDescent="0.25">
      <c r="A1891" s="5"/>
      <c r="B1891" s="4" t="str">
        <f t="shared" si="117"/>
        <v/>
      </c>
      <c r="C1891" t="str">
        <f>IF(AND(TRIM(A1891)&lt;&gt;"",IFERROR(VLOOKUP(TRIM(B1891),Inventory!E:E,1,0),0)=0),"X","_")</f>
        <v>_</v>
      </c>
      <c r="D1891" t="str">
        <f>IF(AND(TRIM(A1891)&lt;&gt;"",IFERROR(VLOOKUP(TRIM(B1891),'Full Inventory'!F:F,1,0),0)=0),"X","_")</f>
        <v>_</v>
      </c>
      <c r="E1891" t="str">
        <f t="shared" si="120"/>
        <v>X</v>
      </c>
      <c r="F1891" t="str">
        <f ca="1">IFERROR(IF(AND(C1891&amp;D1891&amp;E1891="___",INDIRECT("Inventory!A"&amp;MATCH(VLOOKUP(B1891,Inventory!E:E,1,0),Inventory!E:E,0))&lt;&gt;INDIRECT("'Full Inventory'!B"&amp;MATCH(VLOOKUP(B1891,'Full Inventory'!F:F,1,0),'Full Inventory'!F:F,0))),"X","_"),"_")</f>
        <v>_</v>
      </c>
      <c r="L1891" t="str">
        <f t="shared" ca="1" si="118"/>
        <v>__X_</v>
      </c>
      <c r="M1891" t="str">
        <f t="shared" ca="1" si="119"/>
        <v/>
      </c>
    </row>
    <row r="1892" spans="1:13" x14ac:dyDescent="0.25">
      <c r="A1892" s="5"/>
      <c r="B1892" s="4" t="str">
        <f t="shared" si="117"/>
        <v/>
      </c>
      <c r="C1892" t="str">
        <f>IF(AND(TRIM(A1892)&lt;&gt;"",IFERROR(VLOOKUP(TRIM(B1892),Inventory!E:E,1,0),0)=0),"X","_")</f>
        <v>_</v>
      </c>
      <c r="D1892" t="str">
        <f>IF(AND(TRIM(A1892)&lt;&gt;"",IFERROR(VLOOKUP(TRIM(B1892),'Full Inventory'!F:F,1,0),0)=0),"X","_")</f>
        <v>_</v>
      </c>
      <c r="E1892" t="str">
        <f t="shared" si="120"/>
        <v>X</v>
      </c>
      <c r="F1892" t="str">
        <f ca="1">IFERROR(IF(AND(C1892&amp;D1892&amp;E1892="___",INDIRECT("Inventory!A"&amp;MATCH(VLOOKUP(B1892,Inventory!E:E,1,0),Inventory!E:E,0))&lt;&gt;INDIRECT("'Full Inventory'!B"&amp;MATCH(VLOOKUP(B1892,'Full Inventory'!F:F,1,0),'Full Inventory'!F:F,0))),"X","_"),"_")</f>
        <v>_</v>
      </c>
      <c r="L1892" t="str">
        <f t="shared" ca="1" si="118"/>
        <v>__X_</v>
      </c>
      <c r="M1892" t="str">
        <f t="shared" ca="1" si="119"/>
        <v/>
      </c>
    </row>
    <row r="1893" spans="1:13" x14ac:dyDescent="0.25">
      <c r="A1893" s="5"/>
      <c r="B1893" s="4" t="str">
        <f t="shared" si="117"/>
        <v/>
      </c>
      <c r="C1893" t="str">
        <f>IF(AND(TRIM(A1893)&lt;&gt;"",IFERROR(VLOOKUP(TRIM(B1893),Inventory!E:E,1,0),0)=0),"X","_")</f>
        <v>_</v>
      </c>
      <c r="D1893" t="str">
        <f>IF(AND(TRIM(A1893)&lt;&gt;"",IFERROR(VLOOKUP(TRIM(B1893),'Full Inventory'!F:F,1,0),0)=0),"X","_")</f>
        <v>_</v>
      </c>
      <c r="E1893" t="str">
        <f t="shared" si="120"/>
        <v>X</v>
      </c>
      <c r="F1893" t="str">
        <f ca="1">IFERROR(IF(AND(C1893&amp;D1893&amp;E1893="___",INDIRECT("Inventory!A"&amp;MATCH(VLOOKUP(B1893,Inventory!E:E,1,0),Inventory!E:E,0))&lt;&gt;INDIRECT("'Full Inventory'!B"&amp;MATCH(VLOOKUP(B1893,'Full Inventory'!F:F,1,0),'Full Inventory'!F:F,0))),"X","_"),"_")</f>
        <v>_</v>
      </c>
      <c r="L1893" t="str">
        <f t="shared" ca="1" si="118"/>
        <v>__X_</v>
      </c>
      <c r="M1893" t="str">
        <f t="shared" ca="1" si="119"/>
        <v/>
      </c>
    </row>
    <row r="1894" spans="1:13" x14ac:dyDescent="0.25">
      <c r="A1894" s="5"/>
      <c r="B1894" s="4" t="str">
        <f t="shared" si="117"/>
        <v/>
      </c>
      <c r="C1894" t="str">
        <f>IF(AND(TRIM(A1894)&lt;&gt;"",IFERROR(VLOOKUP(TRIM(B1894),Inventory!E:E,1,0),0)=0),"X","_")</f>
        <v>_</v>
      </c>
      <c r="D1894" t="str">
        <f>IF(AND(TRIM(A1894)&lt;&gt;"",IFERROR(VLOOKUP(TRIM(B1894),'Full Inventory'!F:F,1,0),0)=0),"X","_")</f>
        <v>_</v>
      </c>
      <c r="E1894" t="str">
        <f t="shared" si="120"/>
        <v>X</v>
      </c>
      <c r="F1894" t="str">
        <f ca="1">IFERROR(IF(AND(C1894&amp;D1894&amp;E1894="___",INDIRECT("Inventory!A"&amp;MATCH(VLOOKUP(B1894,Inventory!E:E,1,0),Inventory!E:E,0))&lt;&gt;INDIRECT("'Full Inventory'!B"&amp;MATCH(VLOOKUP(B1894,'Full Inventory'!F:F,1,0),'Full Inventory'!F:F,0))),"X","_"),"_")</f>
        <v>_</v>
      </c>
      <c r="L1894" t="str">
        <f t="shared" ca="1" si="118"/>
        <v>__X_</v>
      </c>
      <c r="M1894" t="str">
        <f t="shared" ca="1" si="119"/>
        <v/>
      </c>
    </row>
    <row r="1895" spans="1:13" x14ac:dyDescent="0.25">
      <c r="A1895" s="5"/>
      <c r="B1895" s="4" t="str">
        <f t="shared" si="117"/>
        <v/>
      </c>
      <c r="C1895" t="str">
        <f>IF(AND(TRIM(A1895)&lt;&gt;"",IFERROR(VLOOKUP(TRIM(B1895),Inventory!E:E,1,0),0)=0),"X","_")</f>
        <v>_</v>
      </c>
      <c r="D1895" t="str">
        <f>IF(AND(TRIM(A1895)&lt;&gt;"",IFERROR(VLOOKUP(TRIM(B1895),'Full Inventory'!F:F,1,0),0)=0),"X","_")</f>
        <v>_</v>
      </c>
      <c r="E1895" t="str">
        <f t="shared" si="120"/>
        <v>X</v>
      </c>
      <c r="F1895" t="str">
        <f ca="1">IFERROR(IF(AND(C1895&amp;D1895&amp;E1895="___",INDIRECT("Inventory!A"&amp;MATCH(VLOOKUP(B1895,Inventory!E:E,1,0),Inventory!E:E,0))&lt;&gt;INDIRECT("'Full Inventory'!B"&amp;MATCH(VLOOKUP(B1895,'Full Inventory'!F:F,1,0),'Full Inventory'!F:F,0))),"X","_"),"_")</f>
        <v>_</v>
      </c>
      <c r="L1895" t="str">
        <f t="shared" ca="1" si="118"/>
        <v>__X_</v>
      </c>
      <c r="M1895" t="str">
        <f t="shared" ca="1" si="119"/>
        <v/>
      </c>
    </row>
    <row r="1896" spans="1:13" x14ac:dyDescent="0.25">
      <c r="A1896" s="5"/>
      <c r="B1896" s="4" t="str">
        <f t="shared" si="117"/>
        <v/>
      </c>
      <c r="C1896" t="str">
        <f>IF(AND(TRIM(A1896)&lt;&gt;"",IFERROR(VLOOKUP(TRIM(B1896),Inventory!E:E,1,0),0)=0),"X","_")</f>
        <v>_</v>
      </c>
      <c r="D1896" t="str">
        <f>IF(AND(TRIM(A1896)&lt;&gt;"",IFERROR(VLOOKUP(TRIM(B1896),'Full Inventory'!F:F,1,0),0)=0),"X","_")</f>
        <v>_</v>
      </c>
      <c r="E1896" t="str">
        <f t="shared" si="120"/>
        <v>X</v>
      </c>
      <c r="F1896" t="str">
        <f ca="1">IFERROR(IF(AND(C1896&amp;D1896&amp;E1896="___",INDIRECT("Inventory!A"&amp;MATCH(VLOOKUP(B1896,Inventory!E:E,1,0),Inventory!E:E,0))&lt;&gt;INDIRECT("'Full Inventory'!B"&amp;MATCH(VLOOKUP(B1896,'Full Inventory'!F:F,1,0),'Full Inventory'!F:F,0))),"X","_"),"_")</f>
        <v>_</v>
      </c>
      <c r="L1896" t="str">
        <f t="shared" ca="1" si="118"/>
        <v>__X_</v>
      </c>
      <c r="M1896" t="str">
        <f t="shared" ca="1" si="119"/>
        <v/>
      </c>
    </row>
    <row r="1897" spans="1:13" x14ac:dyDescent="0.25">
      <c r="A1897" s="5"/>
      <c r="B1897" s="4" t="str">
        <f t="shared" si="117"/>
        <v/>
      </c>
      <c r="C1897" t="str">
        <f>IF(AND(TRIM(A1897)&lt;&gt;"",IFERROR(VLOOKUP(TRIM(B1897),Inventory!E:E,1,0),0)=0),"X","_")</f>
        <v>_</v>
      </c>
      <c r="D1897" t="str">
        <f>IF(AND(TRIM(A1897)&lt;&gt;"",IFERROR(VLOOKUP(TRIM(B1897),'Full Inventory'!F:F,1,0),0)=0),"X","_")</f>
        <v>_</v>
      </c>
      <c r="E1897" t="str">
        <f t="shared" si="120"/>
        <v>X</v>
      </c>
      <c r="F1897" t="str">
        <f ca="1">IFERROR(IF(AND(C1897&amp;D1897&amp;E1897="___",INDIRECT("Inventory!A"&amp;MATCH(VLOOKUP(B1897,Inventory!E:E,1,0),Inventory!E:E,0))&lt;&gt;INDIRECT("'Full Inventory'!B"&amp;MATCH(VLOOKUP(B1897,'Full Inventory'!F:F,1,0),'Full Inventory'!F:F,0))),"X","_"),"_")</f>
        <v>_</v>
      </c>
      <c r="L1897" t="str">
        <f t="shared" ca="1" si="118"/>
        <v>__X_</v>
      </c>
      <c r="M1897" t="str">
        <f t="shared" ca="1" si="119"/>
        <v/>
      </c>
    </row>
    <row r="1898" spans="1:13" x14ac:dyDescent="0.25">
      <c r="A1898" s="5"/>
      <c r="B1898" s="4" t="str">
        <f t="shared" si="117"/>
        <v/>
      </c>
      <c r="C1898" t="str">
        <f>IF(AND(TRIM(A1898)&lt;&gt;"",IFERROR(VLOOKUP(TRIM(B1898),Inventory!E:E,1,0),0)=0),"X","_")</f>
        <v>_</v>
      </c>
      <c r="D1898" t="str">
        <f>IF(AND(TRIM(A1898)&lt;&gt;"",IFERROR(VLOOKUP(TRIM(B1898),'Full Inventory'!F:F,1,0),0)=0),"X","_")</f>
        <v>_</v>
      </c>
      <c r="E1898" t="str">
        <f t="shared" si="120"/>
        <v>X</v>
      </c>
      <c r="F1898" t="str">
        <f ca="1">IFERROR(IF(AND(C1898&amp;D1898&amp;E1898="___",INDIRECT("Inventory!A"&amp;MATCH(VLOOKUP(B1898,Inventory!E:E,1,0),Inventory!E:E,0))&lt;&gt;INDIRECT("'Full Inventory'!B"&amp;MATCH(VLOOKUP(B1898,'Full Inventory'!F:F,1,0),'Full Inventory'!F:F,0))),"X","_"),"_")</f>
        <v>_</v>
      </c>
      <c r="L1898" t="str">
        <f t="shared" ca="1" si="118"/>
        <v>__X_</v>
      </c>
      <c r="M1898" t="str">
        <f t="shared" ca="1" si="119"/>
        <v/>
      </c>
    </row>
    <row r="1899" spans="1:13" x14ac:dyDescent="0.25">
      <c r="A1899" s="5"/>
      <c r="B1899" s="4" t="str">
        <f t="shared" si="117"/>
        <v/>
      </c>
      <c r="C1899" t="str">
        <f>IF(AND(TRIM(A1899)&lt;&gt;"",IFERROR(VLOOKUP(TRIM(B1899),Inventory!E:E,1,0),0)=0),"X","_")</f>
        <v>_</v>
      </c>
      <c r="D1899" t="str">
        <f>IF(AND(TRIM(A1899)&lt;&gt;"",IFERROR(VLOOKUP(TRIM(B1899),'Full Inventory'!F:F,1,0),0)=0),"X","_")</f>
        <v>_</v>
      </c>
      <c r="E1899" t="str">
        <f t="shared" si="120"/>
        <v>X</v>
      </c>
      <c r="F1899" t="str">
        <f ca="1">IFERROR(IF(AND(C1899&amp;D1899&amp;E1899="___",INDIRECT("Inventory!A"&amp;MATCH(VLOOKUP(B1899,Inventory!E:E,1,0),Inventory!E:E,0))&lt;&gt;INDIRECT("'Full Inventory'!B"&amp;MATCH(VLOOKUP(B1899,'Full Inventory'!F:F,1,0),'Full Inventory'!F:F,0))),"X","_"),"_")</f>
        <v>_</v>
      </c>
      <c r="L1899" t="str">
        <f t="shared" ca="1" si="118"/>
        <v>__X_</v>
      </c>
      <c r="M1899" t="str">
        <f t="shared" ca="1" si="119"/>
        <v/>
      </c>
    </row>
    <row r="1900" spans="1:13" x14ac:dyDescent="0.25">
      <c r="A1900" s="5"/>
      <c r="B1900" s="4" t="str">
        <f t="shared" si="117"/>
        <v/>
      </c>
      <c r="C1900" t="str">
        <f>IF(AND(TRIM(A1900)&lt;&gt;"",IFERROR(VLOOKUP(TRIM(B1900),Inventory!E:E,1,0),0)=0),"X","_")</f>
        <v>_</v>
      </c>
      <c r="D1900" t="str">
        <f>IF(AND(TRIM(A1900)&lt;&gt;"",IFERROR(VLOOKUP(TRIM(B1900),'Full Inventory'!F:F,1,0),0)=0),"X","_")</f>
        <v>_</v>
      </c>
      <c r="E1900" t="str">
        <f t="shared" si="120"/>
        <v>X</v>
      </c>
      <c r="F1900" t="str">
        <f ca="1">IFERROR(IF(AND(C1900&amp;D1900&amp;E1900="___",INDIRECT("Inventory!A"&amp;MATCH(VLOOKUP(B1900,Inventory!E:E,1,0),Inventory!E:E,0))&lt;&gt;INDIRECT("'Full Inventory'!B"&amp;MATCH(VLOOKUP(B1900,'Full Inventory'!F:F,1,0),'Full Inventory'!F:F,0))),"X","_"),"_")</f>
        <v>_</v>
      </c>
      <c r="L1900" t="str">
        <f t="shared" ca="1" si="118"/>
        <v>__X_</v>
      </c>
      <c r="M1900" t="str">
        <f t="shared" ca="1" si="119"/>
        <v/>
      </c>
    </row>
    <row r="1901" spans="1:13" x14ac:dyDescent="0.25">
      <c r="A1901" s="5"/>
      <c r="B1901" s="4" t="str">
        <f t="shared" si="117"/>
        <v/>
      </c>
      <c r="C1901" t="str">
        <f>IF(AND(TRIM(A1901)&lt;&gt;"",IFERROR(VLOOKUP(TRIM(B1901),Inventory!E:E,1,0),0)=0),"X","_")</f>
        <v>_</v>
      </c>
      <c r="D1901" t="str">
        <f>IF(AND(TRIM(A1901)&lt;&gt;"",IFERROR(VLOOKUP(TRIM(B1901),'Full Inventory'!F:F,1,0),0)=0),"X","_")</f>
        <v>_</v>
      </c>
      <c r="E1901" t="str">
        <f t="shared" si="120"/>
        <v>X</v>
      </c>
      <c r="F1901" t="str">
        <f ca="1">IFERROR(IF(AND(C1901&amp;D1901&amp;E1901="___",INDIRECT("Inventory!A"&amp;MATCH(VLOOKUP(B1901,Inventory!E:E,1,0),Inventory!E:E,0))&lt;&gt;INDIRECT("'Full Inventory'!B"&amp;MATCH(VLOOKUP(B1901,'Full Inventory'!F:F,1,0),'Full Inventory'!F:F,0))),"X","_"),"_")</f>
        <v>_</v>
      </c>
      <c r="L1901" t="str">
        <f t="shared" ca="1" si="118"/>
        <v>__X_</v>
      </c>
      <c r="M1901" t="str">
        <f t="shared" ca="1" si="119"/>
        <v/>
      </c>
    </row>
    <row r="1902" spans="1:13" x14ac:dyDescent="0.25">
      <c r="A1902" s="5"/>
      <c r="B1902" s="4" t="str">
        <f t="shared" si="117"/>
        <v/>
      </c>
      <c r="C1902" t="str">
        <f>IF(AND(TRIM(A1902)&lt;&gt;"",IFERROR(VLOOKUP(TRIM(B1902),Inventory!E:E,1,0),0)=0),"X","_")</f>
        <v>_</v>
      </c>
      <c r="D1902" t="str">
        <f>IF(AND(TRIM(A1902)&lt;&gt;"",IFERROR(VLOOKUP(TRIM(B1902),'Full Inventory'!F:F,1,0),0)=0),"X","_")</f>
        <v>_</v>
      </c>
      <c r="E1902" t="str">
        <f t="shared" si="120"/>
        <v>X</v>
      </c>
      <c r="F1902" t="str">
        <f ca="1">IFERROR(IF(AND(C1902&amp;D1902&amp;E1902="___",INDIRECT("Inventory!A"&amp;MATCH(VLOOKUP(B1902,Inventory!E:E,1,0),Inventory!E:E,0))&lt;&gt;INDIRECT("'Full Inventory'!B"&amp;MATCH(VLOOKUP(B1902,'Full Inventory'!F:F,1,0),'Full Inventory'!F:F,0))),"X","_"),"_")</f>
        <v>_</v>
      </c>
      <c r="L1902" t="str">
        <f t="shared" ca="1" si="118"/>
        <v>__X_</v>
      </c>
      <c r="M1902" t="str">
        <f t="shared" ca="1" si="119"/>
        <v/>
      </c>
    </row>
    <row r="1903" spans="1:13" x14ac:dyDescent="0.25">
      <c r="A1903" s="5"/>
      <c r="B1903" s="4" t="str">
        <f t="shared" si="117"/>
        <v/>
      </c>
      <c r="C1903" t="str">
        <f>IF(AND(TRIM(A1903)&lt;&gt;"",IFERROR(VLOOKUP(TRIM(B1903),Inventory!E:E,1,0),0)=0),"X","_")</f>
        <v>_</v>
      </c>
      <c r="D1903" t="str">
        <f>IF(AND(TRIM(A1903)&lt;&gt;"",IFERROR(VLOOKUP(TRIM(B1903),'Full Inventory'!F:F,1,0),0)=0),"X","_")</f>
        <v>_</v>
      </c>
      <c r="E1903" t="str">
        <f t="shared" si="120"/>
        <v>X</v>
      </c>
      <c r="F1903" t="str">
        <f ca="1">IFERROR(IF(AND(C1903&amp;D1903&amp;E1903="___",INDIRECT("Inventory!A"&amp;MATCH(VLOOKUP(B1903,Inventory!E:E,1,0),Inventory!E:E,0))&lt;&gt;INDIRECT("'Full Inventory'!B"&amp;MATCH(VLOOKUP(B1903,'Full Inventory'!F:F,1,0),'Full Inventory'!F:F,0))),"X","_"),"_")</f>
        <v>_</v>
      </c>
      <c r="L1903" t="str">
        <f t="shared" ca="1" si="118"/>
        <v>__X_</v>
      </c>
      <c r="M1903" t="str">
        <f t="shared" ca="1" si="119"/>
        <v/>
      </c>
    </row>
    <row r="1904" spans="1:13" x14ac:dyDescent="0.25">
      <c r="A1904" s="5"/>
      <c r="B1904" s="4" t="str">
        <f t="shared" si="117"/>
        <v/>
      </c>
      <c r="C1904" t="str">
        <f>IF(AND(TRIM(A1904)&lt;&gt;"",IFERROR(VLOOKUP(TRIM(B1904),Inventory!E:E,1,0),0)=0),"X","_")</f>
        <v>_</v>
      </c>
      <c r="D1904" t="str">
        <f>IF(AND(TRIM(A1904)&lt;&gt;"",IFERROR(VLOOKUP(TRIM(B1904),'Full Inventory'!F:F,1,0),0)=0),"X","_")</f>
        <v>_</v>
      </c>
      <c r="E1904" t="str">
        <f t="shared" si="120"/>
        <v>X</v>
      </c>
      <c r="F1904" t="str">
        <f ca="1">IFERROR(IF(AND(C1904&amp;D1904&amp;E1904="___",INDIRECT("Inventory!A"&amp;MATCH(VLOOKUP(B1904,Inventory!E:E,1,0),Inventory!E:E,0))&lt;&gt;INDIRECT("'Full Inventory'!B"&amp;MATCH(VLOOKUP(B1904,'Full Inventory'!F:F,1,0),'Full Inventory'!F:F,0))),"X","_"),"_")</f>
        <v>_</v>
      </c>
      <c r="L1904" t="str">
        <f t="shared" ca="1" si="118"/>
        <v>__X_</v>
      </c>
      <c r="M1904" t="str">
        <f t="shared" ca="1" si="119"/>
        <v/>
      </c>
    </row>
    <row r="1905" spans="1:13" x14ac:dyDescent="0.25">
      <c r="A1905" s="5"/>
      <c r="B1905" s="4" t="str">
        <f t="shared" si="117"/>
        <v/>
      </c>
      <c r="C1905" t="str">
        <f>IF(AND(TRIM(A1905)&lt;&gt;"",IFERROR(VLOOKUP(TRIM(B1905),Inventory!E:E,1,0),0)=0),"X","_")</f>
        <v>_</v>
      </c>
      <c r="D1905" t="str">
        <f>IF(AND(TRIM(A1905)&lt;&gt;"",IFERROR(VLOOKUP(TRIM(B1905),'Full Inventory'!F:F,1,0),0)=0),"X","_")</f>
        <v>_</v>
      </c>
      <c r="E1905" t="str">
        <f t="shared" si="120"/>
        <v>X</v>
      </c>
      <c r="F1905" t="str">
        <f ca="1">IFERROR(IF(AND(C1905&amp;D1905&amp;E1905="___",INDIRECT("Inventory!A"&amp;MATCH(VLOOKUP(B1905,Inventory!E:E,1,0),Inventory!E:E,0))&lt;&gt;INDIRECT("'Full Inventory'!B"&amp;MATCH(VLOOKUP(B1905,'Full Inventory'!F:F,1,0),'Full Inventory'!F:F,0))),"X","_"),"_")</f>
        <v>_</v>
      </c>
      <c r="L1905" t="str">
        <f t="shared" ca="1" si="118"/>
        <v>__X_</v>
      </c>
      <c r="M1905" t="str">
        <f t="shared" ca="1" si="119"/>
        <v/>
      </c>
    </row>
    <row r="1906" spans="1:13" x14ac:dyDescent="0.25">
      <c r="A1906" s="5"/>
      <c r="B1906" s="4" t="str">
        <f t="shared" si="117"/>
        <v/>
      </c>
      <c r="C1906" t="str">
        <f>IF(AND(TRIM(A1906)&lt;&gt;"",IFERROR(VLOOKUP(TRIM(B1906),Inventory!E:E,1,0),0)=0),"X","_")</f>
        <v>_</v>
      </c>
      <c r="D1906" t="str">
        <f>IF(AND(TRIM(A1906)&lt;&gt;"",IFERROR(VLOOKUP(TRIM(B1906),'Full Inventory'!F:F,1,0),0)=0),"X","_")</f>
        <v>_</v>
      </c>
      <c r="E1906" t="str">
        <f t="shared" si="120"/>
        <v>X</v>
      </c>
      <c r="F1906" t="str">
        <f ca="1">IFERROR(IF(AND(C1906&amp;D1906&amp;E1906="___",INDIRECT("Inventory!A"&amp;MATCH(VLOOKUP(B1906,Inventory!E:E,1,0),Inventory!E:E,0))&lt;&gt;INDIRECT("'Full Inventory'!B"&amp;MATCH(VLOOKUP(B1906,'Full Inventory'!F:F,1,0),'Full Inventory'!F:F,0))),"X","_"),"_")</f>
        <v>_</v>
      </c>
      <c r="L1906" t="str">
        <f t="shared" ca="1" si="118"/>
        <v>__X_</v>
      </c>
      <c r="M1906" t="str">
        <f t="shared" ca="1" si="119"/>
        <v/>
      </c>
    </row>
    <row r="1907" spans="1:13" x14ac:dyDescent="0.25">
      <c r="A1907" s="5"/>
      <c r="B1907" s="4" t="str">
        <f t="shared" si="117"/>
        <v/>
      </c>
      <c r="C1907" t="str">
        <f>IF(AND(TRIM(A1907)&lt;&gt;"",IFERROR(VLOOKUP(TRIM(B1907),Inventory!E:E,1,0),0)=0),"X","_")</f>
        <v>_</v>
      </c>
      <c r="D1907" t="str">
        <f>IF(AND(TRIM(A1907)&lt;&gt;"",IFERROR(VLOOKUP(TRIM(B1907),'Full Inventory'!F:F,1,0),0)=0),"X","_")</f>
        <v>_</v>
      </c>
      <c r="E1907" t="str">
        <f t="shared" si="120"/>
        <v>X</v>
      </c>
      <c r="F1907" t="str">
        <f ca="1">IFERROR(IF(AND(C1907&amp;D1907&amp;E1907="___",INDIRECT("Inventory!A"&amp;MATCH(VLOOKUP(B1907,Inventory!E:E,1,0),Inventory!E:E,0))&lt;&gt;INDIRECT("'Full Inventory'!B"&amp;MATCH(VLOOKUP(B1907,'Full Inventory'!F:F,1,0),'Full Inventory'!F:F,0))),"X","_"),"_")</f>
        <v>_</v>
      </c>
      <c r="L1907" t="str">
        <f t="shared" ca="1" si="118"/>
        <v>__X_</v>
      </c>
      <c r="M1907" t="str">
        <f t="shared" ca="1" si="119"/>
        <v/>
      </c>
    </row>
    <row r="1908" spans="1:13" x14ac:dyDescent="0.25">
      <c r="A1908" s="5"/>
      <c r="B1908" s="4" t="str">
        <f t="shared" si="117"/>
        <v/>
      </c>
      <c r="C1908" t="str">
        <f>IF(AND(TRIM(A1908)&lt;&gt;"",IFERROR(VLOOKUP(TRIM(B1908),Inventory!E:E,1,0),0)=0),"X","_")</f>
        <v>_</v>
      </c>
      <c r="D1908" t="str">
        <f>IF(AND(TRIM(A1908)&lt;&gt;"",IFERROR(VLOOKUP(TRIM(B1908),'Full Inventory'!F:F,1,0),0)=0),"X","_")</f>
        <v>_</v>
      </c>
      <c r="E1908" t="str">
        <f t="shared" si="120"/>
        <v>X</v>
      </c>
      <c r="F1908" t="str">
        <f ca="1">IFERROR(IF(AND(C1908&amp;D1908&amp;E1908="___",INDIRECT("Inventory!A"&amp;MATCH(VLOOKUP(B1908,Inventory!E:E,1,0),Inventory!E:E,0))&lt;&gt;INDIRECT("'Full Inventory'!B"&amp;MATCH(VLOOKUP(B1908,'Full Inventory'!F:F,1,0),'Full Inventory'!F:F,0))),"X","_"),"_")</f>
        <v>_</v>
      </c>
      <c r="L1908" t="str">
        <f t="shared" ca="1" si="118"/>
        <v>__X_</v>
      </c>
      <c r="M1908" t="str">
        <f t="shared" ca="1" si="119"/>
        <v/>
      </c>
    </row>
    <row r="1909" spans="1:13" x14ac:dyDescent="0.25">
      <c r="A1909" s="5"/>
      <c r="B1909" s="4" t="str">
        <f t="shared" si="117"/>
        <v/>
      </c>
      <c r="C1909" t="str">
        <f>IF(AND(TRIM(A1909)&lt;&gt;"",IFERROR(VLOOKUP(TRIM(B1909),Inventory!E:E,1,0),0)=0),"X","_")</f>
        <v>_</v>
      </c>
      <c r="D1909" t="str">
        <f>IF(AND(TRIM(A1909)&lt;&gt;"",IFERROR(VLOOKUP(TRIM(B1909),'Full Inventory'!F:F,1,0),0)=0),"X","_")</f>
        <v>_</v>
      </c>
      <c r="E1909" t="str">
        <f t="shared" si="120"/>
        <v>X</v>
      </c>
      <c r="F1909" t="str">
        <f ca="1">IFERROR(IF(AND(C1909&amp;D1909&amp;E1909="___",INDIRECT("Inventory!A"&amp;MATCH(VLOOKUP(B1909,Inventory!E:E,1,0),Inventory!E:E,0))&lt;&gt;INDIRECT("'Full Inventory'!B"&amp;MATCH(VLOOKUP(B1909,'Full Inventory'!F:F,1,0),'Full Inventory'!F:F,0))),"X","_"),"_")</f>
        <v>_</v>
      </c>
      <c r="L1909" t="str">
        <f t="shared" ca="1" si="118"/>
        <v>__X_</v>
      </c>
      <c r="M1909" t="str">
        <f t="shared" ca="1" si="119"/>
        <v/>
      </c>
    </row>
    <row r="1910" spans="1:13" x14ac:dyDescent="0.25">
      <c r="A1910" s="5"/>
      <c r="B1910" s="4" t="str">
        <f t="shared" si="117"/>
        <v/>
      </c>
      <c r="C1910" t="str">
        <f>IF(AND(TRIM(A1910)&lt;&gt;"",IFERROR(VLOOKUP(TRIM(B1910),Inventory!E:E,1,0),0)=0),"X","_")</f>
        <v>_</v>
      </c>
      <c r="D1910" t="str">
        <f>IF(AND(TRIM(A1910)&lt;&gt;"",IFERROR(VLOOKUP(TRIM(B1910),'Full Inventory'!F:F,1,0),0)=0),"X","_")</f>
        <v>_</v>
      </c>
      <c r="E1910" t="str">
        <f t="shared" si="120"/>
        <v>X</v>
      </c>
      <c r="F1910" t="str">
        <f ca="1">IFERROR(IF(AND(C1910&amp;D1910&amp;E1910="___",INDIRECT("Inventory!A"&amp;MATCH(VLOOKUP(B1910,Inventory!E:E,1,0),Inventory!E:E,0))&lt;&gt;INDIRECT("'Full Inventory'!B"&amp;MATCH(VLOOKUP(B1910,'Full Inventory'!F:F,1,0),'Full Inventory'!F:F,0))),"X","_"),"_")</f>
        <v>_</v>
      </c>
      <c r="L1910" t="str">
        <f t="shared" ca="1" si="118"/>
        <v>__X_</v>
      </c>
      <c r="M1910" t="str">
        <f t="shared" ca="1" si="119"/>
        <v/>
      </c>
    </row>
    <row r="1911" spans="1:13" x14ac:dyDescent="0.25">
      <c r="A1911" s="5"/>
      <c r="B1911" s="4" t="str">
        <f t="shared" si="117"/>
        <v/>
      </c>
      <c r="C1911" t="str">
        <f>IF(AND(TRIM(A1911)&lt;&gt;"",IFERROR(VLOOKUP(TRIM(B1911),Inventory!E:E,1,0),0)=0),"X","_")</f>
        <v>_</v>
      </c>
      <c r="D1911" t="str">
        <f>IF(AND(TRIM(A1911)&lt;&gt;"",IFERROR(VLOOKUP(TRIM(B1911),'Full Inventory'!F:F,1,0),0)=0),"X","_")</f>
        <v>_</v>
      </c>
      <c r="E1911" t="str">
        <f t="shared" si="120"/>
        <v>X</v>
      </c>
      <c r="F1911" t="str">
        <f ca="1">IFERROR(IF(AND(C1911&amp;D1911&amp;E1911="___",INDIRECT("Inventory!A"&amp;MATCH(VLOOKUP(B1911,Inventory!E:E,1,0),Inventory!E:E,0))&lt;&gt;INDIRECT("'Full Inventory'!B"&amp;MATCH(VLOOKUP(B1911,'Full Inventory'!F:F,1,0),'Full Inventory'!F:F,0))),"X","_"),"_")</f>
        <v>_</v>
      </c>
      <c r="L1911" t="str">
        <f t="shared" ca="1" si="118"/>
        <v>__X_</v>
      </c>
      <c r="M1911" t="str">
        <f t="shared" ca="1" si="119"/>
        <v/>
      </c>
    </row>
    <row r="1912" spans="1:13" x14ac:dyDescent="0.25">
      <c r="A1912" s="5"/>
      <c r="B1912" s="4" t="str">
        <f t="shared" si="117"/>
        <v/>
      </c>
      <c r="C1912" t="str">
        <f>IF(AND(TRIM(A1912)&lt;&gt;"",IFERROR(VLOOKUP(TRIM(B1912),Inventory!E:E,1,0),0)=0),"X","_")</f>
        <v>_</v>
      </c>
      <c r="D1912" t="str">
        <f>IF(AND(TRIM(A1912)&lt;&gt;"",IFERROR(VLOOKUP(TRIM(B1912),'Full Inventory'!F:F,1,0),0)=0),"X","_")</f>
        <v>_</v>
      </c>
      <c r="E1912" t="str">
        <f t="shared" si="120"/>
        <v>X</v>
      </c>
      <c r="F1912" t="str">
        <f ca="1">IFERROR(IF(AND(C1912&amp;D1912&amp;E1912="___",INDIRECT("Inventory!A"&amp;MATCH(VLOOKUP(B1912,Inventory!E:E,1,0),Inventory!E:E,0))&lt;&gt;INDIRECT("'Full Inventory'!B"&amp;MATCH(VLOOKUP(B1912,'Full Inventory'!F:F,1,0),'Full Inventory'!F:F,0))),"X","_"),"_")</f>
        <v>_</v>
      </c>
      <c r="L1912" t="str">
        <f t="shared" ca="1" si="118"/>
        <v>__X_</v>
      </c>
      <c r="M1912" t="str">
        <f t="shared" ca="1" si="119"/>
        <v/>
      </c>
    </row>
    <row r="1913" spans="1:13" x14ac:dyDescent="0.25">
      <c r="A1913" s="5"/>
      <c r="B1913" s="4" t="str">
        <f t="shared" si="117"/>
        <v/>
      </c>
      <c r="C1913" t="str">
        <f>IF(AND(TRIM(A1913)&lt;&gt;"",IFERROR(VLOOKUP(TRIM(B1913),Inventory!E:E,1,0),0)=0),"X","_")</f>
        <v>_</v>
      </c>
      <c r="D1913" t="str">
        <f>IF(AND(TRIM(A1913)&lt;&gt;"",IFERROR(VLOOKUP(TRIM(B1913),'Full Inventory'!F:F,1,0),0)=0),"X","_")</f>
        <v>_</v>
      </c>
      <c r="E1913" t="str">
        <f t="shared" si="120"/>
        <v>X</v>
      </c>
      <c r="F1913" t="str">
        <f ca="1">IFERROR(IF(AND(C1913&amp;D1913&amp;E1913="___",INDIRECT("Inventory!A"&amp;MATCH(VLOOKUP(B1913,Inventory!E:E,1,0),Inventory!E:E,0))&lt;&gt;INDIRECT("'Full Inventory'!B"&amp;MATCH(VLOOKUP(B1913,'Full Inventory'!F:F,1,0),'Full Inventory'!F:F,0))),"X","_"),"_")</f>
        <v>_</v>
      </c>
      <c r="L1913" t="str">
        <f t="shared" ca="1" si="118"/>
        <v>__X_</v>
      </c>
      <c r="M1913" t="str">
        <f t="shared" ca="1" si="119"/>
        <v/>
      </c>
    </row>
    <row r="1914" spans="1:13" x14ac:dyDescent="0.25">
      <c r="A1914" s="5"/>
      <c r="B1914" s="4" t="str">
        <f t="shared" si="117"/>
        <v/>
      </c>
      <c r="C1914" t="str">
        <f>IF(AND(TRIM(A1914)&lt;&gt;"",IFERROR(VLOOKUP(TRIM(B1914),Inventory!E:E,1,0),0)=0),"X","_")</f>
        <v>_</v>
      </c>
      <c r="D1914" t="str">
        <f>IF(AND(TRIM(A1914)&lt;&gt;"",IFERROR(VLOOKUP(TRIM(B1914),'Full Inventory'!F:F,1,0),0)=0),"X","_")</f>
        <v>_</v>
      </c>
      <c r="E1914" t="str">
        <f t="shared" si="120"/>
        <v>X</v>
      </c>
      <c r="F1914" t="str">
        <f ca="1">IFERROR(IF(AND(C1914&amp;D1914&amp;E1914="___",INDIRECT("Inventory!A"&amp;MATCH(VLOOKUP(B1914,Inventory!E:E,1,0),Inventory!E:E,0))&lt;&gt;INDIRECT("'Full Inventory'!B"&amp;MATCH(VLOOKUP(B1914,'Full Inventory'!F:F,1,0),'Full Inventory'!F:F,0))),"X","_"),"_")</f>
        <v>_</v>
      </c>
      <c r="L1914" t="str">
        <f t="shared" ca="1" si="118"/>
        <v>__X_</v>
      </c>
      <c r="M1914" t="str">
        <f t="shared" ca="1" si="119"/>
        <v/>
      </c>
    </row>
    <row r="1915" spans="1:13" x14ac:dyDescent="0.25">
      <c r="A1915" s="5"/>
      <c r="B1915" s="4" t="str">
        <f t="shared" si="117"/>
        <v/>
      </c>
      <c r="C1915" t="str">
        <f>IF(AND(TRIM(A1915)&lt;&gt;"",IFERROR(VLOOKUP(TRIM(B1915),Inventory!E:E,1,0),0)=0),"X","_")</f>
        <v>_</v>
      </c>
      <c r="D1915" t="str">
        <f>IF(AND(TRIM(A1915)&lt;&gt;"",IFERROR(VLOOKUP(TRIM(B1915),'Full Inventory'!F:F,1,0),0)=0),"X","_")</f>
        <v>_</v>
      </c>
      <c r="E1915" t="str">
        <f t="shared" si="120"/>
        <v>X</v>
      </c>
      <c r="F1915" t="str">
        <f ca="1">IFERROR(IF(AND(C1915&amp;D1915&amp;E1915="___",INDIRECT("Inventory!A"&amp;MATCH(VLOOKUP(B1915,Inventory!E:E,1,0),Inventory!E:E,0))&lt;&gt;INDIRECT("'Full Inventory'!B"&amp;MATCH(VLOOKUP(B1915,'Full Inventory'!F:F,1,0),'Full Inventory'!F:F,0))),"X","_"),"_")</f>
        <v>_</v>
      </c>
      <c r="L1915" t="str">
        <f t="shared" ca="1" si="118"/>
        <v>__X_</v>
      </c>
      <c r="M1915" t="str">
        <f t="shared" ca="1" si="119"/>
        <v/>
      </c>
    </row>
    <row r="1916" spans="1:13" x14ac:dyDescent="0.25">
      <c r="A1916" s="5"/>
      <c r="B1916" s="4" t="str">
        <f t="shared" si="117"/>
        <v/>
      </c>
      <c r="C1916" t="str">
        <f>IF(AND(TRIM(A1916)&lt;&gt;"",IFERROR(VLOOKUP(TRIM(B1916),Inventory!E:E,1,0),0)=0),"X","_")</f>
        <v>_</v>
      </c>
      <c r="D1916" t="str">
        <f>IF(AND(TRIM(A1916)&lt;&gt;"",IFERROR(VLOOKUP(TRIM(B1916),'Full Inventory'!F:F,1,0),0)=0),"X","_")</f>
        <v>_</v>
      </c>
      <c r="E1916" t="str">
        <f t="shared" si="120"/>
        <v>X</v>
      </c>
      <c r="F1916" t="str">
        <f ca="1">IFERROR(IF(AND(C1916&amp;D1916&amp;E1916="___",INDIRECT("Inventory!A"&amp;MATCH(VLOOKUP(B1916,Inventory!E:E,1,0),Inventory!E:E,0))&lt;&gt;INDIRECT("'Full Inventory'!B"&amp;MATCH(VLOOKUP(B1916,'Full Inventory'!F:F,1,0),'Full Inventory'!F:F,0))),"X","_"),"_")</f>
        <v>_</v>
      </c>
      <c r="L1916" t="str">
        <f t="shared" ca="1" si="118"/>
        <v>__X_</v>
      </c>
      <c r="M1916" t="str">
        <f t="shared" ca="1" si="119"/>
        <v/>
      </c>
    </row>
    <row r="1917" spans="1:13" x14ac:dyDescent="0.25">
      <c r="A1917" s="5"/>
      <c r="B1917" s="4" t="str">
        <f t="shared" si="117"/>
        <v/>
      </c>
      <c r="C1917" t="str">
        <f>IF(AND(TRIM(A1917)&lt;&gt;"",IFERROR(VLOOKUP(TRIM(B1917),Inventory!E:E,1,0),0)=0),"X","_")</f>
        <v>_</v>
      </c>
      <c r="D1917" t="str">
        <f>IF(AND(TRIM(A1917)&lt;&gt;"",IFERROR(VLOOKUP(TRIM(B1917),'Full Inventory'!F:F,1,0),0)=0),"X","_")</f>
        <v>_</v>
      </c>
      <c r="E1917" t="str">
        <f t="shared" si="120"/>
        <v>X</v>
      </c>
      <c r="F1917" t="str">
        <f ca="1">IFERROR(IF(AND(C1917&amp;D1917&amp;E1917="___",INDIRECT("Inventory!A"&amp;MATCH(VLOOKUP(B1917,Inventory!E:E,1,0),Inventory!E:E,0))&lt;&gt;INDIRECT("'Full Inventory'!B"&amp;MATCH(VLOOKUP(B1917,'Full Inventory'!F:F,1,0),'Full Inventory'!F:F,0))),"X","_"),"_")</f>
        <v>_</v>
      </c>
      <c r="L1917" t="str">
        <f t="shared" ca="1" si="118"/>
        <v>__X_</v>
      </c>
      <c r="M1917" t="str">
        <f t="shared" ca="1" si="119"/>
        <v/>
      </c>
    </row>
    <row r="1918" spans="1:13" x14ac:dyDescent="0.25">
      <c r="A1918" s="5"/>
      <c r="B1918" s="4" t="str">
        <f t="shared" si="117"/>
        <v/>
      </c>
      <c r="C1918" t="str">
        <f>IF(AND(TRIM(A1918)&lt;&gt;"",IFERROR(VLOOKUP(TRIM(B1918),Inventory!E:E,1,0),0)=0),"X","_")</f>
        <v>_</v>
      </c>
      <c r="D1918" t="str">
        <f>IF(AND(TRIM(A1918)&lt;&gt;"",IFERROR(VLOOKUP(TRIM(B1918),'Full Inventory'!F:F,1,0),0)=0),"X","_")</f>
        <v>_</v>
      </c>
      <c r="E1918" t="str">
        <f t="shared" si="120"/>
        <v>X</v>
      </c>
      <c r="F1918" t="str">
        <f ca="1">IFERROR(IF(AND(C1918&amp;D1918&amp;E1918="___",INDIRECT("Inventory!A"&amp;MATCH(VLOOKUP(B1918,Inventory!E:E,1,0),Inventory!E:E,0))&lt;&gt;INDIRECT("'Full Inventory'!B"&amp;MATCH(VLOOKUP(B1918,'Full Inventory'!F:F,1,0),'Full Inventory'!F:F,0))),"X","_"),"_")</f>
        <v>_</v>
      </c>
      <c r="L1918" t="str">
        <f t="shared" ca="1" si="118"/>
        <v>__X_</v>
      </c>
      <c r="M1918" t="str">
        <f t="shared" ca="1" si="119"/>
        <v/>
      </c>
    </row>
    <row r="1919" spans="1:13" x14ac:dyDescent="0.25">
      <c r="A1919" s="5"/>
      <c r="B1919" s="4" t="str">
        <f t="shared" si="117"/>
        <v/>
      </c>
      <c r="C1919" t="str">
        <f>IF(AND(TRIM(A1919)&lt;&gt;"",IFERROR(VLOOKUP(TRIM(B1919),Inventory!E:E,1,0),0)=0),"X","_")</f>
        <v>_</v>
      </c>
      <c r="D1919" t="str">
        <f>IF(AND(TRIM(A1919)&lt;&gt;"",IFERROR(VLOOKUP(TRIM(B1919),'Full Inventory'!F:F,1,0),0)=0),"X","_")</f>
        <v>_</v>
      </c>
      <c r="E1919" t="str">
        <f t="shared" si="120"/>
        <v>X</v>
      </c>
      <c r="F1919" t="str">
        <f ca="1">IFERROR(IF(AND(C1919&amp;D1919&amp;E1919="___",INDIRECT("Inventory!A"&amp;MATCH(VLOOKUP(B1919,Inventory!E:E,1,0),Inventory!E:E,0))&lt;&gt;INDIRECT("'Full Inventory'!B"&amp;MATCH(VLOOKUP(B1919,'Full Inventory'!F:F,1,0),'Full Inventory'!F:F,0))),"X","_"),"_")</f>
        <v>_</v>
      </c>
      <c r="L1919" t="str">
        <f t="shared" ca="1" si="118"/>
        <v>__X_</v>
      </c>
      <c r="M1919" t="str">
        <f t="shared" ca="1" si="119"/>
        <v/>
      </c>
    </row>
    <row r="1920" spans="1:13" x14ac:dyDescent="0.25">
      <c r="A1920" s="5"/>
      <c r="B1920" s="4" t="str">
        <f t="shared" si="117"/>
        <v/>
      </c>
      <c r="C1920" t="str">
        <f>IF(AND(TRIM(A1920)&lt;&gt;"",IFERROR(VLOOKUP(TRIM(B1920),Inventory!E:E,1,0),0)=0),"X","_")</f>
        <v>_</v>
      </c>
      <c r="D1920" t="str">
        <f>IF(AND(TRIM(A1920)&lt;&gt;"",IFERROR(VLOOKUP(TRIM(B1920),'Full Inventory'!F:F,1,0),0)=0),"X","_")</f>
        <v>_</v>
      </c>
      <c r="E1920" t="str">
        <f t="shared" si="120"/>
        <v>X</v>
      </c>
      <c r="F1920" t="str">
        <f ca="1">IFERROR(IF(AND(C1920&amp;D1920&amp;E1920="___",INDIRECT("Inventory!A"&amp;MATCH(VLOOKUP(B1920,Inventory!E:E,1,0),Inventory!E:E,0))&lt;&gt;INDIRECT("'Full Inventory'!B"&amp;MATCH(VLOOKUP(B1920,'Full Inventory'!F:F,1,0),'Full Inventory'!F:F,0))),"X","_"),"_")</f>
        <v>_</v>
      </c>
      <c r="L1920" t="str">
        <f t="shared" ca="1" si="118"/>
        <v>__X_</v>
      </c>
      <c r="M1920" t="str">
        <f t="shared" ca="1" si="119"/>
        <v/>
      </c>
    </row>
    <row r="1921" spans="1:13" x14ac:dyDescent="0.25">
      <c r="A1921" s="5"/>
      <c r="B1921" s="4" t="str">
        <f t="shared" si="117"/>
        <v/>
      </c>
      <c r="C1921" t="str">
        <f>IF(AND(TRIM(A1921)&lt;&gt;"",IFERROR(VLOOKUP(TRIM(B1921),Inventory!E:E,1,0),0)=0),"X","_")</f>
        <v>_</v>
      </c>
      <c r="D1921" t="str">
        <f>IF(AND(TRIM(A1921)&lt;&gt;"",IFERROR(VLOOKUP(TRIM(B1921),'Full Inventory'!F:F,1,0),0)=0),"X","_")</f>
        <v>_</v>
      </c>
      <c r="E1921" t="str">
        <f t="shared" si="120"/>
        <v>X</v>
      </c>
      <c r="F1921" t="str">
        <f ca="1">IFERROR(IF(AND(C1921&amp;D1921&amp;E1921="___",INDIRECT("Inventory!A"&amp;MATCH(VLOOKUP(B1921,Inventory!E:E,1,0),Inventory!E:E,0))&lt;&gt;INDIRECT("'Full Inventory'!B"&amp;MATCH(VLOOKUP(B1921,'Full Inventory'!F:F,1,0),'Full Inventory'!F:F,0))),"X","_"),"_")</f>
        <v>_</v>
      </c>
      <c r="L1921" t="str">
        <f t="shared" ca="1" si="118"/>
        <v>__X_</v>
      </c>
      <c r="M1921" t="str">
        <f t="shared" ca="1" si="119"/>
        <v/>
      </c>
    </row>
    <row r="1922" spans="1:13" x14ac:dyDescent="0.25">
      <c r="A1922" s="5"/>
      <c r="B1922" s="4" t="str">
        <f t="shared" si="117"/>
        <v/>
      </c>
      <c r="C1922" t="str">
        <f>IF(AND(TRIM(A1922)&lt;&gt;"",IFERROR(VLOOKUP(TRIM(B1922),Inventory!E:E,1,0),0)=0),"X","_")</f>
        <v>_</v>
      </c>
      <c r="D1922" t="str">
        <f>IF(AND(TRIM(A1922)&lt;&gt;"",IFERROR(VLOOKUP(TRIM(B1922),'Full Inventory'!F:F,1,0),0)=0),"X","_")</f>
        <v>_</v>
      </c>
      <c r="E1922" t="str">
        <f t="shared" si="120"/>
        <v>X</v>
      </c>
      <c r="F1922" t="str">
        <f ca="1">IFERROR(IF(AND(C1922&amp;D1922&amp;E1922="___",INDIRECT("Inventory!A"&amp;MATCH(VLOOKUP(B1922,Inventory!E:E,1,0),Inventory!E:E,0))&lt;&gt;INDIRECT("'Full Inventory'!B"&amp;MATCH(VLOOKUP(B1922,'Full Inventory'!F:F,1,0),'Full Inventory'!F:F,0))),"X","_"),"_")</f>
        <v>_</v>
      </c>
      <c r="L1922" t="str">
        <f t="shared" ca="1" si="118"/>
        <v>__X_</v>
      </c>
      <c r="M1922" t="str">
        <f t="shared" ca="1" si="119"/>
        <v/>
      </c>
    </row>
    <row r="1923" spans="1:13" x14ac:dyDescent="0.25">
      <c r="A1923" s="5"/>
      <c r="B1923" s="4" t="str">
        <f t="shared" ref="B1923:B1986" si="121">SUBSTITUTE(SUBSTITUTE(A1923,"ö","0"),"Ö","0")</f>
        <v/>
      </c>
      <c r="C1923" t="str">
        <f>IF(AND(TRIM(A1923)&lt;&gt;"",IFERROR(VLOOKUP(TRIM(B1923),Inventory!E:E,1,0),0)=0),"X","_")</f>
        <v>_</v>
      </c>
      <c r="D1923" t="str">
        <f>IF(AND(TRIM(A1923)&lt;&gt;"",IFERROR(VLOOKUP(TRIM(B1923),'Full Inventory'!F:F,1,0),0)=0),"X","_")</f>
        <v>_</v>
      </c>
      <c r="E1923" t="str">
        <f t="shared" si="120"/>
        <v>X</v>
      </c>
      <c r="F1923" t="str">
        <f ca="1">IFERROR(IF(AND(C1923&amp;D1923&amp;E1923="___",INDIRECT("Inventory!A"&amp;MATCH(VLOOKUP(B1923,Inventory!E:E,1,0),Inventory!E:E,0))&lt;&gt;INDIRECT("'Full Inventory'!B"&amp;MATCH(VLOOKUP(B1923,'Full Inventory'!F:F,1,0),'Full Inventory'!F:F,0))),"X","_"),"_")</f>
        <v>_</v>
      </c>
      <c r="L1923" t="str">
        <f t="shared" ref="L1923:L1986" ca="1" si="122">C1923&amp;D1923&amp;E1923&amp;F1923</f>
        <v>__X_</v>
      </c>
      <c r="M1923" t="str">
        <f t="shared" ref="M1923:M1986" ca="1" si="123">IF(L1923="____","OK",IF(L1923="_X__","NOT IN FULL INVENTORY",IF(L1923="XX__","NOT IN FULL INVENTORY AND INVENTORY",IF(L1923="X___","NOT IN INVENTORY",IF(L1923="___X","DIFFERENT NAMES IN FULL INVENTORY AND INVENTORY","")))))</f>
        <v/>
      </c>
    </row>
    <row r="1924" spans="1:13" x14ac:dyDescent="0.25">
      <c r="A1924" s="5"/>
      <c r="B1924" s="4" t="str">
        <f t="shared" si="121"/>
        <v/>
      </c>
      <c r="C1924" t="str">
        <f>IF(AND(TRIM(A1924)&lt;&gt;"",IFERROR(VLOOKUP(TRIM(B1924),Inventory!E:E,1,0),0)=0),"X","_")</f>
        <v>_</v>
      </c>
      <c r="D1924" t="str">
        <f>IF(AND(TRIM(A1924)&lt;&gt;"",IFERROR(VLOOKUP(TRIM(B1924),'Full Inventory'!F:F,1,0),0)=0),"X","_")</f>
        <v>_</v>
      </c>
      <c r="E1924" t="str">
        <f t="shared" si="120"/>
        <v>X</v>
      </c>
      <c r="F1924" t="str">
        <f ca="1">IFERROR(IF(AND(C1924&amp;D1924&amp;E1924="___",INDIRECT("Inventory!A"&amp;MATCH(VLOOKUP(B1924,Inventory!E:E,1,0),Inventory!E:E,0))&lt;&gt;INDIRECT("'Full Inventory'!B"&amp;MATCH(VLOOKUP(B1924,'Full Inventory'!F:F,1,0),'Full Inventory'!F:F,0))),"X","_"),"_")</f>
        <v>_</v>
      </c>
      <c r="L1924" t="str">
        <f t="shared" ca="1" si="122"/>
        <v>__X_</v>
      </c>
      <c r="M1924" t="str">
        <f t="shared" ca="1" si="123"/>
        <v/>
      </c>
    </row>
    <row r="1925" spans="1:13" x14ac:dyDescent="0.25">
      <c r="A1925" s="5"/>
      <c r="B1925" s="4" t="str">
        <f t="shared" si="121"/>
        <v/>
      </c>
      <c r="C1925" t="str">
        <f>IF(AND(TRIM(A1925)&lt;&gt;"",IFERROR(VLOOKUP(TRIM(B1925),Inventory!E:E,1,0),0)=0),"X","_")</f>
        <v>_</v>
      </c>
      <c r="D1925" t="str">
        <f>IF(AND(TRIM(A1925)&lt;&gt;"",IFERROR(VLOOKUP(TRIM(B1925),'Full Inventory'!F:F,1,0),0)=0),"X","_")</f>
        <v>_</v>
      </c>
      <c r="E1925" t="str">
        <f t="shared" si="120"/>
        <v>X</v>
      </c>
      <c r="F1925" t="str">
        <f ca="1">IFERROR(IF(AND(C1925&amp;D1925&amp;E1925="___",INDIRECT("Inventory!A"&amp;MATCH(VLOOKUP(B1925,Inventory!E:E,1,0),Inventory!E:E,0))&lt;&gt;INDIRECT("'Full Inventory'!B"&amp;MATCH(VLOOKUP(B1925,'Full Inventory'!F:F,1,0),'Full Inventory'!F:F,0))),"X","_"),"_")</f>
        <v>_</v>
      </c>
      <c r="L1925" t="str">
        <f t="shared" ca="1" si="122"/>
        <v>__X_</v>
      </c>
      <c r="M1925" t="str">
        <f t="shared" ca="1" si="123"/>
        <v/>
      </c>
    </row>
    <row r="1926" spans="1:13" x14ac:dyDescent="0.25">
      <c r="A1926" s="5"/>
      <c r="B1926" s="4" t="str">
        <f t="shared" si="121"/>
        <v/>
      </c>
      <c r="C1926" t="str">
        <f>IF(AND(TRIM(A1926)&lt;&gt;"",IFERROR(VLOOKUP(TRIM(B1926),Inventory!E:E,1,0),0)=0),"X","_")</f>
        <v>_</v>
      </c>
      <c r="D1926" t="str">
        <f>IF(AND(TRIM(A1926)&lt;&gt;"",IFERROR(VLOOKUP(TRIM(B1926),'Full Inventory'!F:F,1,0),0)=0),"X","_")</f>
        <v>_</v>
      </c>
      <c r="E1926" t="str">
        <f t="shared" si="120"/>
        <v>X</v>
      </c>
      <c r="F1926" t="str">
        <f ca="1">IFERROR(IF(AND(C1926&amp;D1926&amp;E1926="___",INDIRECT("Inventory!A"&amp;MATCH(VLOOKUP(B1926,Inventory!E:E,1,0),Inventory!E:E,0))&lt;&gt;INDIRECT("'Full Inventory'!B"&amp;MATCH(VLOOKUP(B1926,'Full Inventory'!F:F,1,0),'Full Inventory'!F:F,0))),"X","_"),"_")</f>
        <v>_</v>
      </c>
      <c r="L1926" t="str">
        <f t="shared" ca="1" si="122"/>
        <v>__X_</v>
      </c>
      <c r="M1926" t="str">
        <f t="shared" ca="1" si="123"/>
        <v/>
      </c>
    </row>
    <row r="1927" spans="1:13" x14ac:dyDescent="0.25">
      <c r="A1927" s="5"/>
      <c r="B1927" s="4" t="str">
        <f t="shared" si="121"/>
        <v/>
      </c>
      <c r="C1927" t="str">
        <f>IF(AND(TRIM(A1927)&lt;&gt;"",IFERROR(VLOOKUP(TRIM(B1927),Inventory!E:E,1,0),0)=0),"X","_")</f>
        <v>_</v>
      </c>
      <c r="D1927" t="str">
        <f>IF(AND(TRIM(A1927)&lt;&gt;"",IFERROR(VLOOKUP(TRIM(B1927),'Full Inventory'!F:F,1,0),0)=0),"X","_")</f>
        <v>_</v>
      </c>
      <c r="E1927" t="str">
        <f t="shared" si="120"/>
        <v>X</v>
      </c>
      <c r="F1927" t="str">
        <f ca="1">IFERROR(IF(AND(C1927&amp;D1927&amp;E1927="___",INDIRECT("Inventory!A"&amp;MATCH(VLOOKUP(B1927,Inventory!E:E,1,0),Inventory!E:E,0))&lt;&gt;INDIRECT("'Full Inventory'!B"&amp;MATCH(VLOOKUP(B1927,'Full Inventory'!F:F,1,0),'Full Inventory'!F:F,0))),"X","_"),"_")</f>
        <v>_</v>
      </c>
      <c r="L1927" t="str">
        <f t="shared" ca="1" si="122"/>
        <v>__X_</v>
      </c>
      <c r="M1927" t="str">
        <f t="shared" ca="1" si="123"/>
        <v/>
      </c>
    </row>
    <row r="1928" spans="1:13" x14ac:dyDescent="0.25">
      <c r="A1928" s="5"/>
      <c r="B1928" s="4" t="str">
        <f t="shared" si="121"/>
        <v/>
      </c>
      <c r="C1928" t="str">
        <f>IF(AND(TRIM(A1928)&lt;&gt;"",IFERROR(VLOOKUP(TRIM(B1928),Inventory!E:E,1,0),0)=0),"X","_")</f>
        <v>_</v>
      </c>
      <c r="D1928" t="str">
        <f>IF(AND(TRIM(A1928)&lt;&gt;"",IFERROR(VLOOKUP(TRIM(B1928),'Full Inventory'!F:F,1,0),0)=0),"X","_")</f>
        <v>_</v>
      </c>
      <c r="E1928" t="str">
        <f t="shared" si="120"/>
        <v>X</v>
      </c>
      <c r="F1928" t="str">
        <f ca="1">IFERROR(IF(AND(C1928&amp;D1928&amp;E1928="___",INDIRECT("Inventory!A"&amp;MATCH(VLOOKUP(B1928,Inventory!E:E,1,0),Inventory!E:E,0))&lt;&gt;INDIRECT("'Full Inventory'!B"&amp;MATCH(VLOOKUP(B1928,'Full Inventory'!F:F,1,0),'Full Inventory'!F:F,0))),"X","_"),"_")</f>
        <v>_</v>
      </c>
      <c r="L1928" t="str">
        <f t="shared" ca="1" si="122"/>
        <v>__X_</v>
      </c>
      <c r="M1928" t="str">
        <f t="shared" ca="1" si="123"/>
        <v/>
      </c>
    </row>
    <row r="1929" spans="1:13" x14ac:dyDescent="0.25">
      <c r="A1929" s="5"/>
      <c r="B1929" s="4" t="str">
        <f t="shared" si="121"/>
        <v/>
      </c>
      <c r="C1929" t="str">
        <f>IF(AND(TRIM(A1929)&lt;&gt;"",IFERROR(VLOOKUP(TRIM(B1929),Inventory!E:E,1,0),0)=0),"X","_")</f>
        <v>_</v>
      </c>
      <c r="D1929" t="str">
        <f>IF(AND(TRIM(A1929)&lt;&gt;"",IFERROR(VLOOKUP(TRIM(B1929),'Full Inventory'!F:F,1,0),0)=0),"X","_")</f>
        <v>_</v>
      </c>
      <c r="E1929" t="str">
        <f t="shared" si="120"/>
        <v>X</v>
      </c>
      <c r="F1929" t="str">
        <f ca="1">IFERROR(IF(AND(C1929&amp;D1929&amp;E1929="___",INDIRECT("Inventory!A"&amp;MATCH(VLOOKUP(B1929,Inventory!E:E,1,0),Inventory!E:E,0))&lt;&gt;INDIRECT("'Full Inventory'!B"&amp;MATCH(VLOOKUP(B1929,'Full Inventory'!F:F,1,0),'Full Inventory'!F:F,0))),"X","_"),"_")</f>
        <v>_</v>
      </c>
      <c r="L1929" t="str">
        <f t="shared" ca="1" si="122"/>
        <v>__X_</v>
      </c>
      <c r="M1929" t="str">
        <f t="shared" ca="1" si="123"/>
        <v/>
      </c>
    </row>
    <row r="1930" spans="1:13" x14ac:dyDescent="0.25">
      <c r="A1930" s="5"/>
      <c r="B1930" s="4" t="str">
        <f t="shared" si="121"/>
        <v/>
      </c>
      <c r="C1930" t="str">
        <f>IF(AND(TRIM(A1930)&lt;&gt;"",IFERROR(VLOOKUP(TRIM(B1930),Inventory!E:E,1,0),0)=0),"X","_")</f>
        <v>_</v>
      </c>
      <c r="D1930" t="str">
        <f>IF(AND(TRIM(A1930)&lt;&gt;"",IFERROR(VLOOKUP(TRIM(B1930),'Full Inventory'!F:F,1,0),0)=0),"X","_")</f>
        <v>_</v>
      </c>
      <c r="E1930" t="str">
        <f t="shared" si="120"/>
        <v>X</v>
      </c>
      <c r="F1930" t="str">
        <f ca="1">IFERROR(IF(AND(C1930&amp;D1930&amp;E1930="___",INDIRECT("Inventory!A"&amp;MATCH(VLOOKUP(B1930,Inventory!E:E,1,0),Inventory!E:E,0))&lt;&gt;INDIRECT("'Full Inventory'!B"&amp;MATCH(VLOOKUP(B1930,'Full Inventory'!F:F,1,0),'Full Inventory'!F:F,0))),"X","_"),"_")</f>
        <v>_</v>
      </c>
      <c r="L1930" t="str">
        <f t="shared" ca="1" si="122"/>
        <v>__X_</v>
      </c>
      <c r="M1930" t="str">
        <f t="shared" ca="1" si="123"/>
        <v/>
      </c>
    </row>
    <row r="1931" spans="1:13" x14ac:dyDescent="0.25">
      <c r="A1931" s="5"/>
      <c r="B1931" s="4" t="str">
        <f t="shared" si="121"/>
        <v/>
      </c>
      <c r="C1931" t="str">
        <f>IF(AND(TRIM(A1931)&lt;&gt;"",IFERROR(VLOOKUP(TRIM(B1931),Inventory!E:E,1,0),0)=0),"X","_")</f>
        <v>_</v>
      </c>
      <c r="D1931" t="str">
        <f>IF(AND(TRIM(A1931)&lt;&gt;"",IFERROR(VLOOKUP(TRIM(B1931),'Full Inventory'!F:F,1,0),0)=0),"X","_")</f>
        <v>_</v>
      </c>
      <c r="E1931" t="str">
        <f t="shared" si="120"/>
        <v>X</v>
      </c>
      <c r="F1931" t="str">
        <f ca="1">IFERROR(IF(AND(C1931&amp;D1931&amp;E1931="___",INDIRECT("Inventory!A"&amp;MATCH(VLOOKUP(B1931,Inventory!E:E,1,0),Inventory!E:E,0))&lt;&gt;INDIRECT("'Full Inventory'!B"&amp;MATCH(VLOOKUP(B1931,'Full Inventory'!F:F,1,0),'Full Inventory'!F:F,0))),"X","_"),"_")</f>
        <v>_</v>
      </c>
      <c r="L1931" t="str">
        <f t="shared" ca="1" si="122"/>
        <v>__X_</v>
      </c>
      <c r="M1931" t="str">
        <f t="shared" ca="1" si="123"/>
        <v/>
      </c>
    </row>
    <row r="1932" spans="1:13" x14ac:dyDescent="0.25">
      <c r="A1932" s="5"/>
      <c r="B1932" s="4" t="str">
        <f t="shared" si="121"/>
        <v/>
      </c>
      <c r="C1932" t="str">
        <f>IF(AND(TRIM(A1932)&lt;&gt;"",IFERROR(VLOOKUP(TRIM(B1932),Inventory!E:E,1,0),0)=0),"X","_")</f>
        <v>_</v>
      </c>
      <c r="D1932" t="str">
        <f>IF(AND(TRIM(A1932)&lt;&gt;"",IFERROR(VLOOKUP(TRIM(B1932),'Full Inventory'!F:F,1,0),0)=0),"X","_")</f>
        <v>_</v>
      </c>
      <c r="E1932" t="str">
        <f t="shared" si="120"/>
        <v>X</v>
      </c>
      <c r="F1932" t="str">
        <f ca="1">IFERROR(IF(AND(C1932&amp;D1932&amp;E1932="___",INDIRECT("Inventory!A"&amp;MATCH(VLOOKUP(B1932,Inventory!E:E,1,0),Inventory!E:E,0))&lt;&gt;INDIRECT("'Full Inventory'!B"&amp;MATCH(VLOOKUP(B1932,'Full Inventory'!F:F,1,0),'Full Inventory'!F:F,0))),"X","_"),"_")</f>
        <v>_</v>
      </c>
      <c r="L1932" t="str">
        <f t="shared" ca="1" si="122"/>
        <v>__X_</v>
      </c>
      <c r="M1932" t="str">
        <f t="shared" ca="1" si="123"/>
        <v/>
      </c>
    </row>
    <row r="1933" spans="1:13" x14ac:dyDescent="0.25">
      <c r="A1933" s="5"/>
      <c r="B1933" s="4" t="str">
        <f t="shared" si="121"/>
        <v/>
      </c>
      <c r="C1933" t="str">
        <f>IF(AND(TRIM(A1933)&lt;&gt;"",IFERROR(VLOOKUP(TRIM(B1933),Inventory!E:E,1,0),0)=0),"X","_")</f>
        <v>_</v>
      </c>
      <c r="D1933" t="str">
        <f>IF(AND(TRIM(A1933)&lt;&gt;"",IFERROR(VLOOKUP(TRIM(B1933),'Full Inventory'!F:F,1,0),0)=0),"X","_")</f>
        <v>_</v>
      </c>
      <c r="E1933" t="str">
        <f t="shared" si="120"/>
        <v>X</v>
      </c>
      <c r="F1933" t="str">
        <f ca="1">IFERROR(IF(AND(C1933&amp;D1933&amp;E1933="___",INDIRECT("Inventory!A"&amp;MATCH(VLOOKUP(B1933,Inventory!E:E,1,0),Inventory!E:E,0))&lt;&gt;INDIRECT("'Full Inventory'!B"&amp;MATCH(VLOOKUP(B1933,'Full Inventory'!F:F,1,0),'Full Inventory'!F:F,0))),"X","_"),"_")</f>
        <v>_</v>
      </c>
      <c r="L1933" t="str">
        <f t="shared" ca="1" si="122"/>
        <v>__X_</v>
      </c>
      <c r="M1933" t="str">
        <f t="shared" ca="1" si="123"/>
        <v/>
      </c>
    </row>
    <row r="1934" spans="1:13" x14ac:dyDescent="0.25">
      <c r="A1934" s="5"/>
      <c r="B1934" s="4" t="str">
        <f t="shared" si="121"/>
        <v/>
      </c>
      <c r="C1934" t="str">
        <f>IF(AND(TRIM(A1934)&lt;&gt;"",IFERROR(VLOOKUP(TRIM(B1934),Inventory!E:E,1,0),0)=0),"X","_")</f>
        <v>_</v>
      </c>
      <c r="D1934" t="str">
        <f>IF(AND(TRIM(A1934)&lt;&gt;"",IFERROR(VLOOKUP(TRIM(B1934),'Full Inventory'!F:F,1,0),0)=0),"X","_")</f>
        <v>_</v>
      </c>
      <c r="E1934" t="str">
        <f t="shared" si="120"/>
        <v>X</v>
      </c>
      <c r="F1934" t="str">
        <f ca="1">IFERROR(IF(AND(C1934&amp;D1934&amp;E1934="___",INDIRECT("Inventory!A"&amp;MATCH(VLOOKUP(B1934,Inventory!E:E,1,0),Inventory!E:E,0))&lt;&gt;INDIRECT("'Full Inventory'!B"&amp;MATCH(VLOOKUP(B1934,'Full Inventory'!F:F,1,0),'Full Inventory'!F:F,0))),"X","_"),"_")</f>
        <v>_</v>
      </c>
      <c r="L1934" t="str">
        <f t="shared" ca="1" si="122"/>
        <v>__X_</v>
      </c>
      <c r="M1934" t="str">
        <f t="shared" ca="1" si="123"/>
        <v/>
      </c>
    </row>
    <row r="1935" spans="1:13" x14ac:dyDescent="0.25">
      <c r="A1935" s="5"/>
      <c r="B1935" s="4" t="str">
        <f t="shared" si="121"/>
        <v/>
      </c>
      <c r="C1935" t="str">
        <f>IF(AND(TRIM(A1935)&lt;&gt;"",IFERROR(VLOOKUP(TRIM(B1935),Inventory!E:E,1,0),0)=0),"X","_")</f>
        <v>_</v>
      </c>
      <c r="D1935" t="str">
        <f>IF(AND(TRIM(A1935)&lt;&gt;"",IFERROR(VLOOKUP(TRIM(B1935),'Full Inventory'!F:F,1,0),0)=0),"X","_")</f>
        <v>_</v>
      </c>
      <c r="E1935" t="str">
        <f t="shared" si="120"/>
        <v>X</v>
      </c>
      <c r="F1935" t="str">
        <f ca="1">IFERROR(IF(AND(C1935&amp;D1935&amp;E1935="___",INDIRECT("Inventory!A"&amp;MATCH(VLOOKUP(B1935,Inventory!E:E,1,0),Inventory!E:E,0))&lt;&gt;INDIRECT("'Full Inventory'!B"&amp;MATCH(VLOOKUP(B1935,'Full Inventory'!F:F,1,0),'Full Inventory'!F:F,0))),"X","_"),"_")</f>
        <v>_</v>
      </c>
      <c r="L1935" t="str">
        <f t="shared" ca="1" si="122"/>
        <v>__X_</v>
      </c>
      <c r="M1935" t="str">
        <f t="shared" ca="1" si="123"/>
        <v/>
      </c>
    </row>
    <row r="1936" spans="1:13" x14ac:dyDescent="0.25">
      <c r="A1936" s="5"/>
      <c r="B1936" s="4" t="str">
        <f t="shared" si="121"/>
        <v/>
      </c>
      <c r="C1936" t="str">
        <f>IF(AND(TRIM(A1936)&lt;&gt;"",IFERROR(VLOOKUP(TRIM(B1936),Inventory!E:E,1,0),0)=0),"X","_")</f>
        <v>_</v>
      </c>
      <c r="D1936" t="str">
        <f>IF(AND(TRIM(A1936)&lt;&gt;"",IFERROR(VLOOKUP(TRIM(B1936),'Full Inventory'!F:F,1,0),0)=0),"X","_")</f>
        <v>_</v>
      </c>
      <c r="E1936" t="str">
        <f t="shared" si="120"/>
        <v>X</v>
      </c>
      <c r="F1936" t="str">
        <f ca="1">IFERROR(IF(AND(C1936&amp;D1936&amp;E1936="___",INDIRECT("Inventory!A"&amp;MATCH(VLOOKUP(B1936,Inventory!E:E,1,0),Inventory!E:E,0))&lt;&gt;INDIRECT("'Full Inventory'!B"&amp;MATCH(VLOOKUP(B1936,'Full Inventory'!F:F,1,0),'Full Inventory'!F:F,0))),"X","_"),"_")</f>
        <v>_</v>
      </c>
      <c r="L1936" t="str">
        <f t="shared" ca="1" si="122"/>
        <v>__X_</v>
      </c>
      <c r="M1936" t="str">
        <f t="shared" ca="1" si="123"/>
        <v/>
      </c>
    </row>
    <row r="1937" spans="1:13" x14ac:dyDescent="0.25">
      <c r="A1937" s="5"/>
      <c r="B1937" s="4" t="str">
        <f t="shared" si="121"/>
        <v/>
      </c>
      <c r="C1937" t="str">
        <f>IF(AND(TRIM(A1937)&lt;&gt;"",IFERROR(VLOOKUP(TRIM(B1937),Inventory!E:E,1,0),0)=0),"X","_")</f>
        <v>_</v>
      </c>
      <c r="D1937" t="str">
        <f>IF(AND(TRIM(A1937)&lt;&gt;"",IFERROR(VLOOKUP(TRIM(B1937),'Full Inventory'!F:F,1,0),0)=0),"X","_")</f>
        <v>_</v>
      </c>
      <c r="E1937" t="str">
        <f t="shared" si="120"/>
        <v>X</v>
      </c>
      <c r="F1937" t="str">
        <f ca="1">IFERROR(IF(AND(C1937&amp;D1937&amp;E1937="___",INDIRECT("Inventory!A"&amp;MATCH(VLOOKUP(B1937,Inventory!E:E,1,0),Inventory!E:E,0))&lt;&gt;INDIRECT("'Full Inventory'!B"&amp;MATCH(VLOOKUP(B1937,'Full Inventory'!F:F,1,0),'Full Inventory'!F:F,0))),"X","_"),"_")</f>
        <v>_</v>
      </c>
      <c r="L1937" t="str">
        <f t="shared" ca="1" si="122"/>
        <v>__X_</v>
      </c>
      <c r="M1937" t="str">
        <f t="shared" ca="1" si="123"/>
        <v/>
      </c>
    </row>
    <row r="1938" spans="1:13" x14ac:dyDescent="0.25">
      <c r="A1938" s="5"/>
      <c r="B1938" s="4" t="str">
        <f t="shared" si="121"/>
        <v/>
      </c>
      <c r="C1938" t="str">
        <f>IF(AND(TRIM(A1938)&lt;&gt;"",IFERROR(VLOOKUP(TRIM(B1938),Inventory!E:E,1,0),0)=0),"X","_")</f>
        <v>_</v>
      </c>
      <c r="D1938" t="str">
        <f>IF(AND(TRIM(A1938)&lt;&gt;"",IFERROR(VLOOKUP(TRIM(B1938),'Full Inventory'!F:F,1,0),0)=0),"X","_")</f>
        <v>_</v>
      </c>
      <c r="E1938" t="str">
        <f t="shared" si="120"/>
        <v>X</v>
      </c>
      <c r="F1938" t="str">
        <f ca="1">IFERROR(IF(AND(C1938&amp;D1938&amp;E1938="___",INDIRECT("Inventory!A"&amp;MATCH(VLOOKUP(B1938,Inventory!E:E,1,0),Inventory!E:E,0))&lt;&gt;INDIRECT("'Full Inventory'!B"&amp;MATCH(VLOOKUP(B1938,'Full Inventory'!F:F,1,0),'Full Inventory'!F:F,0))),"X","_"),"_")</f>
        <v>_</v>
      </c>
      <c r="L1938" t="str">
        <f t="shared" ca="1" si="122"/>
        <v>__X_</v>
      </c>
      <c r="M1938" t="str">
        <f t="shared" ca="1" si="123"/>
        <v/>
      </c>
    </row>
    <row r="1939" spans="1:13" x14ac:dyDescent="0.25">
      <c r="A1939" s="5"/>
      <c r="B1939" s="4" t="str">
        <f t="shared" si="121"/>
        <v/>
      </c>
      <c r="C1939" t="str">
        <f>IF(AND(TRIM(A1939)&lt;&gt;"",IFERROR(VLOOKUP(TRIM(B1939),Inventory!E:E,1,0),0)=0),"X","_")</f>
        <v>_</v>
      </c>
      <c r="D1939" t="str">
        <f>IF(AND(TRIM(A1939)&lt;&gt;"",IFERROR(VLOOKUP(TRIM(B1939),'Full Inventory'!F:F,1,0),0)=0),"X","_")</f>
        <v>_</v>
      </c>
      <c r="E1939" t="str">
        <f t="shared" si="120"/>
        <v>X</v>
      </c>
      <c r="F1939" t="str">
        <f ca="1">IFERROR(IF(AND(C1939&amp;D1939&amp;E1939="___",INDIRECT("Inventory!A"&amp;MATCH(VLOOKUP(B1939,Inventory!E:E,1,0),Inventory!E:E,0))&lt;&gt;INDIRECT("'Full Inventory'!B"&amp;MATCH(VLOOKUP(B1939,'Full Inventory'!F:F,1,0),'Full Inventory'!F:F,0))),"X","_"),"_")</f>
        <v>_</v>
      </c>
      <c r="L1939" t="str">
        <f t="shared" ca="1" si="122"/>
        <v>__X_</v>
      </c>
      <c r="M1939" t="str">
        <f t="shared" ca="1" si="123"/>
        <v/>
      </c>
    </row>
    <row r="1940" spans="1:13" x14ac:dyDescent="0.25">
      <c r="A1940" s="5"/>
      <c r="B1940" s="4" t="str">
        <f t="shared" si="121"/>
        <v/>
      </c>
      <c r="C1940" t="str">
        <f>IF(AND(TRIM(A1940)&lt;&gt;"",IFERROR(VLOOKUP(TRIM(B1940),Inventory!E:E,1,0),0)=0),"X","_")</f>
        <v>_</v>
      </c>
      <c r="D1940" t="str">
        <f>IF(AND(TRIM(A1940)&lt;&gt;"",IFERROR(VLOOKUP(TRIM(B1940),'Full Inventory'!F:F,1,0),0)=0),"X","_")</f>
        <v>_</v>
      </c>
      <c r="E1940" t="str">
        <f t="shared" ref="E1940:E2000" si="124">IF(TRIM(A1940)&lt;&gt;"","_","X")</f>
        <v>X</v>
      </c>
      <c r="F1940" t="str">
        <f ca="1">IFERROR(IF(AND(C1940&amp;D1940&amp;E1940="___",INDIRECT("Inventory!A"&amp;MATCH(VLOOKUP(B1940,Inventory!E:E,1,0),Inventory!E:E,0))&lt;&gt;INDIRECT("'Full Inventory'!B"&amp;MATCH(VLOOKUP(B1940,'Full Inventory'!F:F,1,0),'Full Inventory'!F:F,0))),"X","_"),"_")</f>
        <v>_</v>
      </c>
      <c r="L1940" t="str">
        <f t="shared" ca="1" si="122"/>
        <v>__X_</v>
      </c>
      <c r="M1940" t="str">
        <f t="shared" ca="1" si="123"/>
        <v/>
      </c>
    </row>
    <row r="1941" spans="1:13" x14ac:dyDescent="0.25">
      <c r="A1941" s="5"/>
      <c r="B1941" s="4" t="str">
        <f t="shared" si="121"/>
        <v/>
      </c>
      <c r="C1941" t="str">
        <f>IF(AND(TRIM(A1941)&lt;&gt;"",IFERROR(VLOOKUP(TRIM(B1941),Inventory!E:E,1,0),0)=0),"X","_")</f>
        <v>_</v>
      </c>
      <c r="D1941" t="str">
        <f>IF(AND(TRIM(A1941)&lt;&gt;"",IFERROR(VLOOKUP(TRIM(B1941),'Full Inventory'!F:F,1,0),0)=0),"X","_")</f>
        <v>_</v>
      </c>
      <c r="E1941" t="str">
        <f t="shared" si="124"/>
        <v>X</v>
      </c>
      <c r="F1941" t="str">
        <f ca="1">IFERROR(IF(AND(C1941&amp;D1941&amp;E1941="___",INDIRECT("Inventory!A"&amp;MATCH(VLOOKUP(B1941,Inventory!E:E,1,0),Inventory!E:E,0))&lt;&gt;INDIRECT("'Full Inventory'!B"&amp;MATCH(VLOOKUP(B1941,'Full Inventory'!F:F,1,0),'Full Inventory'!F:F,0))),"X","_"),"_")</f>
        <v>_</v>
      </c>
      <c r="L1941" t="str">
        <f t="shared" ca="1" si="122"/>
        <v>__X_</v>
      </c>
      <c r="M1941" t="str">
        <f t="shared" ca="1" si="123"/>
        <v/>
      </c>
    </row>
    <row r="1942" spans="1:13" x14ac:dyDescent="0.25">
      <c r="A1942" s="5"/>
      <c r="B1942" s="4" t="str">
        <f t="shared" si="121"/>
        <v/>
      </c>
      <c r="C1942" t="str">
        <f>IF(AND(TRIM(A1942)&lt;&gt;"",IFERROR(VLOOKUP(TRIM(B1942),Inventory!E:E,1,0),0)=0),"X","_")</f>
        <v>_</v>
      </c>
      <c r="D1942" t="str">
        <f>IF(AND(TRIM(A1942)&lt;&gt;"",IFERROR(VLOOKUP(TRIM(B1942),'Full Inventory'!F:F,1,0),0)=0),"X","_")</f>
        <v>_</v>
      </c>
      <c r="E1942" t="str">
        <f t="shared" si="124"/>
        <v>X</v>
      </c>
      <c r="F1942" t="str">
        <f ca="1">IFERROR(IF(AND(C1942&amp;D1942&amp;E1942="___",INDIRECT("Inventory!A"&amp;MATCH(VLOOKUP(B1942,Inventory!E:E,1,0),Inventory!E:E,0))&lt;&gt;INDIRECT("'Full Inventory'!B"&amp;MATCH(VLOOKUP(B1942,'Full Inventory'!F:F,1,0),'Full Inventory'!F:F,0))),"X","_"),"_")</f>
        <v>_</v>
      </c>
      <c r="L1942" t="str">
        <f t="shared" ca="1" si="122"/>
        <v>__X_</v>
      </c>
      <c r="M1942" t="str">
        <f t="shared" ca="1" si="123"/>
        <v/>
      </c>
    </row>
    <row r="1943" spans="1:13" x14ac:dyDescent="0.25">
      <c r="A1943" s="5"/>
      <c r="B1943" s="4" t="str">
        <f t="shared" si="121"/>
        <v/>
      </c>
      <c r="C1943" t="str">
        <f>IF(AND(TRIM(A1943)&lt;&gt;"",IFERROR(VLOOKUP(TRIM(B1943),Inventory!E:E,1,0),0)=0),"X","_")</f>
        <v>_</v>
      </c>
      <c r="D1943" t="str">
        <f>IF(AND(TRIM(A1943)&lt;&gt;"",IFERROR(VLOOKUP(TRIM(B1943),'Full Inventory'!F:F,1,0),0)=0),"X","_")</f>
        <v>_</v>
      </c>
      <c r="E1943" t="str">
        <f t="shared" si="124"/>
        <v>X</v>
      </c>
      <c r="F1943" t="str">
        <f ca="1">IFERROR(IF(AND(C1943&amp;D1943&amp;E1943="___",INDIRECT("Inventory!A"&amp;MATCH(VLOOKUP(B1943,Inventory!E:E,1,0),Inventory!E:E,0))&lt;&gt;INDIRECT("'Full Inventory'!B"&amp;MATCH(VLOOKUP(B1943,'Full Inventory'!F:F,1,0),'Full Inventory'!F:F,0))),"X","_"),"_")</f>
        <v>_</v>
      </c>
      <c r="L1943" t="str">
        <f t="shared" ca="1" si="122"/>
        <v>__X_</v>
      </c>
      <c r="M1943" t="str">
        <f t="shared" ca="1" si="123"/>
        <v/>
      </c>
    </row>
    <row r="1944" spans="1:13" x14ac:dyDescent="0.25">
      <c r="A1944" s="5"/>
      <c r="B1944" s="4" t="str">
        <f t="shared" si="121"/>
        <v/>
      </c>
      <c r="C1944" t="str">
        <f>IF(AND(TRIM(A1944)&lt;&gt;"",IFERROR(VLOOKUP(TRIM(B1944),Inventory!E:E,1,0),0)=0),"X","_")</f>
        <v>_</v>
      </c>
      <c r="D1944" t="str">
        <f>IF(AND(TRIM(A1944)&lt;&gt;"",IFERROR(VLOOKUP(TRIM(B1944),'Full Inventory'!F:F,1,0),0)=0),"X","_")</f>
        <v>_</v>
      </c>
      <c r="E1944" t="str">
        <f t="shared" si="124"/>
        <v>X</v>
      </c>
      <c r="F1944" t="str">
        <f ca="1">IFERROR(IF(AND(C1944&amp;D1944&amp;E1944="___",INDIRECT("Inventory!A"&amp;MATCH(VLOOKUP(B1944,Inventory!E:E,1,0),Inventory!E:E,0))&lt;&gt;INDIRECT("'Full Inventory'!B"&amp;MATCH(VLOOKUP(B1944,'Full Inventory'!F:F,1,0),'Full Inventory'!F:F,0))),"X","_"),"_")</f>
        <v>_</v>
      </c>
      <c r="L1944" t="str">
        <f t="shared" ca="1" si="122"/>
        <v>__X_</v>
      </c>
      <c r="M1944" t="str">
        <f t="shared" ca="1" si="123"/>
        <v/>
      </c>
    </row>
    <row r="1945" spans="1:13" x14ac:dyDescent="0.25">
      <c r="A1945" s="5"/>
      <c r="B1945" s="4" t="str">
        <f t="shared" si="121"/>
        <v/>
      </c>
      <c r="C1945" t="str">
        <f>IF(AND(TRIM(A1945)&lt;&gt;"",IFERROR(VLOOKUP(TRIM(B1945),Inventory!E:E,1,0),0)=0),"X","_")</f>
        <v>_</v>
      </c>
      <c r="D1945" t="str">
        <f>IF(AND(TRIM(A1945)&lt;&gt;"",IFERROR(VLOOKUP(TRIM(B1945),'Full Inventory'!F:F,1,0),0)=0),"X","_")</f>
        <v>_</v>
      </c>
      <c r="E1945" t="str">
        <f t="shared" si="124"/>
        <v>X</v>
      </c>
      <c r="F1945" t="str">
        <f ca="1">IFERROR(IF(AND(C1945&amp;D1945&amp;E1945="___",INDIRECT("Inventory!A"&amp;MATCH(VLOOKUP(B1945,Inventory!E:E,1,0),Inventory!E:E,0))&lt;&gt;INDIRECT("'Full Inventory'!B"&amp;MATCH(VLOOKUP(B1945,'Full Inventory'!F:F,1,0),'Full Inventory'!F:F,0))),"X","_"),"_")</f>
        <v>_</v>
      </c>
      <c r="L1945" t="str">
        <f t="shared" ca="1" si="122"/>
        <v>__X_</v>
      </c>
      <c r="M1945" t="str">
        <f t="shared" ca="1" si="123"/>
        <v/>
      </c>
    </row>
    <row r="1946" spans="1:13" x14ac:dyDescent="0.25">
      <c r="A1946" s="5"/>
      <c r="B1946" s="4" t="str">
        <f t="shared" si="121"/>
        <v/>
      </c>
      <c r="C1946" t="str">
        <f>IF(AND(TRIM(A1946)&lt;&gt;"",IFERROR(VLOOKUP(TRIM(B1946),Inventory!E:E,1,0),0)=0),"X","_")</f>
        <v>_</v>
      </c>
      <c r="D1946" t="str">
        <f>IF(AND(TRIM(A1946)&lt;&gt;"",IFERROR(VLOOKUP(TRIM(B1946),'Full Inventory'!F:F,1,0),0)=0),"X","_")</f>
        <v>_</v>
      </c>
      <c r="E1946" t="str">
        <f t="shared" si="124"/>
        <v>X</v>
      </c>
      <c r="F1946" t="str">
        <f ca="1">IFERROR(IF(AND(C1946&amp;D1946&amp;E1946="___",INDIRECT("Inventory!A"&amp;MATCH(VLOOKUP(B1946,Inventory!E:E,1,0),Inventory!E:E,0))&lt;&gt;INDIRECT("'Full Inventory'!B"&amp;MATCH(VLOOKUP(B1946,'Full Inventory'!F:F,1,0),'Full Inventory'!F:F,0))),"X","_"),"_")</f>
        <v>_</v>
      </c>
      <c r="L1946" t="str">
        <f t="shared" ca="1" si="122"/>
        <v>__X_</v>
      </c>
      <c r="M1946" t="str">
        <f t="shared" ca="1" si="123"/>
        <v/>
      </c>
    </row>
    <row r="1947" spans="1:13" x14ac:dyDescent="0.25">
      <c r="A1947" s="5"/>
      <c r="B1947" s="4" t="str">
        <f t="shared" si="121"/>
        <v/>
      </c>
      <c r="C1947" t="str">
        <f>IF(AND(TRIM(A1947)&lt;&gt;"",IFERROR(VLOOKUP(TRIM(B1947),Inventory!E:E,1,0),0)=0),"X","_")</f>
        <v>_</v>
      </c>
      <c r="D1947" t="str">
        <f>IF(AND(TRIM(A1947)&lt;&gt;"",IFERROR(VLOOKUP(TRIM(B1947),'Full Inventory'!F:F,1,0),0)=0),"X","_")</f>
        <v>_</v>
      </c>
      <c r="E1947" t="str">
        <f t="shared" si="124"/>
        <v>X</v>
      </c>
      <c r="F1947" t="str">
        <f ca="1">IFERROR(IF(AND(C1947&amp;D1947&amp;E1947="___",INDIRECT("Inventory!A"&amp;MATCH(VLOOKUP(B1947,Inventory!E:E,1,0),Inventory!E:E,0))&lt;&gt;INDIRECT("'Full Inventory'!B"&amp;MATCH(VLOOKUP(B1947,'Full Inventory'!F:F,1,0),'Full Inventory'!F:F,0))),"X","_"),"_")</f>
        <v>_</v>
      </c>
      <c r="L1947" t="str">
        <f t="shared" ca="1" si="122"/>
        <v>__X_</v>
      </c>
      <c r="M1947" t="str">
        <f t="shared" ca="1" si="123"/>
        <v/>
      </c>
    </row>
    <row r="1948" spans="1:13" x14ac:dyDescent="0.25">
      <c r="A1948" s="5"/>
      <c r="B1948" s="4" t="str">
        <f t="shared" si="121"/>
        <v/>
      </c>
      <c r="C1948" t="str">
        <f>IF(AND(TRIM(A1948)&lt;&gt;"",IFERROR(VLOOKUP(TRIM(B1948),Inventory!E:E,1,0),0)=0),"X","_")</f>
        <v>_</v>
      </c>
      <c r="D1948" t="str">
        <f>IF(AND(TRIM(A1948)&lt;&gt;"",IFERROR(VLOOKUP(TRIM(B1948),'Full Inventory'!F:F,1,0),0)=0),"X","_")</f>
        <v>_</v>
      </c>
      <c r="E1948" t="str">
        <f t="shared" si="124"/>
        <v>X</v>
      </c>
      <c r="F1948" t="str">
        <f ca="1">IFERROR(IF(AND(C1948&amp;D1948&amp;E1948="___",INDIRECT("Inventory!A"&amp;MATCH(VLOOKUP(B1948,Inventory!E:E,1,0),Inventory!E:E,0))&lt;&gt;INDIRECT("'Full Inventory'!B"&amp;MATCH(VLOOKUP(B1948,'Full Inventory'!F:F,1,0),'Full Inventory'!F:F,0))),"X","_"),"_")</f>
        <v>_</v>
      </c>
      <c r="L1948" t="str">
        <f t="shared" ca="1" si="122"/>
        <v>__X_</v>
      </c>
      <c r="M1948" t="str">
        <f t="shared" ca="1" si="123"/>
        <v/>
      </c>
    </row>
    <row r="1949" spans="1:13" x14ac:dyDescent="0.25">
      <c r="A1949" s="5"/>
      <c r="B1949" s="4" t="str">
        <f t="shared" si="121"/>
        <v/>
      </c>
      <c r="C1949" t="str">
        <f>IF(AND(TRIM(A1949)&lt;&gt;"",IFERROR(VLOOKUP(TRIM(B1949),Inventory!E:E,1,0),0)=0),"X","_")</f>
        <v>_</v>
      </c>
      <c r="D1949" t="str">
        <f>IF(AND(TRIM(A1949)&lt;&gt;"",IFERROR(VLOOKUP(TRIM(B1949),'Full Inventory'!F:F,1,0),0)=0),"X","_")</f>
        <v>_</v>
      </c>
      <c r="E1949" t="str">
        <f t="shared" si="124"/>
        <v>X</v>
      </c>
      <c r="F1949" t="str">
        <f ca="1">IFERROR(IF(AND(C1949&amp;D1949&amp;E1949="___",INDIRECT("Inventory!A"&amp;MATCH(VLOOKUP(B1949,Inventory!E:E,1,0),Inventory!E:E,0))&lt;&gt;INDIRECT("'Full Inventory'!B"&amp;MATCH(VLOOKUP(B1949,'Full Inventory'!F:F,1,0),'Full Inventory'!F:F,0))),"X","_"),"_")</f>
        <v>_</v>
      </c>
      <c r="L1949" t="str">
        <f t="shared" ca="1" si="122"/>
        <v>__X_</v>
      </c>
      <c r="M1949" t="str">
        <f t="shared" ca="1" si="123"/>
        <v/>
      </c>
    </row>
    <row r="1950" spans="1:13" x14ac:dyDescent="0.25">
      <c r="A1950" s="5"/>
      <c r="B1950" s="4" t="str">
        <f t="shared" si="121"/>
        <v/>
      </c>
      <c r="C1950" t="str">
        <f>IF(AND(TRIM(A1950)&lt;&gt;"",IFERROR(VLOOKUP(TRIM(B1950),Inventory!E:E,1,0),0)=0),"X","_")</f>
        <v>_</v>
      </c>
      <c r="D1950" t="str">
        <f>IF(AND(TRIM(A1950)&lt;&gt;"",IFERROR(VLOOKUP(TRIM(B1950),'Full Inventory'!F:F,1,0),0)=0),"X","_")</f>
        <v>_</v>
      </c>
      <c r="E1950" t="str">
        <f t="shared" si="124"/>
        <v>X</v>
      </c>
      <c r="F1950" t="str">
        <f ca="1">IFERROR(IF(AND(C1950&amp;D1950&amp;E1950="___",INDIRECT("Inventory!A"&amp;MATCH(VLOOKUP(B1950,Inventory!E:E,1,0),Inventory!E:E,0))&lt;&gt;INDIRECT("'Full Inventory'!B"&amp;MATCH(VLOOKUP(B1950,'Full Inventory'!F:F,1,0),'Full Inventory'!F:F,0))),"X","_"),"_")</f>
        <v>_</v>
      </c>
      <c r="L1950" t="str">
        <f t="shared" ca="1" si="122"/>
        <v>__X_</v>
      </c>
      <c r="M1950" t="str">
        <f t="shared" ca="1" si="123"/>
        <v/>
      </c>
    </row>
    <row r="1951" spans="1:13" x14ac:dyDescent="0.25">
      <c r="A1951" s="5"/>
      <c r="B1951" s="4" t="str">
        <f t="shared" si="121"/>
        <v/>
      </c>
      <c r="C1951" t="str">
        <f>IF(AND(TRIM(A1951)&lt;&gt;"",IFERROR(VLOOKUP(TRIM(B1951),Inventory!E:E,1,0),0)=0),"X","_")</f>
        <v>_</v>
      </c>
      <c r="D1951" t="str">
        <f>IF(AND(TRIM(A1951)&lt;&gt;"",IFERROR(VLOOKUP(TRIM(B1951),'Full Inventory'!F:F,1,0),0)=0),"X","_")</f>
        <v>_</v>
      </c>
      <c r="E1951" t="str">
        <f t="shared" si="124"/>
        <v>X</v>
      </c>
      <c r="F1951" t="str">
        <f ca="1">IFERROR(IF(AND(C1951&amp;D1951&amp;E1951="___",INDIRECT("Inventory!A"&amp;MATCH(VLOOKUP(B1951,Inventory!E:E,1,0),Inventory!E:E,0))&lt;&gt;INDIRECT("'Full Inventory'!B"&amp;MATCH(VLOOKUP(B1951,'Full Inventory'!F:F,1,0),'Full Inventory'!F:F,0))),"X","_"),"_")</f>
        <v>_</v>
      </c>
      <c r="L1951" t="str">
        <f t="shared" ca="1" si="122"/>
        <v>__X_</v>
      </c>
      <c r="M1951" t="str">
        <f t="shared" ca="1" si="123"/>
        <v/>
      </c>
    </row>
    <row r="1952" spans="1:13" x14ac:dyDescent="0.25">
      <c r="A1952" s="5"/>
      <c r="B1952" s="4" t="str">
        <f t="shared" si="121"/>
        <v/>
      </c>
      <c r="C1952" t="str">
        <f>IF(AND(TRIM(A1952)&lt;&gt;"",IFERROR(VLOOKUP(TRIM(B1952),Inventory!E:E,1,0),0)=0),"X","_")</f>
        <v>_</v>
      </c>
      <c r="D1952" t="str">
        <f>IF(AND(TRIM(A1952)&lt;&gt;"",IFERROR(VLOOKUP(TRIM(B1952),'Full Inventory'!F:F,1,0),0)=0),"X","_")</f>
        <v>_</v>
      </c>
      <c r="E1952" t="str">
        <f t="shared" si="124"/>
        <v>X</v>
      </c>
      <c r="F1952" t="str">
        <f ca="1">IFERROR(IF(AND(C1952&amp;D1952&amp;E1952="___",INDIRECT("Inventory!A"&amp;MATCH(VLOOKUP(B1952,Inventory!E:E,1,0),Inventory!E:E,0))&lt;&gt;INDIRECT("'Full Inventory'!B"&amp;MATCH(VLOOKUP(B1952,'Full Inventory'!F:F,1,0),'Full Inventory'!F:F,0))),"X","_"),"_")</f>
        <v>_</v>
      </c>
      <c r="L1952" t="str">
        <f t="shared" ca="1" si="122"/>
        <v>__X_</v>
      </c>
      <c r="M1952" t="str">
        <f t="shared" ca="1" si="123"/>
        <v/>
      </c>
    </row>
    <row r="1953" spans="1:13" x14ac:dyDescent="0.25">
      <c r="A1953" s="5"/>
      <c r="B1953" s="4" t="str">
        <f t="shared" si="121"/>
        <v/>
      </c>
      <c r="C1953" t="str">
        <f>IF(AND(TRIM(A1953)&lt;&gt;"",IFERROR(VLOOKUP(TRIM(B1953),Inventory!E:E,1,0),0)=0),"X","_")</f>
        <v>_</v>
      </c>
      <c r="D1953" t="str">
        <f>IF(AND(TRIM(A1953)&lt;&gt;"",IFERROR(VLOOKUP(TRIM(B1953),'Full Inventory'!F:F,1,0),0)=0),"X","_")</f>
        <v>_</v>
      </c>
      <c r="E1953" t="str">
        <f t="shared" si="124"/>
        <v>X</v>
      </c>
      <c r="F1953" t="str">
        <f ca="1">IFERROR(IF(AND(C1953&amp;D1953&amp;E1953="___",INDIRECT("Inventory!A"&amp;MATCH(VLOOKUP(B1953,Inventory!E:E,1,0),Inventory!E:E,0))&lt;&gt;INDIRECT("'Full Inventory'!B"&amp;MATCH(VLOOKUP(B1953,'Full Inventory'!F:F,1,0),'Full Inventory'!F:F,0))),"X","_"),"_")</f>
        <v>_</v>
      </c>
      <c r="L1953" t="str">
        <f t="shared" ca="1" si="122"/>
        <v>__X_</v>
      </c>
      <c r="M1953" t="str">
        <f t="shared" ca="1" si="123"/>
        <v/>
      </c>
    </row>
    <row r="1954" spans="1:13" x14ac:dyDescent="0.25">
      <c r="A1954" s="5"/>
      <c r="B1954" s="4" t="str">
        <f t="shared" si="121"/>
        <v/>
      </c>
      <c r="C1954" t="str">
        <f>IF(AND(TRIM(A1954)&lt;&gt;"",IFERROR(VLOOKUP(TRIM(B1954),Inventory!E:E,1,0),0)=0),"X","_")</f>
        <v>_</v>
      </c>
      <c r="D1954" t="str">
        <f>IF(AND(TRIM(A1954)&lt;&gt;"",IFERROR(VLOOKUP(TRIM(B1954),'Full Inventory'!F:F,1,0),0)=0),"X","_")</f>
        <v>_</v>
      </c>
      <c r="E1954" t="str">
        <f t="shared" si="124"/>
        <v>X</v>
      </c>
      <c r="F1954" t="str">
        <f ca="1">IFERROR(IF(AND(C1954&amp;D1954&amp;E1954="___",INDIRECT("Inventory!A"&amp;MATCH(VLOOKUP(B1954,Inventory!E:E,1,0),Inventory!E:E,0))&lt;&gt;INDIRECT("'Full Inventory'!B"&amp;MATCH(VLOOKUP(B1954,'Full Inventory'!F:F,1,0),'Full Inventory'!F:F,0))),"X","_"),"_")</f>
        <v>_</v>
      </c>
      <c r="L1954" t="str">
        <f t="shared" ca="1" si="122"/>
        <v>__X_</v>
      </c>
      <c r="M1954" t="str">
        <f t="shared" ca="1" si="123"/>
        <v/>
      </c>
    </row>
    <row r="1955" spans="1:13" x14ac:dyDescent="0.25">
      <c r="A1955" s="5"/>
      <c r="B1955" s="4" t="str">
        <f t="shared" si="121"/>
        <v/>
      </c>
      <c r="C1955" t="str">
        <f>IF(AND(TRIM(A1955)&lt;&gt;"",IFERROR(VLOOKUP(TRIM(B1955),Inventory!E:E,1,0),0)=0),"X","_")</f>
        <v>_</v>
      </c>
      <c r="D1955" t="str">
        <f>IF(AND(TRIM(A1955)&lt;&gt;"",IFERROR(VLOOKUP(TRIM(B1955),'Full Inventory'!F:F,1,0),0)=0),"X","_")</f>
        <v>_</v>
      </c>
      <c r="E1955" t="str">
        <f t="shared" si="124"/>
        <v>X</v>
      </c>
      <c r="F1955" t="str">
        <f ca="1">IFERROR(IF(AND(C1955&amp;D1955&amp;E1955="___",INDIRECT("Inventory!A"&amp;MATCH(VLOOKUP(B1955,Inventory!E:E,1,0),Inventory!E:E,0))&lt;&gt;INDIRECT("'Full Inventory'!B"&amp;MATCH(VLOOKUP(B1955,'Full Inventory'!F:F,1,0),'Full Inventory'!F:F,0))),"X","_"),"_")</f>
        <v>_</v>
      </c>
      <c r="L1955" t="str">
        <f t="shared" ca="1" si="122"/>
        <v>__X_</v>
      </c>
      <c r="M1955" t="str">
        <f t="shared" ca="1" si="123"/>
        <v/>
      </c>
    </row>
    <row r="1956" spans="1:13" x14ac:dyDescent="0.25">
      <c r="A1956" s="5"/>
      <c r="B1956" s="4" t="str">
        <f t="shared" si="121"/>
        <v/>
      </c>
      <c r="C1956" t="str">
        <f>IF(AND(TRIM(A1956)&lt;&gt;"",IFERROR(VLOOKUP(TRIM(B1956),Inventory!E:E,1,0),0)=0),"X","_")</f>
        <v>_</v>
      </c>
      <c r="D1956" t="str">
        <f>IF(AND(TRIM(A1956)&lt;&gt;"",IFERROR(VLOOKUP(TRIM(B1956),'Full Inventory'!F:F,1,0),0)=0),"X","_")</f>
        <v>_</v>
      </c>
      <c r="E1956" t="str">
        <f t="shared" si="124"/>
        <v>X</v>
      </c>
      <c r="F1956" t="str">
        <f ca="1">IFERROR(IF(AND(C1956&amp;D1956&amp;E1956="___",INDIRECT("Inventory!A"&amp;MATCH(VLOOKUP(B1956,Inventory!E:E,1,0),Inventory!E:E,0))&lt;&gt;INDIRECT("'Full Inventory'!B"&amp;MATCH(VLOOKUP(B1956,'Full Inventory'!F:F,1,0),'Full Inventory'!F:F,0))),"X","_"),"_")</f>
        <v>_</v>
      </c>
      <c r="L1956" t="str">
        <f t="shared" ca="1" si="122"/>
        <v>__X_</v>
      </c>
      <c r="M1956" t="str">
        <f t="shared" ca="1" si="123"/>
        <v/>
      </c>
    </row>
    <row r="1957" spans="1:13" x14ac:dyDescent="0.25">
      <c r="A1957" s="5"/>
      <c r="B1957" s="4" t="str">
        <f t="shared" si="121"/>
        <v/>
      </c>
      <c r="C1957" t="str">
        <f>IF(AND(TRIM(A1957)&lt;&gt;"",IFERROR(VLOOKUP(TRIM(B1957),Inventory!E:E,1,0),0)=0),"X","_")</f>
        <v>_</v>
      </c>
      <c r="D1957" t="str">
        <f>IF(AND(TRIM(A1957)&lt;&gt;"",IFERROR(VLOOKUP(TRIM(B1957),'Full Inventory'!F:F,1,0),0)=0),"X","_")</f>
        <v>_</v>
      </c>
      <c r="E1957" t="str">
        <f t="shared" si="124"/>
        <v>X</v>
      </c>
      <c r="F1957" t="str">
        <f ca="1">IFERROR(IF(AND(C1957&amp;D1957&amp;E1957="___",INDIRECT("Inventory!A"&amp;MATCH(VLOOKUP(B1957,Inventory!E:E,1,0),Inventory!E:E,0))&lt;&gt;INDIRECT("'Full Inventory'!B"&amp;MATCH(VLOOKUP(B1957,'Full Inventory'!F:F,1,0),'Full Inventory'!F:F,0))),"X","_"),"_")</f>
        <v>_</v>
      </c>
      <c r="L1957" t="str">
        <f t="shared" ca="1" si="122"/>
        <v>__X_</v>
      </c>
      <c r="M1957" t="str">
        <f t="shared" ca="1" si="123"/>
        <v/>
      </c>
    </row>
    <row r="1958" spans="1:13" x14ac:dyDescent="0.25">
      <c r="A1958" s="5"/>
      <c r="B1958" s="4" t="str">
        <f t="shared" si="121"/>
        <v/>
      </c>
      <c r="C1958" t="str">
        <f>IF(AND(TRIM(A1958)&lt;&gt;"",IFERROR(VLOOKUP(TRIM(B1958),Inventory!E:E,1,0),0)=0),"X","_")</f>
        <v>_</v>
      </c>
      <c r="D1958" t="str">
        <f>IF(AND(TRIM(A1958)&lt;&gt;"",IFERROR(VLOOKUP(TRIM(B1958),'Full Inventory'!F:F,1,0),0)=0),"X","_")</f>
        <v>_</v>
      </c>
      <c r="E1958" t="str">
        <f t="shared" si="124"/>
        <v>X</v>
      </c>
      <c r="F1958" t="str">
        <f ca="1">IFERROR(IF(AND(C1958&amp;D1958&amp;E1958="___",INDIRECT("Inventory!A"&amp;MATCH(VLOOKUP(B1958,Inventory!E:E,1,0),Inventory!E:E,0))&lt;&gt;INDIRECT("'Full Inventory'!B"&amp;MATCH(VLOOKUP(B1958,'Full Inventory'!F:F,1,0),'Full Inventory'!F:F,0))),"X","_"),"_")</f>
        <v>_</v>
      </c>
      <c r="L1958" t="str">
        <f t="shared" ca="1" si="122"/>
        <v>__X_</v>
      </c>
      <c r="M1958" t="str">
        <f t="shared" ca="1" si="123"/>
        <v/>
      </c>
    </row>
    <row r="1959" spans="1:13" x14ac:dyDescent="0.25">
      <c r="A1959" s="5"/>
      <c r="B1959" s="4" t="str">
        <f t="shared" si="121"/>
        <v/>
      </c>
      <c r="C1959" t="str">
        <f>IF(AND(TRIM(A1959)&lt;&gt;"",IFERROR(VLOOKUP(TRIM(B1959),Inventory!E:E,1,0),0)=0),"X","_")</f>
        <v>_</v>
      </c>
      <c r="D1959" t="str">
        <f>IF(AND(TRIM(A1959)&lt;&gt;"",IFERROR(VLOOKUP(TRIM(B1959),'Full Inventory'!F:F,1,0),0)=0),"X","_")</f>
        <v>_</v>
      </c>
      <c r="E1959" t="str">
        <f t="shared" si="124"/>
        <v>X</v>
      </c>
      <c r="F1959" t="str">
        <f ca="1">IFERROR(IF(AND(C1959&amp;D1959&amp;E1959="___",INDIRECT("Inventory!A"&amp;MATCH(VLOOKUP(B1959,Inventory!E:E,1,0),Inventory!E:E,0))&lt;&gt;INDIRECT("'Full Inventory'!B"&amp;MATCH(VLOOKUP(B1959,'Full Inventory'!F:F,1,0),'Full Inventory'!F:F,0))),"X","_"),"_")</f>
        <v>_</v>
      </c>
      <c r="L1959" t="str">
        <f t="shared" ca="1" si="122"/>
        <v>__X_</v>
      </c>
      <c r="M1959" t="str">
        <f t="shared" ca="1" si="123"/>
        <v/>
      </c>
    </row>
    <row r="1960" spans="1:13" x14ac:dyDescent="0.25">
      <c r="A1960" s="5"/>
      <c r="B1960" s="4" t="str">
        <f t="shared" si="121"/>
        <v/>
      </c>
      <c r="C1960" t="str">
        <f>IF(AND(TRIM(A1960)&lt;&gt;"",IFERROR(VLOOKUP(TRIM(B1960),Inventory!E:E,1,0),0)=0),"X","_")</f>
        <v>_</v>
      </c>
      <c r="D1960" t="str">
        <f>IF(AND(TRIM(A1960)&lt;&gt;"",IFERROR(VLOOKUP(TRIM(B1960),'Full Inventory'!F:F,1,0),0)=0),"X","_")</f>
        <v>_</v>
      </c>
      <c r="E1960" t="str">
        <f t="shared" si="124"/>
        <v>X</v>
      </c>
      <c r="F1960" t="str">
        <f ca="1">IFERROR(IF(AND(C1960&amp;D1960&amp;E1960="___",INDIRECT("Inventory!A"&amp;MATCH(VLOOKUP(B1960,Inventory!E:E,1,0),Inventory!E:E,0))&lt;&gt;INDIRECT("'Full Inventory'!B"&amp;MATCH(VLOOKUP(B1960,'Full Inventory'!F:F,1,0),'Full Inventory'!F:F,0))),"X","_"),"_")</f>
        <v>_</v>
      </c>
      <c r="L1960" t="str">
        <f t="shared" ca="1" si="122"/>
        <v>__X_</v>
      </c>
      <c r="M1960" t="str">
        <f t="shared" ca="1" si="123"/>
        <v/>
      </c>
    </row>
    <row r="1961" spans="1:13" x14ac:dyDescent="0.25">
      <c r="A1961" s="5"/>
      <c r="B1961" s="4" t="str">
        <f t="shared" si="121"/>
        <v/>
      </c>
      <c r="C1961" t="str">
        <f>IF(AND(TRIM(A1961)&lt;&gt;"",IFERROR(VLOOKUP(TRIM(B1961),Inventory!E:E,1,0),0)=0),"X","_")</f>
        <v>_</v>
      </c>
      <c r="D1961" t="str">
        <f>IF(AND(TRIM(A1961)&lt;&gt;"",IFERROR(VLOOKUP(TRIM(B1961),'Full Inventory'!F:F,1,0),0)=0),"X","_")</f>
        <v>_</v>
      </c>
      <c r="E1961" t="str">
        <f t="shared" si="124"/>
        <v>X</v>
      </c>
      <c r="F1961" t="str">
        <f ca="1">IFERROR(IF(AND(C1961&amp;D1961&amp;E1961="___",INDIRECT("Inventory!A"&amp;MATCH(VLOOKUP(B1961,Inventory!E:E,1,0),Inventory!E:E,0))&lt;&gt;INDIRECT("'Full Inventory'!B"&amp;MATCH(VLOOKUP(B1961,'Full Inventory'!F:F,1,0),'Full Inventory'!F:F,0))),"X","_"),"_")</f>
        <v>_</v>
      </c>
      <c r="L1961" t="str">
        <f t="shared" ca="1" si="122"/>
        <v>__X_</v>
      </c>
      <c r="M1961" t="str">
        <f t="shared" ca="1" si="123"/>
        <v/>
      </c>
    </row>
    <row r="1962" spans="1:13" x14ac:dyDescent="0.25">
      <c r="A1962" s="5"/>
      <c r="B1962" s="4" t="str">
        <f t="shared" si="121"/>
        <v/>
      </c>
      <c r="C1962" t="str">
        <f>IF(AND(TRIM(A1962)&lt;&gt;"",IFERROR(VLOOKUP(TRIM(B1962),Inventory!E:E,1,0),0)=0),"X","_")</f>
        <v>_</v>
      </c>
      <c r="D1962" t="str">
        <f>IF(AND(TRIM(A1962)&lt;&gt;"",IFERROR(VLOOKUP(TRIM(B1962),'Full Inventory'!F:F,1,0),0)=0),"X","_")</f>
        <v>_</v>
      </c>
      <c r="E1962" t="str">
        <f t="shared" si="124"/>
        <v>X</v>
      </c>
      <c r="F1962" t="str">
        <f ca="1">IFERROR(IF(AND(C1962&amp;D1962&amp;E1962="___",INDIRECT("Inventory!A"&amp;MATCH(VLOOKUP(B1962,Inventory!E:E,1,0),Inventory!E:E,0))&lt;&gt;INDIRECT("'Full Inventory'!B"&amp;MATCH(VLOOKUP(B1962,'Full Inventory'!F:F,1,0),'Full Inventory'!F:F,0))),"X","_"),"_")</f>
        <v>_</v>
      </c>
      <c r="L1962" t="str">
        <f t="shared" ca="1" si="122"/>
        <v>__X_</v>
      </c>
      <c r="M1962" t="str">
        <f t="shared" ca="1" si="123"/>
        <v/>
      </c>
    </row>
    <row r="1963" spans="1:13" x14ac:dyDescent="0.25">
      <c r="A1963" s="5"/>
      <c r="B1963" s="4" t="str">
        <f t="shared" si="121"/>
        <v/>
      </c>
      <c r="C1963" t="str">
        <f>IF(AND(TRIM(A1963)&lt;&gt;"",IFERROR(VLOOKUP(TRIM(B1963),Inventory!E:E,1,0),0)=0),"X","_")</f>
        <v>_</v>
      </c>
      <c r="D1963" t="str">
        <f>IF(AND(TRIM(A1963)&lt;&gt;"",IFERROR(VLOOKUP(TRIM(B1963),'Full Inventory'!F:F,1,0),0)=0),"X","_")</f>
        <v>_</v>
      </c>
      <c r="E1963" t="str">
        <f t="shared" si="124"/>
        <v>X</v>
      </c>
      <c r="F1963" t="str">
        <f ca="1">IFERROR(IF(AND(C1963&amp;D1963&amp;E1963="___",INDIRECT("Inventory!A"&amp;MATCH(VLOOKUP(B1963,Inventory!E:E,1,0),Inventory!E:E,0))&lt;&gt;INDIRECT("'Full Inventory'!B"&amp;MATCH(VLOOKUP(B1963,'Full Inventory'!F:F,1,0),'Full Inventory'!F:F,0))),"X","_"),"_")</f>
        <v>_</v>
      </c>
      <c r="L1963" t="str">
        <f t="shared" ca="1" si="122"/>
        <v>__X_</v>
      </c>
      <c r="M1963" t="str">
        <f t="shared" ca="1" si="123"/>
        <v/>
      </c>
    </row>
    <row r="1964" spans="1:13" x14ac:dyDescent="0.25">
      <c r="A1964" s="5"/>
      <c r="B1964" s="4" t="str">
        <f t="shared" si="121"/>
        <v/>
      </c>
      <c r="C1964" t="str">
        <f>IF(AND(TRIM(A1964)&lt;&gt;"",IFERROR(VLOOKUP(TRIM(B1964),Inventory!E:E,1,0),0)=0),"X","_")</f>
        <v>_</v>
      </c>
      <c r="D1964" t="str">
        <f>IF(AND(TRIM(A1964)&lt;&gt;"",IFERROR(VLOOKUP(TRIM(B1964),'Full Inventory'!F:F,1,0),0)=0),"X","_")</f>
        <v>_</v>
      </c>
      <c r="E1964" t="str">
        <f t="shared" si="124"/>
        <v>X</v>
      </c>
      <c r="F1964" t="str">
        <f ca="1">IFERROR(IF(AND(C1964&amp;D1964&amp;E1964="___",INDIRECT("Inventory!A"&amp;MATCH(VLOOKUP(B1964,Inventory!E:E,1,0),Inventory!E:E,0))&lt;&gt;INDIRECT("'Full Inventory'!B"&amp;MATCH(VLOOKUP(B1964,'Full Inventory'!F:F,1,0),'Full Inventory'!F:F,0))),"X","_"),"_")</f>
        <v>_</v>
      </c>
      <c r="L1964" t="str">
        <f t="shared" ca="1" si="122"/>
        <v>__X_</v>
      </c>
      <c r="M1964" t="str">
        <f t="shared" ca="1" si="123"/>
        <v/>
      </c>
    </row>
    <row r="1965" spans="1:13" x14ac:dyDescent="0.25">
      <c r="A1965" s="5"/>
      <c r="B1965" s="4" t="str">
        <f t="shared" si="121"/>
        <v/>
      </c>
      <c r="C1965" t="str">
        <f>IF(AND(TRIM(A1965)&lt;&gt;"",IFERROR(VLOOKUP(TRIM(B1965),Inventory!E:E,1,0),0)=0),"X","_")</f>
        <v>_</v>
      </c>
      <c r="D1965" t="str">
        <f>IF(AND(TRIM(A1965)&lt;&gt;"",IFERROR(VLOOKUP(TRIM(B1965),'Full Inventory'!F:F,1,0),0)=0),"X","_")</f>
        <v>_</v>
      </c>
      <c r="E1965" t="str">
        <f t="shared" si="124"/>
        <v>X</v>
      </c>
      <c r="F1965" t="str">
        <f ca="1">IFERROR(IF(AND(C1965&amp;D1965&amp;E1965="___",INDIRECT("Inventory!A"&amp;MATCH(VLOOKUP(B1965,Inventory!E:E,1,0),Inventory!E:E,0))&lt;&gt;INDIRECT("'Full Inventory'!B"&amp;MATCH(VLOOKUP(B1965,'Full Inventory'!F:F,1,0),'Full Inventory'!F:F,0))),"X","_"),"_")</f>
        <v>_</v>
      </c>
      <c r="L1965" t="str">
        <f t="shared" ca="1" si="122"/>
        <v>__X_</v>
      </c>
      <c r="M1965" t="str">
        <f t="shared" ca="1" si="123"/>
        <v/>
      </c>
    </row>
    <row r="1966" spans="1:13" x14ac:dyDescent="0.25">
      <c r="A1966" s="5"/>
      <c r="B1966" s="4" t="str">
        <f t="shared" si="121"/>
        <v/>
      </c>
      <c r="C1966" t="str">
        <f>IF(AND(TRIM(A1966)&lt;&gt;"",IFERROR(VLOOKUP(TRIM(B1966),Inventory!E:E,1,0),0)=0),"X","_")</f>
        <v>_</v>
      </c>
      <c r="D1966" t="str">
        <f>IF(AND(TRIM(A1966)&lt;&gt;"",IFERROR(VLOOKUP(TRIM(B1966),'Full Inventory'!F:F,1,0),0)=0),"X","_")</f>
        <v>_</v>
      </c>
      <c r="E1966" t="str">
        <f t="shared" si="124"/>
        <v>X</v>
      </c>
      <c r="F1966" t="str">
        <f ca="1">IFERROR(IF(AND(C1966&amp;D1966&amp;E1966="___",INDIRECT("Inventory!A"&amp;MATCH(VLOOKUP(B1966,Inventory!E:E,1,0),Inventory!E:E,0))&lt;&gt;INDIRECT("'Full Inventory'!B"&amp;MATCH(VLOOKUP(B1966,'Full Inventory'!F:F,1,0),'Full Inventory'!F:F,0))),"X","_"),"_")</f>
        <v>_</v>
      </c>
      <c r="L1966" t="str">
        <f t="shared" ca="1" si="122"/>
        <v>__X_</v>
      </c>
      <c r="M1966" t="str">
        <f t="shared" ca="1" si="123"/>
        <v/>
      </c>
    </row>
    <row r="1967" spans="1:13" x14ac:dyDescent="0.25">
      <c r="A1967" s="5"/>
      <c r="B1967" s="4" t="str">
        <f t="shared" si="121"/>
        <v/>
      </c>
      <c r="C1967" t="str">
        <f>IF(AND(TRIM(A1967)&lt;&gt;"",IFERROR(VLOOKUP(TRIM(B1967),Inventory!E:E,1,0),0)=0),"X","_")</f>
        <v>_</v>
      </c>
      <c r="D1967" t="str">
        <f>IF(AND(TRIM(A1967)&lt;&gt;"",IFERROR(VLOOKUP(TRIM(B1967),'Full Inventory'!F:F,1,0),0)=0),"X","_")</f>
        <v>_</v>
      </c>
      <c r="E1967" t="str">
        <f t="shared" si="124"/>
        <v>X</v>
      </c>
      <c r="F1967" t="str">
        <f ca="1">IFERROR(IF(AND(C1967&amp;D1967&amp;E1967="___",INDIRECT("Inventory!A"&amp;MATCH(VLOOKUP(B1967,Inventory!E:E,1,0),Inventory!E:E,0))&lt;&gt;INDIRECT("'Full Inventory'!B"&amp;MATCH(VLOOKUP(B1967,'Full Inventory'!F:F,1,0),'Full Inventory'!F:F,0))),"X","_"),"_")</f>
        <v>_</v>
      </c>
      <c r="L1967" t="str">
        <f t="shared" ca="1" si="122"/>
        <v>__X_</v>
      </c>
      <c r="M1967" t="str">
        <f t="shared" ca="1" si="123"/>
        <v/>
      </c>
    </row>
    <row r="1968" spans="1:13" x14ac:dyDescent="0.25">
      <c r="A1968" s="5"/>
      <c r="B1968" s="4" t="str">
        <f t="shared" si="121"/>
        <v/>
      </c>
      <c r="C1968" t="str">
        <f>IF(AND(TRIM(A1968)&lt;&gt;"",IFERROR(VLOOKUP(TRIM(B1968),Inventory!E:E,1,0),0)=0),"X","_")</f>
        <v>_</v>
      </c>
      <c r="D1968" t="str">
        <f>IF(AND(TRIM(A1968)&lt;&gt;"",IFERROR(VLOOKUP(TRIM(B1968),'Full Inventory'!F:F,1,0),0)=0),"X","_")</f>
        <v>_</v>
      </c>
      <c r="E1968" t="str">
        <f t="shared" si="124"/>
        <v>X</v>
      </c>
      <c r="F1968" t="str">
        <f ca="1">IFERROR(IF(AND(C1968&amp;D1968&amp;E1968="___",INDIRECT("Inventory!A"&amp;MATCH(VLOOKUP(B1968,Inventory!E:E,1,0),Inventory!E:E,0))&lt;&gt;INDIRECT("'Full Inventory'!B"&amp;MATCH(VLOOKUP(B1968,'Full Inventory'!F:F,1,0),'Full Inventory'!F:F,0))),"X","_"),"_")</f>
        <v>_</v>
      </c>
      <c r="L1968" t="str">
        <f t="shared" ca="1" si="122"/>
        <v>__X_</v>
      </c>
      <c r="M1968" t="str">
        <f t="shared" ca="1" si="123"/>
        <v/>
      </c>
    </row>
    <row r="1969" spans="1:13" x14ac:dyDescent="0.25">
      <c r="A1969" s="5"/>
      <c r="B1969" s="4" t="str">
        <f t="shared" si="121"/>
        <v/>
      </c>
      <c r="C1969" t="str">
        <f>IF(AND(TRIM(A1969)&lt;&gt;"",IFERROR(VLOOKUP(TRIM(B1969),Inventory!E:E,1,0),0)=0),"X","_")</f>
        <v>_</v>
      </c>
      <c r="D1969" t="str">
        <f>IF(AND(TRIM(A1969)&lt;&gt;"",IFERROR(VLOOKUP(TRIM(B1969),'Full Inventory'!F:F,1,0),0)=0),"X","_")</f>
        <v>_</v>
      </c>
      <c r="E1969" t="str">
        <f t="shared" si="124"/>
        <v>X</v>
      </c>
      <c r="F1969" t="str">
        <f ca="1">IFERROR(IF(AND(C1969&amp;D1969&amp;E1969="___",INDIRECT("Inventory!A"&amp;MATCH(VLOOKUP(B1969,Inventory!E:E,1,0),Inventory!E:E,0))&lt;&gt;INDIRECT("'Full Inventory'!B"&amp;MATCH(VLOOKUP(B1969,'Full Inventory'!F:F,1,0),'Full Inventory'!F:F,0))),"X","_"),"_")</f>
        <v>_</v>
      </c>
      <c r="L1969" t="str">
        <f t="shared" ca="1" si="122"/>
        <v>__X_</v>
      </c>
      <c r="M1969" t="str">
        <f t="shared" ca="1" si="123"/>
        <v/>
      </c>
    </row>
    <row r="1970" spans="1:13" x14ac:dyDescent="0.25">
      <c r="A1970" s="5"/>
      <c r="B1970" s="4" t="str">
        <f t="shared" si="121"/>
        <v/>
      </c>
      <c r="C1970" t="str">
        <f>IF(AND(TRIM(A1970)&lt;&gt;"",IFERROR(VLOOKUP(TRIM(B1970),Inventory!E:E,1,0),0)=0),"X","_")</f>
        <v>_</v>
      </c>
      <c r="D1970" t="str">
        <f>IF(AND(TRIM(A1970)&lt;&gt;"",IFERROR(VLOOKUP(TRIM(B1970),'Full Inventory'!F:F,1,0),0)=0),"X","_")</f>
        <v>_</v>
      </c>
      <c r="E1970" t="str">
        <f t="shared" si="124"/>
        <v>X</v>
      </c>
      <c r="F1970" t="str">
        <f ca="1">IFERROR(IF(AND(C1970&amp;D1970&amp;E1970="___",INDIRECT("Inventory!A"&amp;MATCH(VLOOKUP(B1970,Inventory!E:E,1,0),Inventory!E:E,0))&lt;&gt;INDIRECT("'Full Inventory'!B"&amp;MATCH(VLOOKUP(B1970,'Full Inventory'!F:F,1,0),'Full Inventory'!F:F,0))),"X","_"),"_")</f>
        <v>_</v>
      </c>
      <c r="L1970" t="str">
        <f t="shared" ca="1" si="122"/>
        <v>__X_</v>
      </c>
      <c r="M1970" t="str">
        <f t="shared" ca="1" si="123"/>
        <v/>
      </c>
    </row>
    <row r="1971" spans="1:13" x14ac:dyDescent="0.25">
      <c r="A1971" s="5"/>
      <c r="B1971" s="4" t="str">
        <f t="shared" si="121"/>
        <v/>
      </c>
      <c r="C1971" t="str">
        <f>IF(AND(TRIM(A1971)&lt;&gt;"",IFERROR(VLOOKUP(TRIM(B1971),Inventory!E:E,1,0),0)=0),"X","_")</f>
        <v>_</v>
      </c>
      <c r="D1971" t="str">
        <f>IF(AND(TRIM(A1971)&lt;&gt;"",IFERROR(VLOOKUP(TRIM(B1971),'Full Inventory'!F:F,1,0),0)=0),"X","_")</f>
        <v>_</v>
      </c>
      <c r="E1971" t="str">
        <f t="shared" si="124"/>
        <v>X</v>
      </c>
      <c r="F1971" t="str">
        <f ca="1">IFERROR(IF(AND(C1971&amp;D1971&amp;E1971="___",INDIRECT("Inventory!A"&amp;MATCH(VLOOKUP(B1971,Inventory!E:E,1,0),Inventory!E:E,0))&lt;&gt;INDIRECT("'Full Inventory'!B"&amp;MATCH(VLOOKUP(B1971,'Full Inventory'!F:F,1,0),'Full Inventory'!F:F,0))),"X","_"),"_")</f>
        <v>_</v>
      </c>
      <c r="L1971" t="str">
        <f t="shared" ca="1" si="122"/>
        <v>__X_</v>
      </c>
      <c r="M1971" t="str">
        <f t="shared" ca="1" si="123"/>
        <v/>
      </c>
    </row>
    <row r="1972" spans="1:13" x14ac:dyDescent="0.25">
      <c r="A1972" s="5"/>
      <c r="B1972" s="4" t="str">
        <f t="shared" si="121"/>
        <v/>
      </c>
      <c r="C1972" t="str">
        <f>IF(AND(TRIM(A1972)&lt;&gt;"",IFERROR(VLOOKUP(TRIM(B1972),Inventory!E:E,1,0),0)=0),"X","_")</f>
        <v>_</v>
      </c>
      <c r="D1972" t="str">
        <f>IF(AND(TRIM(A1972)&lt;&gt;"",IFERROR(VLOOKUP(TRIM(B1972),'Full Inventory'!F:F,1,0),0)=0),"X","_")</f>
        <v>_</v>
      </c>
      <c r="E1972" t="str">
        <f t="shared" si="124"/>
        <v>X</v>
      </c>
      <c r="F1972" t="str">
        <f ca="1">IFERROR(IF(AND(C1972&amp;D1972&amp;E1972="___",INDIRECT("Inventory!A"&amp;MATCH(VLOOKUP(B1972,Inventory!E:E,1,0),Inventory!E:E,0))&lt;&gt;INDIRECT("'Full Inventory'!B"&amp;MATCH(VLOOKUP(B1972,'Full Inventory'!F:F,1,0),'Full Inventory'!F:F,0))),"X","_"),"_")</f>
        <v>_</v>
      </c>
      <c r="L1972" t="str">
        <f t="shared" ca="1" si="122"/>
        <v>__X_</v>
      </c>
      <c r="M1972" t="str">
        <f t="shared" ca="1" si="123"/>
        <v/>
      </c>
    </row>
    <row r="1973" spans="1:13" x14ac:dyDescent="0.25">
      <c r="A1973" s="5"/>
      <c r="B1973" s="4" t="str">
        <f t="shared" si="121"/>
        <v/>
      </c>
      <c r="C1973" t="str">
        <f>IF(AND(TRIM(A1973)&lt;&gt;"",IFERROR(VLOOKUP(TRIM(B1973),Inventory!E:E,1,0),0)=0),"X","_")</f>
        <v>_</v>
      </c>
      <c r="D1973" t="str">
        <f>IF(AND(TRIM(A1973)&lt;&gt;"",IFERROR(VLOOKUP(TRIM(B1973),'Full Inventory'!F:F,1,0),0)=0),"X","_")</f>
        <v>_</v>
      </c>
      <c r="E1973" t="str">
        <f t="shared" si="124"/>
        <v>X</v>
      </c>
      <c r="F1973" t="str">
        <f ca="1">IFERROR(IF(AND(C1973&amp;D1973&amp;E1973="___",INDIRECT("Inventory!A"&amp;MATCH(VLOOKUP(B1973,Inventory!E:E,1,0),Inventory!E:E,0))&lt;&gt;INDIRECT("'Full Inventory'!B"&amp;MATCH(VLOOKUP(B1973,'Full Inventory'!F:F,1,0),'Full Inventory'!F:F,0))),"X","_"),"_")</f>
        <v>_</v>
      </c>
      <c r="L1973" t="str">
        <f t="shared" ca="1" si="122"/>
        <v>__X_</v>
      </c>
      <c r="M1973" t="str">
        <f t="shared" ca="1" si="123"/>
        <v/>
      </c>
    </row>
    <row r="1974" spans="1:13" x14ac:dyDescent="0.25">
      <c r="A1974" s="5"/>
      <c r="B1974" s="4" t="str">
        <f t="shared" si="121"/>
        <v/>
      </c>
      <c r="C1974" t="str">
        <f>IF(AND(TRIM(A1974)&lt;&gt;"",IFERROR(VLOOKUP(TRIM(B1974),Inventory!E:E,1,0),0)=0),"X","_")</f>
        <v>_</v>
      </c>
      <c r="D1974" t="str">
        <f>IF(AND(TRIM(A1974)&lt;&gt;"",IFERROR(VLOOKUP(TRIM(B1974),'Full Inventory'!F:F,1,0),0)=0),"X","_")</f>
        <v>_</v>
      </c>
      <c r="E1974" t="str">
        <f t="shared" si="124"/>
        <v>X</v>
      </c>
      <c r="F1974" t="str">
        <f ca="1">IFERROR(IF(AND(C1974&amp;D1974&amp;E1974="___",INDIRECT("Inventory!A"&amp;MATCH(VLOOKUP(B1974,Inventory!E:E,1,0),Inventory!E:E,0))&lt;&gt;INDIRECT("'Full Inventory'!B"&amp;MATCH(VLOOKUP(B1974,'Full Inventory'!F:F,1,0),'Full Inventory'!F:F,0))),"X","_"),"_")</f>
        <v>_</v>
      </c>
      <c r="L1974" t="str">
        <f t="shared" ca="1" si="122"/>
        <v>__X_</v>
      </c>
      <c r="M1974" t="str">
        <f t="shared" ca="1" si="123"/>
        <v/>
      </c>
    </row>
    <row r="1975" spans="1:13" x14ac:dyDescent="0.25">
      <c r="A1975" s="5"/>
      <c r="B1975" s="4" t="str">
        <f t="shared" si="121"/>
        <v/>
      </c>
      <c r="C1975" t="str">
        <f>IF(AND(TRIM(A1975)&lt;&gt;"",IFERROR(VLOOKUP(TRIM(B1975),Inventory!E:E,1,0),0)=0),"X","_")</f>
        <v>_</v>
      </c>
      <c r="D1975" t="str">
        <f>IF(AND(TRIM(A1975)&lt;&gt;"",IFERROR(VLOOKUP(TRIM(B1975),'Full Inventory'!F:F,1,0),0)=0),"X","_")</f>
        <v>_</v>
      </c>
      <c r="E1975" t="str">
        <f t="shared" si="124"/>
        <v>X</v>
      </c>
      <c r="F1975" t="str">
        <f ca="1">IFERROR(IF(AND(C1975&amp;D1975&amp;E1975="___",INDIRECT("Inventory!A"&amp;MATCH(VLOOKUP(B1975,Inventory!E:E,1,0),Inventory!E:E,0))&lt;&gt;INDIRECT("'Full Inventory'!B"&amp;MATCH(VLOOKUP(B1975,'Full Inventory'!F:F,1,0),'Full Inventory'!F:F,0))),"X","_"),"_")</f>
        <v>_</v>
      </c>
      <c r="L1975" t="str">
        <f t="shared" ca="1" si="122"/>
        <v>__X_</v>
      </c>
      <c r="M1975" t="str">
        <f t="shared" ca="1" si="123"/>
        <v/>
      </c>
    </row>
    <row r="1976" spans="1:13" x14ac:dyDescent="0.25">
      <c r="A1976" s="5"/>
      <c r="B1976" s="4" t="str">
        <f t="shared" si="121"/>
        <v/>
      </c>
      <c r="C1976" t="str">
        <f>IF(AND(TRIM(A1976)&lt;&gt;"",IFERROR(VLOOKUP(TRIM(B1976),Inventory!E:E,1,0),0)=0),"X","_")</f>
        <v>_</v>
      </c>
      <c r="D1976" t="str">
        <f>IF(AND(TRIM(A1976)&lt;&gt;"",IFERROR(VLOOKUP(TRIM(B1976),'Full Inventory'!F:F,1,0),0)=0),"X","_")</f>
        <v>_</v>
      </c>
      <c r="E1976" t="str">
        <f t="shared" si="124"/>
        <v>X</v>
      </c>
      <c r="F1976" t="str">
        <f ca="1">IFERROR(IF(AND(C1976&amp;D1976&amp;E1976="___",INDIRECT("Inventory!A"&amp;MATCH(VLOOKUP(B1976,Inventory!E:E,1,0),Inventory!E:E,0))&lt;&gt;INDIRECT("'Full Inventory'!B"&amp;MATCH(VLOOKUP(B1976,'Full Inventory'!F:F,1,0),'Full Inventory'!F:F,0))),"X","_"),"_")</f>
        <v>_</v>
      </c>
      <c r="L1976" t="str">
        <f t="shared" ca="1" si="122"/>
        <v>__X_</v>
      </c>
      <c r="M1976" t="str">
        <f t="shared" ca="1" si="123"/>
        <v/>
      </c>
    </row>
    <row r="1977" spans="1:13" x14ac:dyDescent="0.25">
      <c r="A1977" s="5"/>
      <c r="B1977" s="4" t="str">
        <f t="shared" si="121"/>
        <v/>
      </c>
      <c r="C1977" t="str">
        <f>IF(AND(TRIM(A1977)&lt;&gt;"",IFERROR(VLOOKUP(TRIM(B1977),Inventory!E:E,1,0),0)=0),"X","_")</f>
        <v>_</v>
      </c>
      <c r="D1977" t="str">
        <f>IF(AND(TRIM(A1977)&lt;&gt;"",IFERROR(VLOOKUP(TRIM(B1977),'Full Inventory'!F:F,1,0),0)=0),"X","_")</f>
        <v>_</v>
      </c>
      <c r="E1977" t="str">
        <f t="shared" si="124"/>
        <v>X</v>
      </c>
      <c r="F1977" t="str">
        <f ca="1">IFERROR(IF(AND(C1977&amp;D1977&amp;E1977="___",INDIRECT("Inventory!A"&amp;MATCH(VLOOKUP(B1977,Inventory!E:E,1,0),Inventory!E:E,0))&lt;&gt;INDIRECT("'Full Inventory'!B"&amp;MATCH(VLOOKUP(B1977,'Full Inventory'!F:F,1,0),'Full Inventory'!F:F,0))),"X","_"),"_")</f>
        <v>_</v>
      </c>
      <c r="L1977" t="str">
        <f t="shared" ca="1" si="122"/>
        <v>__X_</v>
      </c>
      <c r="M1977" t="str">
        <f t="shared" ca="1" si="123"/>
        <v/>
      </c>
    </row>
    <row r="1978" spans="1:13" x14ac:dyDescent="0.25">
      <c r="A1978" s="5"/>
      <c r="B1978" s="4" t="str">
        <f t="shared" si="121"/>
        <v/>
      </c>
      <c r="C1978" t="str">
        <f>IF(AND(TRIM(A1978)&lt;&gt;"",IFERROR(VLOOKUP(TRIM(B1978),Inventory!E:E,1,0),0)=0),"X","_")</f>
        <v>_</v>
      </c>
      <c r="D1978" t="str">
        <f>IF(AND(TRIM(A1978)&lt;&gt;"",IFERROR(VLOOKUP(TRIM(B1978),'Full Inventory'!F:F,1,0),0)=0),"X","_")</f>
        <v>_</v>
      </c>
      <c r="E1978" t="str">
        <f t="shared" si="124"/>
        <v>X</v>
      </c>
      <c r="F1978" t="str">
        <f ca="1">IFERROR(IF(AND(C1978&amp;D1978&amp;E1978="___",INDIRECT("Inventory!A"&amp;MATCH(VLOOKUP(B1978,Inventory!E:E,1,0),Inventory!E:E,0))&lt;&gt;INDIRECT("'Full Inventory'!B"&amp;MATCH(VLOOKUP(B1978,'Full Inventory'!F:F,1,0),'Full Inventory'!F:F,0))),"X","_"),"_")</f>
        <v>_</v>
      </c>
      <c r="L1978" t="str">
        <f t="shared" ca="1" si="122"/>
        <v>__X_</v>
      </c>
      <c r="M1978" t="str">
        <f t="shared" ca="1" si="123"/>
        <v/>
      </c>
    </row>
    <row r="1979" spans="1:13" x14ac:dyDescent="0.25">
      <c r="A1979" s="5"/>
      <c r="B1979" s="4" t="str">
        <f t="shared" si="121"/>
        <v/>
      </c>
      <c r="C1979" t="str">
        <f>IF(AND(TRIM(A1979)&lt;&gt;"",IFERROR(VLOOKUP(TRIM(B1979),Inventory!E:E,1,0),0)=0),"X","_")</f>
        <v>_</v>
      </c>
      <c r="D1979" t="str">
        <f>IF(AND(TRIM(A1979)&lt;&gt;"",IFERROR(VLOOKUP(TRIM(B1979),'Full Inventory'!F:F,1,0),0)=0),"X","_")</f>
        <v>_</v>
      </c>
      <c r="E1979" t="str">
        <f t="shared" si="124"/>
        <v>X</v>
      </c>
      <c r="F1979" t="str">
        <f ca="1">IFERROR(IF(AND(C1979&amp;D1979&amp;E1979="___",INDIRECT("Inventory!A"&amp;MATCH(VLOOKUP(B1979,Inventory!E:E,1,0),Inventory!E:E,0))&lt;&gt;INDIRECT("'Full Inventory'!B"&amp;MATCH(VLOOKUP(B1979,'Full Inventory'!F:F,1,0),'Full Inventory'!F:F,0))),"X","_"),"_")</f>
        <v>_</v>
      </c>
      <c r="L1979" t="str">
        <f t="shared" ca="1" si="122"/>
        <v>__X_</v>
      </c>
      <c r="M1979" t="str">
        <f t="shared" ca="1" si="123"/>
        <v/>
      </c>
    </row>
    <row r="1980" spans="1:13" x14ac:dyDescent="0.25">
      <c r="A1980" s="5"/>
      <c r="B1980" s="4" t="str">
        <f t="shared" si="121"/>
        <v/>
      </c>
      <c r="C1980" t="str">
        <f>IF(AND(TRIM(A1980)&lt;&gt;"",IFERROR(VLOOKUP(TRIM(B1980),Inventory!E:E,1,0),0)=0),"X","_")</f>
        <v>_</v>
      </c>
      <c r="D1980" t="str">
        <f>IF(AND(TRIM(A1980)&lt;&gt;"",IFERROR(VLOOKUP(TRIM(B1980),'Full Inventory'!F:F,1,0),0)=0),"X","_")</f>
        <v>_</v>
      </c>
      <c r="E1980" t="str">
        <f t="shared" si="124"/>
        <v>X</v>
      </c>
      <c r="F1980" t="str">
        <f ca="1">IFERROR(IF(AND(C1980&amp;D1980&amp;E1980="___",INDIRECT("Inventory!A"&amp;MATCH(VLOOKUP(B1980,Inventory!E:E,1,0),Inventory!E:E,0))&lt;&gt;INDIRECT("'Full Inventory'!B"&amp;MATCH(VLOOKUP(B1980,'Full Inventory'!F:F,1,0),'Full Inventory'!F:F,0))),"X","_"),"_")</f>
        <v>_</v>
      </c>
      <c r="L1980" t="str">
        <f t="shared" ca="1" si="122"/>
        <v>__X_</v>
      </c>
      <c r="M1980" t="str">
        <f t="shared" ca="1" si="123"/>
        <v/>
      </c>
    </row>
    <row r="1981" spans="1:13" x14ac:dyDescent="0.25">
      <c r="A1981" s="5"/>
      <c r="B1981" s="4" t="str">
        <f t="shared" si="121"/>
        <v/>
      </c>
      <c r="C1981" t="str">
        <f>IF(AND(TRIM(A1981)&lt;&gt;"",IFERROR(VLOOKUP(TRIM(B1981),Inventory!E:E,1,0),0)=0),"X","_")</f>
        <v>_</v>
      </c>
      <c r="D1981" t="str">
        <f>IF(AND(TRIM(A1981)&lt;&gt;"",IFERROR(VLOOKUP(TRIM(B1981),'Full Inventory'!F:F,1,0),0)=0),"X","_")</f>
        <v>_</v>
      </c>
      <c r="E1981" t="str">
        <f t="shared" si="124"/>
        <v>X</v>
      </c>
      <c r="F1981" t="str">
        <f ca="1">IFERROR(IF(AND(C1981&amp;D1981&amp;E1981="___",INDIRECT("Inventory!A"&amp;MATCH(VLOOKUP(B1981,Inventory!E:E,1,0),Inventory!E:E,0))&lt;&gt;INDIRECT("'Full Inventory'!B"&amp;MATCH(VLOOKUP(B1981,'Full Inventory'!F:F,1,0),'Full Inventory'!F:F,0))),"X","_"),"_")</f>
        <v>_</v>
      </c>
      <c r="L1981" t="str">
        <f t="shared" ca="1" si="122"/>
        <v>__X_</v>
      </c>
      <c r="M1981" t="str">
        <f t="shared" ca="1" si="123"/>
        <v/>
      </c>
    </row>
    <row r="1982" spans="1:13" x14ac:dyDescent="0.25">
      <c r="A1982" s="5"/>
      <c r="B1982" s="4" t="str">
        <f t="shared" si="121"/>
        <v/>
      </c>
      <c r="C1982" t="str">
        <f>IF(AND(TRIM(A1982)&lt;&gt;"",IFERROR(VLOOKUP(TRIM(B1982),Inventory!E:E,1,0),0)=0),"X","_")</f>
        <v>_</v>
      </c>
      <c r="D1982" t="str">
        <f>IF(AND(TRIM(A1982)&lt;&gt;"",IFERROR(VLOOKUP(TRIM(B1982),'Full Inventory'!F:F,1,0),0)=0),"X","_")</f>
        <v>_</v>
      </c>
      <c r="E1982" t="str">
        <f t="shared" si="124"/>
        <v>X</v>
      </c>
      <c r="F1982" t="str">
        <f ca="1">IFERROR(IF(AND(C1982&amp;D1982&amp;E1982="___",INDIRECT("Inventory!A"&amp;MATCH(VLOOKUP(B1982,Inventory!E:E,1,0),Inventory!E:E,0))&lt;&gt;INDIRECT("'Full Inventory'!B"&amp;MATCH(VLOOKUP(B1982,'Full Inventory'!F:F,1,0),'Full Inventory'!F:F,0))),"X","_"),"_")</f>
        <v>_</v>
      </c>
      <c r="L1982" t="str">
        <f t="shared" ca="1" si="122"/>
        <v>__X_</v>
      </c>
      <c r="M1982" t="str">
        <f t="shared" ca="1" si="123"/>
        <v/>
      </c>
    </row>
    <row r="1983" spans="1:13" x14ac:dyDescent="0.25">
      <c r="A1983" s="5"/>
      <c r="B1983" s="4" t="str">
        <f t="shared" si="121"/>
        <v/>
      </c>
      <c r="C1983" t="str">
        <f>IF(AND(TRIM(A1983)&lt;&gt;"",IFERROR(VLOOKUP(TRIM(B1983),Inventory!E:E,1,0),0)=0),"X","_")</f>
        <v>_</v>
      </c>
      <c r="D1983" t="str">
        <f>IF(AND(TRIM(A1983)&lt;&gt;"",IFERROR(VLOOKUP(TRIM(B1983),'Full Inventory'!F:F,1,0),0)=0),"X","_")</f>
        <v>_</v>
      </c>
      <c r="E1983" t="str">
        <f t="shared" si="124"/>
        <v>X</v>
      </c>
      <c r="F1983" t="str">
        <f ca="1">IFERROR(IF(AND(C1983&amp;D1983&amp;E1983="___",INDIRECT("Inventory!A"&amp;MATCH(VLOOKUP(B1983,Inventory!E:E,1,0),Inventory!E:E,0))&lt;&gt;INDIRECT("'Full Inventory'!B"&amp;MATCH(VLOOKUP(B1983,'Full Inventory'!F:F,1,0),'Full Inventory'!F:F,0))),"X","_"),"_")</f>
        <v>_</v>
      </c>
      <c r="L1983" t="str">
        <f t="shared" ca="1" si="122"/>
        <v>__X_</v>
      </c>
      <c r="M1983" t="str">
        <f t="shared" ca="1" si="123"/>
        <v/>
      </c>
    </row>
    <row r="1984" spans="1:13" x14ac:dyDescent="0.25">
      <c r="A1984" s="5"/>
      <c r="B1984" s="4" t="str">
        <f t="shared" si="121"/>
        <v/>
      </c>
      <c r="C1984" t="str">
        <f>IF(AND(TRIM(A1984)&lt;&gt;"",IFERROR(VLOOKUP(TRIM(B1984),Inventory!E:E,1,0),0)=0),"X","_")</f>
        <v>_</v>
      </c>
      <c r="D1984" t="str">
        <f>IF(AND(TRIM(A1984)&lt;&gt;"",IFERROR(VLOOKUP(TRIM(B1984),'Full Inventory'!F:F,1,0),0)=0),"X","_")</f>
        <v>_</v>
      </c>
      <c r="E1984" t="str">
        <f t="shared" si="124"/>
        <v>X</v>
      </c>
      <c r="F1984" t="str">
        <f ca="1">IFERROR(IF(AND(C1984&amp;D1984&amp;E1984="___",INDIRECT("Inventory!A"&amp;MATCH(VLOOKUP(B1984,Inventory!E:E,1,0),Inventory!E:E,0))&lt;&gt;INDIRECT("'Full Inventory'!B"&amp;MATCH(VLOOKUP(B1984,'Full Inventory'!F:F,1,0),'Full Inventory'!F:F,0))),"X","_"),"_")</f>
        <v>_</v>
      </c>
      <c r="L1984" t="str">
        <f t="shared" ca="1" si="122"/>
        <v>__X_</v>
      </c>
      <c r="M1984" t="str">
        <f t="shared" ca="1" si="123"/>
        <v/>
      </c>
    </row>
    <row r="1985" spans="1:13" x14ac:dyDescent="0.25">
      <c r="A1985" s="5"/>
      <c r="B1985" s="4" t="str">
        <f t="shared" si="121"/>
        <v/>
      </c>
      <c r="C1985" t="str">
        <f>IF(AND(TRIM(A1985)&lt;&gt;"",IFERROR(VLOOKUP(TRIM(B1985),Inventory!E:E,1,0),0)=0),"X","_")</f>
        <v>_</v>
      </c>
      <c r="D1985" t="str">
        <f>IF(AND(TRIM(A1985)&lt;&gt;"",IFERROR(VLOOKUP(TRIM(B1985),'Full Inventory'!F:F,1,0),0)=0),"X","_")</f>
        <v>_</v>
      </c>
      <c r="E1985" t="str">
        <f t="shared" si="124"/>
        <v>X</v>
      </c>
      <c r="F1985" t="str">
        <f ca="1">IFERROR(IF(AND(C1985&amp;D1985&amp;E1985="___",INDIRECT("Inventory!A"&amp;MATCH(VLOOKUP(B1985,Inventory!E:E,1,0),Inventory!E:E,0))&lt;&gt;INDIRECT("'Full Inventory'!B"&amp;MATCH(VLOOKUP(B1985,'Full Inventory'!F:F,1,0),'Full Inventory'!F:F,0))),"X","_"),"_")</f>
        <v>_</v>
      </c>
      <c r="L1985" t="str">
        <f t="shared" ca="1" si="122"/>
        <v>__X_</v>
      </c>
      <c r="M1985" t="str">
        <f t="shared" ca="1" si="123"/>
        <v/>
      </c>
    </row>
    <row r="1986" spans="1:13" x14ac:dyDescent="0.25">
      <c r="A1986" s="5"/>
      <c r="B1986" s="4" t="str">
        <f t="shared" si="121"/>
        <v/>
      </c>
      <c r="C1986" t="str">
        <f>IF(AND(TRIM(A1986)&lt;&gt;"",IFERROR(VLOOKUP(TRIM(B1986),Inventory!E:E,1,0),0)=0),"X","_")</f>
        <v>_</v>
      </c>
      <c r="D1986" t="str">
        <f>IF(AND(TRIM(A1986)&lt;&gt;"",IFERROR(VLOOKUP(TRIM(B1986),'Full Inventory'!F:F,1,0),0)=0),"X","_")</f>
        <v>_</v>
      </c>
      <c r="E1986" t="str">
        <f t="shared" si="124"/>
        <v>X</v>
      </c>
      <c r="F1986" t="str">
        <f ca="1">IFERROR(IF(AND(C1986&amp;D1986&amp;E1986="___",INDIRECT("Inventory!A"&amp;MATCH(VLOOKUP(B1986,Inventory!E:E,1,0),Inventory!E:E,0))&lt;&gt;INDIRECT("'Full Inventory'!B"&amp;MATCH(VLOOKUP(B1986,'Full Inventory'!F:F,1,0),'Full Inventory'!F:F,0))),"X","_"),"_")</f>
        <v>_</v>
      </c>
      <c r="L1986" t="str">
        <f t="shared" ca="1" si="122"/>
        <v>__X_</v>
      </c>
      <c r="M1986" t="str">
        <f t="shared" ca="1" si="123"/>
        <v/>
      </c>
    </row>
    <row r="1987" spans="1:13" x14ac:dyDescent="0.25">
      <c r="A1987" s="5"/>
      <c r="B1987" s="4" t="str">
        <f t="shared" ref="B1987:B2000" si="125">SUBSTITUTE(SUBSTITUTE(A1987,"ö","0"),"Ö","0")</f>
        <v/>
      </c>
      <c r="C1987" t="str">
        <f>IF(AND(TRIM(A1987)&lt;&gt;"",IFERROR(VLOOKUP(TRIM(B1987),Inventory!E:E,1,0),0)=0),"X","_")</f>
        <v>_</v>
      </c>
      <c r="D1987" t="str">
        <f>IF(AND(TRIM(A1987)&lt;&gt;"",IFERROR(VLOOKUP(TRIM(B1987),'Full Inventory'!F:F,1,0),0)=0),"X","_")</f>
        <v>_</v>
      </c>
      <c r="E1987" t="str">
        <f t="shared" si="124"/>
        <v>X</v>
      </c>
      <c r="F1987" t="str">
        <f ca="1">IFERROR(IF(AND(C1987&amp;D1987&amp;E1987="___",INDIRECT("Inventory!A"&amp;MATCH(VLOOKUP(B1987,Inventory!E:E,1,0),Inventory!E:E,0))&lt;&gt;INDIRECT("'Full Inventory'!B"&amp;MATCH(VLOOKUP(B1987,'Full Inventory'!F:F,1,0),'Full Inventory'!F:F,0))),"X","_"),"_")</f>
        <v>_</v>
      </c>
      <c r="L1987" t="str">
        <f t="shared" ref="L1987:L2000" ca="1" si="126">C1987&amp;D1987&amp;E1987&amp;F1987</f>
        <v>__X_</v>
      </c>
      <c r="M1987" t="str">
        <f t="shared" ref="M1987:M2000" ca="1" si="127">IF(L1987="____","OK",IF(L1987="_X__","NOT IN FULL INVENTORY",IF(L1987="XX__","NOT IN FULL INVENTORY AND INVENTORY",IF(L1987="X___","NOT IN INVENTORY",IF(L1987="___X","DIFFERENT NAMES IN FULL INVENTORY AND INVENTORY","")))))</f>
        <v/>
      </c>
    </row>
    <row r="1988" spans="1:13" x14ac:dyDescent="0.25">
      <c r="A1988" s="5"/>
      <c r="B1988" s="4" t="str">
        <f t="shared" si="125"/>
        <v/>
      </c>
      <c r="C1988" t="str">
        <f>IF(AND(TRIM(A1988)&lt;&gt;"",IFERROR(VLOOKUP(TRIM(B1988),Inventory!E:E,1,0),0)=0),"X","_")</f>
        <v>_</v>
      </c>
      <c r="D1988" t="str">
        <f>IF(AND(TRIM(A1988)&lt;&gt;"",IFERROR(VLOOKUP(TRIM(B1988),'Full Inventory'!F:F,1,0),0)=0),"X","_")</f>
        <v>_</v>
      </c>
      <c r="E1988" t="str">
        <f t="shared" si="124"/>
        <v>X</v>
      </c>
      <c r="F1988" t="str">
        <f ca="1">IFERROR(IF(AND(C1988&amp;D1988&amp;E1988="___",INDIRECT("Inventory!A"&amp;MATCH(VLOOKUP(B1988,Inventory!E:E,1,0),Inventory!E:E,0))&lt;&gt;INDIRECT("'Full Inventory'!B"&amp;MATCH(VLOOKUP(B1988,'Full Inventory'!F:F,1,0),'Full Inventory'!F:F,0))),"X","_"),"_")</f>
        <v>_</v>
      </c>
      <c r="L1988" t="str">
        <f t="shared" ca="1" si="126"/>
        <v>__X_</v>
      </c>
      <c r="M1988" t="str">
        <f t="shared" ca="1" si="127"/>
        <v/>
      </c>
    </row>
    <row r="1989" spans="1:13" x14ac:dyDescent="0.25">
      <c r="A1989" s="5"/>
      <c r="B1989" s="4" t="str">
        <f t="shared" si="125"/>
        <v/>
      </c>
      <c r="C1989" t="str">
        <f>IF(AND(TRIM(A1989)&lt;&gt;"",IFERROR(VLOOKUP(TRIM(B1989),Inventory!E:E,1,0),0)=0),"X","_")</f>
        <v>_</v>
      </c>
      <c r="D1989" t="str">
        <f>IF(AND(TRIM(A1989)&lt;&gt;"",IFERROR(VLOOKUP(TRIM(B1989),'Full Inventory'!F:F,1,0),0)=0),"X","_")</f>
        <v>_</v>
      </c>
      <c r="E1989" t="str">
        <f t="shared" si="124"/>
        <v>X</v>
      </c>
      <c r="F1989" t="str">
        <f ca="1">IFERROR(IF(AND(C1989&amp;D1989&amp;E1989="___",INDIRECT("Inventory!A"&amp;MATCH(VLOOKUP(B1989,Inventory!E:E,1,0),Inventory!E:E,0))&lt;&gt;INDIRECT("'Full Inventory'!B"&amp;MATCH(VLOOKUP(B1989,'Full Inventory'!F:F,1,0),'Full Inventory'!F:F,0))),"X","_"),"_")</f>
        <v>_</v>
      </c>
      <c r="L1989" t="str">
        <f t="shared" ca="1" si="126"/>
        <v>__X_</v>
      </c>
      <c r="M1989" t="str">
        <f t="shared" ca="1" si="127"/>
        <v/>
      </c>
    </row>
    <row r="1990" spans="1:13" x14ac:dyDescent="0.25">
      <c r="A1990" s="5"/>
      <c r="B1990" s="4" t="str">
        <f t="shared" si="125"/>
        <v/>
      </c>
      <c r="C1990" t="str">
        <f>IF(AND(TRIM(A1990)&lt;&gt;"",IFERROR(VLOOKUP(TRIM(B1990),Inventory!E:E,1,0),0)=0),"X","_")</f>
        <v>_</v>
      </c>
      <c r="D1990" t="str">
        <f>IF(AND(TRIM(A1990)&lt;&gt;"",IFERROR(VLOOKUP(TRIM(B1990),'Full Inventory'!F:F,1,0),0)=0),"X","_")</f>
        <v>_</v>
      </c>
      <c r="E1990" t="str">
        <f t="shared" si="124"/>
        <v>X</v>
      </c>
      <c r="F1990" t="str">
        <f ca="1">IFERROR(IF(AND(C1990&amp;D1990&amp;E1990="___",INDIRECT("Inventory!A"&amp;MATCH(VLOOKUP(B1990,Inventory!E:E,1,0),Inventory!E:E,0))&lt;&gt;INDIRECT("'Full Inventory'!B"&amp;MATCH(VLOOKUP(B1990,'Full Inventory'!F:F,1,0),'Full Inventory'!F:F,0))),"X","_"),"_")</f>
        <v>_</v>
      </c>
      <c r="L1990" t="str">
        <f t="shared" ca="1" si="126"/>
        <v>__X_</v>
      </c>
      <c r="M1990" t="str">
        <f t="shared" ca="1" si="127"/>
        <v/>
      </c>
    </row>
    <row r="1991" spans="1:13" x14ac:dyDescent="0.25">
      <c r="A1991" s="5"/>
      <c r="B1991" s="4" t="str">
        <f t="shared" si="125"/>
        <v/>
      </c>
      <c r="C1991" t="str">
        <f>IF(AND(TRIM(A1991)&lt;&gt;"",IFERROR(VLOOKUP(TRIM(B1991),Inventory!E:E,1,0),0)=0),"X","_")</f>
        <v>_</v>
      </c>
      <c r="D1991" t="str">
        <f>IF(AND(TRIM(A1991)&lt;&gt;"",IFERROR(VLOOKUP(TRIM(B1991),'Full Inventory'!F:F,1,0),0)=0),"X","_")</f>
        <v>_</v>
      </c>
      <c r="E1991" t="str">
        <f t="shared" si="124"/>
        <v>X</v>
      </c>
      <c r="F1991" t="str">
        <f ca="1">IFERROR(IF(AND(C1991&amp;D1991&amp;E1991="___",INDIRECT("Inventory!A"&amp;MATCH(VLOOKUP(B1991,Inventory!E:E,1,0),Inventory!E:E,0))&lt;&gt;INDIRECT("'Full Inventory'!B"&amp;MATCH(VLOOKUP(B1991,'Full Inventory'!F:F,1,0),'Full Inventory'!F:F,0))),"X","_"),"_")</f>
        <v>_</v>
      </c>
      <c r="L1991" t="str">
        <f t="shared" ca="1" si="126"/>
        <v>__X_</v>
      </c>
      <c r="M1991" t="str">
        <f t="shared" ca="1" si="127"/>
        <v/>
      </c>
    </row>
    <row r="1992" spans="1:13" x14ac:dyDescent="0.25">
      <c r="A1992" s="5"/>
      <c r="B1992" s="4" t="str">
        <f t="shared" si="125"/>
        <v/>
      </c>
      <c r="C1992" t="str">
        <f>IF(AND(TRIM(A1992)&lt;&gt;"",IFERROR(VLOOKUP(TRIM(B1992),Inventory!E:E,1,0),0)=0),"X","_")</f>
        <v>_</v>
      </c>
      <c r="D1992" t="str">
        <f>IF(AND(TRIM(A1992)&lt;&gt;"",IFERROR(VLOOKUP(TRIM(B1992),'Full Inventory'!F:F,1,0),0)=0),"X","_")</f>
        <v>_</v>
      </c>
      <c r="E1992" t="str">
        <f t="shared" si="124"/>
        <v>X</v>
      </c>
      <c r="F1992" t="str">
        <f ca="1">IFERROR(IF(AND(C1992&amp;D1992&amp;E1992="___",INDIRECT("Inventory!A"&amp;MATCH(VLOOKUP(B1992,Inventory!E:E,1,0),Inventory!E:E,0))&lt;&gt;INDIRECT("'Full Inventory'!B"&amp;MATCH(VLOOKUP(B1992,'Full Inventory'!F:F,1,0),'Full Inventory'!F:F,0))),"X","_"),"_")</f>
        <v>_</v>
      </c>
      <c r="L1992" t="str">
        <f t="shared" ca="1" si="126"/>
        <v>__X_</v>
      </c>
      <c r="M1992" t="str">
        <f t="shared" ca="1" si="127"/>
        <v/>
      </c>
    </row>
    <row r="1993" spans="1:13" x14ac:dyDescent="0.25">
      <c r="A1993" s="5"/>
      <c r="B1993" s="4" t="str">
        <f t="shared" si="125"/>
        <v/>
      </c>
      <c r="C1993" t="str">
        <f>IF(AND(TRIM(A1993)&lt;&gt;"",IFERROR(VLOOKUP(TRIM(B1993),Inventory!E:E,1,0),0)=0),"X","_")</f>
        <v>_</v>
      </c>
      <c r="D1993" t="str">
        <f>IF(AND(TRIM(A1993)&lt;&gt;"",IFERROR(VLOOKUP(TRIM(B1993),'Full Inventory'!F:F,1,0),0)=0),"X","_")</f>
        <v>_</v>
      </c>
      <c r="E1993" t="str">
        <f t="shared" si="124"/>
        <v>X</v>
      </c>
      <c r="F1993" t="str">
        <f ca="1">IFERROR(IF(AND(C1993&amp;D1993&amp;E1993="___",INDIRECT("Inventory!A"&amp;MATCH(VLOOKUP(B1993,Inventory!E:E,1,0),Inventory!E:E,0))&lt;&gt;INDIRECT("'Full Inventory'!B"&amp;MATCH(VLOOKUP(B1993,'Full Inventory'!F:F,1,0),'Full Inventory'!F:F,0))),"X","_"),"_")</f>
        <v>_</v>
      </c>
      <c r="L1993" t="str">
        <f t="shared" ca="1" si="126"/>
        <v>__X_</v>
      </c>
      <c r="M1993" t="str">
        <f t="shared" ca="1" si="127"/>
        <v/>
      </c>
    </row>
    <row r="1994" spans="1:13" x14ac:dyDescent="0.25">
      <c r="A1994" s="5"/>
      <c r="B1994" s="4" t="str">
        <f t="shared" si="125"/>
        <v/>
      </c>
      <c r="C1994" t="str">
        <f>IF(AND(TRIM(A1994)&lt;&gt;"",IFERROR(VLOOKUP(TRIM(B1994),Inventory!E:E,1,0),0)=0),"X","_")</f>
        <v>_</v>
      </c>
      <c r="D1994" t="str">
        <f>IF(AND(TRIM(A1994)&lt;&gt;"",IFERROR(VLOOKUP(TRIM(B1994),'Full Inventory'!F:F,1,0),0)=0),"X","_")</f>
        <v>_</v>
      </c>
      <c r="E1994" t="str">
        <f t="shared" si="124"/>
        <v>X</v>
      </c>
      <c r="F1994" t="str">
        <f ca="1">IFERROR(IF(AND(C1994&amp;D1994&amp;E1994="___",INDIRECT("Inventory!A"&amp;MATCH(VLOOKUP(B1994,Inventory!E:E,1,0),Inventory!E:E,0))&lt;&gt;INDIRECT("'Full Inventory'!B"&amp;MATCH(VLOOKUP(B1994,'Full Inventory'!F:F,1,0),'Full Inventory'!F:F,0))),"X","_"),"_")</f>
        <v>_</v>
      </c>
      <c r="L1994" t="str">
        <f t="shared" ca="1" si="126"/>
        <v>__X_</v>
      </c>
      <c r="M1994" t="str">
        <f t="shared" ca="1" si="127"/>
        <v/>
      </c>
    </row>
    <row r="1995" spans="1:13" x14ac:dyDescent="0.25">
      <c r="A1995" s="5"/>
      <c r="B1995" s="4" t="str">
        <f t="shared" si="125"/>
        <v/>
      </c>
      <c r="C1995" t="str">
        <f>IF(AND(TRIM(A1995)&lt;&gt;"",IFERROR(VLOOKUP(TRIM(B1995),Inventory!E:E,1,0),0)=0),"X","_")</f>
        <v>_</v>
      </c>
      <c r="D1995" t="str">
        <f>IF(AND(TRIM(A1995)&lt;&gt;"",IFERROR(VLOOKUP(TRIM(B1995),'Full Inventory'!F:F,1,0),0)=0),"X","_")</f>
        <v>_</v>
      </c>
      <c r="E1995" t="str">
        <f t="shared" si="124"/>
        <v>X</v>
      </c>
      <c r="F1995" t="str">
        <f ca="1">IFERROR(IF(AND(C1995&amp;D1995&amp;E1995="___",INDIRECT("Inventory!A"&amp;MATCH(VLOOKUP(B1995,Inventory!E:E,1,0),Inventory!E:E,0))&lt;&gt;INDIRECT("'Full Inventory'!B"&amp;MATCH(VLOOKUP(B1995,'Full Inventory'!F:F,1,0),'Full Inventory'!F:F,0))),"X","_"),"_")</f>
        <v>_</v>
      </c>
      <c r="L1995" t="str">
        <f t="shared" ca="1" si="126"/>
        <v>__X_</v>
      </c>
      <c r="M1995" t="str">
        <f t="shared" ca="1" si="127"/>
        <v/>
      </c>
    </row>
    <row r="1996" spans="1:13" x14ac:dyDescent="0.25">
      <c r="A1996" s="5"/>
      <c r="B1996" s="4" t="str">
        <f t="shared" si="125"/>
        <v/>
      </c>
      <c r="C1996" t="str">
        <f>IF(AND(TRIM(A1996)&lt;&gt;"",IFERROR(VLOOKUP(TRIM(B1996),Inventory!E:E,1,0),0)=0),"X","_")</f>
        <v>_</v>
      </c>
      <c r="D1996" t="str">
        <f>IF(AND(TRIM(A1996)&lt;&gt;"",IFERROR(VLOOKUP(TRIM(B1996),'Full Inventory'!F:F,1,0),0)=0),"X","_")</f>
        <v>_</v>
      </c>
      <c r="E1996" t="str">
        <f t="shared" si="124"/>
        <v>X</v>
      </c>
      <c r="F1996" t="str">
        <f ca="1">IFERROR(IF(AND(C1996&amp;D1996&amp;E1996="___",INDIRECT("Inventory!A"&amp;MATCH(VLOOKUP(B1996,Inventory!E:E,1,0),Inventory!E:E,0))&lt;&gt;INDIRECT("'Full Inventory'!B"&amp;MATCH(VLOOKUP(B1996,'Full Inventory'!F:F,1,0),'Full Inventory'!F:F,0))),"X","_"),"_")</f>
        <v>_</v>
      </c>
      <c r="L1996" t="str">
        <f t="shared" ca="1" si="126"/>
        <v>__X_</v>
      </c>
      <c r="M1996" t="str">
        <f t="shared" ca="1" si="127"/>
        <v/>
      </c>
    </row>
    <row r="1997" spans="1:13" x14ac:dyDescent="0.25">
      <c r="A1997" s="5"/>
      <c r="B1997" s="4" t="str">
        <f t="shared" si="125"/>
        <v/>
      </c>
      <c r="C1997" t="str">
        <f>IF(AND(TRIM(A1997)&lt;&gt;"",IFERROR(VLOOKUP(TRIM(B1997),Inventory!E:E,1,0),0)=0),"X","_")</f>
        <v>_</v>
      </c>
      <c r="D1997" t="str">
        <f>IF(AND(TRIM(A1997)&lt;&gt;"",IFERROR(VLOOKUP(TRIM(B1997),'Full Inventory'!F:F,1,0),0)=0),"X","_")</f>
        <v>_</v>
      </c>
      <c r="E1997" t="str">
        <f t="shared" si="124"/>
        <v>X</v>
      </c>
      <c r="F1997" t="str">
        <f ca="1">IFERROR(IF(AND(C1997&amp;D1997&amp;E1997="___",INDIRECT("Inventory!A"&amp;MATCH(VLOOKUP(B1997,Inventory!E:E,1,0),Inventory!E:E,0))&lt;&gt;INDIRECT("'Full Inventory'!B"&amp;MATCH(VLOOKUP(B1997,'Full Inventory'!F:F,1,0),'Full Inventory'!F:F,0))),"X","_"),"_")</f>
        <v>_</v>
      </c>
      <c r="L1997" t="str">
        <f t="shared" ca="1" si="126"/>
        <v>__X_</v>
      </c>
      <c r="M1997" t="str">
        <f t="shared" ca="1" si="127"/>
        <v/>
      </c>
    </row>
    <row r="1998" spans="1:13" x14ac:dyDescent="0.25">
      <c r="A1998" s="5"/>
      <c r="B1998" s="4" t="str">
        <f t="shared" si="125"/>
        <v/>
      </c>
      <c r="C1998" t="str">
        <f>IF(AND(TRIM(A1998)&lt;&gt;"",IFERROR(VLOOKUP(TRIM(B1998),Inventory!E:E,1,0),0)=0),"X","_")</f>
        <v>_</v>
      </c>
      <c r="D1998" t="str">
        <f>IF(AND(TRIM(A1998)&lt;&gt;"",IFERROR(VLOOKUP(TRIM(B1998),'Full Inventory'!F:F,1,0),0)=0),"X","_")</f>
        <v>_</v>
      </c>
      <c r="E1998" t="str">
        <f t="shared" si="124"/>
        <v>X</v>
      </c>
      <c r="F1998" t="str">
        <f ca="1">IFERROR(IF(AND(C1998&amp;D1998&amp;E1998="___",INDIRECT("Inventory!A"&amp;MATCH(VLOOKUP(B1998,Inventory!E:E,1,0),Inventory!E:E,0))&lt;&gt;INDIRECT("'Full Inventory'!B"&amp;MATCH(VLOOKUP(B1998,'Full Inventory'!F:F,1,0),'Full Inventory'!F:F,0))),"X","_"),"_")</f>
        <v>_</v>
      </c>
      <c r="L1998" t="str">
        <f t="shared" ca="1" si="126"/>
        <v>__X_</v>
      </c>
      <c r="M1998" t="str">
        <f t="shared" ca="1" si="127"/>
        <v/>
      </c>
    </row>
    <row r="1999" spans="1:13" x14ac:dyDescent="0.25">
      <c r="A1999" s="5"/>
      <c r="B1999" s="4" t="str">
        <f t="shared" si="125"/>
        <v/>
      </c>
      <c r="C1999" t="str">
        <f>IF(AND(TRIM(A1999)&lt;&gt;"",IFERROR(VLOOKUP(TRIM(B1999),Inventory!E:E,1,0),0)=0),"X","_")</f>
        <v>_</v>
      </c>
      <c r="D1999" t="str">
        <f>IF(AND(TRIM(A1999)&lt;&gt;"",IFERROR(VLOOKUP(TRIM(B1999),'Full Inventory'!F:F,1,0),0)=0),"X","_")</f>
        <v>_</v>
      </c>
      <c r="E1999" t="str">
        <f t="shared" si="124"/>
        <v>X</v>
      </c>
      <c r="F1999" t="str">
        <f ca="1">IFERROR(IF(AND(C1999&amp;D1999&amp;E1999="___",INDIRECT("Inventory!A"&amp;MATCH(VLOOKUP(B1999,Inventory!E:E,1,0),Inventory!E:E,0))&lt;&gt;INDIRECT("'Full Inventory'!B"&amp;MATCH(VLOOKUP(B1999,'Full Inventory'!F:F,1,0),'Full Inventory'!F:F,0))),"X","_"),"_")</f>
        <v>_</v>
      </c>
      <c r="L1999" t="str">
        <f t="shared" ca="1" si="126"/>
        <v>__X_</v>
      </c>
      <c r="M1999" t="str">
        <f t="shared" ca="1" si="127"/>
        <v/>
      </c>
    </row>
    <row r="2000" spans="1:13" x14ac:dyDescent="0.25">
      <c r="A2000" s="5"/>
      <c r="B2000" s="4" t="str">
        <f t="shared" si="125"/>
        <v/>
      </c>
      <c r="C2000" t="str">
        <f>IF(AND(TRIM(A2000)&lt;&gt;"",IFERROR(VLOOKUP(TRIM(B2000),Inventory!E:E,1,0),0)=0),"X","_")</f>
        <v>_</v>
      </c>
      <c r="D2000" t="str">
        <f>IF(AND(TRIM(A2000)&lt;&gt;"",IFERROR(VLOOKUP(TRIM(B2000),'Full Inventory'!F:F,1,0),0)=0),"X","_")</f>
        <v>_</v>
      </c>
      <c r="E2000" t="str">
        <f t="shared" si="124"/>
        <v>X</v>
      </c>
      <c r="F2000" t="str">
        <f ca="1">IFERROR(IF(AND(C2000&amp;D2000&amp;E2000="___",INDIRECT("Inventory!A"&amp;MATCH(VLOOKUP(B2000,Inventory!E:E,1,0),Inventory!E:E,0))&lt;&gt;INDIRECT("'Full Inventory'!B"&amp;MATCH(VLOOKUP(B2000,'Full Inventory'!F:F,1,0),'Full Inventory'!F:F,0))),"X","_"),"_")</f>
        <v>_</v>
      </c>
      <c r="L2000" t="str">
        <f t="shared" ca="1" si="126"/>
        <v>__X_</v>
      </c>
      <c r="M2000" t="str">
        <f t="shared" ca="1" si="127"/>
        <v/>
      </c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</sheetData>
  <conditionalFormatting sqref="A1">
    <cfRule type="duplicateValues" dxfId="7" priority="11"/>
  </conditionalFormatting>
  <conditionalFormatting sqref="A1 A20:A1048576">
    <cfRule type="duplicateValues" dxfId="6" priority="9"/>
  </conditionalFormatting>
  <conditionalFormatting sqref="A2:A19">
    <cfRule type="duplicateValues" dxfId="5" priority="7"/>
  </conditionalFormatting>
  <conditionalFormatting sqref="M2:M2000">
    <cfRule type="beginsWith" dxfId="4" priority="4" operator="beginsWith" text="NOT IN FULL INVENTORY">
      <formula>LEFT(M2,LEN("NOT IN FULL INVENTORY"))="NOT IN FULL INVENTORY"</formula>
    </cfRule>
  </conditionalFormatting>
  <conditionalFormatting sqref="M2:M2000">
    <cfRule type="beginsWith" dxfId="3" priority="3" stopIfTrue="1" operator="beginsWith" text="NOT IN INVENTORY">
      <formula>LEFT(M2,LEN("NOT IN INVENTORY"))="NOT IN INVENTORY"</formula>
    </cfRule>
  </conditionalFormatting>
  <conditionalFormatting sqref="M2:M2000">
    <cfRule type="endsWith" dxfId="2" priority="2" stopIfTrue="1" operator="endsWith" text="AND INVENTORY">
      <formula>RIGHT(M2,LEN("AND INVENTORY"))="AND INVENTORY"</formula>
    </cfRule>
  </conditionalFormatting>
  <conditionalFormatting sqref="M2:M2000">
    <cfRule type="beginsWith" dxfId="1" priority="1" operator="beginsWith" text="OK">
      <formula>LEFT(M2,LEN("OK"))="OK"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B4A1-B888-4341-AD3D-78DFBF572252}">
  <sheetPr codeName="Munka4"/>
  <dimension ref="A1:A18"/>
  <sheetViews>
    <sheetView workbookViewId="0">
      <selection sqref="A1:A18"/>
    </sheetView>
  </sheetViews>
  <sheetFormatPr defaultColWidth="11.42578125" defaultRowHeight="15" x14ac:dyDescent="0.25"/>
  <sheetData>
    <row r="1" spans="1:1" x14ac:dyDescent="0.25">
      <c r="A1" s="5" t="s">
        <v>109</v>
      </c>
    </row>
    <row r="2" spans="1:1" x14ac:dyDescent="0.25">
      <c r="A2" s="5" t="s">
        <v>109</v>
      </c>
    </row>
    <row r="3" spans="1:1" x14ac:dyDescent="0.25">
      <c r="A3" s="5" t="s">
        <v>109</v>
      </c>
    </row>
    <row r="4" spans="1:1" x14ac:dyDescent="0.25">
      <c r="A4" s="5" t="s">
        <v>110</v>
      </c>
    </row>
    <row r="5" spans="1:1" x14ac:dyDescent="0.25">
      <c r="A5" s="5" t="s">
        <v>111</v>
      </c>
    </row>
    <row r="6" spans="1:1" x14ac:dyDescent="0.25">
      <c r="A6" s="5" t="s">
        <v>112</v>
      </c>
    </row>
    <row r="7" spans="1:1" x14ac:dyDescent="0.25">
      <c r="A7" s="5" t="s">
        <v>113</v>
      </c>
    </row>
    <row r="8" spans="1:1" x14ac:dyDescent="0.25">
      <c r="A8" s="5" t="s">
        <v>114</v>
      </c>
    </row>
    <row r="9" spans="1:1" x14ac:dyDescent="0.25">
      <c r="A9" s="5" t="s">
        <v>115</v>
      </c>
    </row>
    <row r="10" spans="1:1" x14ac:dyDescent="0.25">
      <c r="A10" s="5" t="s">
        <v>116</v>
      </c>
    </row>
    <row r="11" spans="1:1" x14ac:dyDescent="0.25">
      <c r="A11" s="5" t="s">
        <v>117</v>
      </c>
    </row>
    <row r="12" spans="1:1" x14ac:dyDescent="0.25">
      <c r="A12" s="5" t="s">
        <v>118</v>
      </c>
    </row>
    <row r="13" spans="1:1" x14ac:dyDescent="0.25">
      <c r="A13" s="5" t="s">
        <v>119</v>
      </c>
    </row>
    <row r="14" spans="1:1" x14ac:dyDescent="0.25">
      <c r="A14" s="5" t="s">
        <v>117</v>
      </c>
    </row>
    <row r="15" spans="1:1" x14ac:dyDescent="0.25">
      <c r="A15" s="5" t="s">
        <v>120</v>
      </c>
    </row>
    <row r="16" spans="1:1" x14ac:dyDescent="0.25">
      <c r="A16" s="5" t="s">
        <v>121</v>
      </c>
    </row>
    <row r="17" spans="1:1" x14ac:dyDescent="0.25">
      <c r="A17" s="5" t="s">
        <v>122</v>
      </c>
    </row>
    <row r="18" spans="1:1" x14ac:dyDescent="0.25">
      <c r="A18" s="5" t="s">
        <v>123</v>
      </c>
    </row>
  </sheetData>
  <conditionalFormatting sqref="A1:A18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2" activePane="bottomLeft" state="frozen"/>
      <selection pane="bottomLeft" activeCell="E20" sqref="E20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style="4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7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8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E3" s="8"/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E4" s="8"/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E5" s="8"/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E6" s="8"/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E7" s="8"/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E8" s="8"/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E9" s="8"/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E10" s="8"/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E11" s="8" t="s">
        <v>114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E12" s="8"/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E13" s="8"/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E14" s="8" t="s">
        <v>109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E15" s="8"/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E16" s="8"/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E17" s="8"/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E18" s="8"/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E19" s="8" t="s">
        <v>117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E20" s="8" t="s">
        <v>118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E21" s="8"/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E22" s="8"/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E23" s="8"/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E24" s="8"/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E25" s="8"/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E26" s="8"/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E27" s="8"/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E28" s="8"/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E29" s="8"/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E30" s="8"/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E31" s="8"/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E32" s="8"/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E33" s="8"/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E34" s="8"/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E35" s="8"/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E36" s="8"/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E37" s="8"/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E38" s="8"/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E39" s="8"/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E40" s="8"/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E41" s="8"/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E42" s="8"/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E43" s="8"/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E44" s="8"/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E45" s="8"/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E46" s="8"/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E47" s="8"/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E48" s="8"/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E49" s="8"/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E50" s="8"/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E51" s="8"/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8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E53" s="8"/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E54" s="8"/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E55" s="8"/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E56" s="8"/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E57" s="8"/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E58" s="8"/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E59" s="8"/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E60" s="8"/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E61" s="8"/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E62" s="8"/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E63" s="8"/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E64" s="8"/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E65" s="8"/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E66" s="8"/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E67" s="8"/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E68" s="8"/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E69" s="8"/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E70" s="8"/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E71" s="8"/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E72" s="8"/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E73" s="8"/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E74" s="8"/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E75" s="8"/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E76" s="8"/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E77" s="8"/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E78" s="8"/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E79" s="8"/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E80" s="8"/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E81" s="8"/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E82" s="8"/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E83" s="8"/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E84" s="8"/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E85" s="8"/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E86" s="8"/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E87" s="8"/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8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E89" s="8"/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E90" s="8"/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8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E92" s="8"/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E93" s="8"/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E94" s="8"/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E95" s="8"/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E96" s="8"/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E97" s="8"/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8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E99" s="8"/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E100" s="8"/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E101" s="8"/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E102" s="8"/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E103" s="8"/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E104" s="8"/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8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E106" s="8"/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E107" s="8"/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E108" s="8"/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E109" s="8"/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E110" s="8"/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E111" s="8"/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8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E113" s="8"/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E114" s="8"/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E115" s="8"/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8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E117" s="8"/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E118" s="8"/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E119" s="8"/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E120" s="8"/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E121" s="8"/>
      <c r="F121" s="2">
        <v>1</v>
      </c>
      <c r="G121" s="2" t="s">
        <v>12</v>
      </c>
      <c r="H121" s="2" t="s">
        <v>106</v>
      </c>
    </row>
    <row r="122" spans="1:8" s="2" customFormat="1" x14ac:dyDescent="0.25">
      <c r="E122" s="8"/>
    </row>
    <row r="123" spans="1:8" s="2" customFormat="1" x14ac:dyDescent="0.25">
      <c r="E123" s="8"/>
    </row>
    <row r="124" spans="1:8" s="2" customFormat="1" x14ac:dyDescent="0.25">
      <c r="E124" s="8"/>
    </row>
    <row r="125" spans="1:8" s="2" customFormat="1" x14ac:dyDescent="0.25">
      <c r="E125" s="8"/>
    </row>
    <row r="126" spans="1:8" s="2" customFormat="1" x14ac:dyDescent="0.25">
      <c r="E126" s="8"/>
    </row>
    <row r="127" spans="1:8" s="2" customFormat="1" x14ac:dyDescent="0.25">
      <c r="E127" s="8"/>
    </row>
    <row r="128" spans="1:8" s="2" customFormat="1" x14ac:dyDescent="0.25">
      <c r="E128" s="8"/>
    </row>
    <row r="129" spans="5:5" s="2" customFormat="1" x14ac:dyDescent="0.25">
      <c r="E129" s="8"/>
    </row>
    <row r="130" spans="5:5" s="2" customFormat="1" x14ac:dyDescent="0.25">
      <c r="E130" s="8"/>
    </row>
    <row r="131" spans="5:5" s="2" customFormat="1" x14ac:dyDescent="0.25">
      <c r="E131" s="8"/>
    </row>
    <row r="132" spans="5:5" s="2" customFormat="1" x14ac:dyDescent="0.25">
      <c r="E132" s="8"/>
    </row>
    <row r="133" spans="5:5" s="2" customFormat="1" x14ac:dyDescent="0.25">
      <c r="E133" s="8"/>
    </row>
    <row r="134" spans="5:5" s="2" customFormat="1" x14ac:dyDescent="0.25">
      <c r="E134" s="8"/>
    </row>
    <row r="135" spans="5:5" s="2" customFormat="1" x14ac:dyDescent="0.25">
      <c r="E135" s="8"/>
    </row>
    <row r="136" spans="5:5" s="2" customFormat="1" x14ac:dyDescent="0.25">
      <c r="E136" s="8"/>
    </row>
    <row r="137" spans="5:5" s="2" customFormat="1" x14ac:dyDescent="0.25">
      <c r="E137" s="8"/>
    </row>
    <row r="138" spans="5:5" s="2" customFormat="1" x14ac:dyDescent="0.25">
      <c r="E138" s="8"/>
    </row>
    <row r="139" spans="5:5" s="2" customFormat="1" x14ac:dyDescent="0.25">
      <c r="E139" s="8"/>
    </row>
    <row r="140" spans="5:5" s="2" customFormat="1" x14ac:dyDescent="0.25">
      <c r="E140" s="8"/>
    </row>
    <row r="141" spans="5:5" s="2" customFormat="1" x14ac:dyDescent="0.25">
      <c r="E141" s="8"/>
    </row>
    <row r="142" spans="5:5" s="2" customFormat="1" x14ac:dyDescent="0.25">
      <c r="E142" s="8"/>
    </row>
    <row r="143" spans="5:5" s="2" customFormat="1" x14ac:dyDescent="0.25">
      <c r="E143" s="8"/>
    </row>
    <row r="144" spans="5:5" s="2" customFormat="1" x14ac:dyDescent="0.25">
      <c r="E144" s="8"/>
    </row>
    <row r="145" spans="5:5" s="2" customFormat="1" x14ac:dyDescent="0.25">
      <c r="E145" s="8"/>
    </row>
    <row r="146" spans="5:5" s="2" customFormat="1" x14ac:dyDescent="0.25">
      <c r="E146" s="8"/>
    </row>
    <row r="147" spans="5:5" s="2" customFormat="1" x14ac:dyDescent="0.25">
      <c r="E147" s="8"/>
    </row>
    <row r="148" spans="5:5" s="2" customFormat="1" x14ac:dyDescent="0.25">
      <c r="E148" s="8"/>
    </row>
    <row r="149" spans="5:5" s="2" customFormat="1" x14ac:dyDescent="0.25">
      <c r="E149" s="8"/>
    </row>
    <row r="150" spans="5:5" s="2" customFormat="1" x14ac:dyDescent="0.25">
      <c r="E150" s="8"/>
    </row>
    <row r="151" spans="5:5" s="2" customFormat="1" x14ac:dyDescent="0.25">
      <c r="E151" s="8"/>
    </row>
    <row r="152" spans="5:5" s="2" customFormat="1" x14ac:dyDescent="0.25">
      <c r="E152" s="8"/>
    </row>
    <row r="153" spans="5:5" s="2" customFormat="1" x14ac:dyDescent="0.25">
      <c r="E153" s="8"/>
    </row>
    <row r="154" spans="5:5" s="2" customFormat="1" x14ac:dyDescent="0.25">
      <c r="E154" s="8"/>
    </row>
    <row r="155" spans="5:5" s="2" customFormat="1" x14ac:dyDescent="0.25">
      <c r="E155" s="8"/>
    </row>
    <row r="156" spans="5:5" s="2" customFormat="1" x14ac:dyDescent="0.25">
      <c r="E156" s="8"/>
    </row>
    <row r="157" spans="5:5" s="2" customFormat="1" x14ac:dyDescent="0.25">
      <c r="E157" s="8"/>
    </row>
    <row r="158" spans="5:5" s="2" customFormat="1" x14ac:dyDescent="0.25">
      <c r="E158" s="8"/>
    </row>
    <row r="159" spans="5:5" s="2" customFormat="1" x14ac:dyDescent="0.25">
      <c r="E159" s="8"/>
    </row>
    <row r="160" spans="5:5" s="2" customFormat="1" x14ac:dyDescent="0.25">
      <c r="E160" s="8"/>
    </row>
    <row r="161" spans="5:5" s="2" customFormat="1" x14ac:dyDescent="0.25">
      <c r="E161" s="8"/>
    </row>
    <row r="162" spans="5:5" s="2" customFormat="1" x14ac:dyDescent="0.25">
      <c r="E162" s="8"/>
    </row>
    <row r="163" spans="5:5" s="2" customFormat="1" x14ac:dyDescent="0.25">
      <c r="E163" s="8"/>
    </row>
    <row r="164" spans="5:5" s="2" customFormat="1" x14ac:dyDescent="0.25">
      <c r="E164" s="8"/>
    </row>
    <row r="165" spans="5:5" s="2" customFormat="1" x14ac:dyDescent="0.25">
      <c r="E165" s="8"/>
    </row>
    <row r="166" spans="5:5" s="2" customFormat="1" x14ac:dyDescent="0.25">
      <c r="E166" s="8"/>
    </row>
    <row r="167" spans="5:5" s="2" customFormat="1" x14ac:dyDescent="0.25">
      <c r="E167" s="8"/>
    </row>
    <row r="168" spans="5:5" s="2" customFormat="1" x14ac:dyDescent="0.25">
      <c r="E168" s="8"/>
    </row>
    <row r="169" spans="5:5" s="2" customFormat="1" x14ac:dyDescent="0.25">
      <c r="E169" s="8"/>
    </row>
    <row r="170" spans="5:5" s="2" customFormat="1" x14ac:dyDescent="0.25">
      <c r="E170" s="8"/>
    </row>
    <row r="171" spans="5:5" s="2" customFormat="1" x14ac:dyDescent="0.25">
      <c r="E171" s="8"/>
    </row>
    <row r="172" spans="5:5" s="2" customFormat="1" x14ac:dyDescent="0.25">
      <c r="E172" s="8"/>
    </row>
    <row r="173" spans="5:5" s="2" customFormat="1" x14ac:dyDescent="0.25">
      <c r="E173" s="8"/>
    </row>
    <row r="174" spans="5:5" s="2" customFormat="1" x14ac:dyDescent="0.25">
      <c r="E174" s="8"/>
    </row>
    <row r="175" spans="5:5" s="2" customFormat="1" x14ac:dyDescent="0.25">
      <c r="E175" s="8"/>
    </row>
    <row r="176" spans="5:5" s="2" customFormat="1" x14ac:dyDescent="0.25">
      <c r="E176" s="8"/>
    </row>
    <row r="177" spans="5:5" s="2" customFormat="1" x14ac:dyDescent="0.25">
      <c r="E177" s="8"/>
    </row>
    <row r="178" spans="5:5" s="2" customFormat="1" x14ac:dyDescent="0.25">
      <c r="E178" s="8"/>
    </row>
    <row r="179" spans="5:5" s="2" customFormat="1" x14ac:dyDescent="0.25">
      <c r="E179" s="8"/>
    </row>
    <row r="180" spans="5:5" s="2" customFormat="1" x14ac:dyDescent="0.25">
      <c r="E180" s="8"/>
    </row>
    <row r="181" spans="5:5" s="2" customFormat="1" x14ac:dyDescent="0.25">
      <c r="E181" s="8"/>
    </row>
    <row r="182" spans="5:5" s="2" customFormat="1" x14ac:dyDescent="0.25">
      <c r="E182" s="8"/>
    </row>
    <row r="183" spans="5:5" s="2" customFormat="1" x14ac:dyDescent="0.25">
      <c r="E183" s="8"/>
    </row>
    <row r="184" spans="5:5" s="2" customFormat="1" x14ac:dyDescent="0.25">
      <c r="E184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961"/>
  <sheetViews>
    <sheetView workbookViewId="0">
      <pane ySplit="1" topLeftCell="A2" activePane="bottomLeft" state="frozen"/>
      <selection pane="bottomLeft" activeCell="F13" sqref="F13"/>
    </sheetView>
  </sheetViews>
  <sheetFormatPr defaultColWidth="9.140625" defaultRowHeight="15" x14ac:dyDescent="0.25"/>
  <cols>
    <col min="1" max="1" width="8.28515625" style="2" bestFit="1" customWidth="1"/>
    <col min="2" max="2" width="64.42578125" style="2" bestFit="1" customWidth="1"/>
    <col min="3" max="3" width="16.7109375" style="2" bestFit="1" customWidth="1"/>
    <col min="4" max="4" width="13.85546875" style="2" bestFit="1" customWidth="1"/>
    <col min="5" max="5" width="26.85546875" style="2" bestFit="1" customWidth="1"/>
    <col min="6" max="6" width="13.42578125" style="8" bestFit="1" customWidth="1"/>
    <col min="7" max="7" width="8.7109375" style="2" bestFit="1" customWidth="1"/>
    <col min="8" max="8" width="26.42578125" style="2" bestFit="1" customWidth="1"/>
    <col min="9" max="9" width="19.42578125" style="2" bestFit="1" customWidth="1"/>
    <col min="10" max="16384" width="9.140625" style="2"/>
  </cols>
  <sheetData>
    <row r="1" spans="1:9" ht="15.75" thickBot="1" x14ac:dyDescent="0.3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7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8" t="s">
        <v>12</v>
      </c>
      <c r="G2" s="2">
        <v>1</v>
      </c>
      <c r="H2" s="2" t="s">
        <v>10</v>
      </c>
      <c r="I2" s="2" t="s">
        <v>12</v>
      </c>
    </row>
    <row r="3" spans="1:9" x14ac:dyDescent="0.25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5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5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5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5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5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5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5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5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5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5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F13" s="8" t="s">
        <v>114</v>
      </c>
      <c r="G13" s="2">
        <v>1</v>
      </c>
      <c r="H13" s="2" t="s">
        <v>10</v>
      </c>
      <c r="I13" s="2" t="s">
        <v>28</v>
      </c>
    </row>
    <row r="14" spans="1:9" x14ac:dyDescent="0.25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5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5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5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5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5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F19" s="8" t="s">
        <v>117</v>
      </c>
      <c r="G19" s="2">
        <v>1</v>
      </c>
      <c r="H19" s="2" t="s">
        <v>12</v>
      </c>
      <c r="I19" s="2" t="s">
        <v>12</v>
      </c>
    </row>
    <row r="20" spans="1:9" x14ac:dyDescent="0.25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5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5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5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5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5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5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5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5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5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5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5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5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5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5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5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5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5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5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5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5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5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5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5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5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5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5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5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5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5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5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5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5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8" t="s">
        <v>12</v>
      </c>
      <c r="G52" s="2">
        <v>1</v>
      </c>
      <c r="H52" s="2" t="s">
        <v>36</v>
      </c>
      <c r="I52" s="2" t="s">
        <v>12</v>
      </c>
    </row>
    <row r="53" spans="1:9" x14ac:dyDescent="0.25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5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5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5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5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5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5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5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5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5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5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5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5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5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5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5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5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5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5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5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5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5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5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5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5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5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5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5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5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5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5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5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5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5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5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5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8" t="s">
        <v>12</v>
      </c>
      <c r="G88" s="2">
        <v>1</v>
      </c>
      <c r="H88" s="2" t="s">
        <v>52</v>
      </c>
      <c r="I88" s="2" t="s">
        <v>12</v>
      </c>
    </row>
    <row r="89" spans="1:9" x14ac:dyDescent="0.25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5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5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8" t="s">
        <v>12</v>
      </c>
      <c r="G91" s="2">
        <v>1</v>
      </c>
      <c r="H91" s="2" t="s">
        <v>62</v>
      </c>
      <c r="I91" s="2" t="s">
        <v>12</v>
      </c>
    </row>
    <row r="92" spans="1:9" x14ac:dyDescent="0.25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5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5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5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5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5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5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8" t="s">
        <v>12</v>
      </c>
      <c r="G98" s="2">
        <v>1</v>
      </c>
      <c r="H98" s="2" t="s">
        <v>77</v>
      </c>
      <c r="I98" s="2" t="s">
        <v>12</v>
      </c>
    </row>
    <row r="99" spans="1:9" x14ac:dyDescent="0.25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5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5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5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5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5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5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8" t="s">
        <v>12</v>
      </c>
      <c r="G105" s="2">
        <v>1</v>
      </c>
      <c r="H105" s="2" t="s">
        <v>85</v>
      </c>
      <c r="I105" s="2" t="s">
        <v>12</v>
      </c>
    </row>
    <row r="106" spans="1:9" x14ac:dyDescent="0.25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5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5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5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5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5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5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8" t="s">
        <v>12</v>
      </c>
      <c r="G112" s="2">
        <v>1</v>
      </c>
      <c r="H112" s="2" t="s">
        <v>93</v>
      </c>
      <c r="I112" s="2" t="s">
        <v>12</v>
      </c>
    </row>
    <row r="113" spans="1:9" x14ac:dyDescent="0.25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5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5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5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8" t="s">
        <v>12</v>
      </c>
      <c r="G116" s="2">
        <v>1</v>
      </c>
      <c r="H116" s="2" t="s">
        <v>100</v>
      </c>
      <c r="I116" s="2" t="s">
        <v>12</v>
      </c>
    </row>
    <row r="117" spans="1:9" x14ac:dyDescent="0.25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5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5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5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5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5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8" t="s">
        <v>12</v>
      </c>
      <c r="G122" s="2">
        <v>1</v>
      </c>
      <c r="H122" s="2" t="s">
        <v>10</v>
      </c>
      <c r="I122" s="2" t="s">
        <v>12</v>
      </c>
    </row>
    <row r="123" spans="1:9" x14ac:dyDescent="0.25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5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5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5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5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5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5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5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5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5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5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5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5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5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5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5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5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5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5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5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5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5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5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5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5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5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5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5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5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5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5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5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5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5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5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5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5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5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5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5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5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5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5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5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5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5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5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5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5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5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8" t="s">
        <v>12</v>
      </c>
      <c r="G172" s="2">
        <v>1</v>
      </c>
      <c r="H172" s="2" t="s">
        <v>36</v>
      </c>
      <c r="I172" s="2" t="s">
        <v>12</v>
      </c>
    </row>
    <row r="173" spans="1:9" x14ac:dyDescent="0.25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5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5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5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5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5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5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5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5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5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5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5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5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5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5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5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5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5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5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5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5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5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5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5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5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5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5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5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5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5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5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5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5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5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5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5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8" t="s">
        <v>12</v>
      </c>
      <c r="G208" s="2">
        <v>1</v>
      </c>
      <c r="H208" s="2" t="s">
        <v>52</v>
      </c>
      <c r="I208" s="2" t="s">
        <v>12</v>
      </c>
    </row>
    <row r="209" spans="1:9" x14ac:dyDescent="0.25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5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5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8" t="s">
        <v>12</v>
      </c>
      <c r="G211" s="2">
        <v>1</v>
      </c>
      <c r="H211" s="2" t="s">
        <v>62</v>
      </c>
      <c r="I211" s="2" t="s">
        <v>12</v>
      </c>
    </row>
    <row r="212" spans="1:9" x14ac:dyDescent="0.25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5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5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5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5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5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5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8" t="s">
        <v>12</v>
      </c>
      <c r="G218" s="2">
        <v>1</v>
      </c>
      <c r="H218" s="2" t="s">
        <v>77</v>
      </c>
      <c r="I218" s="2" t="s">
        <v>12</v>
      </c>
    </row>
    <row r="219" spans="1:9" x14ac:dyDescent="0.25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5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5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5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5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5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5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8" t="s">
        <v>12</v>
      </c>
      <c r="G225" s="2">
        <v>1</v>
      </c>
      <c r="H225" s="2" t="s">
        <v>85</v>
      </c>
      <c r="I225" s="2" t="s">
        <v>12</v>
      </c>
    </row>
    <row r="226" spans="1:9" x14ac:dyDescent="0.25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5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5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5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5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5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5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8" t="s">
        <v>12</v>
      </c>
      <c r="G232" s="2">
        <v>1</v>
      </c>
      <c r="H232" s="2" t="s">
        <v>93</v>
      </c>
      <c r="I232" s="2" t="s">
        <v>12</v>
      </c>
    </row>
    <row r="233" spans="1:9" x14ac:dyDescent="0.25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5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5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5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8" t="s">
        <v>12</v>
      </c>
      <c r="G236" s="2">
        <v>1</v>
      </c>
      <c r="H236" s="2" t="s">
        <v>100</v>
      </c>
      <c r="I236" s="2" t="s">
        <v>12</v>
      </c>
    </row>
    <row r="237" spans="1:9" x14ac:dyDescent="0.25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5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5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5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5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5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8" t="s">
        <v>12</v>
      </c>
      <c r="G242" s="2">
        <v>1</v>
      </c>
      <c r="H242" s="2" t="s">
        <v>10</v>
      </c>
      <c r="I242" s="2" t="s">
        <v>12</v>
      </c>
    </row>
    <row r="243" spans="1:9" x14ac:dyDescent="0.25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5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5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5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5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5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5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5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5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5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5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5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5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5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5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5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5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5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5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5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5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5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5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5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5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5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5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5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5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5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5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5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5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5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5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5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5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5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5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5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5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5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5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5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5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5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5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5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5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5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8" t="s">
        <v>12</v>
      </c>
      <c r="G292" s="2">
        <v>1</v>
      </c>
      <c r="H292" s="2" t="s">
        <v>36</v>
      </c>
      <c r="I292" s="2" t="s">
        <v>12</v>
      </c>
    </row>
    <row r="293" spans="1:9" x14ac:dyDescent="0.25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5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5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5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5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5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5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5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5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5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5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5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5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5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5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5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5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5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5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5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5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5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5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5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5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5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5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5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5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5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5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5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5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5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5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5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8" t="s">
        <v>12</v>
      </c>
      <c r="G328" s="2">
        <v>1</v>
      </c>
      <c r="H328" s="2" t="s">
        <v>52</v>
      </c>
      <c r="I328" s="2" t="s">
        <v>12</v>
      </c>
    </row>
    <row r="329" spans="1:9" x14ac:dyDescent="0.25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5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5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8" t="s">
        <v>12</v>
      </c>
      <c r="G331" s="2">
        <v>1</v>
      </c>
      <c r="H331" s="2" t="s">
        <v>62</v>
      </c>
      <c r="I331" s="2" t="s">
        <v>12</v>
      </c>
    </row>
    <row r="332" spans="1:9" x14ac:dyDescent="0.25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5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5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5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5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5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5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8" t="s">
        <v>12</v>
      </c>
      <c r="G338" s="2">
        <v>1</v>
      </c>
      <c r="H338" s="2" t="s">
        <v>77</v>
      </c>
      <c r="I338" s="2" t="s">
        <v>12</v>
      </c>
    </row>
    <row r="339" spans="1:9" x14ac:dyDescent="0.25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5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5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5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5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5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5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8" t="s">
        <v>12</v>
      </c>
      <c r="G345" s="2">
        <v>1</v>
      </c>
      <c r="H345" s="2" t="s">
        <v>85</v>
      </c>
      <c r="I345" s="2" t="s">
        <v>12</v>
      </c>
    </row>
    <row r="346" spans="1:9" x14ac:dyDescent="0.25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5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5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5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5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5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5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8" t="s">
        <v>12</v>
      </c>
      <c r="G352" s="2">
        <v>1</v>
      </c>
      <c r="H352" s="2" t="s">
        <v>93</v>
      </c>
      <c r="I352" s="2" t="s">
        <v>12</v>
      </c>
    </row>
    <row r="353" spans="1:9" x14ac:dyDescent="0.25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5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5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5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8" t="s">
        <v>12</v>
      </c>
      <c r="G356" s="2">
        <v>1</v>
      </c>
      <c r="H356" s="2" t="s">
        <v>100</v>
      </c>
      <c r="I356" s="2" t="s">
        <v>12</v>
      </c>
    </row>
    <row r="357" spans="1:9" x14ac:dyDescent="0.25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5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5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5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5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  <row r="362" spans="1:9" x14ac:dyDescent="0.25">
      <c r="A362" s="2" t="s">
        <v>9</v>
      </c>
      <c r="B362" s="2" t="s">
        <v>10</v>
      </c>
      <c r="C362" s="2" t="s">
        <v>11</v>
      </c>
      <c r="D362" s="2" t="s">
        <v>12</v>
      </c>
      <c r="E362" s="2" t="s">
        <v>12</v>
      </c>
      <c r="F362" s="8" t="s">
        <v>12</v>
      </c>
      <c r="G362" s="2">
        <v>1</v>
      </c>
      <c r="H362" s="2" t="s">
        <v>10</v>
      </c>
      <c r="I362" s="2" t="s">
        <v>12</v>
      </c>
    </row>
    <row r="363" spans="1:9" x14ac:dyDescent="0.25">
      <c r="A363" s="2" t="s">
        <v>9</v>
      </c>
      <c r="B363" s="2" t="s">
        <v>13</v>
      </c>
      <c r="C363" s="2" t="s">
        <v>14</v>
      </c>
      <c r="D363" s="2" t="s">
        <v>15</v>
      </c>
      <c r="E363" s="2" t="s">
        <v>16</v>
      </c>
      <c r="G363" s="2">
        <v>1</v>
      </c>
      <c r="H363" s="2" t="s">
        <v>10</v>
      </c>
      <c r="I363" s="2" t="s">
        <v>17</v>
      </c>
    </row>
    <row r="364" spans="1:9" x14ac:dyDescent="0.25">
      <c r="A364" s="2" t="s">
        <v>9</v>
      </c>
      <c r="B364" s="2" t="s">
        <v>18</v>
      </c>
      <c r="C364" s="2" t="s">
        <v>19</v>
      </c>
      <c r="D364" s="2" t="s">
        <v>15</v>
      </c>
      <c r="E364" s="2" t="s">
        <v>20</v>
      </c>
      <c r="G364" s="2">
        <v>1</v>
      </c>
      <c r="H364" s="2" t="s">
        <v>12</v>
      </c>
      <c r="I364" s="2" t="s">
        <v>12</v>
      </c>
    </row>
    <row r="365" spans="1:9" x14ac:dyDescent="0.25">
      <c r="A365" s="2" t="s">
        <v>9</v>
      </c>
      <c r="B365" s="2" t="s">
        <v>18</v>
      </c>
      <c r="C365" s="2" t="s">
        <v>19</v>
      </c>
      <c r="D365" s="2" t="s">
        <v>15</v>
      </c>
      <c r="E365" s="2" t="s">
        <v>20</v>
      </c>
      <c r="G365" s="2">
        <v>1</v>
      </c>
      <c r="H365" s="2" t="s">
        <v>12</v>
      </c>
      <c r="I365" s="2" t="s">
        <v>12</v>
      </c>
    </row>
    <row r="366" spans="1:9" x14ac:dyDescent="0.25">
      <c r="A366" s="2" t="s">
        <v>9</v>
      </c>
      <c r="B366" s="2" t="s">
        <v>21</v>
      </c>
      <c r="C366" s="2" t="s">
        <v>19</v>
      </c>
      <c r="D366" s="2" t="s">
        <v>15</v>
      </c>
      <c r="E366" s="2" t="s">
        <v>22</v>
      </c>
      <c r="G366" s="2">
        <v>1</v>
      </c>
      <c r="H366" s="2" t="s">
        <v>12</v>
      </c>
      <c r="I366" s="2" t="s">
        <v>12</v>
      </c>
    </row>
    <row r="367" spans="1:9" x14ac:dyDescent="0.25">
      <c r="A367" s="2" t="s">
        <v>9</v>
      </c>
      <c r="B367" s="2" t="s">
        <v>21</v>
      </c>
      <c r="C367" s="2" t="s">
        <v>19</v>
      </c>
      <c r="D367" s="2" t="s">
        <v>15</v>
      </c>
      <c r="E367" s="2" t="s">
        <v>22</v>
      </c>
      <c r="G367" s="2">
        <v>1</v>
      </c>
      <c r="H367" s="2" t="s">
        <v>12</v>
      </c>
      <c r="I367" s="2" t="s">
        <v>12</v>
      </c>
    </row>
    <row r="368" spans="1:9" x14ac:dyDescent="0.25">
      <c r="A368" s="2" t="s">
        <v>9</v>
      </c>
      <c r="B368" s="2" t="s">
        <v>13</v>
      </c>
      <c r="C368" s="2" t="s">
        <v>14</v>
      </c>
      <c r="D368" s="2" t="s">
        <v>15</v>
      </c>
      <c r="E368" s="2" t="s">
        <v>16</v>
      </c>
      <c r="G368" s="2">
        <v>1</v>
      </c>
      <c r="H368" s="2" t="s">
        <v>10</v>
      </c>
      <c r="I368" s="2" t="s">
        <v>23</v>
      </c>
    </row>
    <row r="369" spans="1:9" x14ac:dyDescent="0.25">
      <c r="A369" s="2" t="s">
        <v>9</v>
      </c>
      <c r="B369" s="2" t="s">
        <v>18</v>
      </c>
      <c r="C369" s="2" t="s">
        <v>19</v>
      </c>
      <c r="D369" s="2" t="s">
        <v>15</v>
      </c>
      <c r="E369" s="2" t="s">
        <v>20</v>
      </c>
      <c r="G369" s="2">
        <v>1</v>
      </c>
      <c r="H369" s="2" t="s">
        <v>12</v>
      </c>
      <c r="I369" s="2" t="s">
        <v>12</v>
      </c>
    </row>
    <row r="370" spans="1:9" x14ac:dyDescent="0.25">
      <c r="A370" s="2" t="s">
        <v>9</v>
      </c>
      <c r="B370" s="2" t="s">
        <v>18</v>
      </c>
      <c r="C370" s="2" t="s">
        <v>19</v>
      </c>
      <c r="D370" s="2" t="s">
        <v>15</v>
      </c>
      <c r="E370" s="2" t="s">
        <v>20</v>
      </c>
      <c r="G370" s="2">
        <v>1</v>
      </c>
      <c r="H370" s="2" t="s">
        <v>12</v>
      </c>
      <c r="I370" s="2" t="s">
        <v>12</v>
      </c>
    </row>
    <row r="371" spans="1:9" x14ac:dyDescent="0.25">
      <c r="A371" s="2" t="s">
        <v>9</v>
      </c>
      <c r="B371" s="2" t="s">
        <v>21</v>
      </c>
      <c r="C371" s="2" t="s">
        <v>19</v>
      </c>
      <c r="D371" s="2" t="s">
        <v>15</v>
      </c>
      <c r="E371" s="2" t="s">
        <v>22</v>
      </c>
      <c r="G371" s="2">
        <v>1</v>
      </c>
      <c r="H371" s="2" t="s">
        <v>12</v>
      </c>
      <c r="I371" s="2" t="s">
        <v>12</v>
      </c>
    </row>
    <row r="372" spans="1:9" x14ac:dyDescent="0.25">
      <c r="A372" s="2" t="s">
        <v>9</v>
      </c>
      <c r="B372" s="2" t="s">
        <v>21</v>
      </c>
      <c r="C372" s="2" t="s">
        <v>19</v>
      </c>
      <c r="D372" s="2" t="s">
        <v>15</v>
      </c>
      <c r="E372" s="2" t="s">
        <v>22</v>
      </c>
      <c r="G372" s="2">
        <v>1</v>
      </c>
      <c r="H372" s="2" t="s">
        <v>12</v>
      </c>
      <c r="I372" s="2" t="s">
        <v>12</v>
      </c>
    </row>
    <row r="373" spans="1:9" x14ac:dyDescent="0.25">
      <c r="A373" s="2" t="s">
        <v>9</v>
      </c>
      <c r="B373" s="2" t="s">
        <v>24</v>
      </c>
      <c r="C373" s="2" t="s">
        <v>25</v>
      </c>
      <c r="D373" s="2" t="s">
        <v>26</v>
      </c>
      <c r="E373" s="2" t="s">
        <v>27</v>
      </c>
      <c r="G373" s="2">
        <v>1</v>
      </c>
      <c r="H373" s="2" t="s">
        <v>10</v>
      </c>
      <c r="I373" s="2" t="s">
        <v>28</v>
      </c>
    </row>
    <row r="374" spans="1:9" x14ac:dyDescent="0.25">
      <c r="A374" s="2" t="s">
        <v>9</v>
      </c>
      <c r="B374" s="2" t="s">
        <v>29</v>
      </c>
      <c r="C374" s="2" t="s">
        <v>19</v>
      </c>
      <c r="D374" s="2" t="s">
        <v>26</v>
      </c>
      <c r="E374" s="2" t="s">
        <v>30</v>
      </c>
      <c r="G374" s="2">
        <v>1</v>
      </c>
      <c r="H374" s="2" t="s">
        <v>12</v>
      </c>
      <c r="I374" s="2" t="s">
        <v>12</v>
      </c>
    </row>
    <row r="375" spans="1:9" x14ac:dyDescent="0.25">
      <c r="A375" s="2" t="s">
        <v>9</v>
      </c>
      <c r="B375" s="2" t="s">
        <v>29</v>
      </c>
      <c r="C375" s="2" t="s">
        <v>19</v>
      </c>
      <c r="D375" s="2" t="s">
        <v>26</v>
      </c>
      <c r="E375" s="2" t="s">
        <v>30</v>
      </c>
      <c r="G375" s="2">
        <v>1</v>
      </c>
      <c r="H375" s="2" t="s">
        <v>12</v>
      </c>
      <c r="I375" s="2" t="s">
        <v>12</v>
      </c>
    </row>
    <row r="376" spans="1:9" x14ac:dyDescent="0.25">
      <c r="A376" s="2" t="s">
        <v>9</v>
      </c>
      <c r="B376" s="2" t="s">
        <v>29</v>
      </c>
      <c r="C376" s="2" t="s">
        <v>19</v>
      </c>
      <c r="D376" s="2" t="s">
        <v>26</v>
      </c>
      <c r="E376" s="2" t="s">
        <v>30</v>
      </c>
      <c r="G376" s="2">
        <v>1</v>
      </c>
      <c r="H376" s="2" t="s">
        <v>12</v>
      </c>
      <c r="I376" s="2" t="s">
        <v>12</v>
      </c>
    </row>
    <row r="377" spans="1:9" x14ac:dyDescent="0.25">
      <c r="A377" s="2" t="s">
        <v>9</v>
      </c>
      <c r="B377" s="2" t="s">
        <v>29</v>
      </c>
      <c r="C377" s="2" t="s">
        <v>19</v>
      </c>
      <c r="D377" s="2" t="s">
        <v>26</v>
      </c>
      <c r="E377" s="2" t="s">
        <v>30</v>
      </c>
      <c r="G377" s="2">
        <v>1</v>
      </c>
      <c r="H377" s="2" t="s">
        <v>12</v>
      </c>
      <c r="I377" s="2" t="s">
        <v>12</v>
      </c>
    </row>
    <row r="378" spans="1:9" x14ac:dyDescent="0.25">
      <c r="A378" s="2" t="s">
        <v>9</v>
      </c>
      <c r="B378" s="2" t="s">
        <v>29</v>
      </c>
      <c r="C378" s="2" t="s">
        <v>19</v>
      </c>
      <c r="D378" s="2" t="s">
        <v>26</v>
      </c>
      <c r="E378" s="2" t="s">
        <v>30</v>
      </c>
      <c r="G378" s="2">
        <v>1</v>
      </c>
      <c r="H378" s="2" t="s">
        <v>12</v>
      </c>
      <c r="I378" s="2" t="s">
        <v>12</v>
      </c>
    </row>
    <row r="379" spans="1:9" x14ac:dyDescent="0.25">
      <c r="A379" s="2" t="s">
        <v>9</v>
      </c>
      <c r="B379" s="2" t="s">
        <v>31</v>
      </c>
      <c r="C379" s="2" t="s">
        <v>19</v>
      </c>
      <c r="D379" s="2" t="s">
        <v>26</v>
      </c>
      <c r="E379" s="2" t="s">
        <v>32</v>
      </c>
      <c r="G379" s="2">
        <v>1</v>
      </c>
      <c r="H379" s="2" t="s">
        <v>12</v>
      </c>
      <c r="I379" s="2" t="s">
        <v>12</v>
      </c>
    </row>
    <row r="380" spans="1:9" x14ac:dyDescent="0.25">
      <c r="A380" s="2" t="s">
        <v>9</v>
      </c>
      <c r="B380" s="2" t="s">
        <v>31</v>
      </c>
      <c r="C380" s="2" t="s">
        <v>19</v>
      </c>
      <c r="D380" s="2" t="s">
        <v>26</v>
      </c>
      <c r="E380" s="2" t="s">
        <v>32</v>
      </c>
      <c r="G380" s="2">
        <v>1</v>
      </c>
      <c r="H380" s="2" t="s">
        <v>12</v>
      </c>
      <c r="I380" s="2" t="s">
        <v>12</v>
      </c>
    </row>
    <row r="381" spans="1:9" x14ac:dyDescent="0.25">
      <c r="A381" s="2" t="s">
        <v>9</v>
      </c>
      <c r="B381" s="2" t="s">
        <v>31</v>
      </c>
      <c r="C381" s="2" t="s">
        <v>19</v>
      </c>
      <c r="D381" s="2" t="s">
        <v>26</v>
      </c>
      <c r="E381" s="2" t="s">
        <v>32</v>
      </c>
      <c r="G381" s="2">
        <v>1</v>
      </c>
      <c r="H381" s="2" t="s">
        <v>12</v>
      </c>
      <c r="I381" s="2" t="s">
        <v>12</v>
      </c>
    </row>
    <row r="382" spans="1:9" x14ac:dyDescent="0.25">
      <c r="A382" s="2" t="s">
        <v>9</v>
      </c>
      <c r="B382" s="2" t="s">
        <v>31</v>
      </c>
      <c r="C382" s="2" t="s">
        <v>19</v>
      </c>
      <c r="D382" s="2" t="s">
        <v>26</v>
      </c>
      <c r="E382" s="2" t="s">
        <v>32</v>
      </c>
      <c r="G382" s="2">
        <v>1</v>
      </c>
      <c r="H382" s="2" t="s">
        <v>12</v>
      </c>
      <c r="I382" s="2" t="s">
        <v>12</v>
      </c>
    </row>
    <row r="383" spans="1:9" x14ac:dyDescent="0.25">
      <c r="A383" s="2" t="s">
        <v>9</v>
      </c>
      <c r="B383" s="2" t="s">
        <v>31</v>
      </c>
      <c r="C383" s="2" t="s">
        <v>19</v>
      </c>
      <c r="D383" s="2" t="s">
        <v>26</v>
      </c>
      <c r="E383" s="2" t="s">
        <v>32</v>
      </c>
      <c r="G383" s="2">
        <v>1</v>
      </c>
      <c r="H383" s="2" t="s">
        <v>12</v>
      </c>
      <c r="I383" s="2" t="s">
        <v>12</v>
      </c>
    </row>
    <row r="384" spans="1:9" x14ac:dyDescent="0.25">
      <c r="A384" s="2" t="s">
        <v>9</v>
      </c>
      <c r="B384" s="2" t="s">
        <v>31</v>
      </c>
      <c r="C384" s="2" t="s">
        <v>19</v>
      </c>
      <c r="D384" s="2" t="s">
        <v>26</v>
      </c>
      <c r="E384" s="2" t="s">
        <v>32</v>
      </c>
      <c r="G384" s="2">
        <v>1</v>
      </c>
      <c r="H384" s="2" t="s">
        <v>12</v>
      </c>
      <c r="I384" s="2" t="s">
        <v>12</v>
      </c>
    </row>
    <row r="385" spans="1:9" x14ac:dyDescent="0.25">
      <c r="A385" s="2" t="s">
        <v>9</v>
      </c>
      <c r="B385" s="2" t="s">
        <v>31</v>
      </c>
      <c r="C385" s="2" t="s">
        <v>19</v>
      </c>
      <c r="D385" s="2" t="s">
        <v>26</v>
      </c>
      <c r="E385" s="2" t="s">
        <v>32</v>
      </c>
      <c r="G385" s="2">
        <v>1</v>
      </c>
      <c r="H385" s="2" t="s">
        <v>12</v>
      </c>
      <c r="I385" s="2" t="s">
        <v>12</v>
      </c>
    </row>
    <row r="386" spans="1:9" x14ac:dyDescent="0.25">
      <c r="A386" s="2" t="s">
        <v>9</v>
      </c>
      <c r="B386" s="2" t="s">
        <v>31</v>
      </c>
      <c r="C386" s="2" t="s">
        <v>19</v>
      </c>
      <c r="D386" s="2" t="s">
        <v>26</v>
      </c>
      <c r="E386" s="2" t="s">
        <v>32</v>
      </c>
      <c r="G386" s="2">
        <v>1</v>
      </c>
      <c r="H386" s="2" t="s">
        <v>12</v>
      </c>
      <c r="I386" s="2" t="s">
        <v>12</v>
      </c>
    </row>
    <row r="387" spans="1:9" x14ac:dyDescent="0.25">
      <c r="A387" s="2" t="s">
        <v>9</v>
      </c>
      <c r="B387" s="2" t="s">
        <v>31</v>
      </c>
      <c r="C387" s="2" t="s">
        <v>19</v>
      </c>
      <c r="D387" s="2" t="s">
        <v>26</v>
      </c>
      <c r="E387" s="2" t="s">
        <v>32</v>
      </c>
      <c r="G387" s="2">
        <v>1</v>
      </c>
      <c r="H387" s="2" t="s">
        <v>12</v>
      </c>
      <c r="I387" s="2" t="s">
        <v>12</v>
      </c>
    </row>
    <row r="388" spans="1:9" x14ac:dyDescent="0.25">
      <c r="A388" s="2" t="s">
        <v>9</v>
      </c>
      <c r="B388" s="2" t="s">
        <v>31</v>
      </c>
      <c r="C388" s="2" t="s">
        <v>19</v>
      </c>
      <c r="D388" s="2" t="s">
        <v>26</v>
      </c>
      <c r="E388" s="2" t="s">
        <v>32</v>
      </c>
      <c r="G388" s="2">
        <v>1</v>
      </c>
      <c r="H388" s="2" t="s">
        <v>12</v>
      </c>
      <c r="I388" s="2" t="s">
        <v>12</v>
      </c>
    </row>
    <row r="389" spans="1:9" x14ac:dyDescent="0.25">
      <c r="A389" s="2" t="s">
        <v>9</v>
      </c>
      <c r="B389" s="2" t="s">
        <v>33</v>
      </c>
      <c r="C389" s="2" t="s">
        <v>19</v>
      </c>
      <c r="D389" s="2" t="s">
        <v>26</v>
      </c>
      <c r="E389" s="2" t="s">
        <v>34</v>
      </c>
      <c r="G389" s="2">
        <v>1</v>
      </c>
      <c r="H389" s="2" t="s">
        <v>12</v>
      </c>
      <c r="I389" s="2" t="s">
        <v>12</v>
      </c>
    </row>
    <row r="390" spans="1:9" x14ac:dyDescent="0.25">
      <c r="A390" s="2" t="s">
        <v>9</v>
      </c>
      <c r="B390" s="2" t="s">
        <v>33</v>
      </c>
      <c r="C390" s="2" t="s">
        <v>19</v>
      </c>
      <c r="D390" s="2" t="s">
        <v>26</v>
      </c>
      <c r="E390" s="2" t="s">
        <v>34</v>
      </c>
      <c r="G390" s="2">
        <v>1</v>
      </c>
      <c r="H390" s="2" t="s">
        <v>12</v>
      </c>
      <c r="I390" s="2" t="s">
        <v>12</v>
      </c>
    </row>
    <row r="391" spans="1:9" x14ac:dyDescent="0.25">
      <c r="A391" s="2" t="s">
        <v>9</v>
      </c>
      <c r="B391" s="2" t="s">
        <v>33</v>
      </c>
      <c r="C391" s="2" t="s">
        <v>19</v>
      </c>
      <c r="D391" s="2" t="s">
        <v>26</v>
      </c>
      <c r="E391" s="2" t="s">
        <v>34</v>
      </c>
      <c r="G391" s="2">
        <v>1</v>
      </c>
      <c r="H391" s="2" t="s">
        <v>12</v>
      </c>
      <c r="I391" s="2" t="s">
        <v>12</v>
      </c>
    </row>
    <row r="392" spans="1:9" x14ac:dyDescent="0.25">
      <c r="A392" s="2" t="s">
        <v>9</v>
      </c>
      <c r="B392" s="2" t="s">
        <v>33</v>
      </c>
      <c r="C392" s="2" t="s">
        <v>19</v>
      </c>
      <c r="D392" s="2" t="s">
        <v>26</v>
      </c>
      <c r="E392" s="2" t="s">
        <v>34</v>
      </c>
      <c r="G392" s="2">
        <v>1</v>
      </c>
      <c r="H392" s="2" t="s">
        <v>12</v>
      </c>
      <c r="I392" s="2" t="s">
        <v>12</v>
      </c>
    </row>
    <row r="393" spans="1:9" x14ac:dyDescent="0.25">
      <c r="A393" s="2" t="s">
        <v>9</v>
      </c>
      <c r="B393" s="2" t="s">
        <v>24</v>
      </c>
      <c r="C393" s="2" t="s">
        <v>25</v>
      </c>
      <c r="D393" s="2" t="s">
        <v>26</v>
      </c>
      <c r="E393" s="2" t="s">
        <v>27</v>
      </c>
      <c r="G393" s="2">
        <v>1</v>
      </c>
      <c r="H393" s="2" t="s">
        <v>10</v>
      </c>
      <c r="I393" s="2" t="s">
        <v>35</v>
      </c>
    </row>
    <row r="394" spans="1:9" x14ac:dyDescent="0.25">
      <c r="A394" s="2" t="s">
        <v>9</v>
      </c>
      <c r="B394" s="2" t="s">
        <v>29</v>
      </c>
      <c r="C394" s="2" t="s">
        <v>19</v>
      </c>
      <c r="D394" s="2" t="s">
        <v>26</v>
      </c>
      <c r="E394" s="2" t="s">
        <v>30</v>
      </c>
      <c r="G394" s="2">
        <v>1</v>
      </c>
      <c r="H394" s="2" t="s">
        <v>12</v>
      </c>
      <c r="I394" s="2" t="s">
        <v>12</v>
      </c>
    </row>
    <row r="395" spans="1:9" x14ac:dyDescent="0.25">
      <c r="A395" s="2" t="s">
        <v>9</v>
      </c>
      <c r="B395" s="2" t="s">
        <v>29</v>
      </c>
      <c r="C395" s="2" t="s">
        <v>19</v>
      </c>
      <c r="D395" s="2" t="s">
        <v>26</v>
      </c>
      <c r="E395" s="2" t="s">
        <v>30</v>
      </c>
      <c r="G395" s="2">
        <v>1</v>
      </c>
      <c r="H395" s="2" t="s">
        <v>12</v>
      </c>
      <c r="I395" s="2" t="s">
        <v>12</v>
      </c>
    </row>
    <row r="396" spans="1:9" x14ac:dyDescent="0.25">
      <c r="A396" s="2" t="s">
        <v>9</v>
      </c>
      <c r="B396" s="2" t="s">
        <v>29</v>
      </c>
      <c r="C396" s="2" t="s">
        <v>19</v>
      </c>
      <c r="D396" s="2" t="s">
        <v>26</v>
      </c>
      <c r="E396" s="2" t="s">
        <v>30</v>
      </c>
      <c r="G396" s="2">
        <v>1</v>
      </c>
      <c r="H396" s="2" t="s">
        <v>12</v>
      </c>
      <c r="I396" s="2" t="s">
        <v>12</v>
      </c>
    </row>
    <row r="397" spans="1:9" x14ac:dyDescent="0.25">
      <c r="A397" s="2" t="s">
        <v>9</v>
      </c>
      <c r="B397" s="2" t="s">
        <v>29</v>
      </c>
      <c r="C397" s="2" t="s">
        <v>19</v>
      </c>
      <c r="D397" s="2" t="s">
        <v>26</v>
      </c>
      <c r="E397" s="2" t="s">
        <v>30</v>
      </c>
      <c r="G397" s="2">
        <v>1</v>
      </c>
      <c r="H397" s="2" t="s">
        <v>12</v>
      </c>
      <c r="I397" s="2" t="s">
        <v>12</v>
      </c>
    </row>
    <row r="398" spans="1:9" x14ac:dyDescent="0.25">
      <c r="A398" s="2" t="s">
        <v>9</v>
      </c>
      <c r="B398" s="2" t="s">
        <v>29</v>
      </c>
      <c r="C398" s="2" t="s">
        <v>19</v>
      </c>
      <c r="D398" s="2" t="s">
        <v>26</v>
      </c>
      <c r="E398" s="2" t="s">
        <v>30</v>
      </c>
      <c r="G398" s="2">
        <v>1</v>
      </c>
      <c r="H398" s="2" t="s">
        <v>12</v>
      </c>
      <c r="I398" s="2" t="s">
        <v>12</v>
      </c>
    </row>
    <row r="399" spans="1:9" x14ac:dyDescent="0.25">
      <c r="A399" s="2" t="s">
        <v>9</v>
      </c>
      <c r="B399" s="2" t="s">
        <v>31</v>
      </c>
      <c r="C399" s="2" t="s">
        <v>19</v>
      </c>
      <c r="D399" s="2" t="s">
        <v>26</v>
      </c>
      <c r="E399" s="2" t="s">
        <v>32</v>
      </c>
      <c r="G399" s="2">
        <v>1</v>
      </c>
      <c r="H399" s="2" t="s">
        <v>12</v>
      </c>
      <c r="I399" s="2" t="s">
        <v>12</v>
      </c>
    </row>
    <row r="400" spans="1:9" x14ac:dyDescent="0.25">
      <c r="A400" s="2" t="s">
        <v>9</v>
      </c>
      <c r="B400" s="2" t="s">
        <v>31</v>
      </c>
      <c r="C400" s="2" t="s">
        <v>19</v>
      </c>
      <c r="D400" s="2" t="s">
        <v>26</v>
      </c>
      <c r="E400" s="2" t="s">
        <v>32</v>
      </c>
      <c r="G400" s="2">
        <v>1</v>
      </c>
      <c r="H400" s="2" t="s">
        <v>12</v>
      </c>
      <c r="I400" s="2" t="s">
        <v>12</v>
      </c>
    </row>
    <row r="401" spans="1:9" x14ac:dyDescent="0.25">
      <c r="A401" s="2" t="s">
        <v>9</v>
      </c>
      <c r="B401" s="2" t="s">
        <v>31</v>
      </c>
      <c r="C401" s="2" t="s">
        <v>19</v>
      </c>
      <c r="D401" s="2" t="s">
        <v>26</v>
      </c>
      <c r="E401" s="2" t="s">
        <v>32</v>
      </c>
      <c r="G401" s="2">
        <v>1</v>
      </c>
      <c r="H401" s="2" t="s">
        <v>12</v>
      </c>
      <c r="I401" s="2" t="s">
        <v>12</v>
      </c>
    </row>
    <row r="402" spans="1:9" x14ac:dyDescent="0.25">
      <c r="A402" s="2" t="s">
        <v>9</v>
      </c>
      <c r="B402" s="2" t="s">
        <v>31</v>
      </c>
      <c r="C402" s="2" t="s">
        <v>19</v>
      </c>
      <c r="D402" s="2" t="s">
        <v>26</v>
      </c>
      <c r="E402" s="2" t="s">
        <v>32</v>
      </c>
      <c r="G402" s="2">
        <v>1</v>
      </c>
      <c r="H402" s="2" t="s">
        <v>12</v>
      </c>
      <c r="I402" s="2" t="s">
        <v>12</v>
      </c>
    </row>
    <row r="403" spans="1:9" x14ac:dyDescent="0.25">
      <c r="A403" s="2" t="s">
        <v>9</v>
      </c>
      <c r="B403" s="2" t="s">
        <v>31</v>
      </c>
      <c r="C403" s="2" t="s">
        <v>19</v>
      </c>
      <c r="D403" s="2" t="s">
        <v>26</v>
      </c>
      <c r="E403" s="2" t="s">
        <v>32</v>
      </c>
      <c r="G403" s="2">
        <v>1</v>
      </c>
      <c r="H403" s="2" t="s">
        <v>12</v>
      </c>
      <c r="I403" s="2" t="s">
        <v>12</v>
      </c>
    </row>
    <row r="404" spans="1:9" x14ac:dyDescent="0.25">
      <c r="A404" s="2" t="s">
        <v>9</v>
      </c>
      <c r="B404" s="2" t="s">
        <v>31</v>
      </c>
      <c r="C404" s="2" t="s">
        <v>19</v>
      </c>
      <c r="D404" s="2" t="s">
        <v>26</v>
      </c>
      <c r="E404" s="2" t="s">
        <v>32</v>
      </c>
      <c r="G404" s="2">
        <v>1</v>
      </c>
      <c r="H404" s="2" t="s">
        <v>12</v>
      </c>
      <c r="I404" s="2" t="s">
        <v>12</v>
      </c>
    </row>
    <row r="405" spans="1:9" x14ac:dyDescent="0.25">
      <c r="A405" s="2" t="s">
        <v>9</v>
      </c>
      <c r="B405" s="2" t="s">
        <v>31</v>
      </c>
      <c r="C405" s="2" t="s">
        <v>19</v>
      </c>
      <c r="D405" s="2" t="s">
        <v>26</v>
      </c>
      <c r="E405" s="2" t="s">
        <v>32</v>
      </c>
      <c r="G405" s="2">
        <v>1</v>
      </c>
      <c r="H405" s="2" t="s">
        <v>12</v>
      </c>
      <c r="I405" s="2" t="s">
        <v>12</v>
      </c>
    </row>
    <row r="406" spans="1:9" x14ac:dyDescent="0.25">
      <c r="A406" s="2" t="s">
        <v>9</v>
      </c>
      <c r="B406" s="2" t="s">
        <v>31</v>
      </c>
      <c r="C406" s="2" t="s">
        <v>19</v>
      </c>
      <c r="D406" s="2" t="s">
        <v>26</v>
      </c>
      <c r="E406" s="2" t="s">
        <v>32</v>
      </c>
      <c r="G406" s="2">
        <v>1</v>
      </c>
      <c r="H406" s="2" t="s">
        <v>12</v>
      </c>
      <c r="I406" s="2" t="s">
        <v>12</v>
      </c>
    </row>
    <row r="407" spans="1:9" x14ac:dyDescent="0.25">
      <c r="A407" s="2" t="s">
        <v>9</v>
      </c>
      <c r="B407" s="2" t="s">
        <v>31</v>
      </c>
      <c r="C407" s="2" t="s">
        <v>19</v>
      </c>
      <c r="D407" s="2" t="s">
        <v>26</v>
      </c>
      <c r="E407" s="2" t="s">
        <v>32</v>
      </c>
      <c r="G407" s="2">
        <v>1</v>
      </c>
      <c r="H407" s="2" t="s">
        <v>12</v>
      </c>
      <c r="I407" s="2" t="s">
        <v>12</v>
      </c>
    </row>
    <row r="408" spans="1:9" x14ac:dyDescent="0.25">
      <c r="A408" s="2" t="s">
        <v>9</v>
      </c>
      <c r="B408" s="2" t="s">
        <v>33</v>
      </c>
      <c r="C408" s="2" t="s">
        <v>19</v>
      </c>
      <c r="D408" s="2" t="s">
        <v>26</v>
      </c>
      <c r="E408" s="2" t="s">
        <v>34</v>
      </c>
      <c r="G408" s="2">
        <v>1</v>
      </c>
      <c r="H408" s="2" t="s">
        <v>12</v>
      </c>
      <c r="I408" s="2" t="s">
        <v>12</v>
      </c>
    </row>
    <row r="409" spans="1:9" x14ac:dyDescent="0.25">
      <c r="A409" s="2" t="s">
        <v>9</v>
      </c>
      <c r="B409" s="2" t="s">
        <v>33</v>
      </c>
      <c r="C409" s="2" t="s">
        <v>19</v>
      </c>
      <c r="D409" s="2" t="s">
        <v>26</v>
      </c>
      <c r="E409" s="2" t="s">
        <v>34</v>
      </c>
      <c r="G409" s="2">
        <v>1</v>
      </c>
      <c r="H409" s="2" t="s">
        <v>12</v>
      </c>
      <c r="I409" s="2" t="s">
        <v>12</v>
      </c>
    </row>
    <row r="410" spans="1:9" x14ac:dyDescent="0.25">
      <c r="A410" s="2" t="s">
        <v>9</v>
      </c>
      <c r="B410" s="2" t="s">
        <v>33</v>
      </c>
      <c r="C410" s="2" t="s">
        <v>19</v>
      </c>
      <c r="D410" s="2" t="s">
        <v>26</v>
      </c>
      <c r="E410" s="2" t="s">
        <v>34</v>
      </c>
      <c r="G410" s="2">
        <v>1</v>
      </c>
      <c r="H410" s="2" t="s">
        <v>12</v>
      </c>
      <c r="I410" s="2" t="s">
        <v>12</v>
      </c>
    </row>
    <row r="411" spans="1:9" x14ac:dyDescent="0.25">
      <c r="A411" s="2" t="s">
        <v>9</v>
      </c>
      <c r="B411" s="2" t="s">
        <v>33</v>
      </c>
      <c r="C411" s="2" t="s">
        <v>19</v>
      </c>
      <c r="D411" s="2" t="s">
        <v>26</v>
      </c>
      <c r="E411" s="2" t="s">
        <v>34</v>
      </c>
      <c r="G411" s="2">
        <v>1</v>
      </c>
      <c r="H411" s="2" t="s">
        <v>12</v>
      </c>
      <c r="I411" s="2" t="s">
        <v>12</v>
      </c>
    </row>
    <row r="412" spans="1:9" x14ac:dyDescent="0.25">
      <c r="A412" s="2" t="s">
        <v>9</v>
      </c>
      <c r="B412" s="2" t="s">
        <v>36</v>
      </c>
      <c r="C412" s="2" t="s">
        <v>11</v>
      </c>
      <c r="D412" s="2" t="s">
        <v>12</v>
      </c>
      <c r="E412" s="2" t="s">
        <v>12</v>
      </c>
      <c r="F412" s="8" t="s">
        <v>12</v>
      </c>
      <c r="G412" s="2">
        <v>1</v>
      </c>
      <c r="H412" s="2" t="s">
        <v>36</v>
      </c>
      <c r="I412" s="2" t="s">
        <v>12</v>
      </c>
    </row>
    <row r="413" spans="1:9" x14ac:dyDescent="0.25">
      <c r="A413" s="2" t="s">
        <v>9</v>
      </c>
      <c r="B413" s="2" t="s">
        <v>13</v>
      </c>
      <c r="C413" s="2" t="s">
        <v>14</v>
      </c>
      <c r="D413" s="2" t="s">
        <v>15</v>
      </c>
      <c r="E413" s="2" t="s">
        <v>16</v>
      </c>
      <c r="G413" s="2">
        <v>1</v>
      </c>
      <c r="H413" s="2" t="s">
        <v>36</v>
      </c>
      <c r="I413" s="2" t="s">
        <v>37</v>
      </c>
    </row>
    <row r="414" spans="1:9" x14ac:dyDescent="0.25">
      <c r="A414" s="2" t="s">
        <v>9</v>
      </c>
      <c r="B414" s="2" t="s">
        <v>18</v>
      </c>
      <c r="C414" s="2" t="s">
        <v>19</v>
      </c>
      <c r="D414" s="2" t="s">
        <v>15</v>
      </c>
      <c r="E414" s="2" t="s">
        <v>20</v>
      </c>
      <c r="G414" s="2">
        <v>1</v>
      </c>
      <c r="H414" s="2" t="s">
        <v>12</v>
      </c>
      <c r="I414" s="2" t="s">
        <v>12</v>
      </c>
    </row>
    <row r="415" spans="1:9" x14ac:dyDescent="0.25">
      <c r="A415" s="2" t="s">
        <v>9</v>
      </c>
      <c r="B415" s="2" t="s">
        <v>18</v>
      </c>
      <c r="C415" s="2" t="s">
        <v>19</v>
      </c>
      <c r="D415" s="2" t="s">
        <v>15</v>
      </c>
      <c r="E415" s="2" t="s">
        <v>20</v>
      </c>
      <c r="G415" s="2">
        <v>1</v>
      </c>
      <c r="H415" s="2" t="s">
        <v>12</v>
      </c>
      <c r="I415" s="2" t="s">
        <v>12</v>
      </c>
    </row>
    <row r="416" spans="1:9" x14ac:dyDescent="0.25">
      <c r="A416" s="2" t="s">
        <v>9</v>
      </c>
      <c r="B416" s="2" t="s">
        <v>21</v>
      </c>
      <c r="C416" s="2" t="s">
        <v>19</v>
      </c>
      <c r="D416" s="2" t="s">
        <v>15</v>
      </c>
      <c r="E416" s="2" t="s">
        <v>22</v>
      </c>
      <c r="G416" s="2">
        <v>1</v>
      </c>
      <c r="H416" s="2" t="s">
        <v>12</v>
      </c>
      <c r="I416" s="2" t="s">
        <v>12</v>
      </c>
    </row>
    <row r="417" spans="1:9" x14ac:dyDescent="0.25">
      <c r="A417" s="2" t="s">
        <v>9</v>
      </c>
      <c r="B417" s="2" t="s">
        <v>21</v>
      </c>
      <c r="C417" s="2" t="s">
        <v>19</v>
      </c>
      <c r="D417" s="2" t="s">
        <v>15</v>
      </c>
      <c r="E417" s="2" t="s">
        <v>22</v>
      </c>
      <c r="G417" s="2">
        <v>1</v>
      </c>
      <c r="H417" s="2" t="s">
        <v>12</v>
      </c>
      <c r="I417" s="2" t="s">
        <v>12</v>
      </c>
    </row>
    <row r="418" spans="1:9" x14ac:dyDescent="0.25">
      <c r="A418" s="2" t="s">
        <v>9</v>
      </c>
      <c r="B418" s="2" t="s">
        <v>13</v>
      </c>
      <c r="C418" s="2" t="s">
        <v>14</v>
      </c>
      <c r="D418" s="2" t="s">
        <v>15</v>
      </c>
      <c r="E418" s="2" t="s">
        <v>16</v>
      </c>
      <c r="G418" s="2">
        <v>1</v>
      </c>
      <c r="H418" s="2" t="s">
        <v>36</v>
      </c>
      <c r="I418" s="2" t="s">
        <v>38</v>
      </c>
    </row>
    <row r="419" spans="1:9" x14ac:dyDescent="0.25">
      <c r="A419" s="2" t="s">
        <v>9</v>
      </c>
      <c r="B419" s="2" t="s">
        <v>18</v>
      </c>
      <c r="C419" s="2" t="s">
        <v>19</v>
      </c>
      <c r="D419" s="2" t="s">
        <v>15</v>
      </c>
      <c r="E419" s="2" t="s">
        <v>20</v>
      </c>
      <c r="G419" s="2">
        <v>1</v>
      </c>
      <c r="H419" s="2" t="s">
        <v>12</v>
      </c>
      <c r="I419" s="2" t="s">
        <v>12</v>
      </c>
    </row>
    <row r="420" spans="1:9" x14ac:dyDescent="0.25">
      <c r="A420" s="2" t="s">
        <v>9</v>
      </c>
      <c r="B420" s="2" t="s">
        <v>18</v>
      </c>
      <c r="C420" s="2" t="s">
        <v>19</v>
      </c>
      <c r="D420" s="2" t="s">
        <v>15</v>
      </c>
      <c r="E420" s="2" t="s">
        <v>20</v>
      </c>
      <c r="G420" s="2">
        <v>1</v>
      </c>
      <c r="H420" s="2" t="s">
        <v>12</v>
      </c>
      <c r="I420" s="2" t="s">
        <v>12</v>
      </c>
    </row>
    <row r="421" spans="1:9" x14ac:dyDescent="0.25">
      <c r="A421" s="2" t="s">
        <v>9</v>
      </c>
      <c r="B421" s="2" t="s">
        <v>21</v>
      </c>
      <c r="C421" s="2" t="s">
        <v>19</v>
      </c>
      <c r="D421" s="2" t="s">
        <v>15</v>
      </c>
      <c r="E421" s="2" t="s">
        <v>22</v>
      </c>
      <c r="G421" s="2">
        <v>1</v>
      </c>
      <c r="H421" s="2" t="s">
        <v>12</v>
      </c>
      <c r="I421" s="2" t="s">
        <v>12</v>
      </c>
    </row>
    <row r="422" spans="1:9" x14ac:dyDescent="0.25">
      <c r="A422" s="2" t="s">
        <v>9</v>
      </c>
      <c r="B422" s="2" t="s">
        <v>21</v>
      </c>
      <c r="C422" s="2" t="s">
        <v>19</v>
      </c>
      <c r="D422" s="2" t="s">
        <v>15</v>
      </c>
      <c r="E422" s="2" t="s">
        <v>22</v>
      </c>
      <c r="G422" s="2">
        <v>1</v>
      </c>
      <c r="H422" s="2" t="s">
        <v>12</v>
      </c>
      <c r="I422" s="2" t="s">
        <v>12</v>
      </c>
    </row>
    <row r="423" spans="1:9" x14ac:dyDescent="0.25">
      <c r="A423" s="2" t="s">
        <v>9</v>
      </c>
      <c r="B423" s="2" t="s">
        <v>39</v>
      </c>
      <c r="C423" s="2" t="s">
        <v>40</v>
      </c>
      <c r="D423" s="2" t="s">
        <v>15</v>
      </c>
      <c r="E423" s="2" t="s">
        <v>41</v>
      </c>
      <c r="G423" s="2">
        <v>1</v>
      </c>
      <c r="H423" s="2" t="s">
        <v>12</v>
      </c>
      <c r="I423" s="2" t="s">
        <v>12</v>
      </c>
    </row>
    <row r="424" spans="1:9" x14ac:dyDescent="0.25">
      <c r="A424" s="2" t="s">
        <v>9</v>
      </c>
      <c r="B424" s="2" t="s">
        <v>39</v>
      </c>
      <c r="C424" s="2" t="s">
        <v>40</v>
      </c>
      <c r="D424" s="2" t="s">
        <v>15</v>
      </c>
      <c r="E424" s="2" t="s">
        <v>41</v>
      </c>
      <c r="G424" s="2">
        <v>1</v>
      </c>
      <c r="H424" s="2" t="s">
        <v>12</v>
      </c>
      <c r="I424" s="2" t="s">
        <v>12</v>
      </c>
    </row>
    <row r="425" spans="1:9" x14ac:dyDescent="0.25">
      <c r="A425" s="2" t="s">
        <v>9</v>
      </c>
      <c r="B425" s="2" t="s">
        <v>42</v>
      </c>
      <c r="C425" s="2" t="s">
        <v>43</v>
      </c>
      <c r="D425" s="2" t="s">
        <v>15</v>
      </c>
      <c r="E425" s="2" t="s">
        <v>44</v>
      </c>
      <c r="G425" s="2">
        <v>1</v>
      </c>
      <c r="H425" s="2" t="s">
        <v>36</v>
      </c>
      <c r="I425" s="2" t="s">
        <v>45</v>
      </c>
    </row>
    <row r="426" spans="1:9" x14ac:dyDescent="0.25">
      <c r="A426" s="2" t="s">
        <v>9</v>
      </c>
      <c r="B426" s="2" t="s">
        <v>46</v>
      </c>
      <c r="C426" s="2" t="s">
        <v>43</v>
      </c>
      <c r="D426" s="2" t="s">
        <v>15</v>
      </c>
      <c r="E426" s="2" t="s">
        <v>47</v>
      </c>
      <c r="G426" s="2">
        <v>1</v>
      </c>
      <c r="H426" s="2" t="s">
        <v>12</v>
      </c>
      <c r="I426" s="2" t="s">
        <v>12</v>
      </c>
    </row>
    <row r="427" spans="1:9" x14ac:dyDescent="0.25">
      <c r="A427" s="2" t="s">
        <v>9</v>
      </c>
      <c r="B427" s="2" t="s">
        <v>46</v>
      </c>
      <c r="C427" s="2" t="s">
        <v>43</v>
      </c>
      <c r="D427" s="2" t="s">
        <v>15</v>
      </c>
      <c r="E427" s="2" t="s">
        <v>47</v>
      </c>
      <c r="G427" s="2">
        <v>1</v>
      </c>
      <c r="H427" s="2" t="s">
        <v>12</v>
      </c>
      <c r="I427" s="2" t="s">
        <v>12</v>
      </c>
    </row>
    <row r="428" spans="1:9" x14ac:dyDescent="0.25">
      <c r="A428" s="2" t="s">
        <v>9</v>
      </c>
      <c r="B428" s="2" t="s">
        <v>48</v>
      </c>
      <c r="C428" s="2" t="s">
        <v>40</v>
      </c>
      <c r="D428" s="2" t="s">
        <v>15</v>
      </c>
      <c r="E428" s="2" t="s">
        <v>49</v>
      </c>
      <c r="G428" s="2">
        <v>1</v>
      </c>
      <c r="H428" s="2" t="s">
        <v>12</v>
      </c>
      <c r="I428" s="2" t="s">
        <v>12</v>
      </c>
    </row>
    <row r="429" spans="1:9" x14ac:dyDescent="0.25">
      <c r="A429" s="2" t="s">
        <v>9</v>
      </c>
      <c r="B429" s="2" t="s">
        <v>48</v>
      </c>
      <c r="C429" s="2" t="s">
        <v>40</v>
      </c>
      <c r="D429" s="2" t="s">
        <v>15</v>
      </c>
      <c r="E429" s="2" t="s">
        <v>49</v>
      </c>
      <c r="G429" s="2">
        <v>1</v>
      </c>
      <c r="H429" s="2" t="s">
        <v>12</v>
      </c>
      <c r="I429" s="2" t="s">
        <v>12</v>
      </c>
    </row>
    <row r="430" spans="1:9" x14ac:dyDescent="0.25">
      <c r="A430" s="2" t="s">
        <v>9</v>
      </c>
      <c r="B430" s="2" t="s">
        <v>48</v>
      </c>
      <c r="C430" s="2" t="s">
        <v>40</v>
      </c>
      <c r="D430" s="2" t="s">
        <v>15</v>
      </c>
      <c r="E430" s="2" t="s">
        <v>49</v>
      </c>
      <c r="G430" s="2">
        <v>1</v>
      </c>
      <c r="H430" s="2" t="s">
        <v>12</v>
      </c>
      <c r="I430" s="2" t="s">
        <v>12</v>
      </c>
    </row>
    <row r="431" spans="1:9" x14ac:dyDescent="0.25">
      <c r="A431" s="2" t="s">
        <v>9</v>
      </c>
      <c r="B431" s="2" t="s">
        <v>48</v>
      </c>
      <c r="C431" s="2" t="s">
        <v>40</v>
      </c>
      <c r="D431" s="2" t="s">
        <v>15</v>
      </c>
      <c r="E431" s="2" t="s">
        <v>49</v>
      </c>
      <c r="G431" s="2">
        <v>1</v>
      </c>
      <c r="H431" s="2" t="s">
        <v>12</v>
      </c>
      <c r="I431" s="2" t="s">
        <v>12</v>
      </c>
    </row>
    <row r="432" spans="1:9" x14ac:dyDescent="0.25">
      <c r="A432" s="2" t="s">
        <v>9</v>
      </c>
      <c r="B432" s="2" t="s">
        <v>48</v>
      </c>
      <c r="C432" s="2" t="s">
        <v>40</v>
      </c>
      <c r="D432" s="2" t="s">
        <v>15</v>
      </c>
      <c r="E432" s="2" t="s">
        <v>49</v>
      </c>
      <c r="G432" s="2">
        <v>1</v>
      </c>
      <c r="H432" s="2" t="s">
        <v>12</v>
      </c>
      <c r="I432" s="2" t="s">
        <v>12</v>
      </c>
    </row>
    <row r="433" spans="1:9" x14ac:dyDescent="0.25">
      <c r="A433" s="2" t="s">
        <v>9</v>
      </c>
      <c r="B433" s="2" t="s">
        <v>48</v>
      </c>
      <c r="C433" s="2" t="s">
        <v>40</v>
      </c>
      <c r="D433" s="2" t="s">
        <v>15</v>
      </c>
      <c r="E433" s="2" t="s">
        <v>49</v>
      </c>
      <c r="G433" s="2">
        <v>1</v>
      </c>
      <c r="H433" s="2" t="s">
        <v>12</v>
      </c>
      <c r="I433" s="2" t="s">
        <v>12</v>
      </c>
    </row>
    <row r="434" spans="1:9" x14ac:dyDescent="0.25">
      <c r="A434" s="2" t="s">
        <v>9</v>
      </c>
      <c r="B434" s="2" t="s">
        <v>48</v>
      </c>
      <c r="C434" s="2" t="s">
        <v>40</v>
      </c>
      <c r="D434" s="2" t="s">
        <v>15</v>
      </c>
      <c r="E434" s="2" t="s">
        <v>49</v>
      </c>
      <c r="G434" s="2">
        <v>1</v>
      </c>
      <c r="H434" s="2" t="s">
        <v>12</v>
      </c>
      <c r="I434" s="2" t="s">
        <v>12</v>
      </c>
    </row>
    <row r="435" spans="1:9" x14ac:dyDescent="0.25">
      <c r="A435" s="2" t="s">
        <v>9</v>
      </c>
      <c r="B435" s="2" t="s">
        <v>48</v>
      </c>
      <c r="C435" s="2" t="s">
        <v>40</v>
      </c>
      <c r="D435" s="2" t="s">
        <v>15</v>
      </c>
      <c r="E435" s="2" t="s">
        <v>49</v>
      </c>
      <c r="G435" s="2">
        <v>1</v>
      </c>
      <c r="H435" s="2" t="s">
        <v>12</v>
      </c>
      <c r="I435" s="2" t="s">
        <v>12</v>
      </c>
    </row>
    <row r="436" spans="1:9" x14ac:dyDescent="0.25">
      <c r="A436" s="2" t="s">
        <v>9</v>
      </c>
      <c r="B436" s="2" t="s">
        <v>48</v>
      </c>
      <c r="C436" s="2" t="s">
        <v>40</v>
      </c>
      <c r="D436" s="2" t="s">
        <v>15</v>
      </c>
      <c r="E436" s="2" t="s">
        <v>49</v>
      </c>
      <c r="G436" s="2">
        <v>1</v>
      </c>
      <c r="H436" s="2" t="s">
        <v>12</v>
      </c>
      <c r="I436" s="2" t="s">
        <v>12</v>
      </c>
    </row>
    <row r="437" spans="1:9" x14ac:dyDescent="0.25">
      <c r="A437" s="2" t="s">
        <v>9</v>
      </c>
      <c r="B437" s="2" t="s">
        <v>48</v>
      </c>
      <c r="C437" s="2" t="s">
        <v>40</v>
      </c>
      <c r="D437" s="2" t="s">
        <v>15</v>
      </c>
      <c r="E437" s="2" t="s">
        <v>49</v>
      </c>
      <c r="G437" s="2">
        <v>1</v>
      </c>
      <c r="H437" s="2" t="s">
        <v>12</v>
      </c>
      <c r="I437" s="2" t="s">
        <v>12</v>
      </c>
    </row>
    <row r="438" spans="1:9" x14ac:dyDescent="0.25">
      <c r="A438" s="2" t="s">
        <v>9</v>
      </c>
      <c r="B438" s="2" t="s">
        <v>48</v>
      </c>
      <c r="C438" s="2" t="s">
        <v>40</v>
      </c>
      <c r="D438" s="2" t="s">
        <v>15</v>
      </c>
      <c r="E438" s="2" t="s">
        <v>49</v>
      </c>
      <c r="G438" s="2">
        <v>1</v>
      </c>
      <c r="H438" s="2" t="s">
        <v>12</v>
      </c>
      <c r="I438" s="2" t="s">
        <v>12</v>
      </c>
    </row>
    <row r="439" spans="1:9" x14ac:dyDescent="0.25">
      <c r="A439" s="2" t="s">
        <v>9</v>
      </c>
      <c r="B439" s="2" t="s">
        <v>48</v>
      </c>
      <c r="C439" s="2" t="s">
        <v>40</v>
      </c>
      <c r="D439" s="2" t="s">
        <v>15</v>
      </c>
      <c r="E439" s="2" t="s">
        <v>49</v>
      </c>
      <c r="G439" s="2">
        <v>1</v>
      </c>
      <c r="H439" s="2" t="s">
        <v>12</v>
      </c>
      <c r="I439" s="2" t="s">
        <v>12</v>
      </c>
    </row>
    <row r="440" spans="1:9" x14ac:dyDescent="0.25">
      <c r="A440" s="2" t="s">
        <v>9</v>
      </c>
      <c r="B440" s="2" t="s">
        <v>50</v>
      </c>
      <c r="C440" s="2" t="s">
        <v>19</v>
      </c>
      <c r="D440" s="2" t="s">
        <v>15</v>
      </c>
      <c r="E440" s="2" t="s">
        <v>51</v>
      </c>
      <c r="G440" s="2">
        <v>1</v>
      </c>
      <c r="H440" s="2" t="s">
        <v>12</v>
      </c>
      <c r="I440" s="2" t="s">
        <v>12</v>
      </c>
    </row>
    <row r="441" spans="1:9" x14ac:dyDescent="0.25">
      <c r="A441" s="2" t="s">
        <v>9</v>
      </c>
      <c r="B441" s="2" t="s">
        <v>50</v>
      </c>
      <c r="C441" s="2" t="s">
        <v>19</v>
      </c>
      <c r="D441" s="2" t="s">
        <v>15</v>
      </c>
      <c r="E441" s="2" t="s">
        <v>51</v>
      </c>
      <c r="G441" s="2">
        <v>1</v>
      </c>
      <c r="H441" s="2" t="s">
        <v>12</v>
      </c>
      <c r="I441" s="2" t="s">
        <v>12</v>
      </c>
    </row>
    <row r="442" spans="1:9" x14ac:dyDescent="0.25">
      <c r="A442" s="2" t="s">
        <v>9</v>
      </c>
      <c r="B442" s="2" t="s">
        <v>50</v>
      </c>
      <c r="C442" s="2" t="s">
        <v>19</v>
      </c>
      <c r="D442" s="2" t="s">
        <v>15</v>
      </c>
      <c r="E442" s="2" t="s">
        <v>51</v>
      </c>
      <c r="G442" s="2">
        <v>1</v>
      </c>
      <c r="H442" s="2" t="s">
        <v>12</v>
      </c>
      <c r="I442" s="2" t="s">
        <v>12</v>
      </c>
    </row>
    <row r="443" spans="1:9" x14ac:dyDescent="0.25">
      <c r="A443" s="2" t="s">
        <v>9</v>
      </c>
      <c r="B443" s="2" t="s">
        <v>50</v>
      </c>
      <c r="C443" s="2" t="s">
        <v>19</v>
      </c>
      <c r="D443" s="2" t="s">
        <v>15</v>
      </c>
      <c r="E443" s="2" t="s">
        <v>51</v>
      </c>
      <c r="G443" s="2">
        <v>1</v>
      </c>
      <c r="H443" s="2" t="s">
        <v>12</v>
      </c>
      <c r="I443" s="2" t="s">
        <v>12</v>
      </c>
    </row>
    <row r="444" spans="1:9" x14ac:dyDescent="0.25">
      <c r="A444" s="2" t="s">
        <v>9</v>
      </c>
      <c r="B444" s="2" t="s">
        <v>50</v>
      </c>
      <c r="C444" s="2" t="s">
        <v>19</v>
      </c>
      <c r="D444" s="2" t="s">
        <v>15</v>
      </c>
      <c r="E444" s="2" t="s">
        <v>51</v>
      </c>
      <c r="G444" s="2">
        <v>1</v>
      </c>
      <c r="H444" s="2" t="s">
        <v>12</v>
      </c>
      <c r="I444" s="2" t="s">
        <v>12</v>
      </c>
    </row>
    <row r="445" spans="1:9" x14ac:dyDescent="0.25">
      <c r="A445" s="2" t="s">
        <v>9</v>
      </c>
      <c r="B445" s="2" t="s">
        <v>50</v>
      </c>
      <c r="C445" s="2" t="s">
        <v>19</v>
      </c>
      <c r="D445" s="2" t="s">
        <v>15</v>
      </c>
      <c r="E445" s="2" t="s">
        <v>51</v>
      </c>
      <c r="G445" s="2">
        <v>1</v>
      </c>
      <c r="H445" s="2" t="s">
        <v>12</v>
      </c>
      <c r="I445" s="2" t="s">
        <v>12</v>
      </c>
    </row>
    <row r="446" spans="1:9" x14ac:dyDescent="0.25">
      <c r="A446" s="2" t="s">
        <v>9</v>
      </c>
      <c r="B446" s="2" t="s">
        <v>50</v>
      </c>
      <c r="C446" s="2" t="s">
        <v>19</v>
      </c>
      <c r="D446" s="2" t="s">
        <v>15</v>
      </c>
      <c r="E446" s="2" t="s">
        <v>51</v>
      </c>
      <c r="G446" s="2">
        <v>1</v>
      </c>
      <c r="H446" s="2" t="s">
        <v>12</v>
      </c>
      <c r="I446" s="2" t="s">
        <v>12</v>
      </c>
    </row>
    <row r="447" spans="1:9" x14ac:dyDescent="0.25">
      <c r="A447" s="2" t="s">
        <v>9</v>
      </c>
      <c r="B447" s="2" t="s">
        <v>50</v>
      </c>
      <c r="C447" s="2" t="s">
        <v>19</v>
      </c>
      <c r="D447" s="2" t="s">
        <v>15</v>
      </c>
      <c r="E447" s="2" t="s">
        <v>51</v>
      </c>
      <c r="G447" s="2">
        <v>1</v>
      </c>
      <c r="H447" s="2" t="s">
        <v>12</v>
      </c>
      <c r="I447" s="2" t="s">
        <v>12</v>
      </c>
    </row>
    <row r="448" spans="1:9" x14ac:dyDescent="0.25">
      <c r="A448" s="2" t="s">
        <v>9</v>
      </c>
      <c r="B448" s="2" t="s">
        <v>52</v>
      </c>
      <c r="C448" s="2" t="s">
        <v>11</v>
      </c>
      <c r="D448" s="2" t="s">
        <v>12</v>
      </c>
      <c r="E448" s="2" t="s">
        <v>12</v>
      </c>
      <c r="F448" s="8" t="s">
        <v>12</v>
      </c>
      <c r="G448" s="2">
        <v>1</v>
      </c>
      <c r="H448" s="2" t="s">
        <v>52</v>
      </c>
      <c r="I448" s="2" t="s">
        <v>12</v>
      </c>
    </row>
    <row r="449" spans="1:9" x14ac:dyDescent="0.25">
      <c r="A449" s="2" t="s">
        <v>9</v>
      </c>
      <c r="B449" s="2" t="s">
        <v>53</v>
      </c>
      <c r="C449" s="2" t="s">
        <v>54</v>
      </c>
      <c r="D449" s="2" t="s">
        <v>55</v>
      </c>
      <c r="E449" s="2" t="s">
        <v>56</v>
      </c>
      <c r="G449" s="2">
        <v>1</v>
      </c>
      <c r="H449" s="2" t="s">
        <v>52</v>
      </c>
      <c r="I449" s="2" t="s">
        <v>57</v>
      </c>
    </row>
    <row r="450" spans="1:9" x14ac:dyDescent="0.25">
      <c r="A450" s="2" t="s">
        <v>9</v>
      </c>
      <c r="B450" s="2" t="s">
        <v>58</v>
      </c>
      <c r="C450" s="2" t="s">
        <v>59</v>
      </c>
      <c r="D450" s="2" t="s">
        <v>15</v>
      </c>
      <c r="E450" s="2" t="s">
        <v>60</v>
      </c>
      <c r="G450" s="2">
        <v>1</v>
      </c>
      <c r="H450" s="2" t="s">
        <v>52</v>
      </c>
      <c r="I450" s="2" t="s">
        <v>61</v>
      </c>
    </row>
    <row r="451" spans="1:9" x14ac:dyDescent="0.25">
      <c r="A451" s="2" t="s">
        <v>9</v>
      </c>
      <c r="B451" s="2" t="s">
        <v>62</v>
      </c>
      <c r="C451" s="2" t="s">
        <v>63</v>
      </c>
      <c r="D451" s="2" t="s">
        <v>12</v>
      </c>
      <c r="E451" s="2" t="s">
        <v>12</v>
      </c>
      <c r="F451" s="8" t="s">
        <v>12</v>
      </c>
      <c r="G451" s="2">
        <v>1</v>
      </c>
      <c r="H451" s="2" t="s">
        <v>62</v>
      </c>
      <c r="I451" s="2" t="s">
        <v>12</v>
      </c>
    </row>
    <row r="452" spans="1:9" x14ac:dyDescent="0.25">
      <c r="A452" s="2" t="s">
        <v>9</v>
      </c>
      <c r="B452" s="2" t="s">
        <v>64</v>
      </c>
      <c r="C452" s="2" t="s">
        <v>65</v>
      </c>
      <c r="D452" s="2" t="s">
        <v>66</v>
      </c>
      <c r="E452" s="2" t="s">
        <v>67</v>
      </c>
      <c r="G452" s="2">
        <v>1</v>
      </c>
      <c r="H452" s="2" t="s">
        <v>12</v>
      </c>
      <c r="I452" s="2" t="s">
        <v>68</v>
      </c>
    </row>
    <row r="453" spans="1:9" x14ac:dyDescent="0.25">
      <c r="A453" s="2" t="s">
        <v>9</v>
      </c>
      <c r="B453" s="2" t="s">
        <v>69</v>
      </c>
      <c r="C453" s="2" t="s">
        <v>70</v>
      </c>
      <c r="D453" s="2" t="s">
        <v>66</v>
      </c>
      <c r="E453" s="2" t="s">
        <v>71</v>
      </c>
      <c r="G453" s="2">
        <v>1</v>
      </c>
      <c r="H453" s="2" t="s">
        <v>12</v>
      </c>
      <c r="I453" s="2" t="s">
        <v>72</v>
      </c>
    </row>
    <row r="454" spans="1:9" x14ac:dyDescent="0.25">
      <c r="A454" s="2" t="s">
        <v>9</v>
      </c>
      <c r="B454" s="2" t="s">
        <v>69</v>
      </c>
      <c r="C454" s="2" t="s">
        <v>70</v>
      </c>
      <c r="D454" s="2" t="s">
        <v>66</v>
      </c>
      <c r="E454" s="2" t="s">
        <v>71</v>
      </c>
      <c r="G454" s="2">
        <v>1</v>
      </c>
      <c r="H454" s="2" t="s">
        <v>12</v>
      </c>
      <c r="I454" s="2" t="s">
        <v>73</v>
      </c>
    </row>
    <row r="455" spans="1:9" x14ac:dyDescent="0.25">
      <c r="A455" s="2" t="s">
        <v>9</v>
      </c>
      <c r="B455" s="2" t="s">
        <v>64</v>
      </c>
      <c r="C455" s="2" t="s">
        <v>65</v>
      </c>
      <c r="D455" s="2" t="s">
        <v>66</v>
      </c>
      <c r="E455" s="2" t="s">
        <v>67</v>
      </c>
      <c r="G455" s="2">
        <v>1</v>
      </c>
      <c r="H455" s="2" t="s">
        <v>12</v>
      </c>
      <c r="I455" s="2" t="s">
        <v>74</v>
      </c>
    </row>
    <row r="456" spans="1:9" x14ac:dyDescent="0.25">
      <c r="A456" s="2" t="s">
        <v>9</v>
      </c>
      <c r="B456" s="2" t="s">
        <v>69</v>
      </c>
      <c r="C456" s="2" t="s">
        <v>70</v>
      </c>
      <c r="D456" s="2" t="s">
        <v>66</v>
      </c>
      <c r="E456" s="2" t="s">
        <v>71</v>
      </c>
      <c r="G456" s="2">
        <v>1</v>
      </c>
      <c r="H456" s="2" t="s">
        <v>12</v>
      </c>
      <c r="I456" s="2" t="s">
        <v>75</v>
      </c>
    </row>
    <row r="457" spans="1:9" x14ac:dyDescent="0.25">
      <c r="A457" s="2" t="s">
        <v>9</v>
      </c>
      <c r="B457" s="2" t="s">
        <v>69</v>
      </c>
      <c r="C457" s="2" t="s">
        <v>70</v>
      </c>
      <c r="D457" s="2" t="s">
        <v>66</v>
      </c>
      <c r="E457" s="2" t="s">
        <v>71</v>
      </c>
      <c r="G457" s="2">
        <v>1</v>
      </c>
      <c r="H457" s="2" t="s">
        <v>12</v>
      </c>
      <c r="I457" s="2" t="s">
        <v>76</v>
      </c>
    </row>
    <row r="458" spans="1:9" x14ac:dyDescent="0.25">
      <c r="A458" s="2" t="s">
        <v>9</v>
      </c>
      <c r="B458" s="2" t="s">
        <v>77</v>
      </c>
      <c r="C458" s="2" t="s">
        <v>78</v>
      </c>
      <c r="D458" s="2" t="s">
        <v>12</v>
      </c>
      <c r="E458" s="2" t="s">
        <v>12</v>
      </c>
      <c r="F458" s="8" t="s">
        <v>12</v>
      </c>
      <c r="G458" s="2">
        <v>1</v>
      </c>
      <c r="H458" s="2" t="s">
        <v>77</v>
      </c>
      <c r="I458" s="2" t="s">
        <v>12</v>
      </c>
    </row>
    <row r="459" spans="1:9" x14ac:dyDescent="0.25">
      <c r="A459" s="2" t="s">
        <v>9</v>
      </c>
      <c r="B459" s="2" t="s">
        <v>64</v>
      </c>
      <c r="C459" s="2" t="s">
        <v>65</v>
      </c>
      <c r="D459" s="2" t="s">
        <v>66</v>
      </c>
      <c r="E459" s="2" t="s">
        <v>67</v>
      </c>
      <c r="G459" s="2">
        <v>1</v>
      </c>
      <c r="H459" s="2" t="s">
        <v>12</v>
      </c>
      <c r="I459" s="2" t="s">
        <v>79</v>
      </c>
    </row>
    <row r="460" spans="1:9" x14ac:dyDescent="0.25">
      <c r="A460" s="2" t="s">
        <v>9</v>
      </c>
      <c r="B460" s="2" t="s">
        <v>69</v>
      </c>
      <c r="C460" s="2" t="s">
        <v>70</v>
      </c>
      <c r="D460" s="2" t="s">
        <v>66</v>
      </c>
      <c r="E460" s="2" t="s">
        <v>71</v>
      </c>
      <c r="G460" s="2">
        <v>1</v>
      </c>
      <c r="H460" s="2" t="s">
        <v>12</v>
      </c>
      <c r="I460" s="2" t="s">
        <v>80</v>
      </c>
    </row>
    <row r="461" spans="1:9" x14ac:dyDescent="0.25">
      <c r="A461" s="2" t="s">
        <v>9</v>
      </c>
      <c r="B461" s="2" t="s">
        <v>69</v>
      </c>
      <c r="C461" s="2" t="s">
        <v>70</v>
      </c>
      <c r="D461" s="2" t="s">
        <v>66</v>
      </c>
      <c r="E461" s="2" t="s">
        <v>71</v>
      </c>
      <c r="G461" s="2">
        <v>1</v>
      </c>
      <c r="H461" s="2" t="s">
        <v>12</v>
      </c>
      <c r="I461" s="2" t="s">
        <v>81</v>
      </c>
    </row>
    <row r="462" spans="1:9" x14ac:dyDescent="0.25">
      <c r="A462" s="2" t="s">
        <v>9</v>
      </c>
      <c r="B462" s="2" t="s">
        <v>64</v>
      </c>
      <c r="C462" s="2" t="s">
        <v>65</v>
      </c>
      <c r="D462" s="2" t="s">
        <v>66</v>
      </c>
      <c r="E462" s="2" t="s">
        <v>67</v>
      </c>
      <c r="G462" s="2">
        <v>1</v>
      </c>
      <c r="H462" s="2" t="s">
        <v>12</v>
      </c>
      <c r="I462" s="2" t="s">
        <v>82</v>
      </c>
    </row>
    <row r="463" spans="1:9" x14ac:dyDescent="0.25">
      <c r="A463" s="2" t="s">
        <v>9</v>
      </c>
      <c r="B463" s="2" t="s">
        <v>69</v>
      </c>
      <c r="C463" s="2" t="s">
        <v>70</v>
      </c>
      <c r="D463" s="2" t="s">
        <v>66</v>
      </c>
      <c r="E463" s="2" t="s">
        <v>71</v>
      </c>
      <c r="G463" s="2">
        <v>1</v>
      </c>
      <c r="H463" s="2" t="s">
        <v>12</v>
      </c>
      <c r="I463" s="2" t="s">
        <v>83</v>
      </c>
    </row>
    <row r="464" spans="1:9" x14ac:dyDescent="0.25">
      <c r="A464" s="2" t="s">
        <v>9</v>
      </c>
      <c r="B464" s="2" t="s">
        <v>69</v>
      </c>
      <c r="C464" s="2" t="s">
        <v>70</v>
      </c>
      <c r="D464" s="2" t="s">
        <v>66</v>
      </c>
      <c r="E464" s="2" t="s">
        <v>71</v>
      </c>
      <c r="G464" s="2">
        <v>1</v>
      </c>
      <c r="H464" s="2" t="s">
        <v>12</v>
      </c>
      <c r="I464" s="2" t="s">
        <v>84</v>
      </c>
    </row>
    <row r="465" spans="1:9" x14ac:dyDescent="0.25">
      <c r="A465" s="2" t="s">
        <v>9</v>
      </c>
      <c r="B465" s="2" t="s">
        <v>85</v>
      </c>
      <c r="C465" s="2" t="s">
        <v>86</v>
      </c>
      <c r="D465" s="2" t="s">
        <v>12</v>
      </c>
      <c r="E465" s="2" t="s">
        <v>12</v>
      </c>
      <c r="F465" s="8" t="s">
        <v>12</v>
      </c>
      <c r="G465" s="2">
        <v>1</v>
      </c>
      <c r="H465" s="2" t="s">
        <v>85</v>
      </c>
      <c r="I465" s="2" t="s">
        <v>12</v>
      </c>
    </row>
    <row r="466" spans="1:9" x14ac:dyDescent="0.25">
      <c r="A466" s="2" t="s">
        <v>9</v>
      </c>
      <c r="B466" s="2" t="s">
        <v>64</v>
      </c>
      <c r="C466" s="2" t="s">
        <v>65</v>
      </c>
      <c r="D466" s="2" t="s">
        <v>66</v>
      </c>
      <c r="E466" s="2" t="s">
        <v>67</v>
      </c>
      <c r="G466" s="2">
        <v>1</v>
      </c>
      <c r="H466" s="2" t="s">
        <v>12</v>
      </c>
      <c r="I466" s="2" t="s">
        <v>87</v>
      </c>
    </row>
    <row r="467" spans="1:9" x14ac:dyDescent="0.25">
      <c r="A467" s="2" t="s">
        <v>9</v>
      </c>
      <c r="B467" s="2" t="s">
        <v>69</v>
      </c>
      <c r="C467" s="2" t="s">
        <v>70</v>
      </c>
      <c r="D467" s="2" t="s">
        <v>66</v>
      </c>
      <c r="E467" s="2" t="s">
        <v>71</v>
      </c>
      <c r="G467" s="2">
        <v>1</v>
      </c>
      <c r="H467" s="2" t="s">
        <v>12</v>
      </c>
      <c r="I467" s="2" t="s">
        <v>88</v>
      </c>
    </row>
    <row r="468" spans="1:9" x14ac:dyDescent="0.25">
      <c r="A468" s="2" t="s">
        <v>9</v>
      </c>
      <c r="B468" s="2" t="s">
        <v>69</v>
      </c>
      <c r="C468" s="2" t="s">
        <v>70</v>
      </c>
      <c r="D468" s="2" t="s">
        <v>66</v>
      </c>
      <c r="E468" s="2" t="s">
        <v>71</v>
      </c>
      <c r="G468" s="2">
        <v>1</v>
      </c>
      <c r="H468" s="2" t="s">
        <v>12</v>
      </c>
      <c r="I468" s="2" t="s">
        <v>89</v>
      </c>
    </row>
    <row r="469" spans="1:9" x14ac:dyDescent="0.25">
      <c r="A469" s="2" t="s">
        <v>9</v>
      </c>
      <c r="B469" s="2" t="s">
        <v>64</v>
      </c>
      <c r="C469" s="2" t="s">
        <v>65</v>
      </c>
      <c r="D469" s="2" t="s">
        <v>66</v>
      </c>
      <c r="E469" s="2" t="s">
        <v>67</v>
      </c>
      <c r="G469" s="2">
        <v>1</v>
      </c>
      <c r="H469" s="2" t="s">
        <v>12</v>
      </c>
      <c r="I469" s="2" t="s">
        <v>90</v>
      </c>
    </row>
    <row r="470" spans="1:9" x14ac:dyDescent="0.25">
      <c r="A470" s="2" t="s">
        <v>9</v>
      </c>
      <c r="B470" s="2" t="s">
        <v>69</v>
      </c>
      <c r="C470" s="2" t="s">
        <v>70</v>
      </c>
      <c r="D470" s="2" t="s">
        <v>66</v>
      </c>
      <c r="E470" s="2" t="s">
        <v>71</v>
      </c>
      <c r="G470" s="2">
        <v>1</v>
      </c>
      <c r="H470" s="2" t="s">
        <v>12</v>
      </c>
      <c r="I470" s="2" t="s">
        <v>91</v>
      </c>
    </row>
    <row r="471" spans="1:9" x14ac:dyDescent="0.25">
      <c r="A471" s="2" t="s">
        <v>9</v>
      </c>
      <c r="B471" s="2" t="s">
        <v>69</v>
      </c>
      <c r="C471" s="2" t="s">
        <v>70</v>
      </c>
      <c r="D471" s="2" t="s">
        <v>66</v>
      </c>
      <c r="E471" s="2" t="s">
        <v>71</v>
      </c>
      <c r="G471" s="2">
        <v>1</v>
      </c>
      <c r="H471" s="2" t="s">
        <v>12</v>
      </c>
      <c r="I471" s="2" t="s">
        <v>92</v>
      </c>
    </row>
    <row r="472" spans="1:9" x14ac:dyDescent="0.25">
      <c r="A472" s="2" t="s">
        <v>9</v>
      </c>
      <c r="B472" s="2" t="s">
        <v>93</v>
      </c>
      <c r="C472" s="2" t="s">
        <v>94</v>
      </c>
      <c r="D472" s="2" t="s">
        <v>12</v>
      </c>
      <c r="E472" s="2" t="s">
        <v>12</v>
      </c>
      <c r="F472" s="8" t="s">
        <v>12</v>
      </c>
      <c r="G472" s="2">
        <v>1</v>
      </c>
      <c r="H472" s="2" t="s">
        <v>93</v>
      </c>
      <c r="I472" s="2" t="s">
        <v>12</v>
      </c>
    </row>
    <row r="473" spans="1:9" x14ac:dyDescent="0.25">
      <c r="A473" s="2" t="s">
        <v>9</v>
      </c>
      <c r="B473" s="2" t="s">
        <v>64</v>
      </c>
      <c r="C473" s="2" t="s">
        <v>65</v>
      </c>
      <c r="D473" s="2" t="s">
        <v>66</v>
      </c>
      <c r="E473" s="2" t="s">
        <v>67</v>
      </c>
      <c r="G473" s="2">
        <v>1</v>
      </c>
      <c r="H473" s="2" t="s">
        <v>12</v>
      </c>
      <c r="I473" s="2" t="s">
        <v>95</v>
      </c>
    </row>
    <row r="474" spans="1:9" x14ac:dyDescent="0.25">
      <c r="A474" s="2" t="s">
        <v>9</v>
      </c>
      <c r="B474" s="2" t="s">
        <v>96</v>
      </c>
      <c r="C474" s="2" t="s">
        <v>70</v>
      </c>
      <c r="D474" s="2" t="s">
        <v>66</v>
      </c>
      <c r="E474" s="2" t="s">
        <v>97</v>
      </c>
      <c r="G474" s="2">
        <v>1</v>
      </c>
      <c r="H474" s="2" t="s">
        <v>12</v>
      </c>
      <c r="I474" s="2" t="s">
        <v>98</v>
      </c>
    </row>
    <row r="475" spans="1:9" x14ac:dyDescent="0.25">
      <c r="A475" s="2" t="s">
        <v>9</v>
      </c>
      <c r="B475" s="2" t="s">
        <v>96</v>
      </c>
      <c r="C475" s="2" t="s">
        <v>70</v>
      </c>
      <c r="D475" s="2" t="s">
        <v>66</v>
      </c>
      <c r="E475" s="2" t="s">
        <v>97</v>
      </c>
      <c r="G475" s="2">
        <v>1</v>
      </c>
      <c r="H475" s="2" t="s">
        <v>12</v>
      </c>
      <c r="I475" s="2" t="s">
        <v>99</v>
      </c>
    </row>
    <row r="476" spans="1:9" x14ac:dyDescent="0.25">
      <c r="A476" s="2" t="s">
        <v>9</v>
      </c>
      <c r="B476" s="2" t="s">
        <v>100</v>
      </c>
      <c r="C476" s="2" t="s">
        <v>101</v>
      </c>
      <c r="D476" s="2" t="s">
        <v>12</v>
      </c>
      <c r="E476" s="2" t="s">
        <v>12</v>
      </c>
      <c r="F476" s="8" t="s">
        <v>12</v>
      </c>
      <c r="G476" s="2">
        <v>1</v>
      </c>
      <c r="H476" s="2" t="s">
        <v>100</v>
      </c>
      <c r="I476" s="2" t="s">
        <v>12</v>
      </c>
    </row>
    <row r="477" spans="1:9" x14ac:dyDescent="0.25">
      <c r="A477" s="2" t="s">
        <v>9</v>
      </c>
      <c r="B477" s="2" t="s">
        <v>64</v>
      </c>
      <c r="C477" s="2" t="s">
        <v>65</v>
      </c>
      <c r="D477" s="2" t="s">
        <v>66</v>
      </c>
      <c r="E477" s="2" t="s">
        <v>67</v>
      </c>
      <c r="G477" s="2">
        <v>1</v>
      </c>
      <c r="H477" s="2" t="s">
        <v>12</v>
      </c>
      <c r="I477" s="2" t="s">
        <v>102</v>
      </c>
    </row>
    <row r="478" spans="1:9" x14ac:dyDescent="0.25">
      <c r="A478" s="2" t="s">
        <v>9</v>
      </c>
      <c r="B478" s="2" t="s">
        <v>69</v>
      </c>
      <c r="C478" s="2" t="s">
        <v>70</v>
      </c>
      <c r="D478" s="2" t="s">
        <v>66</v>
      </c>
      <c r="E478" s="2" t="s">
        <v>71</v>
      </c>
      <c r="G478" s="2">
        <v>1</v>
      </c>
      <c r="H478" s="2" t="s">
        <v>12</v>
      </c>
      <c r="I478" s="2" t="s">
        <v>103</v>
      </c>
    </row>
    <row r="479" spans="1:9" x14ac:dyDescent="0.25">
      <c r="A479" s="2" t="s">
        <v>9</v>
      </c>
      <c r="B479" s="2" t="s">
        <v>69</v>
      </c>
      <c r="C479" s="2" t="s">
        <v>70</v>
      </c>
      <c r="D479" s="2" t="s">
        <v>66</v>
      </c>
      <c r="E479" s="2" t="s">
        <v>71</v>
      </c>
      <c r="G479" s="2">
        <v>1</v>
      </c>
      <c r="H479" s="2" t="s">
        <v>12</v>
      </c>
      <c r="I479" s="2" t="s">
        <v>104</v>
      </c>
    </row>
    <row r="480" spans="1:9" x14ac:dyDescent="0.25">
      <c r="A480" s="2" t="s">
        <v>9</v>
      </c>
      <c r="B480" s="2" t="s">
        <v>64</v>
      </c>
      <c r="C480" s="2" t="s">
        <v>65</v>
      </c>
      <c r="D480" s="2" t="s">
        <v>66</v>
      </c>
      <c r="E480" s="2" t="s">
        <v>67</v>
      </c>
      <c r="G480" s="2">
        <v>1</v>
      </c>
      <c r="H480" s="2" t="s">
        <v>12</v>
      </c>
      <c r="I480" s="2" t="s">
        <v>105</v>
      </c>
    </row>
    <row r="481" spans="1:9" x14ac:dyDescent="0.25">
      <c r="A481" s="2" t="s">
        <v>9</v>
      </c>
      <c r="B481" s="2" t="s">
        <v>96</v>
      </c>
      <c r="C481" s="2" t="s">
        <v>70</v>
      </c>
      <c r="D481" s="2" t="s">
        <v>66</v>
      </c>
      <c r="E481" s="2" t="s">
        <v>97</v>
      </c>
      <c r="G481" s="2">
        <v>1</v>
      </c>
      <c r="H481" s="2" t="s">
        <v>12</v>
      </c>
      <c r="I481" s="2" t="s">
        <v>106</v>
      </c>
    </row>
    <row r="482" spans="1:9" x14ac:dyDescent="0.25">
      <c r="A482" s="2" t="s">
        <v>9</v>
      </c>
      <c r="B482" s="2" t="s">
        <v>10</v>
      </c>
      <c r="C482" s="2" t="s">
        <v>11</v>
      </c>
      <c r="D482" s="2" t="s">
        <v>12</v>
      </c>
      <c r="E482" s="2" t="s">
        <v>12</v>
      </c>
      <c r="F482" s="8" t="s">
        <v>12</v>
      </c>
      <c r="G482" s="2">
        <v>1</v>
      </c>
      <c r="H482" s="2" t="s">
        <v>10</v>
      </c>
      <c r="I482" s="2" t="s">
        <v>12</v>
      </c>
    </row>
    <row r="483" spans="1:9" x14ac:dyDescent="0.25">
      <c r="A483" s="2" t="s">
        <v>9</v>
      </c>
      <c r="B483" s="2" t="s">
        <v>13</v>
      </c>
      <c r="C483" s="2" t="s">
        <v>14</v>
      </c>
      <c r="D483" s="2" t="s">
        <v>15</v>
      </c>
      <c r="E483" s="2" t="s">
        <v>16</v>
      </c>
      <c r="G483" s="2">
        <v>1</v>
      </c>
      <c r="H483" s="2" t="s">
        <v>10</v>
      </c>
      <c r="I483" s="2" t="s">
        <v>17</v>
      </c>
    </row>
    <row r="484" spans="1:9" x14ac:dyDescent="0.25">
      <c r="A484" s="2" t="s">
        <v>9</v>
      </c>
      <c r="B484" s="2" t="s">
        <v>18</v>
      </c>
      <c r="C484" s="2" t="s">
        <v>19</v>
      </c>
      <c r="D484" s="2" t="s">
        <v>15</v>
      </c>
      <c r="E484" s="2" t="s">
        <v>20</v>
      </c>
      <c r="G484" s="2">
        <v>1</v>
      </c>
      <c r="H484" s="2" t="s">
        <v>12</v>
      </c>
      <c r="I484" s="2" t="s">
        <v>12</v>
      </c>
    </row>
    <row r="485" spans="1:9" x14ac:dyDescent="0.25">
      <c r="A485" s="2" t="s">
        <v>9</v>
      </c>
      <c r="B485" s="2" t="s">
        <v>18</v>
      </c>
      <c r="C485" s="2" t="s">
        <v>19</v>
      </c>
      <c r="D485" s="2" t="s">
        <v>15</v>
      </c>
      <c r="E485" s="2" t="s">
        <v>20</v>
      </c>
      <c r="G485" s="2">
        <v>1</v>
      </c>
      <c r="H485" s="2" t="s">
        <v>12</v>
      </c>
      <c r="I485" s="2" t="s">
        <v>12</v>
      </c>
    </row>
    <row r="486" spans="1:9" x14ac:dyDescent="0.25">
      <c r="A486" s="2" t="s">
        <v>9</v>
      </c>
      <c r="B486" s="2" t="s">
        <v>21</v>
      </c>
      <c r="C486" s="2" t="s">
        <v>19</v>
      </c>
      <c r="D486" s="2" t="s">
        <v>15</v>
      </c>
      <c r="E486" s="2" t="s">
        <v>22</v>
      </c>
      <c r="G486" s="2">
        <v>1</v>
      </c>
      <c r="H486" s="2" t="s">
        <v>12</v>
      </c>
      <c r="I486" s="2" t="s">
        <v>12</v>
      </c>
    </row>
    <row r="487" spans="1:9" x14ac:dyDescent="0.25">
      <c r="A487" s="2" t="s">
        <v>9</v>
      </c>
      <c r="B487" s="2" t="s">
        <v>21</v>
      </c>
      <c r="C487" s="2" t="s">
        <v>19</v>
      </c>
      <c r="D487" s="2" t="s">
        <v>15</v>
      </c>
      <c r="E487" s="2" t="s">
        <v>22</v>
      </c>
      <c r="G487" s="2">
        <v>1</v>
      </c>
      <c r="H487" s="2" t="s">
        <v>12</v>
      </c>
      <c r="I487" s="2" t="s">
        <v>12</v>
      </c>
    </row>
    <row r="488" spans="1:9" x14ac:dyDescent="0.25">
      <c r="A488" s="2" t="s">
        <v>9</v>
      </c>
      <c r="B488" s="2" t="s">
        <v>13</v>
      </c>
      <c r="C488" s="2" t="s">
        <v>14</v>
      </c>
      <c r="D488" s="2" t="s">
        <v>15</v>
      </c>
      <c r="E488" s="2" t="s">
        <v>16</v>
      </c>
      <c r="G488" s="2">
        <v>1</v>
      </c>
      <c r="H488" s="2" t="s">
        <v>10</v>
      </c>
      <c r="I488" s="2" t="s">
        <v>23</v>
      </c>
    </row>
    <row r="489" spans="1:9" x14ac:dyDescent="0.25">
      <c r="A489" s="2" t="s">
        <v>9</v>
      </c>
      <c r="B489" s="2" t="s">
        <v>18</v>
      </c>
      <c r="C489" s="2" t="s">
        <v>19</v>
      </c>
      <c r="D489" s="2" t="s">
        <v>15</v>
      </c>
      <c r="E489" s="2" t="s">
        <v>20</v>
      </c>
      <c r="G489" s="2">
        <v>1</v>
      </c>
      <c r="H489" s="2" t="s">
        <v>12</v>
      </c>
      <c r="I489" s="2" t="s">
        <v>12</v>
      </c>
    </row>
    <row r="490" spans="1:9" x14ac:dyDescent="0.25">
      <c r="A490" s="2" t="s">
        <v>9</v>
      </c>
      <c r="B490" s="2" t="s">
        <v>18</v>
      </c>
      <c r="C490" s="2" t="s">
        <v>19</v>
      </c>
      <c r="D490" s="2" t="s">
        <v>15</v>
      </c>
      <c r="E490" s="2" t="s">
        <v>20</v>
      </c>
      <c r="G490" s="2">
        <v>1</v>
      </c>
      <c r="H490" s="2" t="s">
        <v>12</v>
      </c>
      <c r="I490" s="2" t="s">
        <v>12</v>
      </c>
    </row>
    <row r="491" spans="1:9" x14ac:dyDescent="0.25">
      <c r="A491" s="2" t="s">
        <v>9</v>
      </c>
      <c r="B491" s="2" t="s">
        <v>21</v>
      </c>
      <c r="C491" s="2" t="s">
        <v>19</v>
      </c>
      <c r="D491" s="2" t="s">
        <v>15</v>
      </c>
      <c r="E491" s="2" t="s">
        <v>22</v>
      </c>
      <c r="G491" s="2">
        <v>1</v>
      </c>
      <c r="H491" s="2" t="s">
        <v>12</v>
      </c>
      <c r="I491" s="2" t="s">
        <v>12</v>
      </c>
    </row>
    <row r="492" spans="1:9" x14ac:dyDescent="0.25">
      <c r="A492" s="2" t="s">
        <v>9</v>
      </c>
      <c r="B492" s="2" t="s">
        <v>21</v>
      </c>
      <c r="C492" s="2" t="s">
        <v>19</v>
      </c>
      <c r="D492" s="2" t="s">
        <v>15</v>
      </c>
      <c r="E492" s="2" t="s">
        <v>22</v>
      </c>
      <c r="G492" s="2">
        <v>1</v>
      </c>
      <c r="H492" s="2" t="s">
        <v>12</v>
      </c>
      <c r="I492" s="2" t="s">
        <v>12</v>
      </c>
    </row>
    <row r="493" spans="1:9" x14ac:dyDescent="0.25">
      <c r="A493" s="2" t="s">
        <v>9</v>
      </c>
      <c r="B493" s="2" t="s">
        <v>24</v>
      </c>
      <c r="C493" s="2" t="s">
        <v>25</v>
      </c>
      <c r="D493" s="2" t="s">
        <v>26</v>
      </c>
      <c r="E493" s="2" t="s">
        <v>27</v>
      </c>
      <c r="G493" s="2">
        <v>1</v>
      </c>
      <c r="H493" s="2" t="s">
        <v>10</v>
      </c>
      <c r="I493" s="2" t="s">
        <v>28</v>
      </c>
    </row>
    <row r="494" spans="1:9" x14ac:dyDescent="0.25">
      <c r="A494" s="2" t="s">
        <v>9</v>
      </c>
      <c r="B494" s="2" t="s">
        <v>29</v>
      </c>
      <c r="C494" s="2" t="s">
        <v>19</v>
      </c>
      <c r="D494" s="2" t="s">
        <v>26</v>
      </c>
      <c r="E494" s="2" t="s">
        <v>30</v>
      </c>
      <c r="G494" s="2">
        <v>1</v>
      </c>
      <c r="H494" s="2" t="s">
        <v>12</v>
      </c>
      <c r="I494" s="2" t="s">
        <v>12</v>
      </c>
    </row>
    <row r="495" spans="1:9" x14ac:dyDescent="0.25">
      <c r="A495" s="2" t="s">
        <v>9</v>
      </c>
      <c r="B495" s="2" t="s">
        <v>29</v>
      </c>
      <c r="C495" s="2" t="s">
        <v>19</v>
      </c>
      <c r="D495" s="2" t="s">
        <v>26</v>
      </c>
      <c r="E495" s="2" t="s">
        <v>30</v>
      </c>
      <c r="G495" s="2">
        <v>1</v>
      </c>
      <c r="H495" s="2" t="s">
        <v>12</v>
      </c>
      <c r="I495" s="2" t="s">
        <v>12</v>
      </c>
    </row>
    <row r="496" spans="1:9" x14ac:dyDescent="0.25">
      <c r="A496" s="2" t="s">
        <v>9</v>
      </c>
      <c r="B496" s="2" t="s">
        <v>29</v>
      </c>
      <c r="C496" s="2" t="s">
        <v>19</v>
      </c>
      <c r="D496" s="2" t="s">
        <v>26</v>
      </c>
      <c r="E496" s="2" t="s">
        <v>30</v>
      </c>
      <c r="G496" s="2">
        <v>1</v>
      </c>
      <c r="H496" s="2" t="s">
        <v>12</v>
      </c>
      <c r="I496" s="2" t="s">
        <v>12</v>
      </c>
    </row>
    <row r="497" spans="1:9" x14ac:dyDescent="0.25">
      <c r="A497" s="2" t="s">
        <v>9</v>
      </c>
      <c r="B497" s="2" t="s">
        <v>29</v>
      </c>
      <c r="C497" s="2" t="s">
        <v>19</v>
      </c>
      <c r="D497" s="2" t="s">
        <v>26</v>
      </c>
      <c r="E497" s="2" t="s">
        <v>30</v>
      </c>
      <c r="G497" s="2">
        <v>1</v>
      </c>
      <c r="H497" s="2" t="s">
        <v>12</v>
      </c>
      <c r="I497" s="2" t="s">
        <v>12</v>
      </c>
    </row>
    <row r="498" spans="1:9" x14ac:dyDescent="0.25">
      <c r="A498" s="2" t="s">
        <v>9</v>
      </c>
      <c r="B498" s="2" t="s">
        <v>29</v>
      </c>
      <c r="C498" s="2" t="s">
        <v>19</v>
      </c>
      <c r="D498" s="2" t="s">
        <v>26</v>
      </c>
      <c r="E498" s="2" t="s">
        <v>30</v>
      </c>
      <c r="G498" s="2">
        <v>1</v>
      </c>
      <c r="H498" s="2" t="s">
        <v>12</v>
      </c>
      <c r="I498" s="2" t="s">
        <v>12</v>
      </c>
    </row>
    <row r="499" spans="1:9" x14ac:dyDescent="0.25">
      <c r="A499" s="2" t="s">
        <v>9</v>
      </c>
      <c r="B499" s="2" t="s">
        <v>31</v>
      </c>
      <c r="C499" s="2" t="s">
        <v>19</v>
      </c>
      <c r="D499" s="2" t="s">
        <v>26</v>
      </c>
      <c r="E499" s="2" t="s">
        <v>32</v>
      </c>
      <c r="G499" s="2">
        <v>1</v>
      </c>
      <c r="H499" s="2" t="s">
        <v>12</v>
      </c>
      <c r="I499" s="2" t="s">
        <v>12</v>
      </c>
    </row>
    <row r="500" spans="1:9" x14ac:dyDescent="0.25">
      <c r="A500" s="2" t="s">
        <v>9</v>
      </c>
      <c r="B500" s="2" t="s">
        <v>31</v>
      </c>
      <c r="C500" s="2" t="s">
        <v>19</v>
      </c>
      <c r="D500" s="2" t="s">
        <v>26</v>
      </c>
      <c r="E500" s="2" t="s">
        <v>32</v>
      </c>
      <c r="G500" s="2">
        <v>1</v>
      </c>
      <c r="H500" s="2" t="s">
        <v>12</v>
      </c>
      <c r="I500" s="2" t="s">
        <v>12</v>
      </c>
    </row>
    <row r="501" spans="1:9" x14ac:dyDescent="0.25">
      <c r="A501" s="2" t="s">
        <v>9</v>
      </c>
      <c r="B501" s="2" t="s">
        <v>31</v>
      </c>
      <c r="C501" s="2" t="s">
        <v>19</v>
      </c>
      <c r="D501" s="2" t="s">
        <v>26</v>
      </c>
      <c r="E501" s="2" t="s">
        <v>32</v>
      </c>
      <c r="G501" s="2">
        <v>1</v>
      </c>
      <c r="H501" s="2" t="s">
        <v>12</v>
      </c>
      <c r="I501" s="2" t="s">
        <v>12</v>
      </c>
    </row>
    <row r="502" spans="1:9" x14ac:dyDescent="0.25">
      <c r="A502" s="2" t="s">
        <v>9</v>
      </c>
      <c r="B502" s="2" t="s">
        <v>31</v>
      </c>
      <c r="C502" s="2" t="s">
        <v>19</v>
      </c>
      <c r="D502" s="2" t="s">
        <v>26</v>
      </c>
      <c r="E502" s="2" t="s">
        <v>32</v>
      </c>
      <c r="G502" s="2">
        <v>1</v>
      </c>
      <c r="H502" s="2" t="s">
        <v>12</v>
      </c>
      <c r="I502" s="2" t="s">
        <v>12</v>
      </c>
    </row>
    <row r="503" spans="1:9" x14ac:dyDescent="0.25">
      <c r="A503" s="2" t="s">
        <v>9</v>
      </c>
      <c r="B503" s="2" t="s">
        <v>31</v>
      </c>
      <c r="C503" s="2" t="s">
        <v>19</v>
      </c>
      <c r="D503" s="2" t="s">
        <v>26</v>
      </c>
      <c r="E503" s="2" t="s">
        <v>32</v>
      </c>
      <c r="G503" s="2">
        <v>1</v>
      </c>
      <c r="H503" s="2" t="s">
        <v>12</v>
      </c>
      <c r="I503" s="2" t="s">
        <v>12</v>
      </c>
    </row>
    <row r="504" spans="1:9" x14ac:dyDescent="0.25">
      <c r="A504" s="2" t="s">
        <v>9</v>
      </c>
      <c r="B504" s="2" t="s">
        <v>31</v>
      </c>
      <c r="C504" s="2" t="s">
        <v>19</v>
      </c>
      <c r="D504" s="2" t="s">
        <v>26</v>
      </c>
      <c r="E504" s="2" t="s">
        <v>32</v>
      </c>
      <c r="G504" s="2">
        <v>1</v>
      </c>
      <c r="H504" s="2" t="s">
        <v>12</v>
      </c>
      <c r="I504" s="2" t="s">
        <v>12</v>
      </c>
    </row>
    <row r="505" spans="1:9" x14ac:dyDescent="0.25">
      <c r="A505" s="2" t="s">
        <v>9</v>
      </c>
      <c r="B505" s="2" t="s">
        <v>31</v>
      </c>
      <c r="C505" s="2" t="s">
        <v>19</v>
      </c>
      <c r="D505" s="2" t="s">
        <v>26</v>
      </c>
      <c r="E505" s="2" t="s">
        <v>32</v>
      </c>
      <c r="G505" s="2">
        <v>1</v>
      </c>
      <c r="H505" s="2" t="s">
        <v>12</v>
      </c>
      <c r="I505" s="2" t="s">
        <v>12</v>
      </c>
    </row>
    <row r="506" spans="1:9" x14ac:dyDescent="0.25">
      <c r="A506" s="2" t="s">
        <v>9</v>
      </c>
      <c r="B506" s="2" t="s">
        <v>31</v>
      </c>
      <c r="C506" s="2" t="s">
        <v>19</v>
      </c>
      <c r="D506" s="2" t="s">
        <v>26</v>
      </c>
      <c r="E506" s="2" t="s">
        <v>32</v>
      </c>
      <c r="G506" s="2">
        <v>1</v>
      </c>
      <c r="H506" s="2" t="s">
        <v>12</v>
      </c>
      <c r="I506" s="2" t="s">
        <v>12</v>
      </c>
    </row>
    <row r="507" spans="1:9" x14ac:dyDescent="0.25">
      <c r="A507" s="2" t="s">
        <v>9</v>
      </c>
      <c r="B507" s="2" t="s">
        <v>31</v>
      </c>
      <c r="C507" s="2" t="s">
        <v>19</v>
      </c>
      <c r="D507" s="2" t="s">
        <v>26</v>
      </c>
      <c r="E507" s="2" t="s">
        <v>32</v>
      </c>
      <c r="G507" s="2">
        <v>1</v>
      </c>
      <c r="H507" s="2" t="s">
        <v>12</v>
      </c>
      <c r="I507" s="2" t="s">
        <v>12</v>
      </c>
    </row>
    <row r="508" spans="1:9" x14ac:dyDescent="0.25">
      <c r="A508" s="2" t="s">
        <v>9</v>
      </c>
      <c r="B508" s="2" t="s">
        <v>31</v>
      </c>
      <c r="C508" s="2" t="s">
        <v>19</v>
      </c>
      <c r="D508" s="2" t="s">
        <v>26</v>
      </c>
      <c r="E508" s="2" t="s">
        <v>32</v>
      </c>
      <c r="G508" s="2">
        <v>1</v>
      </c>
      <c r="H508" s="2" t="s">
        <v>12</v>
      </c>
      <c r="I508" s="2" t="s">
        <v>12</v>
      </c>
    </row>
    <row r="509" spans="1:9" x14ac:dyDescent="0.25">
      <c r="A509" s="2" t="s">
        <v>9</v>
      </c>
      <c r="B509" s="2" t="s">
        <v>33</v>
      </c>
      <c r="C509" s="2" t="s">
        <v>19</v>
      </c>
      <c r="D509" s="2" t="s">
        <v>26</v>
      </c>
      <c r="E509" s="2" t="s">
        <v>34</v>
      </c>
      <c r="G509" s="2">
        <v>1</v>
      </c>
      <c r="H509" s="2" t="s">
        <v>12</v>
      </c>
      <c r="I509" s="2" t="s">
        <v>12</v>
      </c>
    </row>
    <row r="510" spans="1:9" x14ac:dyDescent="0.25">
      <c r="A510" s="2" t="s">
        <v>9</v>
      </c>
      <c r="B510" s="2" t="s">
        <v>33</v>
      </c>
      <c r="C510" s="2" t="s">
        <v>19</v>
      </c>
      <c r="D510" s="2" t="s">
        <v>26</v>
      </c>
      <c r="E510" s="2" t="s">
        <v>34</v>
      </c>
      <c r="G510" s="2">
        <v>1</v>
      </c>
      <c r="H510" s="2" t="s">
        <v>12</v>
      </c>
      <c r="I510" s="2" t="s">
        <v>12</v>
      </c>
    </row>
    <row r="511" spans="1:9" x14ac:dyDescent="0.25">
      <c r="A511" s="2" t="s">
        <v>9</v>
      </c>
      <c r="B511" s="2" t="s">
        <v>33</v>
      </c>
      <c r="C511" s="2" t="s">
        <v>19</v>
      </c>
      <c r="D511" s="2" t="s">
        <v>26</v>
      </c>
      <c r="E511" s="2" t="s">
        <v>34</v>
      </c>
      <c r="G511" s="2">
        <v>1</v>
      </c>
      <c r="H511" s="2" t="s">
        <v>12</v>
      </c>
      <c r="I511" s="2" t="s">
        <v>12</v>
      </c>
    </row>
    <row r="512" spans="1:9" x14ac:dyDescent="0.25">
      <c r="A512" s="2" t="s">
        <v>9</v>
      </c>
      <c r="B512" s="2" t="s">
        <v>33</v>
      </c>
      <c r="C512" s="2" t="s">
        <v>19</v>
      </c>
      <c r="D512" s="2" t="s">
        <v>26</v>
      </c>
      <c r="E512" s="2" t="s">
        <v>34</v>
      </c>
      <c r="G512" s="2">
        <v>1</v>
      </c>
      <c r="H512" s="2" t="s">
        <v>12</v>
      </c>
      <c r="I512" s="2" t="s">
        <v>12</v>
      </c>
    </row>
    <row r="513" spans="1:9" x14ac:dyDescent="0.25">
      <c r="A513" s="2" t="s">
        <v>9</v>
      </c>
      <c r="B513" s="2" t="s">
        <v>24</v>
      </c>
      <c r="C513" s="2" t="s">
        <v>25</v>
      </c>
      <c r="D513" s="2" t="s">
        <v>26</v>
      </c>
      <c r="E513" s="2" t="s">
        <v>27</v>
      </c>
      <c r="G513" s="2">
        <v>1</v>
      </c>
      <c r="H513" s="2" t="s">
        <v>10</v>
      </c>
      <c r="I513" s="2" t="s">
        <v>35</v>
      </c>
    </row>
    <row r="514" spans="1:9" x14ac:dyDescent="0.25">
      <c r="A514" s="2" t="s">
        <v>9</v>
      </c>
      <c r="B514" s="2" t="s">
        <v>29</v>
      </c>
      <c r="C514" s="2" t="s">
        <v>19</v>
      </c>
      <c r="D514" s="2" t="s">
        <v>26</v>
      </c>
      <c r="E514" s="2" t="s">
        <v>30</v>
      </c>
      <c r="G514" s="2">
        <v>1</v>
      </c>
      <c r="H514" s="2" t="s">
        <v>12</v>
      </c>
      <c r="I514" s="2" t="s">
        <v>12</v>
      </c>
    </row>
    <row r="515" spans="1:9" x14ac:dyDescent="0.25">
      <c r="A515" s="2" t="s">
        <v>9</v>
      </c>
      <c r="B515" s="2" t="s">
        <v>29</v>
      </c>
      <c r="C515" s="2" t="s">
        <v>19</v>
      </c>
      <c r="D515" s="2" t="s">
        <v>26</v>
      </c>
      <c r="E515" s="2" t="s">
        <v>30</v>
      </c>
      <c r="G515" s="2">
        <v>1</v>
      </c>
      <c r="H515" s="2" t="s">
        <v>12</v>
      </c>
      <c r="I515" s="2" t="s">
        <v>12</v>
      </c>
    </row>
    <row r="516" spans="1:9" x14ac:dyDescent="0.25">
      <c r="A516" s="2" t="s">
        <v>9</v>
      </c>
      <c r="B516" s="2" t="s">
        <v>29</v>
      </c>
      <c r="C516" s="2" t="s">
        <v>19</v>
      </c>
      <c r="D516" s="2" t="s">
        <v>26</v>
      </c>
      <c r="E516" s="2" t="s">
        <v>30</v>
      </c>
      <c r="G516" s="2">
        <v>1</v>
      </c>
      <c r="H516" s="2" t="s">
        <v>12</v>
      </c>
      <c r="I516" s="2" t="s">
        <v>12</v>
      </c>
    </row>
    <row r="517" spans="1:9" x14ac:dyDescent="0.25">
      <c r="A517" s="2" t="s">
        <v>9</v>
      </c>
      <c r="B517" s="2" t="s">
        <v>29</v>
      </c>
      <c r="C517" s="2" t="s">
        <v>19</v>
      </c>
      <c r="D517" s="2" t="s">
        <v>26</v>
      </c>
      <c r="E517" s="2" t="s">
        <v>30</v>
      </c>
      <c r="G517" s="2">
        <v>1</v>
      </c>
      <c r="H517" s="2" t="s">
        <v>12</v>
      </c>
      <c r="I517" s="2" t="s">
        <v>12</v>
      </c>
    </row>
    <row r="518" spans="1:9" x14ac:dyDescent="0.25">
      <c r="A518" s="2" t="s">
        <v>9</v>
      </c>
      <c r="B518" s="2" t="s">
        <v>29</v>
      </c>
      <c r="C518" s="2" t="s">
        <v>19</v>
      </c>
      <c r="D518" s="2" t="s">
        <v>26</v>
      </c>
      <c r="E518" s="2" t="s">
        <v>30</v>
      </c>
      <c r="G518" s="2">
        <v>1</v>
      </c>
      <c r="H518" s="2" t="s">
        <v>12</v>
      </c>
      <c r="I518" s="2" t="s">
        <v>12</v>
      </c>
    </row>
    <row r="519" spans="1:9" x14ac:dyDescent="0.25">
      <c r="A519" s="2" t="s">
        <v>9</v>
      </c>
      <c r="B519" s="2" t="s">
        <v>31</v>
      </c>
      <c r="C519" s="2" t="s">
        <v>19</v>
      </c>
      <c r="D519" s="2" t="s">
        <v>26</v>
      </c>
      <c r="E519" s="2" t="s">
        <v>32</v>
      </c>
      <c r="G519" s="2">
        <v>1</v>
      </c>
      <c r="H519" s="2" t="s">
        <v>12</v>
      </c>
      <c r="I519" s="2" t="s">
        <v>12</v>
      </c>
    </row>
    <row r="520" spans="1:9" x14ac:dyDescent="0.25">
      <c r="A520" s="2" t="s">
        <v>9</v>
      </c>
      <c r="B520" s="2" t="s">
        <v>31</v>
      </c>
      <c r="C520" s="2" t="s">
        <v>19</v>
      </c>
      <c r="D520" s="2" t="s">
        <v>26</v>
      </c>
      <c r="E520" s="2" t="s">
        <v>32</v>
      </c>
      <c r="G520" s="2">
        <v>1</v>
      </c>
      <c r="H520" s="2" t="s">
        <v>12</v>
      </c>
      <c r="I520" s="2" t="s">
        <v>12</v>
      </c>
    </row>
    <row r="521" spans="1:9" x14ac:dyDescent="0.25">
      <c r="A521" s="2" t="s">
        <v>9</v>
      </c>
      <c r="B521" s="2" t="s">
        <v>31</v>
      </c>
      <c r="C521" s="2" t="s">
        <v>19</v>
      </c>
      <c r="D521" s="2" t="s">
        <v>26</v>
      </c>
      <c r="E521" s="2" t="s">
        <v>32</v>
      </c>
      <c r="G521" s="2">
        <v>1</v>
      </c>
      <c r="H521" s="2" t="s">
        <v>12</v>
      </c>
      <c r="I521" s="2" t="s">
        <v>12</v>
      </c>
    </row>
    <row r="522" spans="1:9" x14ac:dyDescent="0.25">
      <c r="A522" s="2" t="s">
        <v>9</v>
      </c>
      <c r="B522" s="2" t="s">
        <v>31</v>
      </c>
      <c r="C522" s="2" t="s">
        <v>19</v>
      </c>
      <c r="D522" s="2" t="s">
        <v>26</v>
      </c>
      <c r="E522" s="2" t="s">
        <v>32</v>
      </c>
      <c r="G522" s="2">
        <v>1</v>
      </c>
      <c r="H522" s="2" t="s">
        <v>12</v>
      </c>
      <c r="I522" s="2" t="s">
        <v>12</v>
      </c>
    </row>
    <row r="523" spans="1:9" x14ac:dyDescent="0.25">
      <c r="A523" s="2" t="s">
        <v>9</v>
      </c>
      <c r="B523" s="2" t="s">
        <v>31</v>
      </c>
      <c r="C523" s="2" t="s">
        <v>19</v>
      </c>
      <c r="D523" s="2" t="s">
        <v>26</v>
      </c>
      <c r="E523" s="2" t="s">
        <v>32</v>
      </c>
      <c r="G523" s="2">
        <v>1</v>
      </c>
      <c r="H523" s="2" t="s">
        <v>12</v>
      </c>
      <c r="I523" s="2" t="s">
        <v>12</v>
      </c>
    </row>
    <row r="524" spans="1:9" x14ac:dyDescent="0.25">
      <c r="A524" s="2" t="s">
        <v>9</v>
      </c>
      <c r="B524" s="2" t="s">
        <v>31</v>
      </c>
      <c r="C524" s="2" t="s">
        <v>19</v>
      </c>
      <c r="D524" s="2" t="s">
        <v>26</v>
      </c>
      <c r="E524" s="2" t="s">
        <v>32</v>
      </c>
      <c r="G524" s="2">
        <v>1</v>
      </c>
      <c r="H524" s="2" t="s">
        <v>12</v>
      </c>
      <c r="I524" s="2" t="s">
        <v>12</v>
      </c>
    </row>
    <row r="525" spans="1:9" x14ac:dyDescent="0.25">
      <c r="A525" s="2" t="s">
        <v>9</v>
      </c>
      <c r="B525" s="2" t="s">
        <v>31</v>
      </c>
      <c r="C525" s="2" t="s">
        <v>19</v>
      </c>
      <c r="D525" s="2" t="s">
        <v>26</v>
      </c>
      <c r="E525" s="2" t="s">
        <v>32</v>
      </c>
      <c r="G525" s="2">
        <v>1</v>
      </c>
      <c r="H525" s="2" t="s">
        <v>12</v>
      </c>
      <c r="I525" s="2" t="s">
        <v>12</v>
      </c>
    </row>
    <row r="526" spans="1:9" x14ac:dyDescent="0.25">
      <c r="A526" s="2" t="s">
        <v>9</v>
      </c>
      <c r="B526" s="2" t="s">
        <v>31</v>
      </c>
      <c r="C526" s="2" t="s">
        <v>19</v>
      </c>
      <c r="D526" s="2" t="s">
        <v>26</v>
      </c>
      <c r="E526" s="2" t="s">
        <v>32</v>
      </c>
      <c r="G526" s="2">
        <v>1</v>
      </c>
      <c r="H526" s="2" t="s">
        <v>12</v>
      </c>
      <c r="I526" s="2" t="s">
        <v>12</v>
      </c>
    </row>
    <row r="527" spans="1:9" x14ac:dyDescent="0.25">
      <c r="A527" s="2" t="s">
        <v>9</v>
      </c>
      <c r="B527" s="2" t="s">
        <v>31</v>
      </c>
      <c r="C527" s="2" t="s">
        <v>19</v>
      </c>
      <c r="D527" s="2" t="s">
        <v>26</v>
      </c>
      <c r="E527" s="2" t="s">
        <v>32</v>
      </c>
      <c r="G527" s="2">
        <v>1</v>
      </c>
      <c r="H527" s="2" t="s">
        <v>12</v>
      </c>
      <c r="I527" s="2" t="s">
        <v>12</v>
      </c>
    </row>
    <row r="528" spans="1:9" x14ac:dyDescent="0.25">
      <c r="A528" s="2" t="s">
        <v>9</v>
      </c>
      <c r="B528" s="2" t="s">
        <v>33</v>
      </c>
      <c r="C528" s="2" t="s">
        <v>19</v>
      </c>
      <c r="D528" s="2" t="s">
        <v>26</v>
      </c>
      <c r="E528" s="2" t="s">
        <v>34</v>
      </c>
      <c r="G528" s="2">
        <v>1</v>
      </c>
      <c r="H528" s="2" t="s">
        <v>12</v>
      </c>
      <c r="I528" s="2" t="s">
        <v>12</v>
      </c>
    </row>
    <row r="529" spans="1:9" x14ac:dyDescent="0.25">
      <c r="A529" s="2" t="s">
        <v>9</v>
      </c>
      <c r="B529" s="2" t="s">
        <v>33</v>
      </c>
      <c r="C529" s="2" t="s">
        <v>19</v>
      </c>
      <c r="D529" s="2" t="s">
        <v>26</v>
      </c>
      <c r="E529" s="2" t="s">
        <v>34</v>
      </c>
      <c r="G529" s="2">
        <v>1</v>
      </c>
      <c r="H529" s="2" t="s">
        <v>12</v>
      </c>
      <c r="I529" s="2" t="s">
        <v>12</v>
      </c>
    </row>
    <row r="530" spans="1:9" x14ac:dyDescent="0.25">
      <c r="A530" s="2" t="s">
        <v>9</v>
      </c>
      <c r="B530" s="2" t="s">
        <v>33</v>
      </c>
      <c r="C530" s="2" t="s">
        <v>19</v>
      </c>
      <c r="D530" s="2" t="s">
        <v>26</v>
      </c>
      <c r="E530" s="2" t="s">
        <v>34</v>
      </c>
      <c r="G530" s="2">
        <v>1</v>
      </c>
      <c r="H530" s="2" t="s">
        <v>12</v>
      </c>
      <c r="I530" s="2" t="s">
        <v>12</v>
      </c>
    </row>
    <row r="531" spans="1:9" x14ac:dyDescent="0.25">
      <c r="A531" s="2" t="s">
        <v>9</v>
      </c>
      <c r="B531" s="2" t="s">
        <v>33</v>
      </c>
      <c r="C531" s="2" t="s">
        <v>19</v>
      </c>
      <c r="D531" s="2" t="s">
        <v>26</v>
      </c>
      <c r="E531" s="2" t="s">
        <v>34</v>
      </c>
      <c r="G531" s="2">
        <v>1</v>
      </c>
      <c r="H531" s="2" t="s">
        <v>12</v>
      </c>
      <c r="I531" s="2" t="s">
        <v>12</v>
      </c>
    </row>
    <row r="532" spans="1:9" x14ac:dyDescent="0.25">
      <c r="A532" s="2" t="s">
        <v>9</v>
      </c>
      <c r="B532" s="2" t="s">
        <v>36</v>
      </c>
      <c r="C532" s="2" t="s">
        <v>11</v>
      </c>
      <c r="D532" s="2" t="s">
        <v>12</v>
      </c>
      <c r="E532" s="2" t="s">
        <v>12</v>
      </c>
      <c r="F532" s="8" t="s">
        <v>12</v>
      </c>
      <c r="G532" s="2">
        <v>1</v>
      </c>
      <c r="H532" s="2" t="s">
        <v>36</v>
      </c>
      <c r="I532" s="2" t="s">
        <v>12</v>
      </c>
    </row>
    <row r="533" spans="1:9" x14ac:dyDescent="0.25">
      <c r="A533" s="2" t="s">
        <v>9</v>
      </c>
      <c r="B533" s="2" t="s">
        <v>13</v>
      </c>
      <c r="C533" s="2" t="s">
        <v>14</v>
      </c>
      <c r="D533" s="2" t="s">
        <v>15</v>
      </c>
      <c r="E533" s="2" t="s">
        <v>16</v>
      </c>
      <c r="G533" s="2">
        <v>1</v>
      </c>
      <c r="H533" s="2" t="s">
        <v>36</v>
      </c>
      <c r="I533" s="2" t="s">
        <v>37</v>
      </c>
    </row>
    <row r="534" spans="1:9" x14ac:dyDescent="0.25">
      <c r="A534" s="2" t="s">
        <v>9</v>
      </c>
      <c r="B534" s="2" t="s">
        <v>18</v>
      </c>
      <c r="C534" s="2" t="s">
        <v>19</v>
      </c>
      <c r="D534" s="2" t="s">
        <v>15</v>
      </c>
      <c r="E534" s="2" t="s">
        <v>20</v>
      </c>
      <c r="G534" s="2">
        <v>1</v>
      </c>
      <c r="H534" s="2" t="s">
        <v>12</v>
      </c>
      <c r="I534" s="2" t="s">
        <v>12</v>
      </c>
    </row>
    <row r="535" spans="1:9" x14ac:dyDescent="0.25">
      <c r="A535" s="2" t="s">
        <v>9</v>
      </c>
      <c r="B535" s="2" t="s">
        <v>18</v>
      </c>
      <c r="C535" s="2" t="s">
        <v>19</v>
      </c>
      <c r="D535" s="2" t="s">
        <v>15</v>
      </c>
      <c r="E535" s="2" t="s">
        <v>20</v>
      </c>
      <c r="G535" s="2">
        <v>1</v>
      </c>
      <c r="H535" s="2" t="s">
        <v>12</v>
      </c>
      <c r="I535" s="2" t="s">
        <v>12</v>
      </c>
    </row>
    <row r="536" spans="1:9" x14ac:dyDescent="0.25">
      <c r="A536" s="2" t="s">
        <v>9</v>
      </c>
      <c r="B536" s="2" t="s">
        <v>21</v>
      </c>
      <c r="C536" s="2" t="s">
        <v>19</v>
      </c>
      <c r="D536" s="2" t="s">
        <v>15</v>
      </c>
      <c r="E536" s="2" t="s">
        <v>22</v>
      </c>
      <c r="G536" s="2">
        <v>1</v>
      </c>
      <c r="H536" s="2" t="s">
        <v>12</v>
      </c>
      <c r="I536" s="2" t="s">
        <v>12</v>
      </c>
    </row>
    <row r="537" spans="1:9" x14ac:dyDescent="0.25">
      <c r="A537" s="2" t="s">
        <v>9</v>
      </c>
      <c r="B537" s="2" t="s">
        <v>21</v>
      </c>
      <c r="C537" s="2" t="s">
        <v>19</v>
      </c>
      <c r="D537" s="2" t="s">
        <v>15</v>
      </c>
      <c r="E537" s="2" t="s">
        <v>22</v>
      </c>
      <c r="G537" s="2">
        <v>1</v>
      </c>
      <c r="H537" s="2" t="s">
        <v>12</v>
      </c>
      <c r="I537" s="2" t="s">
        <v>12</v>
      </c>
    </row>
    <row r="538" spans="1:9" x14ac:dyDescent="0.25">
      <c r="A538" s="2" t="s">
        <v>9</v>
      </c>
      <c r="B538" s="2" t="s">
        <v>13</v>
      </c>
      <c r="C538" s="2" t="s">
        <v>14</v>
      </c>
      <c r="D538" s="2" t="s">
        <v>15</v>
      </c>
      <c r="E538" s="2" t="s">
        <v>16</v>
      </c>
      <c r="G538" s="2">
        <v>1</v>
      </c>
      <c r="H538" s="2" t="s">
        <v>36</v>
      </c>
      <c r="I538" s="2" t="s">
        <v>38</v>
      </c>
    </row>
    <row r="539" spans="1:9" x14ac:dyDescent="0.25">
      <c r="A539" s="2" t="s">
        <v>9</v>
      </c>
      <c r="B539" s="2" t="s">
        <v>18</v>
      </c>
      <c r="C539" s="2" t="s">
        <v>19</v>
      </c>
      <c r="D539" s="2" t="s">
        <v>15</v>
      </c>
      <c r="E539" s="2" t="s">
        <v>20</v>
      </c>
      <c r="G539" s="2">
        <v>1</v>
      </c>
      <c r="H539" s="2" t="s">
        <v>12</v>
      </c>
      <c r="I539" s="2" t="s">
        <v>12</v>
      </c>
    </row>
    <row r="540" spans="1:9" x14ac:dyDescent="0.25">
      <c r="A540" s="2" t="s">
        <v>9</v>
      </c>
      <c r="B540" s="2" t="s">
        <v>18</v>
      </c>
      <c r="C540" s="2" t="s">
        <v>19</v>
      </c>
      <c r="D540" s="2" t="s">
        <v>15</v>
      </c>
      <c r="E540" s="2" t="s">
        <v>20</v>
      </c>
      <c r="G540" s="2">
        <v>1</v>
      </c>
      <c r="H540" s="2" t="s">
        <v>12</v>
      </c>
      <c r="I540" s="2" t="s">
        <v>12</v>
      </c>
    </row>
    <row r="541" spans="1:9" x14ac:dyDescent="0.25">
      <c r="A541" s="2" t="s">
        <v>9</v>
      </c>
      <c r="B541" s="2" t="s">
        <v>21</v>
      </c>
      <c r="C541" s="2" t="s">
        <v>19</v>
      </c>
      <c r="D541" s="2" t="s">
        <v>15</v>
      </c>
      <c r="E541" s="2" t="s">
        <v>22</v>
      </c>
      <c r="G541" s="2">
        <v>1</v>
      </c>
      <c r="H541" s="2" t="s">
        <v>12</v>
      </c>
      <c r="I541" s="2" t="s">
        <v>12</v>
      </c>
    </row>
    <row r="542" spans="1:9" x14ac:dyDescent="0.25">
      <c r="A542" s="2" t="s">
        <v>9</v>
      </c>
      <c r="B542" s="2" t="s">
        <v>21</v>
      </c>
      <c r="C542" s="2" t="s">
        <v>19</v>
      </c>
      <c r="D542" s="2" t="s">
        <v>15</v>
      </c>
      <c r="E542" s="2" t="s">
        <v>22</v>
      </c>
      <c r="G542" s="2">
        <v>1</v>
      </c>
      <c r="H542" s="2" t="s">
        <v>12</v>
      </c>
      <c r="I542" s="2" t="s">
        <v>12</v>
      </c>
    </row>
    <row r="543" spans="1:9" x14ac:dyDescent="0.25">
      <c r="A543" s="2" t="s">
        <v>9</v>
      </c>
      <c r="B543" s="2" t="s">
        <v>39</v>
      </c>
      <c r="C543" s="2" t="s">
        <v>40</v>
      </c>
      <c r="D543" s="2" t="s">
        <v>15</v>
      </c>
      <c r="E543" s="2" t="s">
        <v>41</v>
      </c>
      <c r="G543" s="2">
        <v>1</v>
      </c>
      <c r="H543" s="2" t="s">
        <v>12</v>
      </c>
      <c r="I543" s="2" t="s">
        <v>12</v>
      </c>
    </row>
    <row r="544" spans="1:9" x14ac:dyDescent="0.25">
      <c r="A544" s="2" t="s">
        <v>9</v>
      </c>
      <c r="B544" s="2" t="s">
        <v>39</v>
      </c>
      <c r="C544" s="2" t="s">
        <v>40</v>
      </c>
      <c r="D544" s="2" t="s">
        <v>15</v>
      </c>
      <c r="E544" s="2" t="s">
        <v>41</v>
      </c>
      <c r="G544" s="2">
        <v>1</v>
      </c>
      <c r="H544" s="2" t="s">
        <v>12</v>
      </c>
      <c r="I544" s="2" t="s">
        <v>12</v>
      </c>
    </row>
    <row r="545" spans="1:9" x14ac:dyDescent="0.25">
      <c r="A545" s="2" t="s">
        <v>9</v>
      </c>
      <c r="B545" s="2" t="s">
        <v>42</v>
      </c>
      <c r="C545" s="2" t="s">
        <v>43</v>
      </c>
      <c r="D545" s="2" t="s">
        <v>15</v>
      </c>
      <c r="E545" s="2" t="s">
        <v>44</v>
      </c>
      <c r="G545" s="2">
        <v>1</v>
      </c>
      <c r="H545" s="2" t="s">
        <v>36</v>
      </c>
      <c r="I545" s="2" t="s">
        <v>45</v>
      </c>
    </row>
    <row r="546" spans="1:9" x14ac:dyDescent="0.25">
      <c r="A546" s="2" t="s">
        <v>9</v>
      </c>
      <c r="B546" s="2" t="s">
        <v>46</v>
      </c>
      <c r="C546" s="2" t="s">
        <v>43</v>
      </c>
      <c r="D546" s="2" t="s">
        <v>15</v>
      </c>
      <c r="E546" s="2" t="s">
        <v>47</v>
      </c>
      <c r="G546" s="2">
        <v>1</v>
      </c>
      <c r="H546" s="2" t="s">
        <v>12</v>
      </c>
      <c r="I546" s="2" t="s">
        <v>12</v>
      </c>
    </row>
    <row r="547" spans="1:9" x14ac:dyDescent="0.25">
      <c r="A547" s="2" t="s">
        <v>9</v>
      </c>
      <c r="B547" s="2" t="s">
        <v>46</v>
      </c>
      <c r="C547" s="2" t="s">
        <v>43</v>
      </c>
      <c r="D547" s="2" t="s">
        <v>15</v>
      </c>
      <c r="E547" s="2" t="s">
        <v>47</v>
      </c>
      <c r="G547" s="2">
        <v>1</v>
      </c>
      <c r="H547" s="2" t="s">
        <v>12</v>
      </c>
      <c r="I547" s="2" t="s">
        <v>12</v>
      </c>
    </row>
    <row r="548" spans="1:9" x14ac:dyDescent="0.25">
      <c r="A548" s="2" t="s">
        <v>9</v>
      </c>
      <c r="B548" s="2" t="s">
        <v>48</v>
      </c>
      <c r="C548" s="2" t="s">
        <v>40</v>
      </c>
      <c r="D548" s="2" t="s">
        <v>15</v>
      </c>
      <c r="E548" s="2" t="s">
        <v>49</v>
      </c>
      <c r="G548" s="2">
        <v>1</v>
      </c>
      <c r="H548" s="2" t="s">
        <v>12</v>
      </c>
      <c r="I548" s="2" t="s">
        <v>12</v>
      </c>
    </row>
    <row r="549" spans="1:9" x14ac:dyDescent="0.25">
      <c r="A549" s="2" t="s">
        <v>9</v>
      </c>
      <c r="B549" s="2" t="s">
        <v>48</v>
      </c>
      <c r="C549" s="2" t="s">
        <v>40</v>
      </c>
      <c r="D549" s="2" t="s">
        <v>15</v>
      </c>
      <c r="E549" s="2" t="s">
        <v>49</v>
      </c>
      <c r="G549" s="2">
        <v>1</v>
      </c>
      <c r="H549" s="2" t="s">
        <v>12</v>
      </c>
      <c r="I549" s="2" t="s">
        <v>12</v>
      </c>
    </row>
    <row r="550" spans="1:9" x14ac:dyDescent="0.25">
      <c r="A550" s="2" t="s">
        <v>9</v>
      </c>
      <c r="B550" s="2" t="s">
        <v>48</v>
      </c>
      <c r="C550" s="2" t="s">
        <v>40</v>
      </c>
      <c r="D550" s="2" t="s">
        <v>15</v>
      </c>
      <c r="E550" s="2" t="s">
        <v>49</v>
      </c>
      <c r="G550" s="2">
        <v>1</v>
      </c>
      <c r="H550" s="2" t="s">
        <v>12</v>
      </c>
      <c r="I550" s="2" t="s">
        <v>12</v>
      </c>
    </row>
    <row r="551" spans="1:9" x14ac:dyDescent="0.25">
      <c r="A551" s="2" t="s">
        <v>9</v>
      </c>
      <c r="B551" s="2" t="s">
        <v>48</v>
      </c>
      <c r="C551" s="2" t="s">
        <v>40</v>
      </c>
      <c r="D551" s="2" t="s">
        <v>15</v>
      </c>
      <c r="E551" s="2" t="s">
        <v>49</v>
      </c>
      <c r="G551" s="2">
        <v>1</v>
      </c>
      <c r="H551" s="2" t="s">
        <v>12</v>
      </c>
      <c r="I551" s="2" t="s">
        <v>12</v>
      </c>
    </row>
    <row r="552" spans="1:9" x14ac:dyDescent="0.25">
      <c r="A552" s="2" t="s">
        <v>9</v>
      </c>
      <c r="B552" s="2" t="s">
        <v>48</v>
      </c>
      <c r="C552" s="2" t="s">
        <v>40</v>
      </c>
      <c r="D552" s="2" t="s">
        <v>15</v>
      </c>
      <c r="E552" s="2" t="s">
        <v>49</v>
      </c>
      <c r="G552" s="2">
        <v>1</v>
      </c>
      <c r="H552" s="2" t="s">
        <v>12</v>
      </c>
      <c r="I552" s="2" t="s">
        <v>12</v>
      </c>
    </row>
    <row r="553" spans="1:9" x14ac:dyDescent="0.25">
      <c r="A553" s="2" t="s">
        <v>9</v>
      </c>
      <c r="B553" s="2" t="s">
        <v>48</v>
      </c>
      <c r="C553" s="2" t="s">
        <v>40</v>
      </c>
      <c r="D553" s="2" t="s">
        <v>15</v>
      </c>
      <c r="E553" s="2" t="s">
        <v>49</v>
      </c>
      <c r="G553" s="2">
        <v>1</v>
      </c>
      <c r="H553" s="2" t="s">
        <v>12</v>
      </c>
      <c r="I553" s="2" t="s">
        <v>12</v>
      </c>
    </row>
    <row r="554" spans="1:9" x14ac:dyDescent="0.25">
      <c r="A554" s="2" t="s">
        <v>9</v>
      </c>
      <c r="B554" s="2" t="s">
        <v>48</v>
      </c>
      <c r="C554" s="2" t="s">
        <v>40</v>
      </c>
      <c r="D554" s="2" t="s">
        <v>15</v>
      </c>
      <c r="E554" s="2" t="s">
        <v>49</v>
      </c>
      <c r="G554" s="2">
        <v>1</v>
      </c>
      <c r="H554" s="2" t="s">
        <v>12</v>
      </c>
      <c r="I554" s="2" t="s">
        <v>12</v>
      </c>
    </row>
    <row r="555" spans="1:9" x14ac:dyDescent="0.25">
      <c r="A555" s="2" t="s">
        <v>9</v>
      </c>
      <c r="B555" s="2" t="s">
        <v>48</v>
      </c>
      <c r="C555" s="2" t="s">
        <v>40</v>
      </c>
      <c r="D555" s="2" t="s">
        <v>15</v>
      </c>
      <c r="E555" s="2" t="s">
        <v>49</v>
      </c>
      <c r="G555" s="2">
        <v>1</v>
      </c>
      <c r="H555" s="2" t="s">
        <v>12</v>
      </c>
      <c r="I555" s="2" t="s">
        <v>12</v>
      </c>
    </row>
    <row r="556" spans="1:9" x14ac:dyDescent="0.25">
      <c r="A556" s="2" t="s">
        <v>9</v>
      </c>
      <c r="B556" s="2" t="s">
        <v>48</v>
      </c>
      <c r="C556" s="2" t="s">
        <v>40</v>
      </c>
      <c r="D556" s="2" t="s">
        <v>15</v>
      </c>
      <c r="E556" s="2" t="s">
        <v>49</v>
      </c>
      <c r="G556" s="2">
        <v>1</v>
      </c>
      <c r="H556" s="2" t="s">
        <v>12</v>
      </c>
      <c r="I556" s="2" t="s">
        <v>12</v>
      </c>
    </row>
    <row r="557" spans="1:9" x14ac:dyDescent="0.25">
      <c r="A557" s="2" t="s">
        <v>9</v>
      </c>
      <c r="B557" s="2" t="s">
        <v>48</v>
      </c>
      <c r="C557" s="2" t="s">
        <v>40</v>
      </c>
      <c r="D557" s="2" t="s">
        <v>15</v>
      </c>
      <c r="E557" s="2" t="s">
        <v>49</v>
      </c>
      <c r="G557" s="2">
        <v>1</v>
      </c>
      <c r="H557" s="2" t="s">
        <v>12</v>
      </c>
      <c r="I557" s="2" t="s">
        <v>12</v>
      </c>
    </row>
    <row r="558" spans="1:9" x14ac:dyDescent="0.25">
      <c r="A558" s="2" t="s">
        <v>9</v>
      </c>
      <c r="B558" s="2" t="s">
        <v>48</v>
      </c>
      <c r="C558" s="2" t="s">
        <v>40</v>
      </c>
      <c r="D558" s="2" t="s">
        <v>15</v>
      </c>
      <c r="E558" s="2" t="s">
        <v>49</v>
      </c>
      <c r="G558" s="2">
        <v>1</v>
      </c>
      <c r="H558" s="2" t="s">
        <v>12</v>
      </c>
      <c r="I558" s="2" t="s">
        <v>12</v>
      </c>
    </row>
    <row r="559" spans="1:9" x14ac:dyDescent="0.25">
      <c r="A559" s="2" t="s">
        <v>9</v>
      </c>
      <c r="B559" s="2" t="s">
        <v>48</v>
      </c>
      <c r="C559" s="2" t="s">
        <v>40</v>
      </c>
      <c r="D559" s="2" t="s">
        <v>15</v>
      </c>
      <c r="E559" s="2" t="s">
        <v>49</v>
      </c>
      <c r="G559" s="2">
        <v>1</v>
      </c>
      <c r="H559" s="2" t="s">
        <v>12</v>
      </c>
      <c r="I559" s="2" t="s">
        <v>12</v>
      </c>
    </row>
    <row r="560" spans="1:9" x14ac:dyDescent="0.25">
      <c r="A560" s="2" t="s">
        <v>9</v>
      </c>
      <c r="B560" s="2" t="s">
        <v>50</v>
      </c>
      <c r="C560" s="2" t="s">
        <v>19</v>
      </c>
      <c r="D560" s="2" t="s">
        <v>15</v>
      </c>
      <c r="E560" s="2" t="s">
        <v>51</v>
      </c>
      <c r="G560" s="2">
        <v>1</v>
      </c>
      <c r="H560" s="2" t="s">
        <v>12</v>
      </c>
      <c r="I560" s="2" t="s">
        <v>12</v>
      </c>
    </row>
    <row r="561" spans="1:9" x14ac:dyDescent="0.25">
      <c r="A561" s="2" t="s">
        <v>9</v>
      </c>
      <c r="B561" s="2" t="s">
        <v>50</v>
      </c>
      <c r="C561" s="2" t="s">
        <v>19</v>
      </c>
      <c r="D561" s="2" t="s">
        <v>15</v>
      </c>
      <c r="E561" s="2" t="s">
        <v>51</v>
      </c>
      <c r="G561" s="2">
        <v>1</v>
      </c>
      <c r="H561" s="2" t="s">
        <v>12</v>
      </c>
      <c r="I561" s="2" t="s">
        <v>12</v>
      </c>
    </row>
    <row r="562" spans="1:9" x14ac:dyDescent="0.25">
      <c r="A562" s="2" t="s">
        <v>9</v>
      </c>
      <c r="B562" s="2" t="s">
        <v>50</v>
      </c>
      <c r="C562" s="2" t="s">
        <v>19</v>
      </c>
      <c r="D562" s="2" t="s">
        <v>15</v>
      </c>
      <c r="E562" s="2" t="s">
        <v>51</v>
      </c>
      <c r="G562" s="2">
        <v>1</v>
      </c>
      <c r="H562" s="2" t="s">
        <v>12</v>
      </c>
      <c r="I562" s="2" t="s">
        <v>12</v>
      </c>
    </row>
    <row r="563" spans="1:9" x14ac:dyDescent="0.25">
      <c r="A563" s="2" t="s">
        <v>9</v>
      </c>
      <c r="B563" s="2" t="s">
        <v>50</v>
      </c>
      <c r="C563" s="2" t="s">
        <v>19</v>
      </c>
      <c r="D563" s="2" t="s">
        <v>15</v>
      </c>
      <c r="E563" s="2" t="s">
        <v>51</v>
      </c>
      <c r="G563" s="2">
        <v>1</v>
      </c>
      <c r="H563" s="2" t="s">
        <v>12</v>
      </c>
      <c r="I563" s="2" t="s">
        <v>12</v>
      </c>
    </row>
    <row r="564" spans="1:9" x14ac:dyDescent="0.25">
      <c r="A564" s="2" t="s">
        <v>9</v>
      </c>
      <c r="B564" s="2" t="s">
        <v>50</v>
      </c>
      <c r="C564" s="2" t="s">
        <v>19</v>
      </c>
      <c r="D564" s="2" t="s">
        <v>15</v>
      </c>
      <c r="E564" s="2" t="s">
        <v>51</v>
      </c>
      <c r="G564" s="2">
        <v>1</v>
      </c>
      <c r="H564" s="2" t="s">
        <v>12</v>
      </c>
      <c r="I564" s="2" t="s">
        <v>12</v>
      </c>
    </row>
    <row r="565" spans="1:9" x14ac:dyDescent="0.25">
      <c r="A565" s="2" t="s">
        <v>9</v>
      </c>
      <c r="B565" s="2" t="s">
        <v>50</v>
      </c>
      <c r="C565" s="2" t="s">
        <v>19</v>
      </c>
      <c r="D565" s="2" t="s">
        <v>15</v>
      </c>
      <c r="E565" s="2" t="s">
        <v>51</v>
      </c>
      <c r="G565" s="2">
        <v>1</v>
      </c>
      <c r="H565" s="2" t="s">
        <v>12</v>
      </c>
      <c r="I565" s="2" t="s">
        <v>12</v>
      </c>
    </row>
    <row r="566" spans="1:9" x14ac:dyDescent="0.25">
      <c r="A566" s="2" t="s">
        <v>9</v>
      </c>
      <c r="B566" s="2" t="s">
        <v>50</v>
      </c>
      <c r="C566" s="2" t="s">
        <v>19</v>
      </c>
      <c r="D566" s="2" t="s">
        <v>15</v>
      </c>
      <c r="E566" s="2" t="s">
        <v>51</v>
      </c>
      <c r="G566" s="2">
        <v>1</v>
      </c>
      <c r="H566" s="2" t="s">
        <v>12</v>
      </c>
      <c r="I566" s="2" t="s">
        <v>12</v>
      </c>
    </row>
    <row r="567" spans="1:9" x14ac:dyDescent="0.25">
      <c r="A567" s="2" t="s">
        <v>9</v>
      </c>
      <c r="B567" s="2" t="s">
        <v>50</v>
      </c>
      <c r="C567" s="2" t="s">
        <v>19</v>
      </c>
      <c r="D567" s="2" t="s">
        <v>15</v>
      </c>
      <c r="E567" s="2" t="s">
        <v>51</v>
      </c>
      <c r="G567" s="2">
        <v>1</v>
      </c>
      <c r="H567" s="2" t="s">
        <v>12</v>
      </c>
      <c r="I567" s="2" t="s">
        <v>12</v>
      </c>
    </row>
    <row r="568" spans="1:9" x14ac:dyDescent="0.25">
      <c r="A568" s="2" t="s">
        <v>9</v>
      </c>
      <c r="B568" s="2" t="s">
        <v>52</v>
      </c>
      <c r="C568" s="2" t="s">
        <v>11</v>
      </c>
      <c r="D568" s="2" t="s">
        <v>12</v>
      </c>
      <c r="E568" s="2" t="s">
        <v>12</v>
      </c>
      <c r="F568" s="8" t="s">
        <v>12</v>
      </c>
      <c r="G568" s="2">
        <v>1</v>
      </c>
      <c r="H568" s="2" t="s">
        <v>52</v>
      </c>
      <c r="I568" s="2" t="s">
        <v>12</v>
      </c>
    </row>
    <row r="569" spans="1:9" x14ac:dyDescent="0.25">
      <c r="A569" s="2" t="s">
        <v>9</v>
      </c>
      <c r="B569" s="2" t="s">
        <v>53</v>
      </c>
      <c r="C569" s="2" t="s">
        <v>54</v>
      </c>
      <c r="D569" s="2" t="s">
        <v>55</v>
      </c>
      <c r="E569" s="2" t="s">
        <v>56</v>
      </c>
      <c r="G569" s="2">
        <v>1</v>
      </c>
      <c r="H569" s="2" t="s">
        <v>52</v>
      </c>
      <c r="I569" s="2" t="s">
        <v>57</v>
      </c>
    </row>
    <row r="570" spans="1:9" x14ac:dyDescent="0.25">
      <c r="A570" s="2" t="s">
        <v>9</v>
      </c>
      <c r="B570" s="2" t="s">
        <v>58</v>
      </c>
      <c r="C570" s="2" t="s">
        <v>59</v>
      </c>
      <c r="D570" s="2" t="s">
        <v>15</v>
      </c>
      <c r="E570" s="2" t="s">
        <v>60</v>
      </c>
      <c r="G570" s="2">
        <v>1</v>
      </c>
      <c r="H570" s="2" t="s">
        <v>52</v>
      </c>
      <c r="I570" s="2" t="s">
        <v>61</v>
      </c>
    </row>
    <row r="571" spans="1:9" x14ac:dyDescent="0.25">
      <c r="A571" s="2" t="s">
        <v>9</v>
      </c>
      <c r="B571" s="2" t="s">
        <v>62</v>
      </c>
      <c r="C571" s="2" t="s">
        <v>63</v>
      </c>
      <c r="D571" s="2" t="s">
        <v>12</v>
      </c>
      <c r="E571" s="2" t="s">
        <v>12</v>
      </c>
      <c r="F571" s="8" t="s">
        <v>12</v>
      </c>
      <c r="G571" s="2">
        <v>1</v>
      </c>
      <c r="H571" s="2" t="s">
        <v>62</v>
      </c>
      <c r="I571" s="2" t="s">
        <v>12</v>
      </c>
    </row>
    <row r="572" spans="1:9" x14ac:dyDescent="0.25">
      <c r="A572" s="2" t="s">
        <v>9</v>
      </c>
      <c r="B572" s="2" t="s">
        <v>64</v>
      </c>
      <c r="C572" s="2" t="s">
        <v>65</v>
      </c>
      <c r="D572" s="2" t="s">
        <v>66</v>
      </c>
      <c r="E572" s="2" t="s">
        <v>67</v>
      </c>
      <c r="G572" s="2">
        <v>1</v>
      </c>
      <c r="H572" s="2" t="s">
        <v>12</v>
      </c>
      <c r="I572" s="2" t="s">
        <v>68</v>
      </c>
    </row>
    <row r="573" spans="1:9" x14ac:dyDescent="0.25">
      <c r="A573" s="2" t="s">
        <v>9</v>
      </c>
      <c r="B573" s="2" t="s">
        <v>69</v>
      </c>
      <c r="C573" s="2" t="s">
        <v>70</v>
      </c>
      <c r="D573" s="2" t="s">
        <v>66</v>
      </c>
      <c r="E573" s="2" t="s">
        <v>71</v>
      </c>
      <c r="G573" s="2">
        <v>1</v>
      </c>
      <c r="H573" s="2" t="s">
        <v>12</v>
      </c>
      <c r="I573" s="2" t="s">
        <v>72</v>
      </c>
    </row>
    <row r="574" spans="1:9" x14ac:dyDescent="0.25">
      <c r="A574" s="2" t="s">
        <v>9</v>
      </c>
      <c r="B574" s="2" t="s">
        <v>69</v>
      </c>
      <c r="C574" s="2" t="s">
        <v>70</v>
      </c>
      <c r="D574" s="2" t="s">
        <v>66</v>
      </c>
      <c r="E574" s="2" t="s">
        <v>71</v>
      </c>
      <c r="G574" s="2">
        <v>1</v>
      </c>
      <c r="H574" s="2" t="s">
        <v>12</v>
      </c>
      <c r="I574" s="2" t="s">
        <v>73</v>
      </c>
    </row>
    <row r="575" spans="1:9" x14ac:dyDescent="0.25">
      <c r="A575" s="2" t="s">
        <v>9</v>
      </c>
      <c r="B575" s="2" t="s">
        <v>64</v>
      </c>
      <c r="C575" s="2" t="s">
        <v>65</v>
      </c>
      <c r="D575" s="2" t="s">
        <v>66</v>
      </c>
      <c r="E575" s="2" t="s">
        <v>67</v>
      </c>
      <c r="G575" s="2">
        <v>1</v>
      </c>
      <c r="H575" s="2" t="s">
        <v>12</v>
      </c>
      <c r="I575" s="2" t="s">
        <v>74</v>
      </c>
    </row>
    <row r="576" spans="1:9" x14ac:dyDescent="0.25">
      <c r="A576" s="2" t="s">
        <v>9</v>
      </c>
      <c r="B576" s="2" t="s">
        <v>69</v>
      </c>
      <c r="C576" s="2" t="s">
        <v>70</v>
      </c>
      <c r="D576" s="2" t="s">
        <v>66</v>
      </c>
      <c r="E576" s="2" t="s">
        <v>71</v>
      </c>
      <c r="G576" s="2">
        <v>1</v>
      </c>
      <c r="H576" s="2" t="s">
        <v>12</v>
      </c>
      <c r="I576" s="2" t="s">
        <v>75</v>
      </c>
    </row>
    <row r="577" spans="1:9" x14ac:dyDescent="0.25">
      <c r="A577" s="2" t="s">
        <v>9</v>
      </c>
      <c r="B577" s="2" t="s">
        <v>69</v>
      </c>
      <c r="C577" s="2" t="s">
        <v>70</v>
      </c>
      <c r="D577" s="2" t="s">
        <v>66</v>
      </c>
      <c r="E577" s="2" t="s">
        <v>71</v>
      </c>
      <c r="G577" s="2">
        <v>1</v>
      </c>
      <c r="H577" s="2" t="s">
        <v>12</v>
      </c>
      <c r="I577" s="2" t="s">
        <v>76</v>
      </c>
    </row>
    <row r="578" spans="1:9" x14ac:dyDescent="0.25">
      <c r="A578" s="2" t="s">
        <v>9</v>
      </c>
      <c r="B578" s="2" t="s">
        <v>77</v>
      </c>
      <c r="C578" s="2" t="s">
        <v>78</v>
      </c>
      <c r="D578" s="2" t="s">
        <v>12</v>
      </c>
      <c r="E578" s="2" t="s">
        <v>12</v>
      </c>
      <c r="F578" s="8" t="s">
        <v>12</v>
      </c>
      <c r="G578" s="2">
        <v>1</v>
      </c>
      <c r="H578" s="2" t="s">
        <v>77</v>
      </c>
      <c r="I578" s="2" t="s">
        <v>12</v>
      </c>
    </row>
    <row r="579" spans="1:9" x14ac:dyDescent="0.25">
      <c r="A579" s="2" t="s">
        <v>9</v>
      </c>
      <c r="B579" s="2" t="s">
        <v>64</v>
      </c>
      <c r="C579" s="2" t="s">
        <v>65</v>
      </c>
      <c r="D579" s="2" t="s">
        <v>66</v>
      </c>
      <c r="E579" s="2" t="s">
        <v>67</v>
      </c>
      <c r="G579" s="2">
        <v>1</v>
      </c>
      <c r="H579" s="2" t="s">
        <v>12</v>
      </c>
      <c r="I579" s="2" t="s">
        <v>79</v>
      </c>
    </row>
    <row r="580" spans="1:9" x14ac:dyDescent="0.25">
      <c r="A580" s="2" t="s">
        <v>9</v>
      </c>
      <c r="B580" s="2" t="s">
        <v>69</v>
      </c>
      <c r="C580" s="2" t="s">
        <v>70</v>
      </c>
      <c r="D580" s="2" t="s">
        <v>66</v>
      </c>
      <c r="E580" s="2" t="s">
        <v>71</v>
      </c>
      <c r="G580" s="2">
        <v>1</v>
      </c>
      <c r="H580" s="2" t="s">
        <v>12</v>
      </c>
      <c r="I580" s="2" t="s">
        <v>80</v>
      </c>
    </row>
    <row r="581" spans="1:9" x14ac:dyDescent="0.25">
      <c r="A581" s="2" t="s">
        <v>9</v>
      </c>
      <c r="B581" s="2" t="s">
        <v>69</v>
      </c>
      <c r="C581" s="2" t="s">
        <v>70</v>
      </c>
      <c r="D581" s="2" t="s">
        <v>66</v>
      </c>
      <c r="E581" s="2" t="s">
        <v>71</v>
      </c>
      <c r="G581" s="2">
        <v>1</v>
      </c>
      <c r="H581" s="2" t="s">
        <v>12</v>
      </c>
      <c r="I581" s="2" t="s">
        <v>81</v>
      </c>
    </row>
    <row r="582" spans="1:9" x14ac:dyDescent="0.25">
      <c r="A582" s="2" t="s">
        <v>9</v>
      </c>
      <c r="B582" s="2" t="s">
        <v>64</v>
      </c>
      <c r="C582" s="2" t="s">
        <v>65</v>
      </c>
      <c r="D582" s="2" t="s">
        <v>66</v>
      </c>
      <c r="E582" s="2" t="s">
        <v>67</v>
      </c>
      <c r="G582" s="2">
        <v>1</v>
      </c>
      <c r="H582" s="2" t="s">
        <v>12</v>
      </c>
      <c r="I582" s="2" t="s">
        <v>82</v>
      </c>
    </row>
    <row r="583" spans="1:9" x14ac:dyDescent="0.25">
      <c r="A583" s="2" t="s">
        <v>9</v>
      </c>
      <c r="B583" s="2" t="s">
        <v>69</v>
      </c>
      <c r="C583" s="2" t="s">
        <v>70</v>
      </c>
      <c r="D583" s="2" t="s">
        <v>66</v>
      </c>
      <c r="E583" s="2" t="s">
        <v>71</v>
      </c>
      <c r="G583" s="2">
        <v>1</v>
      </c>
      <c r="H583" s="2" t="s">
        <v>12</v>
      </c>
      <c r="I583" s="2" t="s">
        <v>83</v>
      </c>
    </row>
    <row r="584" spans="1:9" x14ac:dyDescent="0.25">
      <c r="A584" s="2" t="s">
        <v>9</v>
      </c>
      <c r="B584" s="2" t="s">
        <v>69</v>
      </c>
      <c r="C584" s="2" t="s">
        <v>70</v>
      </c>
      <c r="D584" s="2" t="s">
        <v>66</v>
      </c>
      <c r="E584" s="2" t="s">
        <v>71</v>
      </c>
      <c r="G584" s="2">
        <v>1</v>
      </c>
      <c r="H584" s="2" t="s">
        <v>12</v>
      </c>
      <c r="I584" s="2" t="s">
        <v>84</v>
      </c>
    </row>
    <row r="585" spans="1:9" x14ac:dyDescent="0.25">
      <c r="A585" s="2" t="s">
        <v>9</v>
      </c>
      <c r="B585" s="2" t="s">
        <v>85</v>
      </c>
      <c r="C585" s="2" t="s">
        <v>86</v>
      </c>
      <c r="D585" s="2" t="s">
        <v>12</v>
      </c>
      <c r="E585" s="2" t="s">
        <v>12</v>
      </c>
      <c r="F585" s="8" t="s">
        <v>12</v>
      </c>
      <c r="G585" s="2">
        <v>1</v>
      </c>
      <c r="H585" s="2" t="s">
        <v>85</v>
      </c>
      <c r="I585" s="2" t="s">
        <v>12</v>
      </c>
    </row>
    <row r="586" spans="1:9" x14ac:dyDescent="0.25">
      <c r="A586" s="2" t="s">
        <v>9</v>
      </c>
      <c r="B586" s="2" t="s">
        <v>64</v>
      </c>
      <c r="C586" s="2" t="s">
        <v>65</v>
      </c>
      <c r="D586" s="2" t="s">
        <v>66</v>
      </c>
      <c r="E586" s="2" t="s">
        <v>67</v>
      </c>
      <c r="G586" s="2">
        <v>1</v>
      </c>
      <c r="H586" s="2" t="s">
        <v>12</v>
      </c>
      <c r="I586" s="2" t="s">
        <v>87</v>
      </c>
    </row>
    <row r="587" spans="1:9" x14ac:dyDescent="0.25">
      <c r="A587" s="2" t="s">
        <v>9</v>
      </c>
      <c r="B587" s="2" t="s">
        <v>69</v>
      </c>
      <c r="C587" s="2" t="s">
        <v>70</v>
      </c>
      <c r="D587" s="2" t="s">
        <v>66</v>
      </c>
      <c r="E587" s="2" t="s">
        <v>71</v>
      </c>
      <c r="G587" s="2">
        <v>1</v>
      </c>
      <c r="H587" s="2" t="s">
        <v>12</v>
      </c>
      <c r="I587" s="2" t="s">
        <v>88</v>
      </c>
    </row>
    <row r="588" spans="1:9" x14ac:dyDescent="0.25">
      <c r="A588" s="2" t="s">
        <v>9</v>
      </c>
      <c r="B588" s="2" t="s">
        <v>69</v>
      </c>
      <c r="C588" s="2" t="s">
        <v>70</v>
      </c>
      <c r="D588" s="2" t="s">
        <v>66</v>
      </c>
      <c r="E588" s="2" t="s">
        <v>71</v>
      </c>
      <c r="G588" s="2">
        <v>1</v>
      </c>
      <c r="H588" s="2" t="s">
        <v>12</v>
      </c>
      <c r="I588" s="2" t="s">
        <v>89</v>
      </c>
    </row>
    <row r="589" spans="1:9" x14ac:dyDescent="0.25">
      <c r="A589" s="2" t="s">
        <v>9</v>
      </c>
      <c r="B589" s="2" t="s">
        <v>64</v>
      </c>
      <c r="C589" s="2" t="s">
        <v>65</v>
      </c>
      <c r="D589" s="2" t="s">
        <v>66</v>
      </c>
      <c r="E589" s="2" t="s">
        <v>67</v>
      </c>
      <c r="G589" s="2">
        <v>1</v>
      </c>
      <c r="H589" s="2" t="s">
        <v>12</v>
      </c>
      <c r="I589" s="2" t="s">
        <v>90</v>
      </c>
    </row>
    <row r="590" spans="1:9" x14ac:dyDescent="0.25">
      <c r="A590" s="2" t="s">
        <v>9</v>
      </c>
      <c r="B590" s="2" t="s">
        <v>69</v>
      </c>
      <c r="C590" s="2" t="s">
        <v>70</v>
      </c>
      <c r="D590" s="2" t="s">
        <v>66</v>
      </c>
      <c r="E590" s="2" t="s">
        <v>71</v>
      </c>
      <c r="G590" s="2">
        <v>1</v>
      </c>
      <c r="H590" s="2" t="s">
        <v>12</v>
      </c>
      <c r="I590" s="2" t="s">
        <v>91</v>
      </c>
    </row>
    <row r="591" spans="1:9" x14ac:dyDescent="0.25">
      <c r="A591" s="2" t="s">
        <v>9</v>
      </c>
      <c r="B591" s="2" t="s">
        <v>69</v>
      </c>
      <c r="C591" s="2" t="s">
        <v>70</v>
      </c>
      <c r="D591" s="2" t="s">
        <v>66</v>
      </c>
      <c r="E591" s="2" t="s">
        <v>71</v>
      </c>
      <c r="G591" s="2">
        <v>1</v>
      </c>
      <c r="H591" s="2" t="s">
        <v>12</v>
      </c>
      <c r="I591" s="2" t="s">
        <v>92</v>
      </c>
    </row>
    <row r="592" spans="1:9" x14ac:dyDescent="0.25">
      <c r="A592" s="2" t="s">
        <v>9</v>
      </c>
      <c r="B592" s="2" t="s">
        <v>93</v>
      </c>
      <c r="C592" s="2" t="s">
        <v>94</v>
      </c>
      <c r="D592" s="2" t="s">
        <v>12</v>
      </c>
      <c r="E592" s="2" t="s">
        <v>12</v>
      </c>
      <c r="F592" s="8" t="s">
        <v>12</v>
      </c>
      <c r="G592" s="2">
        <v>1</v>
      </c>
      <c r="H592" s="2" t="s">
        <v>93</v>
      </c>
      <c r="I592" s="2" t="s">
        <v>12</v>
      </c>
    </row>
    <row r="593" spans="1:9" x14ac:dyDescent="0.25">
      <c r="A593" s="2" t="s">
        <v>9</v>
      </c>
      <c r="B593" s="2" t="s">
        <v>64</v>
      </c>
      <c r="C593" s="2" t="s">
        <v>65</v>
      </c>
      <c r="D593" s="2" t="s">
        <v>66</v>
      </c>
      <c r="E593" s="2" t="s">
        <v>67</v>
      </c>
      <c r="G593" s="2">
        <v>1</v>
      </c>
      <c r="H593" s="2" t="s">
        <v>12</v>
      </c>
      <c r="I593" s="2" t="s">
        <v>95</v>
      </c>
    </row>
    <row r="594" spans="1:9" x14ac:dyDescent="0.25">
      <c r="A594" s="2" t="s">
        <v>9</v>
      </c>
      <c r="B594" s="2" t="s">
        <v>96</v>
      </c>
      <c r="C594" s="2" t="s">
        <v>70</v>
      </c>
      <c r="D594" s="2" t="s">
        <v>66</v>
      </c>
      <c r="E594" s="2" t="s">
        <v>97</v>
      </c>
      <c r="G594" s="2">
        <v>1</v>
      </c>
      <c r="H594" s="2" t="s">
        <v>12</v>
      </c>
      <c r="I594" s="2" t="s">
        <v>98</v>
      </c>
    </row>
    <row r="595" spans="1:9" x14ac:dyDescent="0.25">
      <c r="A595" s="2" t="s">
        <v>9</v>
      </c>
      <c r="B595" s="2" t="s">
        <v>96</v>
      </c>
      <c r="C595" s="2" t="s">
        <v>70</v>
      </c>
      <c r="D595" s="2" t="s">
        <v>66</v>
      </c>
      <c r="E595" s="2" t="s">
        <v>97</v>
      </c>
      <c r="G595" s="2">
        <v>1</v>
      </c>
      <c r="H595" s="2" t="s">
        <v>12</v>
      </c>
      <c r="I595" s="2" t="s">
        <v>99</v>
      </c>
    </row>
    <row r="596" spans="1:9" x14ac:dyDescent="0.25">
      <c r="A596" s="2" t="s">
        <v>9</v>
      </c>
      <c r="B596" s="2" t="s">
        <v>100</v>
      </c>
      <c r="C596" s="2" t="s">
        <v>101</v>
      </c>
      <c r="D596" s="2" t="s">
        <v>12</v>
      </c>
      <c r="E596" s="2" t="s">
        <v>12</v>
      </c>
      <c r="F596" s="8" t="s">
        <v>12</v>
      </c>
      <c r="G596" s="2">
        <v>1</v>
      </c>
      <c r="H596" s="2" t="s">
        <v>100</v>
      </c>
      <c r="I596" s="2" t="s">
        <v>12</v>
      </c>
    </row>
    <row r="597" spans="1:9" x14ac:dyDescent="0.25">
      <c r="A597" s="2" t="s">
        <v>9</v>
      </c>
      <c r="B597" s="2" t="s">
        <v>64</v>
      </c>
      <c r="C597" s="2" t="s">
        <v>65</v>
      </c>
      <c r="D597" s="2" t="s">
        <v>66</v>
      </c>
      <c r="E597" s="2" t="s">
        <v>67</v>
      </c>
      <c r="G597" s="2">
        <v>1</v>
      </c>
      <c r="H597" s="2" t="s">
        <v>12</v>
      </c>
      <c r="I597" s="2" t="s">
        <v>102</v>
      </c>
    </row>
    <row r="598" spans="1:9" x14ac:dyDescent="0.25">
      <c r="A598" s="2" t="s">
        <v>9</v>
      </c>
      <c r="B598" s="2" t="s">
        <v>69</v>
      </c>
      <c r="C598" s="2" t="s">
        <v>70</v>
      </c>
      <c r="D598" s="2" t="s">
        <v>66</v>
      </c>
      <c r="E598" s="2" t="s">
        <v>71</v>
      </c>
      <c r="G598" s="2">
        <v>1</v>
      </c>
      <c r="H598" s="2" t="s">
        <v>12</v>
      </c>
      <c r="I598" s="2" t="s">
        <v>103</v>
      </c>
    </row>
    <row r="599" spans="1:9" x14ac:dyDescent="0.25">
      <c r="A599" s="2" t="s">
        <v>9</v>
      </c>
      <c r="B599" s="2" t="s">
        <v>69</v>
      </c>
      <c r="C599" s="2" t="s">
        <v>70</v>
      </c>
      <c r="D599" s="2" t="s">
        <v>66</v>
      </c>
      <c r="E599" s="2" t="s">
        <v>71</v>
      </c>
      <c r="G599" s="2">
        <v>1</v>
      </c>
      <c r="H599" s="2" t="s">
        <v>12</v>
      </c>
      <c r="I599" s="2" t="s">
        <v>104</v>
      </c>
    </row>
    <row r="600" spans="1:9" x14ac:dyDescent="0.25">
      <c r="A600" s="2" t="s">
        <v>9</v>
      </c>
      <c r="B600" s="2" t="s">
        <v>64</v>
      </c>
      <c r="C600" s="2" t="s">
        <v>65</v>
      </c>
      <c r="D600" s="2" t="s">
        <v>66</v>
      </c>
      <c r="E600" s="2" t="s">
        <v>67</v>
      </c>
      <c r="G600" s="2">
        <v>1</v>
      </c>
      <c r="H600" s="2" t="s">
        <v>12</v>
      </c>
      <c r="I600" s="2" t="s">
        <v>105</v>
      </c>
    </row>
    <row r="601" spans="1:9" x14ac:dyDescent="0.25">
      <c r="A601" s="2" t="s">
        <v>9</v>
      </c>
      <c r="B601" s="2" t="s">
        <v>96</v>
      </c>
      <c r="C601" s="2" t="s">
        <v>70</v>
      </c>
      <c r="D601" s="2" t="s">
        <v>66</v>
      </c>
      <c r="E601" s="2" t="s">
        <v>97</v>
      </c>
      <c r="G601" s="2">
        <v>1</v>
      </c>
      <c r="H601" s="2" t="s">
        <v>12</v>
      </c>
      <c r="I601" s="2" t="s">
        <v>106</v>
      </c>
    </row>
    <row r="602" spans="1:9" x14ac:dyDescent="0.25">
      <c r="A602" s="2" t="s">
        <v>9</v>
      </c>
      <c r="B602" s="2" t="s">
        <v>10</v>
      </c>
      <c r="C602" s="2" t="s">
        <v>11</v>
      </c>
      <c r="D602" s="2" t="s">
        <v>12</v>
      </c>
      <c r="E602" s="2" t="s">
        <v>12</v>
      </c>
      <c r="F602" s="8" t="s">
        <v>12</v>
      </c>
      <c r="G602" s="2">
        <v>1</v>
      </c>
      <c r="H602" s="2" t="s">
        <v>10</v>
      </c>
      <c r="I602" s="2" t="s">
        <v>12</v>
      </c>
    </row>
    <row r="603" spans="1:9" x14ac:dyDescent="0.25">
      <c r="A603" s="2" t="s">
        <v>9</v>
      </c>
      <c r="B603" s="2" t="s">
        <v>13</v>
      </c>
      <c r="C603" s="2" t="s">
        <v>14</v>
      </c>
      <c r="D603" s="2" t="s">
        <v>15</v>
      </c>
      <c r="E603" s="2" t="s">
        <v>16</v>
      </c>
      <c r="G603" s="2">
        <v>1</v>
      </c>
      <c r="H603" s="2" t="s">
        <v>10</v>
      </c>
      <c r="I603" s="2" t="s">
        <v>17</v>
      </c>
    </row>
    <row r="604" spans="1:9" x14ac:dyDescent="0.25">
      <c r="A604" s="2" t="s">
        <v>9</v>
      </c>
      <c r="B604" s="2" t="s">
        <v>18</v>
      </c>
      <c r="C604" s="2" t="s">
        <v>19</v>
      </c>
      <c r="D604" s="2" t="s">
        <v>15</v>
      </c>
      <c r="E604" s="2" t="s">
        <v>20</v>
      </c>
      <c r="G604" s="2">
        <v>1</v>
      </c>
      <c r="H604" s="2" t="s">
        <v>12</v>
      </c>
      <c r="I604" s="2" t="s">
        <v>12</v>
      </c>
    </row>
    <row r="605" spans="1:9" x14ac:dyDescent="0.25">
      <c r="A605" s="2" t="s">
        <v>9</v>
      </c>
      <c r="B605" s="2" t="s">
        <v>18</v>
      </c>
      <c r="C605" s="2" t="s">
        <v>19</v>
      </c>
      <c r="D605" s="2" t="s">
        <v>15</v>
      </c>
      <c r="E605" s="2" t="s">
        <v>20</v>
      </c>
      <c r="G605" s="2">
        <v>1</v>
      </c>
      <c r="H605" s="2" t="s">
        <v>12</v>
      </c>
      <c r="I605" s="2" t="s">
        <v>12</v>
      </c>
    </row>
    <row r="606" spans="1:9" x14ac:dyDescent="0.25">
      <c r="A606" s="2" t="s">
        <v>9</v>
      </c>
      <c r="B606" s="2" t="s">
        <v>21</v>
      </c>
      <c r="C606" s="2" t="s">
        <v>19</v>
      </c>
      <c r="D606" s="2" t="s">
        <v>15</v>
      </c>
      <c r="E606" s="2" t="s">
        <v>22</v>
      </c>
      <c r="G606" s="2">
        <v>1</v>
      </c>
      <c r="H606" s="2" t="s">
        <v>12</v>
      </c>
      <c r="I606" s="2" t="s">
        <v>12</v>
      </c>
    </row>
    <row r="607" spans="1:9" x14ac:dyDescent="0.25">
      <c r="A607" s="2" t="s">
        <v>9</v>
      </c>
      <c r="B607" s="2" t="s">
        <v>21</v>
      </c>
      <c r="C607" s="2" t="s">
        <v>19</v>
      </c>
      <c r="D607" s="2" t="s">
        <v>15</v>
      </c>
      <c r="E607" s="2" t="s">
        <v>22</v>
      </c>
      <c r="G607" s="2">
        <v>1</v>
      </c>
      <c r="H607" s="2" t="s">
        <v>12</v>
      </c>
      <c r="I607" s="2" t="s">
        <v>12</v>
      </c>
    </row>
    <row r="608" spans="1:9" x14ac:dyDescent="0.25">
      <c r="A608" s="2" t="s">
        <v>9</v>
      </c>
      <c r="B608" s="2" t="s">
        <v>13</v>
      </c>
      <c r="C608" s="2" t="s">
        <v>14</v>
      </c>
      <c r="D608" s="2" t="s">
        <v>15</v>
      </c>
      <c r="E608" s="2" t="s">
        <v>16</v>
      </c>
      <c r="G608" s="2">
        <v>1</v>
      </c>
      <c r="H608" s="2" t="s">
        <v>10</v>
      </c>
      <c r="I608" s="2" t="s">
        <v>23</v>
      </c>
    </row>
    <row r="609" spans="1:9" x14ac:dyDescent="0.25">
      <c r="A609" s="2" t="s">
        <v>9</v>
      </c>
      <c r="B609" s="2" t="s">
        <v>18</v>
      </c>
      <c r="C609" s="2" t="s">
        <v>19</v>
      </c>
      <c r="D609" s="2" t="s">
        <v>15</v>
      </c>
      <c r="E609" s="2" t="s">
        <v>20</v>
      </c>
      <c r="G609" s="2">
        <v>1</v>
      </c>
      <c r="H609" s="2" t="s">
        <v>12</v>
      </c>
      <c r="I609" s="2" t="s">
        <v>12</v>
      </c>
    </row>
    <row r="610" spans="1:9" x14ac:dyDescent="0.25">
      <c r="A610" s="2" t="s">
        <v>9</v>
      </c>
      <c r="B610" s="2" t="s">
        <v>18</v>
      </c>
      <c r="C610" s="2" t="s">
        <v>19</v>
      </c>
      <c r="D610" s="2" t="s">
        <v>15</v>
      </c>
      <c r="E610" s="2" t="s">
        <v>20</v>
      </c>
      <c r="G610" s="2">
        <v>1</v>
      </c>
      <c r="H610" s="2" t="s">
        <v>12</v>
      </c>
      <c r="I610" s="2" t="s">
        <v>12</v>
      </c>
    </row>
    <row r="611" spans="1:9" x14ac:dyDescent="0.25">
      <c r="A611" s="2" t="s">
        <v>9</v>
      </c>
      <c r="B611" s="2" t="s">
        <v>21</v>
      </c>
      <c r="C611" s="2" t="s">
        <v>19</v>
      </c>
      <c r="D611" s="2" t="s">
        <v>15</v>
      </c>
      <c r="E611" s="2" t="s">
        <v>22</v>
      </c>
      <c r="G611" s="2">
        <v>1</v>
      </c>
      <c r="H611" s="2" t="s">
        <v>12</v>
      </c>
      <c r="I611" s="2" t="s">
        <v>12</v>
      </c>
    </row>
    <row r="612" spans="1:9" x14ac:dyDescent="0.25">
      <c r="A612" s="2" t="s">
        <v>9</v>
      </c>
      <c r="B612" s="2" t="s">
        <v>21</v>
      </c>
      <c r="C612" s="2" t="s">
        <v>19</v>
      </c>
      <c r="D612" s="2" t="s">
        <v>15</v>
      </c>
      <c r="E612" s="2" t="s">
        <v>22</v>
      </c>
      <c r="G612" s="2">
        <v>1</v>
      </c>
      <c r="H612" s="2" t="s">
        <v>12</v>
      </c>
      <c r="I612" s="2" t="s">
        <v>12</v>
      </c>
    </row>
    <row r="613" spans="1:9" x14ac:dyDescent="0.25">
      <c r="A613" s="2" t="s">
        <v>9</v>
      </c>
      <c r="B613" s="2" t="s">
        <v>24</v>
      </c>
      <c r="C613" s="2" t="s">
        <v>25</v>
      </c>
      <c r="D613" s="2" t="s">
        <v>26</v>
      </c>
      <c r="E613" s="2" t="s">
        <v>27</v>
      </c>
      <c r="G613" s="2">
        <v>1</v>
      </c>
      <c r="H613" s="2" t="s">
        <v>10</v>
      </c>
      <c r="I613" s="2" t="s">
        <v>28</v>
      </c>
    </row>
    <row r="614" spans="1:9" x14ac:dyDescent="0.25">
      <c r="A614" s="2" t="s">
        <v>9</v>
      </c>
      <c r="B614" s="2" t="s">
        <v>29</v>
      </c>
      <c r="C614" s="2" t="s">
        <v>19</v>
      </c>
      <c r="D614" s="2" t="s">
        <v>26</v>
      </c>
      <c r="E614" s="2" t="s">
        <v>30</v>
      </c>
      <c r="G614" s="2">
        <v>1</v>
      </c>
      <c r="H614" s="2" t="s">
        <v>12</v>
      </c>
      <c r="I614" s="2" t="s">
        <v>12</v>
      </c>
    </row>
    <row r="615" spans="1:9" x14ac:dyDescent="0.25">
      <c r="A615" s="2" t="s">
        <v>9</v>
      </c>
      <c r="B615" s="2" t="s">
        <v>29</v>
      </c>
      <c r="C615" s="2" t="s">
        <v>19</v>
      </c>
      <c r="D615" s="2" t="s">
        <v>26</v>
      </c>
      <c r="E615" s="2" t="s">
        <v>30</v>
      </c>
      <c r="G615" s="2">
        <v>1</v>
      </c>
      <c r="H615" s="2" t="s">
        <v>12</v>
      </c>
      <c r="I615" s="2" t="s">
        <v>12</v>
      </c>
    </row>
    <row r="616" spans="1:9" x14ac:dyDescent="0.25">
      <c r="A616" s="2" t="s">
        <v>9</v>
      </c>
      <c r="B616" s="2" t="s">
        <v>29</v>
      </c>
      <c r="C616" s="2" t="s">
        <v>19</v>
      </c>
      <c r="D616" s="2" t="s">
        <v>26</v>
      </c>
      <c r="E616" s="2" t="s">
        <v>30</v>
      </c>
      <c r="G616" s="2">
        <v>1</v>
      </c>
      <c r="H616" s="2" t="s">
        <v>12</v>
      </c>
      <c r="I616" s="2" t="s">
        <v>12</v>
      </c>
    </row>
    <row r="617" spans="1:9" x14ac:dyDescent="0.25">
      <c r="A617" s="2" t="s">
        <v>9</v>
      </c>
      <c r="B617" s="2" t="s">
        <v>29</v>
      </c>
      <c r="C617" s="2" t="s">
        <v>19</v>
      </c>
      <c r="D617" s="2" t="s">
        <v>26</v>
      </c>
      <c r="E617" s="2" t="s">
        <v>30</v>
      </c>
      <c r="G617" s="2">
        <v>1</v>
      </c>
      <c r="H617" s="2" t="s">
        <v>12</v>
      </c>
      <c r="I617" s="2" t="s">
        <v>12</v>
      </c>
    </row>
    <row r="618" spans="1:9" x14ac:dyDescent="0.25">
      <c r="A618" s="2" t="s">
        <v>9</v>
      </c>
      <c r="B618" s="2" t="s">
        <v>29</v>
      </c>
      <c r="C618" s="2" t="s">
        <v>19</v>
      </c>
      <c r="D618" s="2" t="s">
        <v>26</v>
      </c>
      <c r="E618" s="2" t="s">
        <v>30</v>
      </c>
      <c r="G618" s="2">
        <v>1</v>
      </c>
      <c r="H618" s="2" t="s">
        <v>12</v>
      </c>
      <c r="I618" s="2" t="s">
        <v>12</v>
      </c>
    </row>
    <row r="619" spans="1:9" x14ac:dyDescent="0.25">
      <c r="A619" s="2" t="s">
        <v>9</v>
      </c>
      <c r="B619" s="2" t="s">
        <v>31</v>
      </c>
      <c r="C619" s="2" t="s">
        <v>19</v>
      </c>
      <c r="D619" s="2" t="s">
        <v>26</v>
      </c>
      <c r="E619" s="2" t="s">
        <v>32</v>
      </c>
      <c r="G619" s="2">
        <v>1</v>
      </c>
      <c r="H619" s="2" t="s">
        <v>12</v>
      </c>
      <c r="I619" s="2" t="s">
        <v>12</v>
      </c>
    </row>
    <row r="620" spans="1:9" x14ac:dyDescent="0.25">
      <c r="A620" s="2" t="s">
        <v>9</v>
      </c>
      <c r="B620" s="2" t="s">
        <v>31</v>
      </c>
      <c r="C620" s="2" t="s">
        <v>19</v>
      </c>
      <c r="D620" s="2" t="s">
        <v>26</v>
      </c>
      <c r="E620" s="2" t="s">
        <v>32</v>
      </c>
      <c r="G620" s="2">
        <v>1</v>
      </c>
      <c r="H620" s="2" t="s">
        <v>12</v>
      </c>
      <c r="I620" s="2" t="s">
        <v>12</v>
      </c>
    </row>
    <row r="621" spans="1:9" x14ac:dyDescent="0.25">
      <c r="A621" s="2" t="s">
        <v>9</v>
      </c>
      <c r="B621" s="2" t="s">
        <v>31</v>
      </c>
      <c r="C621" s="2" t="s">
        <v>19</v>
      </c>
      <c r="D621" s="2" t="s">
        <v>26</v>
      </c>
      <c r="E621" s="2" t="s">
        <v>32</v>
      </c>
      <c r="G621" s="2">
        <v>1</v>
      </c>
      <c r="H621" s="2" t="s">
        <v>12</v>
      </c>
      <c r="I621" s="2" t="s">
        <v>12</v>
      </c>
    </row>
    <row r="622" spans="1:9" x14ac:dyDescent="0.25">
      <c r="A622" s="2" t="s">
        <v>9</v>
      </c>
      <c r="B622" s="2" t="s">
        <v>31</v>
      </c>
      <c r="C622" s="2" t="s">
        <v>19</v>
      </c>
      <c r="D622" s="2" t="s">
        <v>26</v>
      </c>
      <c r="E622" s="2" t="s">
        <v>32</v>
      </c>
      <c r="G622" s="2">
        <v>1</v>
      </c>
      <c r="H622" s="2" t="s">
        <v>12</v>
      </c>
      <c r="I622" s="2" t="s">
        <v>12</v>
      </c>
    </row>
    <row r="623" spans="1:9" x14ac:dyDescent="0.25">
      <c r="A623" s="2" t="s">
        <v>9</v>
      </c>
      <c r="B623" s="2" t="s">
        <v>31</v>
      </c>
      <c r="C623" s="2" t="s">
        <v>19</v>
      </c>
      <c r="D623" s="2" t="s">
        <v>26</v>
      </c>
      <c r="E623" s="2" t="s">
        <v>32</v>
      </c>
      <c r="G623" s="2">
        <v>1</v>
      </c>
      <c r="H623" s="2" t="s">
        <v>12</v>
      </c>
      <c r="I623" s="2" t="s">
        <v>12</v>
      </c>
    </row>
    <row r="624" spans="1:9" x14ac:dyDescent="0.25">
      <c r="A624" s="2" t="s">
        <v>9</v>
      </c>
      <c r="B624" s="2" t="s">
        <v>31</v>
      </c>
      <c r="C624" s="2" t="s">
        <v>19</v>
      </c>
      <c r="D624" s="2" t="s">
        <v>26</v>
      </c>
      <c r="E624" s="2" t="s">
        <v>32</v>
      </c>
      <c r="G624" s="2">
        <v>1</v>
      </c>
      <c r="H624" s="2" t="s">
        <v>12</v>
      </c>
      <c r="I624" s="2" t="s">
        <v>12</v>
      </c>
    </row>
    <row r="625" spans="1:9" x14ac:dyDescent="0.25">
      <c r="A625" s="2" t="s">
        <v>9</v>
      </c>
      <c r="B625" s="2" t="s">
        <v>31</v>
      </c>
      <c r="C625" s="2" t="s">
        <v>19</v>
      </c>
      <c r="D625" s="2" t="s">
        <v>26</v>
      </c>
      <c r="E625" s="2" t="s">
        <v>32</v>
      </c>
      <c r="G625" s="2">
        <v>1</v>
      </c>
      <c r="H625" s="2" t="s">
        <v>12</v>
      </c>
      <c r="I625" s="2" t="s">
        <v>12</v>
      </c>
    </row>
    <row r="626" spans="1:9" x14ac:dyDescent="0.25">
      <c r="A626" s="2" t="s">
        <v>9</v>
      </c>
      <c r="B626" s="2" t="s">
        <v>31</v>
      </c>
      <c r="C626" s="2" t="s">
        <v>19</v>
      </c>
      <c r="D626" s="2" t="s">
        <v>26</v>
      </c>
      <c r="E626" s="2" t="s">
        <v>32</v>
      </c>
      <c r="G626" s="2">
        <v>1</v>
      </c>
      <c r="H626" s="2" t="s">
        <v>12</v>
      </c>
      <c r="I626" s="2" t="s">
        <v>12</v>
      </c>
    </row>
    <row r="627" spans="1:9" x14ac:dyDescent="0.25">
      <c r="A627" s="2" t="s">
        <v>9</v>
      </c>
      <c r="B627" s="2" t="s">
        <v>31</v>
      </c>
      <c r="C627" s="2" t="s">
        <v>19</v>
      </c>
      <c r="D627" s="2" t="s">
        <v>26</v>
      </c>
      <c r="E627" s="2" t="s">
        <v>32</v>
      </c>
      <c r="G627" s="2">
        <v>1</v>
      </c>
      <c r="H627" s="2" t="s">
        <v>12</v>
      </c>
      <c r="I627" s="2" t="s">
        <v>12</v>
      </c>
    </row>
    <row r="628" spans="1:9" x14ac:dyDescent="0.25">
      <c r="A628" s="2" t="s">
        <v>9</v>
      </c>
      <c r="B628" s="2" t="s">
        <v>31</v>
      </c>
      <c r="C628" s="2" t="s">
        <v>19</v>
      </c>
      <c r="D628" s="2" t="s">
        <v>26</v>
      </c>
      <c r="E628" s="2" t="s">
        <v>32</v>
      </c>
      <c r="G628" s="2">
        <v>1</v>
      </c>
      <c r="H628" s="2" t="s">
        <v>12</v>
      </c>
      <c r="I628" s="2" t="s">
        <v>12</v>
      </c>
    </row>
    <row r="629" spans="1:9" x14ac:dyDescent="0.25">
      <c r="A629" s="2" t="s">
        <v>9</v>
      </c>
      <c r="B629" s="2" t="s">
        <v>33</v>
      </c>
      <c r="C629" s="2" t="s">
        <v>19</v>
      </c>
      <c r="D629" s="2" t="s">
        <v>26</v>
      </c>
      <c r="E629" s="2" t="s">
        <v>34</v>
      </c>
      <c r="G629" s="2">
        <v>1</v>
      </c>
      <c r="H629" s="2" t="s">
        <v>12</v>
      </c>
      <c r="I629" s="2" t="s">
        <v>12</v>
      </c>
    </row>
    <row r="630" spans="1:9" x14ac:dyDescent="0.25">
      <c r="A630" s="2" t="s">
        <v>9</v>
      </c>
      <c r="B630" s="2" t="s">
        <v>33</v>
      </c>
      <c r="C630" s="2" t="s">
        <v>19</v>
      </c>
      <c r="D630" s="2" t="s">
        <v>26</v>
      </c>
      <c r="E630" s="2" t="s">
        <v>34</v>
      </c>
      <c r="G630" s="2">
        <v>1</v>
      </c>
      <c r="H630" s="2" t="s">
        <v>12</v>
      </c>
      <c r="I630" s="2" t="s">
        <v>12</v>
      </c>
    </row>
    <row r="631" spans="1:9" x14ac:dyDescent="0.25">
      <c r="A631" s="2" t="s">
        <v>9</v>
      </c>
      <c r="B631" s="2" t="s">
        <v>33</v>
      </c>
      <c r="C631" s="2" t="s">
        <v>19</v>
      </c>
      <c r="D631" s="2" t="s">
        <v>26</v>
      </c>
      <c r="E631" s="2" t="s">
        <v>34</v>
      </c>
      <c r="G631" s="2">
        <v>1</v>
      </c>
      <c r="H631" s="2" t="s">
        <v>12</v>
      </c>
      <c r="I631" s="2" t="s">
        <v>12</v>
      </c>
    </row>
    <row r="632" spans="1:9" x14ac:dyDescent="0.25">
      <c r="A632" s="2" t="s">
        <v>9</v>
      </c>
      <c r="B632" s="2" t="s">
        <v>33</v>
      </c>
      <c r="C632" s="2" t="s">
        <v>19</v>
      </c>
      <c r="D632" s="2" t="s">
        <v>26</v>
      </c>
      <c r="E632" s="2" t="s">
        <v>34</v>
      </c>
      <c r="G632" s="2">
        <v>1</v>
      </c>
      <c r="H632" s="2" t="s">
        <v>12</v>
      </c>
      <c r="I632" s="2" t="s">
        <v>12</v>
      </c>
    </row>
    <row r="633" spans="1:9" x14ac:dyDescent="0.25">
      <c r="A633" s="2" t="s">
        <v>9</v>
      </c>
      <c r="B633" s="2" t="s">
        <v>24</v>
      </c>
      <c r="C633" s="2" t="s">
        <v>25</v>
      </c>
      <c r="D633" s="2" t="s">
        <v>26</v>
      </c>
      <c r="E633" s="2" t="s">
        <v>27</v>
      </c>
      <c r="G633" s="2">
        <v>1</v>
      </c>
      <c r="H633" s="2" t="s">
        <v>10</v>
      </c>
      <c r="I633" s="2" t="s">
        <v>35</v>
      </c>
    </row>
    <row r="634" spans="1:9" x14ac:dyDescent="0.25">
      <c r="A634" s="2" t="s">
        <v>9</v>
      </c>
      <c r="B634" s="2" t="s">
        <v>29</v>
      </c>
      <c r="C634" s="2" t="s">
        <v>19</v>
      </c>
      <c r="D634" s="2" t="s">
        <v>26</v>
      </c>
      <c r="E634" s="2" t="s">
        <v>30</v>
      </c>
      <c r="G634" s="2">
        <v>1</v>
      </c>
      <c r="H634" s="2" t="s">
        <v>12</v>
      </c>
      <c r="I634" s="2" t="s">
        <v>12</v>
      </c>
    </row>
    <row r="635" spans="1:9" x14ac:dyDescent="0.25">
      <c r="A635" s="2" t="s">
        <v>9</v>
      </c>
      <c r="B635" s="2" t="s">
        <v>29</v>
      </c>
      <c r="C635" s="2" t="s">
        <v>19</v>
      </c>
      <c r="D635" s="2" t="s">
        <v>26</v>
      </c>
      <c r="E635" s="2" t="s">
        <v>30</v>
      </c>
      <c r="G635" s="2">
        <v>1</v>
      </c>
      <c r="H635" s="2" t="s">
        <v>12</v>
      </c>
      <c r="I635" s="2" t="s">
        <v>12</v>
      </c>
    </row>
    <row r="636" spans="1:9" x14ac:dyDescent="0.25">
      <c r="A636" s="2" t="s">
        <v>9</v>
      </c>
      <c r="B636" s="2" t="s">
        <v>29</v>
      </c>
      <c r="C636" s="2" t="s">
        <v>19</v>
      </c>
      <c r="D636" s="2" t="s">
        <v>26</v>
      </c>
      <c r="E636" s="2" t="s">
        <v>30</v>
      </c>
      <c r="G636" s="2">
        <v>1</v>
      </c>
      <c r="H636" s="2" t="s">
        <v>12</v>
      </c>
      <c r="I636" s="2" t="s">
        <v>12</v>
      </c>
    </row>
    <row r="637" spans="1:9" x14ac:dyDescent="0.25">
      <c r="A637" s="2" t="s">
        <v>9</v>
      </c>
      <c r="B637" s="2" t="s">
        <v>29</v>
      </c>
      <c r="C637" s="2" t="s">
        <v>19</v>
      </c>
      <c r="D637" s="2" t="s">
        <v>26</v>
      </c>
      <c r="E637" s="2" t="s">
        <v>30</v>
      </c>
      <c r="G637" s="2">
        <v>1</v>
      </c>
      <c r="H637" s="2" t="s">
        <v>12</v>
      </c>
      <c r="I637" s="2" t="s">
        <v>12</v>
      </c>
    </row>
    <row r="638" spans="1:9" x14ac:dyDescent="0.25">
      <c r="A638" s="2" t="s">
        <v>9</v>
      </c>
      <c r="B638" s="2" t="s">
        <v>29</v>
      </c>
      <c r="C638" s="2" t="s">
        <v>19</v>
      </c>
      <c r="D638" s="2" t="s">
        <v>26</v>
      </c>
      <c r="E638" s="2" t="s">
        <v>30</v>
      </c>
      <c r="G638" s="2">
        <v>1</v>
      </c>
      <c r="H638" s="2" t="s">
        <v>12</v>
      </c>
      <c r="I638" s="2" t="s">
        <v>12</v>
      </c>
    </row>
    <row r="639" spans="1:9" x14ac:dyDescent="0.25">
      <c r="A639" s="2" t="s">
        <v>9</v>
      </c>
      <c r="B639" s="2" t="s">
        <v>31</v>
      </c>
      <c r="C639" s="2" t="s">
        <v>19</v>
      </c>
      <c r="D639" s="2" t="s">
        <v>26</v>
      </c>
      <c r="E639" s="2" t="s">
        <v>32</v>
      </c>
      <c r="G639" s="2">
        <v>1</v>
      </c>
      <c r="H639" s="2" t="s">
        <v>12</v>
      </c>
      <c r="I639" s="2" t="s">
        <v>12</v>
      </c>
    </row>
    <row r="640" spans="1:9" x14ac:dyDescent="0.25">
      <c r="A640" s="2" t="s">
        <v>9</v>
      </c>
      <c r="B640" s="2" t="s">
        <v>31</v>
      </c>
      <c r="C640" s="2" t="s">
        <v>19</v>
      </c>
      <c r="D640" s="2" t="s">
        <v>26</v>
      </c>
      <c r="E640" s="2" t="s">
        <v>32</v>
      </c>
      <c r="G640" s="2">
        <v>1</v>
      </c>
      <c r="H640" s="2" t="s">
        <v>12</v>
      </c>
      <c r="I640" s="2" t="s">
        <v>12</v>
      </c>
    </row>
    <row r="641" spans="1:9" x14ac:dyDescent="0.25">
      <c r="A641" s="2" t="s">
        <v>9</v>
      </c>
      <c r="B641" s="2" t="s">
        <v>31</v>
      </c>
      <c r="C641" s="2" t="s">
        <v>19</v>
      </c>
      <c r="D641" s="2" t="s">
        <v>26</v>
      </c>
      <c r="E641" s="2" t="s">
        <v>32</v>
      </c>
      <c r="G641" s="2">
        <v>1</v>
      </c>
      <c r="H641" s="2" t="s">
        <v>12</v>
      </c>
      <c r="I641" s="2" t="s">
        <v>12</v>
      </c>
    </row>
    <row r="642" spans="1:9" x14ac:dyDescent="0.25">
      <c r="A642" s="2" t="s">
        <v>9</v>
      </c>
      <c r="B642" s="2" t="s">
        <v>31</v>
      </c>
      <c r="C642" s="2" t="s">
        <v>19</v>
      </c>
      <c r="D642" s="2" t="s">
        <v>26</v>
      </c>
      <c r="E642" s="2" t="s">
        <v>32</v>
      </c>
      <c r="G642" s="2">
        <v>1</v>
      </c>
      <c r="H642" s="2" t="s">
        <v>12</v>
      </c>
      <c r="I642" s="2" t="s">
        <v>12</v>
      </c>
    </row>
    <row r="643" spans="1:9" x14ac:dyDescent="0.25">
      <c r="A643" s="2" t="s">
        <v>9</v>
      </c>
      <c r="B643" s="2" t="s">
        <v>31</v>
      </c>
      <c r="C643" s="2" t="s">
        <v>19</v>
      </c>
      <c r="D643" s="2" t="s">
        <v>26</v>
      </c>
      <c r="E643" s="2" t="s">
        <v>32</v>
      </c>
      <c r="G643" s="2">
        <v>1</v>
      </c>
      <c r="H643" s="2" t="s">
        <v>12</v>
      </c>
      <c r="I643" s="2" t="s">
        <v>12</v>
      </c>
    </row>
    <row r="644" spans="1:9" x14ac:dyDescent="0.25">
      <c r="A644" s="2" t="s">
        <v>9</v>
      </c>
      <c r="B644" s="2" t="s">
        <v>31</v>
      </c>
      <c r="C644" s="2" t="s">
        <v>19</v>
      </c>
      <c r="D644" s="2" t="s">
        <v>26</v>
      </c>
      <c r="E644" s="2" t="s">
        <v>32</v>
      </c>
      <c r="G644" s="2">
        <v>1</v>
      </c>
      <c r="H644" s="2" t="s">
        <v>12</v>
      </c>
      <c r="I644" s="2" t="s">
        <v>12</v>
      </c>
    </row>
    <row r="645" spans="1:9" x14ac:dyDescent="0.25">
      <c r="A645" s="2" t="s">
        <v>9</v>
      </c>
      <c r="B645" s="2" t="s">
        <v>31</v>
      </c>
      <c r="C645" s="2" t="s">
        <v>19</v>
      </c>
      <c r="D645" s="2" t="s">
        <v>26</v>
      </c>
      <c r="E645" s="2" t="s">
        <v>32</v>
      </c>
      <c r="G645" s="2">
        <v>1</v>
      </c>
      <c r="H645" s="2" t="s">
        <v>12</v>
      </c>
      <c r="I645" s="2" t="s">
        <v>12</v>
      </c>
    </row>
    <row r="646" spans="1:9" x14ac:dyDescent="0.25">
      <c r="A646" s="2" t="s">
        <v>9</v>
      </c>
      <c r="B646" s="2" t="s">
        <v>31</v>
      </c>
      <c r="C646" s="2" t="s">
        <v>19</v>
      </c>
      <c r="D646" s="2" t="s">
        <v>26</v>
      </c>
      <c r="E646" s="2" t="s">
        <v>32</v>
      </c>
      <c r="G646" s="2">
        <v>1</v>
      </c>
      <c r="H646" s="2" t="s">
        <v>12</v>
      </c>
      <c r="I646" s="2" t="s">
        <v>12</v>
      </c>
    </row>
    <row r="647" spans="1:9" x14ac:dyDescent="0.25">
      <c r="A647" s="2" t="s">
        <v>9</v>
      </c>
      <c r="B647" s="2" t="s">
        <v>31</v>
      </c>
      <c r="C647" s="2" t="s">
        <v>19</v>
      </c>
      <c r="D647" s="2" t="s">
        <v>26</v>
      </c>
      <c r="E647" s="2" t="s">
        <v>32</v>
      </c>
      <c r="G647" s="2">
        <v>1</v>
      </c>
      <c r="H647" s="2" t="s">
        <v>12</v>
      </c>
      <c r="I647" s="2" t="s">
        <v>12</v>
      </c>
    </row>
    <row r="648" spans="1:9" x14ac:dyDescent="0.25">
      <c r="A648" s="2" t="s">
        <v>9</v>
      </c>
      <c r="B648" s="2" t="s">
        <v>33</v>
      </c>
      <c r="C648" s="2" t="s">
        <v>19</v>
      </c>
      <c r="D648" s="2" t="s">
        <v>26</v>
      </c>
      <c r="E648" s="2" t="s">
        <v>34</v>
      </c>
      <c r="G648" s="2">
        <v>1</v>
      </c>
      <c r="H648" s="2" t="s">
        <v>12</v>
      </c>
      <c r="I648" s="2" t="s">
        <v>12</v>
      </c>
    </row>
    <row r="649" spans="1:9" x14ac:dyDescent="0.25">
      <c r="A649" s="2" t="s">
        <v>9</v>
      </c>
      <c r="B649" s="2" t="s">
        <v>33</v>
      </c>
      <c r="C649" s="2" t="s">
        <v>19</v>
      </c>
      <c r="D649" s="2" t="s">
        <v>26</v>
      </c>
      <c r="E649" s="2" t="s">
        <v>34</v>
      </c>
      <c r="G649" s="2">
        <v>1</v>
      </c>
      <c r="H649" s="2" t="s">
        <v>12</v>
      </c>
      <c r="I649" s="2" t="s">
        <v>12</v>
      </c>
    </row>
    <row r="650" spans="1:9" x14ac:dyDescent="0.25">
      <c r="A650" s="2" t="s">
        <v>9</v>
      </c>
      <c r="B650" s="2" t="s">
        <v>33</v>
      </c>
      <c r="C650" s="2" t="s">
        <v>19</v>
      </c>
      <c r="D650" s="2" t="s">
        <v>26</v>
      </c>
      <c r="E650" s="2" t="s">
        <v>34</v>
      </c>
      <c r="G650" s="2">
        <v>1</v>
      </c>
      <c r="H650" s="2" t="s">
        <v>12</v>
      </c>
      <c r="I650" s="2" t="s">
        <v>12</v>
      </c>
    </row>
    <row r="651" spans="1:9" x14ac:dyDescent="0.25">
      <c r="A651" s="2" t="s">
        <v>9</v>
      </c>
      <c r="B651" s="2" t="s">
        <v>33</v>
      </c>
      <c r="C651" s="2" t="s">
        <v>19</v>
      </c>
      <c r="D651" s="2" t="s">
        <v>26</v>
      </c>
      <c r="E651" s="2" t="s">
        <v>34</v>
      </c>
      <c r="G651" s="2">
        <v>1</v>
      </c>
      <c r="H651" s="2" t="s">
        <v>12</v>
      </c>
      <c r="I651" s="2" t="s">
        <v>12</v>
      </c>
    </row>
    <row r="652" spans="1:9" x14ac:dyDescent="0.25">
      <c r="A652" s="2" t="s">
        <v>9</v>
      </c>
      <c r="B652" s="2" t="s">
        <v>36</v>
      </c>
      <c r="C652" s="2" t="s">
        <v>11</v>
      </c>
      <c r="D652" s="2" t="s">
        <v>12</v>
      </c>
      <c r="E652" s="2" t="s">
        <v>12</v>
      </c>
      <c r="F652" s="8" t="s">
        <v>12</v>
      </c>
      <c r="G652" s="2">
        <v>1</v>
      </c>
      <c r="H652" s="2" t="s">
        <v>36</v>
      </c>
      <c r="I652" s="2" t="s">
        <v>12</v>
      </c>
    </row>
    <row r="653" spans="1:9" x14ac:dyDescent="0.25">
      <c r="A653" s="2" t="s">
        <v>9</v>
      </c>
      <c r="B653" s="2" t="s">
        <v>13</v>
      </c>
      <c r="C653" s="2" t="s">
        <v>14</v>
      </c>
      <c r="D653" s="2" t="s">
        <v>15</v>
      </c>
      <c r="E653" s="2" t="s">
        <v>16</v>
      </c>
      <c r="G653" s="2">
        <v>1</v>
      </c>
      <c r="H653" s="2" t="s">
        <v>36</v>
      </c>
      <c r="I653" s="2" t="s">
        <v>37</v>
      </c>
    </row>
    <row r="654" spans="1:9" x14ac:dyDescent="0.25">
      <c r="A654" s="2" t="s">
        <v>9</v>
      </c>
      <c r="B654" s="2" t="s">
        <v>18</v>
      </c>
      <c r="C654" s="2" t="s">
        <v>19</v>
      </c>
      <c r="D654" s="2" t="s">
        <v>15</v>
      </c>
      <c r="E654" s="2" t="s">
        <v>20</v>
      </c>
      <c r="G654" s="2">
        <v>1</v>
      </c>
      <c r="H654" s="2" t="s">
        <v>12</v>
      </c>
      <c r="I654" s="2" t="s">
        <v>12</v>
      </c>
    </row>
    <row r="655" spans="1:9" x14ac:dyDescent="0.25">
      <c r="A655" s="2" t="s">
        <v>9</v>
      </c>
      <c r="B655" s="2" t="s">
        <v>18</v>
      </c>
      <c r="C655" s="2" t="s">
        <v>19</v>
      </c>
      <c r="D655" s="2" t="s">
        <v>15</v>
      </c>
      <c r="E655" s="2" t="s">
        <v>20</v>
      </c>
      <c r="G655" s="2">
        <v>1</v>
      </c>
      <c r="H655" s="2" t="s">
        <v>12</v>
      </c>
      <c r="I655" s="2" t="s">
        <v>12</v>
      </c>
    </row>
    <row r="656" spans="1:9" x14ac:dyDescent="0.25">
      <c r="A656" s="2" t="s">
        <v>9</v>
      </c>
      <c r="B656" s="2" t="s">
        <v>21</v>
      </c>
      <c r="C656" s="2" t="s">
        <v>19</v>
      </c>
      <c r="D656" s="2" t="s">
        <v>15</v>
      </c>
      <c r="E656" s="2" t="s">
        <v>22</v>
      </c>
      <c r="G656" s="2">
        <v>1</v>
      </c>
      <c r="H656" s="2" t="s">
        <v>12</v>
      </c>
      <c r="I656" s="2" t="s">
        <v>12</v>
      </c>
    </row>
    <row r="657" spans="1:9" x14ac:dyDescent="0.25">
      <c r="A657" s="2" t="s">
        <v>9</v>
      </c>
      <c r="B657" s="2" t="s">
        <v>21</v>
      </c>
      <c r="C657" s="2" t="s">
        <v>19</v>
      </c>
      <c r="D657" s="2" t="s">
        <v>15</v>
      </c>
      <c r="E657" s="2" t="s">
        <v>22</v>
      </c>
      <c r="G657" s="2">
        <v>1</v>
      </c>
      <c r="H657" s="2" t="s">
        <v>12</v>
      </c>
      <c r="I657" s="2" t="s">
        <v>12</v>
      </c>
    </row>
    <row r="658" spans="1:9" x14ac:dyDescent="0.25">
      <c r="A658" s="2" t="s">
        <v>9</v>
      </c>
      <c r="B658" s="2" t="s">
        <v>13</v>
      </c>
      <c r="C658" s="2" t="s">
        <v>14</v>
      </c>
      <c r="D658" s="2" t="s">
        <v>15</v>
      </c>
      <c r="E658" s="2" t="s">
        <v>16</v>
      </c>
      <c r="G658" s="2">
        <v>1</v>
      </c>
      <c r="H658" s="2" t="s">
        <v>36</v>
      </c>
      <c r="I658" s="2" t="s">
        <v>38</v>
      </c>
    </row>
    <row r="659" spans="1:9" x14ac:dyDescent="0.25">
      <c r="A659" s="2" t="s">
        <v>9</v>
      </c>
      <c r="B659" s="2" t="s">
        <v>18</v>
      </c>
      <c r="C659" s="2" t="s">
        <v>19</v>
      </c>
      <c r="D659" s="2" t="s">
        <v>15</v>
      </c>
      <c r="E659" s="2" t="s">
        <v>20</v>
      </c>
      <c r="G659" s="2">
        <v>1</v>
      </c>
      <c r="H659" s="2" t="s">
        <v>12</v>
      </c>
      <c r="I659" s="2" t="s">
        <v>12</v>
      </c>
    </row>
    <row r="660" spans="1:9" x14ac:dyDescent="0.25">
      <c r="A660" s="2" t="s">
        <v>9</v>
      </c>
      <c r="B660" s="2" t="s">
        <v>18</v>
      </c>
      <c r="C660" s="2" t="s">
        <v>19</v>
      </c>
      <c r="D660" s="2" t="s">
        <v>15</v>
      </c>
      <c r="E660" s="2" t="s">
        <v>20</v>
      </c>
      <c r="G660" s="2">
        <v>1</v>
      </c>
      <c r="H660" s="2" t="s">
        <v>12</v>
      </c>
      <c r="I660" s="2" t="s">
        <v>12</v>
      </c>
    </row>
    <row r="661" spans="1:9" x14ac:dyDescent="0.25">
      <c r="A661" s="2" t="s">
        <v>9</v>
      </c>
      <c r="B661" s="2" t="s">
        <v>21</v>
      </c>
      <c r="C661" s="2" t="s">
        <v>19</v>
      </c>
      <c r="D661" s="2" t="s">
        <v>15</v>
      </c>
      <c r="E661" s="2" t="s">
        <v>22</v>
      </c>
      <c r="G661" s="2">
        <v>1</v>
      </c>
      <c r="H661" s="2" t="s">
        <v>12</v>
      </c>
      <c r="I661" s="2" t="s">
        <v>12</v>
      </c>
    </row>
    <row r="662" spans="1:9" x14ac:dyDescent="0.25">
      <c r="A662" s="2" t="s">
        <v>9</v>
      </c>
      <c r="B662" s="2" t="s">
        <v>21</v>
      </c>
      <c r="C662" s="2" t="s">
        <v>19</v>
      </c>
      <c r="D662" s="2" t="s">
        <v>15</v>
      </c>
      <c r="E662" s="2" t="s">
        <v>22</v>
      </c>
      <c r="G662" s="2">
        <v>1</v>
      </c>
      <c r="H662" s="2" t="s">
        <v>12</v>
      </c>
      <c r="I662" s="2" t="s">
        <v>12</v>
      </c>
    </row>
    <row r="663" spans="1:9" x14ac:dyDescent="0.25">
      <c r="A663" s="2" t="s">
        <v>9</v>
      </c>
      <c r="B663" s="2" t="s">
        <v>39</v>
      </c>
      <c r="C663" s="2" t="s">
        <v>40</v>
      </c>
      <c r="D663" s="2" t="s">
        <v>15</v>
      </c>
      <c r="E663" s="2" t="s">
        <v>41</v>
      </c>
      <c r="G663" s="2">
        <v>1</v>
      </c>
      <c r="H663" s="2" t="s">
        <v>12</v>
      </c>
      <c r="I663" s="2" t="s">
        <v>12</v>
      </c>
    </row>
    <row r="664" spans="1:9" x14ac:dyDescent="0.25">
      <c r="A664" s="2" t="s">
        <v>9</v>
      </c>
      <c r="B664" s="2" t="s">
        <v>39</v>
      </c>
      <c r="C664" s="2" t="s">
        <v>40</v>
      </c>
      <c r="D664" s="2" t="s">
        <v>15</v>
      </c>
      <c r="E664" s="2" t="s">
        <v>41</v>
      </c>
      <c r="G664" s="2">
        <v>1</v>
      </c>
      <c r="H664" s="2" t="s">
        <v>12</v>
      </c>
      <c r="I664" s="2" t="s">
        <v>12</v>
      </c>
    </row>
    <row r="665" spans="1:9" x14ac:dyDescent="0.25">
      <c r="A665" s="2" t="s">
        <v>9</v>
      </c>
      <c r="B665" s="2" t="s">
        <v>42</v>
      </c>
      <c r="C665" s="2" t="s">
        <v>43</v>
      </c>
      <c r="D665" s="2" t="s">
        <v>15</v>
      </c>
      <c r="E665" s="2" t="s">
        <v>44</v>
      </c>
      <c r="G665" s="2">
        <v>1</v>
      </c>
      <c r="H665" s="2" t="s">
        <v>36</v>
      </c>
      <c r="I665" s="2" t="s">
        <v>45</v>
      </c>
    </row>
    <row r="666" spans="1:9" x14ac:dyDescent="0.25">
      <c r="A666" s="2" t="s">
        <v>9</v>
      </c>
      <c r="B666" s="2" t="s">
        <v>46</v>
      </c>
      <c r="C666" s="2" t="s">
        <v>43</v>
      </c>
      <c r="D666" s="2" t="s">
        <v>15</v>
      </c>
      <c r="E666" s="2" t="s">
        <v>47</v>
      </c>
      <c r="G666" s="2">
        <v>1</v>
      </c>
      <c r="H666" s="2" t="s">
        <v>12</v>
      </c>
      <c r="I666" s="2" t="s">
        <v>12</v>
      </c>
    </row>
    <row r="667" spans="1:9" x14ac:dyDescent="0.25">
      <c r="A667" s="2" t="s">
        <v>9</v>
      </c>
      <c r="B667" s="2" t="s">
        <v>46</v>
      </c>
      <c r="C667" s="2" t="s">
        <v>43</v>
      </c>
      <c r="D667" s="2" t="s">
        <v>15</v>
      </c>
      <c r="E667" s="2" t="s">
        <v>47</v>
      </c>
      <c r="G667" s="2">
        <v>1</v>
      </c>
      <c r="H667" s="2" t="s">
        <v>12</v>
      </c>
      <c r="I667" s="2" t="s">
        <v>12</v>
      </c>
    </row>
    <row r="668" spans="1:9" x14ac:dyDescent="0.25">
      <c r="A668" s="2" t="s">
        <v>9</v>
      </c>
      <c r="B668" s="2" t="s">
        <v>48</v>
      </c>
      <c r="C668" s="2" t="s">
        <v>40</v>
      </c>
      <c r="D668" s="2" t="s">
        <v>15</v>
      </c>
      <c r="E668" s="2" t="s">
        <v>49</v>
      </c>
      <c r="G668" s="2">
        <v>1</v>
      </c>
      <c r="H668" s="2" t="s">
        <v>12</v>
      </c>
      <c r="I668" s="2" t="s">
        <v>12</v>
      </c>
    </row>
    <row r="669" spans="1:9" x14ac:dyDescent="0.25">
      <c r="A669" s="2" t="s">
        <v>9</v>
      </c>
      <c r="B669" s="2" t="s">
        <v>48</v>
      </c>
      <c r="C669" s="2" t="s">
        <v>40</v>
      </c>
      <c r="D669" s="2" t="s">
        <v>15</v>
      </c>
      <c r="E669" s="2" t="s">
        <v>49</v>
      </c>
      <c r="G669" s="2">
        <v>1</v>
      </c>
      <c r="H669" s="2" t="s">
        <v>12</v>
      </c>
      <c r="I669" s="2" t="s">
        <v>12</v>
      </c>
    </row>
    <row r="670" spans="1:9" x14ac:dyDescent="0.25">
      <c r="A670" s="2" t="s">
        <v>9</v>
      </c>
      <c r="B670" s="2" t="s">
        <v>48</v>
      </c>
      <c r="C670" s="2" t="s">
        <v>40</v>
      </c>
      <c r="D670" s="2" t="s">
        <v>15</v>
      </c>
      <c r="E670" s="2" t="s">
        <v>49</v>
      </c>
      <c r="G670" s="2">
        <v>1</v>
      </c>
      <c r="H670" s="2" t="s">
        <v>12</v>
      </c>
      <c r="I670" s="2" t="s">
        <v>12</v>
      </c>
    </row>
    <row r="671" spans="1:9" x14ac:dyDescent="0.25">
      <c r="A671" s="2" t="s">
        <v>9</v>
      </c>
      <c r="B671" s="2" t="s">
        <v>48</v>
      </c>
      <c r="C671" s="2" t="s">
        <v>40</v>
      </c>
      <c r="D671" s="2" t="s">
        <v>15</v>
      </c>
      <c r="E671" s="2" t="s">
        <v>49</v>
      </c>
      <c r="G671" s="2">
        <v>1</v>
      </c>
      <c r="H671" s="2" t="s">
        <v>12</v>
      </c>
      <c r="I671" s="2" t="s">
        <v>12</v>
      </c>
    </row>
    <row r="672" spans="1:9" x14ac:dyDescent="0.25">
      <c r="A672" s="2" t="s">
        <v>9</v>
      </c>
      <c r="B672" s="2" t="s">
        <v>48</v>
      </c>
      <c r="C672" s="2" t="s">
        <v>40</v>
      </c>
      <c r="D672" s="2" t="s">
        <v>15</v>
      </c>
      <c r="E672" s="2" t="s">
        <v>49</v>
      </c>
      <c r="G672" s="2">
        <v>1</v>
      </c>
      <c r="H672" s="2" t="s">
        <v>12</v>
      </c>
      <c r="I672" s="2" t="s">
        <v>12</v>
      </c>
    </row>
    <row r="673" spans="1:9" x14ac:dyDescent="0.25">
      <c r="A673" s="2" t="s">
        <v>9</v>
      </c>
      <c r="B673" s="2" t="s">
        <v>48</v>
      </c>
      <c r="C673" s="2" t="s">
        <v>40</v>
      </c>
      <c r="D673" s="2" t="s">
        <v>15</v>
      </c>
      <c r="E673" s="2" t="s">
        <v>49</v>
      </c>
      <c r="G673" s="2">
        <v>1</v>
      </c>
      <c r="H673" s="2" t="s">
        <v>12</v>
      </c>
      <c r="I673" s="2" t="s">
        <v>12</v>
      </c>
    </row>
    <row r="674" spans="1:9" x14ac:dyDescent="0.25">
      <c r="A674" s="2" t="s">
        <v>9</v>
      </c>
      <c r="B674" s="2" t="s">
        <v>48</v>
      </c>
      <c r="C674" s="2" t="s">
        <v>40</v>
      </c>
      <c r="D674" s="2" t="s">
        <v>15</v>
      </c>
      <c r="E674" s="2" t="s">
        <v>49</v>
      </c>
      <c r="G674" s="2">
        <v>1</v>
      </c>
      <c r="H674" s="2" t="s">
        <v>12</v>
      </c>
      <c r="I674" s="2" t="s">
        <v>12</v>
      </c>
    </row>
    <row r="675" spans="1:9" x14ac:dyDescent="0.25">
      <c r="A675" s="2" t="s">
        <v>9</v>
      </c>
      <c r="B675" s="2" t="s">
        <v>48</v>
      </c>
      <c r="C675" s="2" t="s">
        <v>40</v>
      </c>
      <c r="D675" s="2" t="s">
        <v>15</v>
      </c>
      <c r="E675" s="2" t="s">
        <v>49</v>
      </c>
      <c r="G675" s="2">
        <v>1</v>
      </c>
      <c r="H675" s="2" t="s">
        <v>12</v>
      </c>
      <c r="I675" s="2" t="s">
        <v>12</v>
      </c>
    </row>
    <row r="676" spans="1:9" x14ac:dyDescent="0.25">
      <c r="A676" s="2" t="s">
        <v>9</v>
      </c>
      <c r="B676" s="2" t="s">
        <v>48</v>
      </c>
      <c r="C676" s="2" t="s">
        <v>40</v>
      </c>
      <c r="D676" s="2" t="s">
        <v>15</v>
      </c>
      <c r="E676" s="2" t="s">
        <v>49</v>
      </c>
      <c r="G676" s="2">
        <v>1</v>
      </c>
      <c r="H676" s="2" t="s">
        <v>12</v>
      </c>
      <c r="I676" s="2" t="s">
        <v>12</v>
      </c>
    </row>
    <row r="677" spans="1:9" x14ac:dyDescent="0.25">
      <c r="A677" s="2" t="s">
        <v>9</v>
      </c>
      <c r="B677" s="2" t="s">
        <v>48</v>
      </c>
      <c r="C677" s="2" t="s">
        <v>40</v>
      </c>
      <c r="D677" s="2" t="s">
        <v>15</v>
      </c>
      <c r="E677" s="2" t="s">
        <v>49</v>
      </c>
      <c r="G677" s="2">
        <v>1</v>
      </c>
      <c r="H677" s="2" t="s">
        <v>12</v>
      </c>
      <c r="I677" s="2" t="s">
        <v>12</v>
      </c>
    </row>
    <row r="678" spans="1:9" x14ac:dyDescent="0.25">
      <c r="A678" s="2" t="s">
        <v>9</v>
      </c>
      <c r="B678" s="2" t="s">
        <v>48</v>
      </c>
      <c r="C678" s="2" t="s">
        <v>40</v>
      </c>
      <c r="D678" s="2" t="s">
        <v>15</v>
      </c>
      <c r="E678" s="2" t="s">
        <v>49</v>
      </c>
      <c r="G678" s="2">
        <v>1</v>
      </c>
      <c r="H678" s="2" t="s">
        <v>12</v>
      </c>
      <c r="I678" s="2" t="s">
        <v>12</v>
      </c>
    </row>
    <row r="679" spans="1:9" x14ac:dyDescent="0.25">
      <c r="A679" s="2" t="s">
        <v>9</v>
      </c>
      <c r="B679" s="2" t="s">
        <v>48</v>
      </c>
      <c r="C679" s="2" t="s">
        <v>40</v>
      </c>
      <c r="D679" s="2" t="s">
        <v>15</v>
      </c>
      <c r="E679" s="2" t="s">
        <v>49</v>
      </c>
      <c r="G679" s="2">
        <v>1</v>
      </c>
      <c r="H679" s="2" t="s">
        <v>12</v>
      </c>
      <c r="I679" s="2" t="s">
        <v>12</v>
      </c>
    </row>
    <row r="680" spans="1:9" x14ac:dyDescent="0.25">
      <c r="A680" s="2" t="s">
        <v>9</v>
      </c>
      <c r="B680" s="2" t="s">
        <v>50</v>
      </c>
      <c r="C680" s="2" t="s">
        <v>19</v>
      </c>
      <c r="D680" s="2" t="s">
        <v>15</v>
      </c>
      <c r="E680" s="2" t="s">
        <v>51</v>
      </c>
      <c r="G680" s="2">
        <v>1</v>
      </c>
      <c r="H680" s="2" t="s">
        <v>12</v>
      </c>
      <c r="I680" s="2" t="s">
        <v>12</v>
      </c>
    </row>
    <row r="681" spans="1:9" x14ac:dyDescent="0.25">
      <c r="A681" s="2" t="s">
        <v>9</v>
      </c>
      <c r="B681" s="2" t="s">
        <v>50</v>
      </c>
      <c r="C681" s="2" t="s">
        <v>19</v>
      </c>
      <c r="D681" s="2" t="s">
        <v>15</v>
      </c>
      <c r="E681" s="2" t="s">
        <v>51</v>
      </c>
      <c r="G681" s="2">
        <v>1</v>
      </c>
      <c r="H681" s="2" t="s">
        <v>12</v>
      </c>
      <c r="I681" s="2" t="s">
        <v>12</v>
      </c>
    </row>
    <row r="682" spans="1:9" x14ac:dyDescent="0.25">
      <c r="A682" s="2" t="s">
        <v>9</v>
      </c>
      <c r="B682" s="2" t="s">
        <v>50</v>
      </c>
      <c r="C682" s="2" t="s">
        <v>19</v>
      </c>
      <c r="D682" s="2" t="s">
        <v>15</v>
      </c>
      <c r="E682" s="2" t="s">
        <v>51</v>
      </c>
      <c r="G682" s="2">
        <v>1</v>
      </c>
      <c r="H682" s="2" t="s">
        <v>12</v>
      </c>
      <c r="I682" s="2" t="s">
        <v>12</v>
      </c>
    </row>
    <row r="683" spans="1:9" x14ac:dyDescent="0.25">
      <c r="A683" s="2" t="s">
        <v>9</v>
      </c>
      <c r="B683" s="2" t="s">
        <v>50</v>
      </c>
      <c r="C683" s="2" t="s">
        <v>19</v>
      </c>
      <c r="D683" s="2" t="s">
        <v>15</v>
      </c>
      <c r="E683" s="2" t="s">
        <v>51</v>
      </c>
      <c r="G683" s="2">
        <v>1</v>
      </c>
      <c r="H683" s="2" t="s">
        <v>12</v>
      </c>
      <c r="I683" s="2" t="s">
        <v>12</v>
      </c>
    </row>
    <row r="684" spans="1:9" x14ac:dyDescent="0.25">
      <c r="A684" s="2" t="s">
        <v>9</v>
      </c>
      <c r="B684" s="2" t="s">
        <v>50</v>
      </c>
      <c r="C684" s="2" t="s">
        <v>19</v>
      </c>
      <c r="D684" s="2" t="s">
        <v>15</v>
      </c>
      <c r="E684" s="2" t="s">
        <v>51</v>
      </c>
      <c r="G684" s="2">
        <v>1</v>
      </c>
      <c r="H684" s="2" t="s">
        <v>12</v>
      </c>
      <c r="I684" s="2" t="s">
        <v>12</v>
      </c>
    </row>
    <row r="685" spans="1:9" x14ac:dyDescent="0.25">
      <c r="A685" s="2" t="s">
        <v>9</v>
      </c>
      <c r="B685" s="2" t="s">
        <v>50</v>
      </c>
      <c r="C685" s="2" t="s">
        <v>19</v>
      </c>
      <c r="D685" s="2" t="s">
        <v>15</v>
      </c>
      <c r="E685" s="2" t="s">
        <v>51</v>
      </c>
      <c r="G685" s="2">
        <v>1</v>
      </c>
      <c r="H685" s="2" t="s">
        <v>12</v>
      </c>
      <c r="I685" s="2" t="s">
        <v>12</v>
      </c>
    </row>
    <row r="686" spans="1:9" x14ac:dyDescent="0.25">
      <c r="A686" s="2" t="s">
        <v>9</v>
      </c>
      <c r="B686" s="2" t="s">
        <v>50</v>
      </c>
      <c r="C686" s="2" t="s">
        <v>19</v>
      </c>
      <c r="D686" s="2" t="s">
        <v>15</v>
      </c>
      <c r="E686" s="2" t="s">
        <v>51</v>
      </c>
      <c r="G686" s="2">
        <v>1</v>
      </c>
      <c r="H686" s="2" t="s">
        <v>12</v>
      </c>
      <c r="I686" s="2" t="s">
        <v>12</v>
      </c>
    </row>
    <row r="687" spans="1:9" x14ac:dyDescent="0.25">
      <c r="A687" s="2" t="s">
        <v>9</v>
      </c>
      <c r="B687" s="2" t="s">
        <v>50</v>
      </c>
      <c r="C687" s="2" t="s">
        <v>19</v>
      </c>
      <c r="D687" s="2" t="s">
        <v>15</v>
      </c>
      <c r="E687" s="2" t="s">
        <v>51</v>
      </c>
      <c r="G687" s="2">
        <v>1</v>
      </c>
      <c r="H687" s="2" t="s">
        <v>12</v>
      </c>
      <c r="I687" s="2" t="s">
        <v>12</v>
      </c>
    </row>
    <row r="688" spans="1:9" x14ac:dyDescent="0.25">
      <c r="A688" s="2" t="s">
        <v>9</v>
      </c>
      <c r="B688" s="2" t="s">
        <v>52</v>
      </c>
      <c r="C688" s="2" t="s">
        <v>11</v>
      </c>
      <c r="D688" s="2" t="s">
        <v>12</v>
      </c>
      <c r="E688" s="2" t="s">
        <v>12</v>
      </c>
      <c r="F688" s="8" t="s">
        <v>12</v>
      </c>
      <c r="G688" s="2">
        <v>1</v>
      </c>
      <c r="H688" s="2" t="s">
        <v>52</v>
      </c>
      <c r="I688" s="2" t="s">
        <v>12</v>
      </c>
    </row>
    <row r="689" spans="1:9" x14ac:dyDescent="0.25">
      <c r="A689" s="2" t="s">
        <v>9</v>
      </c>
      <c r="B689" s="2" t="s">
        <v>53</v>
      </c>
      <c r="C689" s="2" t="s">
        <v>54</v>
      </c>
      <c r="D689" s="2" t="s">
        <v>55</v>
      </c>
      <c r="E689" s="2" t="s">
        <v>56</v>
      </c>
      <c r="G689" s="2">
        <v>1</v>
      </c>
      <c r="H689" s="2" t="s">
        <v>52</v>
      </c>
      <c r="I689" s="2" t="s">
        <v>57</v>
      </c>
    </row>
    <row r="690" spans="1:9" x14ac:dyDescent="0.25">
      <c r="A690" s="2" t="s">
        <v>9</v>
      </c>
      <c r="B690" s="2" t="s">
        <v>58</v>
      </c>
      <c r="C690" s="2" t="s">
        <v>59</v>
      </c>
      <c r="D690" s="2" t="s">
        <v>15</v>
      </c>
      <c r="E690" s="2" t="s">
        <v>60</v>
      </c>
      <c r="G690" s="2">
        <v>1</v>
      </c>
      <c r="H690" s="2" t="s">
        <v>52</v>
      </c>
      <c r="I690" s="2" t="s">
        <v>61</v>
      </c>
    </row>
    <row r="691" spans="1:9" x14ac:dyDescent="0.25">
      <c r="A691" s="2" t="s">
        <v>9</v>
      </c>
      <c r="B691" s="2" t="s">
        <v>62</v>
      </c>
      <c r="C691" s="2" t="s">
        <v>63</v>
      </c>
      <c r="D691" s="2" t="s">
        <v>12</v>
      </c>
      <c r="E691" s="2" t="s">
        <v>12</v>
      </c>
      <c r="F691" s="8" t="s">
        <v>12</v>
      </c>
      <c r="G691" s="2">
        <v>1</v>
      </c>
      <c r="H691" s="2" t="s">
        <v>62</v>
      </c>
      <c r="I691" s="2" t="s">
        <v>12</v>
      </c>
    </row>
    <row r="692" spans="1:9" x14ac:dyDescent="0.25">
      <c r="A692" s="2" t="s">
        <v>9</v>
      </c>
      <c r="B692" s="2" t="s">
        <v>64</v>
      </c>
      <c r="C692" s="2" t="s">
        <v>65</v>
      </c>
      <c r="D692" s="2" t="s">
        <v>66</v>
      </c>
      <c r="E692" s="2" t="s">
        <v>67</v>
      </c>
      <c r="G692" s="2">
        <v>1</v>
      </c>
      <c r="H692" s="2" t="s">
        <v>12</v>
      </c>
      <c r="I692" s="2" t="s">
        <v>68</v>
      </c>
    </row>
    <row r="693" spans="1:9" x14ac:dyDescent="0.25">
      <c r="A693" s="2" t="s">
        <v>9</v>
      </c>
      <c r="B693" s="2" t="s">
        <v>69</v>
      </c>
      <c r="C693" s="2" t="s">
        <v>70</v>
      </c>
      <c r="D693" s="2" t="s">
        <v>66</v>
      </c>
      <c r="E693" s="2" t="s">
        <v>71</v>
      </c>
      <c r="G693" s="2">
        <v>1</v>
      </c>
      <c r="H693" s="2" t="s">
        <v>12</v>
      </c>
      <c r="I693" s="2" t="s">
        <v>72</v>
      </c>
    </row>
    <row r="694" spans="1:9" x14ac:dyDescent="0.25">
      <c r="A694" s="2" t="s">
        <v>9</v>
      </c>
      <c r="B694" s="2" t="s">
        <v>69</v>
      </c>
      <c r="C694" s="2" t="s">
        <v>70</v>
      </c>
      <c r="D694" s="2" t="s">
        <v>66</v>
      </c>
      <c r="E694" s="2" t="s">
        <v>71</v>
      </c>
      <c r="G694" s="2">
        <v>1</v>
      </c>
      <c r="H694" s="2" t="s">
        <v>12</v>
      </c>
      <c r="I694" s="2" t="s">
        <v>73</v>
      </c>
    </row>
    <row r="695" spans="1:9" x14ac:dyDescent="0.25">
      <c r="A695" s="2" t="s">
        <v>9</v>
      </c>
      <c r="B695" s="2" t="s">
        <v>64</v>
      </c>
      <c r="C695" s="2" t="s">
        <v>65</v>
      </c>
      <c r="D695" s="2" t="s">
        <v>66</v>
      </c>
      <c r="E695" s="2" t="s">
        <v>67</v>
      </c>
      <c r="G695" s="2">
        <v>1</v>
      </c>
      <c r="H695" s="2" t="s">
        <v>12</v>
      </c>
      <c r="I695" s="2" t="s">
        <v>74</v>
      </c>
    </row>
    <row r="696" spans="1:9" x14ac:dyDescent="0.25">
      <c r="A696" s="2" t="s">
        <v>9</v>
      </c>
      <c r="B696" s="2" t="s">
        <v>69</v>
      </c>
      <c r="C696" s="2" t="s">
        <v>70</v>
      </c>
      <c r="D696" s="2" t="s">
        <v>66</v>
      </c>
      <c r="E696" s="2" t="s">
        <v>71</v>
      </c>
      <c r="G696" s="2">
        <v>1</v>
      </c>
      <c r="H696" s="2" t="s">
        <v>12</v>
      </c>
      <c r="I696" s="2" t="s">
        <v>75</v>
      </c>
    </row>
    <row r="697" spans="1:9" x14ac:dyDescent="0.25">
      <c r="A697" s="2" t="s">
        <v>9</v>
      </c>
      <c r="B697" s="2" t="s">
        <v>69</v>
      </c>
      <c r="C697" s="2" t="s">
        <v>70</v>
      </c>
      <c r="D697" s="2" t="s">
        <v>66</v>
      </c>
      <c r="E697" s="2" t="s">
        <v>71</v>
      </c>
      <c r="G697" s="2">
        <v>1</v>
      </c>
      <c r="H697" s="2" t="s">
        <v>12</v>
      </c>
      <c r="I697" s="2" t="s">
        <v>76</v>
      </c>
    </row>
    <row r="698" spans="1:9" x14ac:dyDescent="0.25">
      <c r="A698" s="2" t="s">
        <v>9</v>
      </c>
      <c r="B698" s="2" t="s">
        <v>77</v>
      </c>
      <c r="C698" s="2" t="s">
        <v>78</v>
      </c>
      <c r="D698" s="2" t="s">
        <v>12</v>
      </c>
      <c r="E698" s="2" t="s">
        <v>12</v>
      </c>
      <c r="F698" s="8" t="s">
        <v>12</v>
      </c>
      <c r="G698" s="2">
        <v>1</v>
      </c>
      <c r="H698" s="2" t="s">
        <v>77</v>
      </c>
      <c r="I698" s="2" t="s">
        <v>12</v>
      </c>
    </row>
    <row r="699" spans="1:9" x14ac:dyDescent="0.25">
      <c r="A699" s="2" t="s">
        <v>9</v>
      </c>
      <c r="B699" s="2" t="s">
        <v>64</v>
      </c>
      <c r="C699" s="2" t="s">
        <v>65</v>
      </c>
      <c r="D699" s="2" t="s">
        <v>66</v>
      </c>
      <c r="E699" s="2" t="s">
        <v>67</v>
      </c>
      <c r="G699" s="2">
        <v>1</v>
      </c>
      <c r="H699" s="2" t="s">
        <v>12</v>
      </c>
      <c r="I699" s="2" t="s">
        <v>79</v>
      </c>
    </row>
    <row r="700" spans="1:9" x14ac:dyDescent="0.25">
      <c r="A700" s="2" t="s">
        <v>9</v>
      </c>
      <c r="B700" s="2" t="s">
        <v>69</v>
      </c>
      <c r="C700" s="2" t="s">
        <v>70</v>
      </c>
      <c r="D700" s="2" t="s">
        <v>66</v>
      </c>
      <c r="E700" s="2" t="s">
        <v>71</v>
      </c>
      <c r="G700" s="2">
        <v>1</v>
      </c>
      <c r="H700" s="2" t="s">
        <v>12</v>
      </c>
      <c r="I700" s="2" t="s">
        <v>80</v>
      </c>
    </row>
    <row r="701" spans="1:9" x14ac:dyDescent="0.25">
      <c r="A701" s="2" t="s">
        <v>9</v>
      </c>
      <c r="B701" s="2" t="s">
        <v>69</v>
      </c>
      <c r="C701" s="2" t="s">
        <v>70</v>
      </c>
      <c r="D701" s="2" t="s">
        <v>66</v>
      </c>
      <c r="E701" s="2" t="s">
        <v>71</v>
      </c>
      <c r="G701" s="2">
        <v>1</v>
      </c>
      <c r="H701" s="2" t="s">
        <v>12</v>
      </c>
      <c r="I701" s="2" t="s">
        <v>81</v>
      </c>
    </row>
    <row r="702" spans="1:9" x14ac:dyDescent="0.25">
      <c r="A702" s="2" t="s">
        <v>9</v>
      </c>
      <c r="B702" s="2" t="s">
        <v>64</v>
      </c>
      <c r="C702" s="2" t="s">
        <v>65</v>
      </c>
      <c r="D702" s="2" t="s">
        <v>66</v>
      </c>
      <c r="E702" s="2" t="s">
        <v>67</v>
      </c>
      <c r="G702" s="2">
        <v>1</v>
      </c>
      <c r="H702" s="2" t="s">
        <v>12</v>
      </c>
      <c r="I702" s="2" t="s">
        <v>82</v>
      </c>
    </row>
    <row r="703" spans="1:9" x14ac:dyDescent="0.25">
      <c r="A703" s="2" t="s">
        <v>9</v>
      </c>
      <c r="B703" s="2" t="s">
        <v>69</v>
      </c>
      <c r="C703" s="2" t="s">
        <v>70</v>
      </c>
      <c r="D703" s="2" t="s">
        <v>66</v>
      </c>
      <c r="E703" s="2" t="s">
        <v>71</v>
      </c>
      <c r="G703" s="2">
        <v>1</v>
      </c>
      <c r="H703" s="2" t="s">
        <v>12</v>
      </c>
      <c r="I703" s="2" t="s">
        <v>83</v>
      </c>
    </row>
    <row r="704" spans="1:9" x14ac:dyDescent="0.25">
      <c r="A704" s="2" t="s">
        <v>9</v>
      </c>
      <c r="B704" s="2" t="s">
        <v>69</v>
      </c>
      <c r="C704" s="2" t="s">
        <v>70</v>
      </c>
      <c r="D704" s="2" t="s">
        <v>66</v>
      </c>
      <c r="E704" s="2" t="s">
        <v>71</v>
      </c>
      <c r="G704" s="2">
        <v>1</v>
      </c>
      <c r="H704" s="2" t="s">
        <v>12</v>
      </c>
      <c r="I704" s="2" t="s">
        <v>84</v>
      </c>
    </row>
    <row r="705" spans="1:9" x14ac:dyDescent="0.25">
      <c r="A705" s="2" t="s">
        <v>9</v>
      </c>
      <c r="B705" s="2" t="s">
        <v>85</v>
      </c>
      <c r="C705" s="2" t="s">
        <v>86</v>
      </c>
      <c r="D705" s="2" t="s">
        <v>12</v>
      </c>
      <c r="E705" s="2" t="s">
        <v>12</v>
      </c>
      <c r="F705" s="8" t="s">
        <v>12</v>
      </c>
      <c r="G705" s="2">
        <v>1</v>
      </c>
      <c r="H705" s="2" t="s">
        <v>85</v>
      </c>
      <c r="I705" s="2" t="s">
        <v>12</v>
      </c>
    </row>
    <row r="706" spans="1:9" x14ac:dyDescent="0.25">
      <c r="A706" s="2" t="s">
        <v>9</v>
      </c>
      <c r="B706" s="2" t="s">
        <v>64</v>
      </c>
      <c r="C706" s="2" t="s">
        <v>65</v>
      </c>
      <c r="D706" s="2" t="s">
        <v>66</v>
      </c>
      <c r="E706" s="2" t="s">
        <v>67</v>
      </c>
      <c r="G706" s="2">
        <v>1</v>
      </c>
      <c r="H706" s="2" t="s">
        <v>12</v>
      </c>
      <c r="I706" s="2" t="s">
        <v>87</v>
      </c>
    </row>
    <row r="707" spans="1:9" x14ac:dyDescent="0.25">
      <c r="A707" s="2" t="s">
        <v>9</v>
      </c>
      <c r="B707" s="2" t="s">
        <v>69</v>
      </c>
      <c r="C707" s="2" t="s">
        <v>70</v>
      </c>
      <c r="D707" s="2" t="s">
        <v>66</v>
      </c>
      <c r="E707" s="2" t="s">
        <v>71</v>
      </c>
      <c r="G707" s="2">
        <v>1</v>
      </c>
      <c r="H707" s="2" t="s">
        <v>12</v>
      </c>
      <c r="I707" s="2" t="s">
        <v>88</v>
      </c>
    </row>
    <row r="708" spans="1:9" x14ac:dyDescent="0.25">
      <c r="A708" s="2" t="s">
        <v>9</v>
      </c>
      <c r="B708" s="2" t="s">
        <v>69</v>
      </c>
      <c r="C708" s="2" t="s">
        <v>70</v>
      </c>
      <c r="D708" s="2" t="s">
        <v>66</v>
      </c>
      <c r="E708" s="2" t="s">
        <v>71</v>
      </c>
      <c r="G708" s="2">
        <v>1</v>
      </c>
      <c r="H708" s="2" t="s">
        <v>12</v>
      </c>
      <c r="I708" s="2" t="s">
        <v>89</v>
      </c>
    </row>
    <row r="709" spans="1:9" x14ac:dyDescent="0.25">
      <c r="A709" s="2" t="s">
        <v>9</v>
      </c>
      <c r="B709" s="2" t="s">
        <v>64</v>
      </c>
      <c r="C709" s="2" t="s">
        <v>65</v>
      </c>
      <c r="D709" s="2" t="s">
        <v>66</v>
      </c>
      <c r="E709" s="2" t="s">
        <v>67</v>
      </c>
      <c r="G709" s="2">
        <v>1</v>
      </c>
      <c r="H709" s="2" t="s">
        <v>12</v>
      </c>
      <c r="I709" s="2" t="s">
        <v>90</v>
      </c>
    </row>
    <row r="710" spans="1:9" x14ac:dyDescent="0.25">
      <c r="A710" s="2" t="s">
        <v>9</v>
      </c>
      <c r="B710" s="2" t="s">
        <v>69</v>
      </c>
      <c r="C710" s="2" t="s">
        <v>70</v>
      </c>
      <c r="D710" s="2" t="s">
        <v>66</v>
      </c>
      <c r="E710" s="2" t="s">
        <v>71</v>
      </c>
      <c r="G710" s="2">
        <v>1</v>
      </c>
      <c r="H710" s="2" t="s">
        <v>12</v>
      </c>
      <c r="I710" s="2" t="s">
        <v>91</v>
      </c>
    </row>
    <row r="711" spans="1:9" x14ac:dyDescent="0.25">
      <c r="A711" s="2" t="s">
        <v>9</v>
      </c>
      <c r="B711" s="2" t="s">
        <v>69</v>
      </c>
      <c r="C711" s="2" t="s">
        <v>70</v>
      </c>
      <c r="D711" s="2" t="s">
        <v>66</v>
      </c>
      <c r="E711" s="2" t="s">
        <v>71</v>
      </c>
      <c r="G711" s="2">
        <v>1</v>
      </c>
      <c r="H711" s="2" t="s">
        <v>12</v>
      </c>
      <c r="I711" s="2" t="s">
        <v>92</v>
      </c>
    </row>
    <row r="712" spans="1:9" x14ac:dyDescent="0.25">
      <c r="A712" s="2" t="s">
        <v>9</v>
      </c>
      <c r="B712" s="2" t="s">
        <v>93</v>
      </c>
      <c r="C712" s="2" t="s">
        <v>94</v>
      </c>
      <c r="D712" s="2" t="s">
        <v>12</v>
      </c>
      <c r="E712" s="2" t="s">
        <v>12</v>
      </c>
      <c r="F712" s="8" t="s">
        <v>12</v>
      </c>
      <c r="G712" s="2">
        <v>1</v>
      </c>
      <c r="H712" s="2" t="s">
        <v>93</v>
      </c>
      <c r="I712" s="2" t="s">
        <v>12</v>
      </c>
    </row>
    <row r="713" spans="1:9" x14ac:dyDescent="0.25">
      <c r="A713" s="2" t="s">
        <v>9</v>
      </c>
      <c r="B713" s="2" t="s">
        <v>64</v>
      </c>
      <c r="C713" s="2" t="s">
        <v>65</v>
      </c>
      <c r="D713" s="2" t="s">
        <v>66</v>
      </c>
      <c r="E713" s="2" t="s">
        <v>67</v>
      </c>
      <c r="G713" s="2">
        <v>1</v>
      </c>
      <c r="H713" s="2" t="s">
        <v>12</v>
      </c>
      <c r="I713" s="2" t="s">
        <v>95</v>
      </c>
    </row>
    <row r="714" spans="1:9" x14ac:dyDescent="0.25">
      <c r="A714" s="2" t="s">
        <v>9</v>
      </c>
      <c r="B714" s="2" t="s">
        <v>96</v>
      </c>
      <c r="C714" s="2" t="s">
        <v>70</v>
      </c>
      <c r="D714" s="2" t="s">
        <v>66</v>
      </c>
      <c r="E714" s="2" t="s">
        <v>97</v>
      </c>
      <c r="G714" s="2">
        <v>1</v>
      </c>
      <c r="H714" s="2" t="s">
        <v>12</v>
      </c>
      <c r="I714" s="2" t="s">
        <v>98</v>
      </c>
    </row>
    <row r="715" spans="1:9" x14ac:dyDescent="0.25">
      <c r="A715" s="2" t="s">
        <v>9</v>
      </c>
      <c r="B715" s="2" t="s">
        <v>96</v>
      </c>
      <c r="C715" s="2" t="s">
        <v>70</v>
      </c>
      <c r="D715" s="2" t="s">
        <v>66</v>
      </c>
      <c r="E715" s="2" t="s">
        <v>97</v>
      </c>
      <c r="G715" s="2">
        <v>1</v>
      </c>
      <c r="H715" s="2" t="s">
        <v>12</v>
      </c>
      <c r="I715" s="2" t="s">
        <v>99</v>
      </c>
    </row>
    <row r="716" spans="1:9" x14ac:dyDescent="0.25">
      <c r="A716" s="2" t="s">
        <v>9</v>
      </c>
      <c r="B716" s="2" t="s">
        <v>100</v>
      </c>
      <c r="C716" s="2" t="s">
        <v>101</v>
      </c>
      <c r="D716" s="2" t="s">
        <v>12</v>
      </c>
      <c r="E716" s="2" t="s">
        <v>12</v>
      </c>
      <c r="F716" s="8" t="s">
        <v>12</v>
      </c>
      <c r="G716" s="2">
        <v>1</v>
      </c>
      <c r="H716" s="2" t="s">
        <v>100</v>
      </c>
      <c r="I716" s="2" t="s">
        <v>12</v>
      </c>
    </row>
    <row r="717" spans="1:9" x14ac:dyDescent="0.25">
      <c r="A717" s="2" t="s">
        <v>9</v>
      </c>
      <c r="B717" s="2" t="s">
        <v>64</v>
      </c>
      <c r="C717" s="2" t="s">
        <v>65</v>
      </c>
      <c r="D717" s="2" t="s">
        <v>66</v>
      </c>
      <c r="E717" s="2" t="s">
        <v>67</v>
      </c>
      <c r="G717" s="2">
        <v>1</v>
      </c>
      <c r="H717" s="2" t="s">
        <v>12</v>
      </c>
      <c r="I717" s="2" t="s">
        <v>102</v>
      </c>
    </row>
    <row r="718" spans="1:9" x14ac:dyDescent="0.25">
      <c r="A718" s="2" t="s">
        <v>9</v>
      </c>
      <c r="B718" s="2" t="s">
        <v>69</v>
      </c>
      <c r="C718" s="2" t="s">
        <v>70</v>
      </c>
      <c r="D718" s="2" t="s">
        <v>66</v>
      </c>
      <c r="E718" s="2" t="s">
        <v>71</v>
      </c>
      <c r="G718" s="2">
        <v>1</v>
      </c>
      <c r="H718" s="2" t="s">
        <v>12</v>
      </c>
      <c r="I718" s="2" t="s">
        <v>103</v>
      </c>
    </row>
    <row r="719" spans="1:9" x14ac:dyDescent="0.25">
      <c r="A719" s="2" t="s">
        <v>9</v>
      </c>
      <c r="B719" s="2" t="s">
        <v>69</v>
      </c>
      <c r="C719" s="2" t="s">
        <v>70</v>
      </c>
      <c r="D719" s="2" t="s">
        <v>66</v>
      </c>
      <c r="E719" s="2" t="s">
        <v>71</v>
      </c>
      <c r="G719" s="2">
        <v>1</v>
      </c>
      <c r="H719" s="2" t="s">
        <v>12</v>
      </c>
      <c r="I719" s="2" t="s">
        <v>104</v>
      </c>
    </row>
    <row r="720" spans="1:9" x14ac:dyDescent="0.25">
      <c r="A720" s="2" t="s">
        <v>9</v>
      </c>
      <c r="B720" s="2" t="s">
        <v>64</v>
      </c>
      <c r="C720" s="2" t="s">
        <v>65</v>
      </c>
      <c r="D720" s="2" t="s">
        <v>66</v>
      </c>
      <c r="E720" s="2" t="s">
        <v>67</v>
      </c>
      <c r="G720" s="2">
        <v>1</v>
      </c>
      <c r="H720" s="2" t="s">
        <v>12</v>
      </c>
      <c r="I720" s="2" t="s">
        <v>105</v>
      </c>
    </row>
    <row r="721" spans="1:9" x14ac:dyDescent="0.25">
      <c r="A721" s="2" t="s">
        <v>9</v>
      </c>
      <c r="B721" s="2" t="s">
        <v>96</v>
      </c>
      <c r="C721" s="2" t="s">
        <v>70</v>
      </c>
      <c r="D721" s="2" t="s">
        <v>66</v>
      </c>
      <c r="E721" s="2" t="s">
        <v>97</v>
      </c>
      <c r="G721" s="2">
        <v>1</v>
      </c>
      <c r="H721" s="2" t="s">
        <v>12</v>
      </c>
      <c r="I721" s="2" t="s">
        <v>106</v>
      </c>
    </row>
    <row r="722" spans="1:9" x14ac:dyDescent="0.25">
      <c r="A722" s="2" t="s">
        <v>9</v>
      </c>
      <c r="B722" s="2" t="s">
        <v>10</v>
      </c>
      <c r="C722" s="2" t="s">
        <v>11</v>
      </c>
      <c r="D722" s="2" t="s">
        <v>12</v>
      </c>
      <c r="E722" s="2" t="s">
        <v>12</v>
      </c>
      <c r="F722" s="8" t="s">
        <v>12</v>
      </c>
      <c r="G722" s="2">
        <v>1</v>
      </c>
      <c r="H722" s="2" t="s">
        <v>10</v>
      </c>
      <c r="I722" s="2" t="s">
        <v>12</v>
      </c>
    </row>
    <row r="723" spans="1:9" x14ac:dyDescent="0.25">
      <c r="A723" s="2" t="s">
        <v>9</v>
      </c>
      <c r="B723" s="2" t="s">
        <v>13</v>
      </c>
      <c r="C723" s="2" t="s">
        <v>14</v>
      </c>
      <c r="D723" s="2" t="s">
        <v>15</v>
      </c>
      <c r="E723" s="2" t="s">
        <v>16</v>
      </c>
      <c r="G723" s="2">
        <v>1</v>
      </c>
      <c r="H723" s="2" t="s">
        <v>10</v>
      </c>
      <c r="I723" s="2" t="s">
        <v>17</v>
      </c>
    </row>
    <row r="724" spans="1:9" x14ac:dyDescent="0.25">
      <c r="A724" s="2" t="s">
        <v>9</v>
      </c>
      <c r="B724" s="2" t="s">
        <v>18</v>
      </c>
      <c r="C724" s="2" t="s">
        <v>19</v>
      </c>
      <c r="D724" s="2" t="s">
        <v>15</v>
      </c>
      <c r="E724" s="2" t="s">
        <v>20</v>
      </c>
      <c r="G724" s="2">
        <v>1</v>
      </c>
      <c r="H724" s="2" t="s">
        <v>12</v>
      </c>
      <c r="I724" s="2" t="s">
        <v>12</v>
      </c>
    </row>
    <row r="725" spans="1:9" x14ac:dyDescent="0.25">
      <c r="A725" s="2" t="s">
        <v>9</v>
      </c>
      <c r="B725" s="2" t="s">
        <v>18</v>
      </c>
      <c r="C725" s="2" t="s">
        <v>19</v>
      </c>
      <c r="D725" s="2" t="s">
        <v>15</v>
      </c>
      <c r="E725" s="2" t="s">
        <v>20</v>
      </c>
      <c r="G725" s="2">
        <v>1</v>
      </c>
      <c r="H725" s="2" t="s">
        <v>12</v>
      </c>
      <c r="I725" s="2" t="s">
        <v>12</v>
      </c>
    </row>
    <row r="726" spans="1:9" x14ac:dyDescent="0.25">
      <c r="A726" s="2" t="s">
        <v>9</v>
      </c>
      <c r="B726" s="2" t="s">
        <v>21</v>
      </c>
      <c r="C726" s="2" t="s">
        <v>19</v>
      </c>
      <c r="D726" s="2" t="s">
        <v>15</v>
      </c>
      <c r="E726" s="2" t="s">
        <v>22</v>
      </c>
      <c r="G726" s="2">
        <v>1</v>
      </c>
      <c r="H726" s="2" t="s">
        <v>12</v>
      </c>
      <c r="I726" s="2" t="s">
        <v>12</v>
      </c>
    </row>
    <row r="727" spans="1:9" x14ac:dyDescent="0.25">
      <c r="A727" s="2" t="s">
        <v>9</v>
      </c>
      <c r="B727" s="2" t="s">
        <v>21</v>
      </c>
      <c r="C727" s="2" t="s">
        <v>19</v>
      </c>
      <c r="D727" s="2" t="s">
        <v>15</v>
      </c>
      <c r="E727" s="2" t="s">
        <v>22</v>
      </c>
      <c r="G727" s="2">
        <v>1</v>
      </c>
      <c r="H727" s="2" t="s">
        <v>12</v>
      </c>
      <c r="I727" s="2" t="s">
        <v>12</v>
      </c>
    </row>
    <row r="728" spans="1:9" x14ac:dyDescent="0.25">
      <c r="A728" s="2" t="s">
        <v>9</v>
      </c>
      <c r="B728" s="2" t="s">
        <v>13</v>
      </c>
      <c r="C728" s="2" t="s">
        <v>14</v>
      </c>
      <c r="D728" s="2" t="s">
        <v>15</v>
      </c>
      <c r="E728" s="2" t="s">
        <v>16</v>
      </c>
      <c r="G728" s="2">
        <v>1</v>
      </c>
      <c r="H728" s="2" t="s">
        <v>10</v>
      </c>
      <c r="I728" s="2" t="s">
        <v>23</v>
      </c>
    </row>
    <row r="729" spans="1:9" x14ac:dyDescent="0.25">
      <c r="A729" s="2" t="s">
        <v>9</v>
      </c>
      <c r="B729" s="2" t="s">
        <v>18</v>
      </c>
      <c r="C729" s="2" t="s">
        <v>19</v>
      </c>
      <c r="D729" s="2" t="s">
        <v>15</v>
      </c>
      <c r="E729" s="2" t="s">
        <v>20</v>
      </c>
      <c r="G729" s="2">
        <v>1</v>
      </c>
      <c r="H729" s="2" t="s">
        <v>12</v>
      </c>
      <c r="I729" s="2" t="s">
        <v>12</v>
      </c>
    </row>
    <row r="730" spans="1:9" x14ac:dyDescent="0.25">
      <c r="A730" s="2" t="s">
        <v>9</v>
      </c>
      <c r="B730" s="2" t="s">
        <v>18</v>
      </c>
      <c r="C730" s="2" t="s">
        <v>19</v>
      </c>
      <c r="D730" s="2" t="s">
        <v>15</v>
      </c>
      <c r="E730" s="2" t="s">
        <v>20</v>
      </c>
      <c r="G730" s="2">
        <v>1</v>
      </c>
      <c r="H730" s="2" t="s">
        <v>12</v>
      </c>
      <c r="I730" s="2" t="s">
        <v>12</v>
      </c>
    </row>
    <row r="731" spans="1:9" x14ac:dyDescent="0.25">
      <c r="A731" s="2" t="s">
        <v>9</v>
      </c>
      <c r="B731" s="2" t="s">
        <v>21</v>
      </c>
      <c r="C731" s="2" t="s">
        <v>19</v>
      </c>
      <c r="D731" s="2" t="s">
        <v>15</v>
      </c>
      <c r="E731" s="2" t="s">
        <v>22</v>
      </c>
      <c r="G731" s="2">
        <v>1</v>
      </c>
      <c r="H731" s="2" t="s">
        <v>12</v>
      </c>
      <c r="I731" s="2" t="s">
        <v>12</v>
      </c>
    </row>
    <row r="732" spans="1:9" x14ac:dyDescent="0.25">
      <c r="A732" s="2" t="s">
        <v>9</v>
      </c>
      <c r="B732" s="2" t="s">
        <v>21</v>
      </c>
      <c r="C732" s="2" t="s">
        <v>19</v>
      </c>
      <c r="D732" s="2" t="s">
        <v>15</v>
      </c>
      <c r="E732" s="2" t="s">
        <v>22</v>
      </c>
      <c r="G732" s="2">
        <v>1</v>
      </c>
      <c r="H732" s="2" t="s">
        <v>12</v>
      </c>
      <c r="I732" s="2" t="s">
        <v>12</v>
      </c>
    </row>
    <row r="733" spans="1:9" x14ac:dyDescent="0.25">
      <c r="A733" s="2" t="s">
        <v>9</v>
      </c>
      <c r="B733" s="2" t="s">
        <v>24</v>
      </c>
      <c r="C733" s="2" t="s">
        <v>25</v>
      </c>
      <c r="D733" s="2" t="s">
        <v>26</v>
      </c>
      <c r="E733" s="2" t="s">
        <v>27</v>
      </c>
      <c r="G733" s="2">
        <v>1</v>
      </c>
      <c r="H733" s="2" t="s">
        <v>10</v>
      </c>
      <c r="I733" s="2" t="s">
        <v>28</v>
      </c>
    </row>
    <row r="734" spans="1:9" x14ac:dyDescent="0.25">
      <c r="A734" s="2" t="s">
        <v>9</v>
      </c>
      <c r="B734" s="2" t="s">
        <v>29</v>
      </c>
      <c r="C734" s="2" t="s">
        <v>19</v>
      </c>
      <c r="D734" s="2" t="s">
        <v>26</v>
      </c>
      <c r="E734" s="2" t="s">
        <v>30</v>
      </c>
      <c r="G734" s="2">
        <v>1</v>
      </c>
      <c r="H734" s="2" t="s">
        <v>12</v>
      </c>
      <c r="I734" s="2" t="s">
        <v>12</v>
      </c>
    </row>
    <row r="735" spans="1:9" x14ac:dyDescent="0.25">
      <c r="A735" s="2" t="s">
        <v>9</v>
      </c>
      <c r="B735" s="2" t="s">
        <v>29</v>
      </c>
      <c r="C735" s="2" t="s">
        <v>19</v>
      </c>
      <c r="D735" s="2" t="s">
        <v>26</v>
      </c>
      <c r="E735" s="2" t="s">
        <v>30</v>
      </c>
      <c r="G735" s="2">
        <v>1</v>
      </c>
      <c r="H735" s="2" t="s">
        <v>12</v>
      </c>
      <c r="I735" s="2" t="s">
        <v>12</v>
      </c>
    </row>
    <row r="736" spans="1:9" x14ac:dyDescent="0.25">
      <c r="A736" s="2" t="s">
        <v>9</v>
      </c>
      <c r="B736" s="2" t="s">
        <v>29</v>
      </c>
      <c r="C736" s="2" t="s">
        <v>19</v>
      </c>
      <c r="D736" s="2" t="s">
        <v>26</v>
      </c>
      <c r="E736" s="2" t="s">
        <v>30</v>
      </c>
      <c r="G736" s="2">
        <v>1</v>
      </c>
      <c r="H736" s="2" t="s">
        <v>12</v>
      </c>
      <c r="I736" s="2" t="s">
        <v>12</v>
      </c>
    </row>
    <row r="737" spans="1:9" x14ac:dyDescent="0.25">
      <c r="A737" s="2" t="s">
        <v>9</v>
      </c>
      <c r="B737" s="2" t="s">
        <v>29</v>
      </c>
      <c r="C737" s="2" t="s">
        <v>19</v>
      </c>
      <c r="D737" s="2" t="s">
        <v>26</v>
      </c>
      <c r="E737" s="2" t="s">
        <v>30</v>
      </c>
      <c r="G737" s="2">
        <v>1</v>
      </c>
      <c r="H737" s="2" t="s">
        <v>12</v>
      </c>
      <c r="I737" s="2" t="s">
        <v>12</v>
      </c>
    </row>
    <row r="738" spans="1:9" x14ac:dyDescent="0.25">
      <c r="A738" s="2" t="s">
        <v>9</v>
      </c>
      <c r="B738" s="2" t="s">
        <v>29</v>
      </c>
      <c r="C738" s="2" t="s">
        <v>19</v>
      </c>
      <c r="D738" s="2" t="s">
        <v>26</v>
      </c>
      <c r="E738" s="2" t="s">
        <v>30</v>
      </c>
      <c r="G738" s="2">
        <v>1</v>
      </c>
      <c r="H738" s="2" t="s">
        <v>12</v>
      </c>
      <c r="I738" s="2" t="s">
        <v>12</v>
      </c>
    </row>
    <row r="739" spans="1:9" x14ac:dyDescent="0.25">
      <c r="A739" s="2" t="s">
        <v>9</v>
      </c>
      <c r="B739" s="2" t="s">
        <v>31</v>
      </c>
      <c r="C739" s="2" t="s">
        <v>19</v>
      </c>
      <c r="D739" s="2" t="s">
        <v>26</v>
      </c>
      <c r="E739" s="2" t="s">
        <v>32</v>
      </c>
      <c r="G739" s="2">
        <v>1</v>
      </c>
      <c r="H739" s="2" t="s">
        <v>12</v>
      </c>
      <c r="I739" s="2" t="s">
        <v>12</v>
      </c>
    </row>
    <row r="740" spans="1:9" x14ac:dyDescent="0.25">
      <c r="A740" s="2" t="s">
        <v>9</v>
      </c>
      <c r="B740" s="2" t="s">
        <v>31</v>
      </c>
      <c r="C740" s="2" t="s">
        <v>19</v>
      </c>
      <c r="D740" s="2" t="s">
        <v>26</v>
      </c>
      <c r="E740" s="2" t="s">
        <v>32</v>
      </c>
      <c r="G740" s="2">
        <v>1</v>
      </c>
      <c r="H740" s="2" t="s">
        <v>12</v>
      </c>
      <c r="I740" s="2" t="s">
        <v>12</v>
      </c>
    </row>
    <row r="741" spans="1:9" x14ac:dyDescent="0.25">
      <c r="A741" s="2" t="s">
        <v>9</v>
      </c>
      <c r="B741" s="2" t="s">
        <v>31</v>
      </c>
      <c r="C741" s="2" t="s">
        <v>19</v>
      </c>
      <c r="D741" s="2" t="s">
        <v>26</v>
      </c>
      <c r="E741" s="2" t="s">
        <v>32</v>
      </c>
      <c r="G741" s="2">
        <v>1</v>
      </c>
      <c r="H741" s="2" t="s">
        <v>12</v>
      </c>
      <c r="I741" s="2" t="s">
        <v>12</v>
      </c>
    </row>
    <row r="742" spans="1:9" x14ac:dyDescent="0.25">
      <c r="A742" s="2" t="s">
        <v>9</v>
      </c>
      <c r="B742" s="2" t="s">
        <v>31</v>
      </c>
      <c r="C742" s="2" t="s">
        <v>19</v>
      </c>
      <c r="D742" s="2" t="s">
        <v>26</v>
      </c>
      <c r="E742" s="2" t="s">
        <v>32</v>
      </c>
      <c r="G742" s="2">
        <v>1</v>
      </c>
      <c r="H742" s="2" t="s">
        <v>12</v>
      </c>
      <c r="I742" s="2" t="s">
        <v>12</v>
      </c>
    </row>
    <row r="743" spans="1:9" x14ac:dyDescent="0.25">
      <c r="A743" s="2" t="s">
        <v>9</v>
      </c>
      <c r="B743" s="2" t="s">
        <v>31</v>
      </c>
      <c r="C743" s="2" t="s">
        <v>19</v>
      </c>
      <c r="D743" s="2" t="s">
        <v>26</v>
      </c>
      <c r="E743" s="2" t="s">
        <v>32</v>
      </c>
      <c r="G743" s="2">
        <v>1</v>
      </c>
      <c r="H743" s="2" t="s">
        <v>12</v>
      </c>
      <c r="I743" s="2" t="s">
        <v>12</v>
      </c>
    </row>
    <row r="744" spans="1:9" x14ac:dyDescent="0.25">
      <c r="A744" s="2" t="s">
        <v>9</v>
      </c>
      <c r="B744" s="2" t="s">
        <v>31</v>
      </c>
      <c r="C744" s="2" t="s">
        <v>19</v>
      </c>
      <c r="D744" s="2" t="s">
        <v>26</v>
      </c>
      <c r="E744" s="2" t="s">
        <v>32</v>
      </c>
      <c r="G744" s="2">
        <v>1</v>
      </c>
      <c r="H744" s="2" t="s">
        <v>12</v>
      </c>
      <c r="I744" s="2" t="s">
        <v>12</v>
      </c>
    </row>
    <row r="745" spans="1:9" x14ac:dyDescent="0.25">
      <c r="A745" s="2" t="s">
        <v>9</v>
      </c>
      <c r="B745" s="2" t="s">
        <v>31</v>
      </c>
      <c r="C745" s="2" t="s">
        <v>19</v>
      </c>
      <c r="D745" s="2" t="s">
        <v>26</v>
      </c>
      <c r="E745" s="2" t="s">
        <v>32</v>
      </c>
      <c r="G745" s="2">
        <v>1</v>
      </c>
      <c r="H745" s="2" t="s">
        <v>12</v>
      </c>
      <c r="I745" s="2" t="s">
        <v>12</v>
      </c>
    </row>
    <row r="746" spans="1:9" x14ac:dyDescent="0.25">
      <c r="A746" s="2" t="s">
        <v>9</v>
      </c>
      <c r="B746" s="2" t="s">
        <v>31</v>
      </c>
      <c r="C746" s="2" t="s">
        <v>19</v>
      </c>
      <c r="D746" s="2" t="s">
        <v>26</v>
      </c>
      <c r="E746" s="2" t="s">
        <v>32</v>
      </c>
      <c r="G746" s="2">
        <v>1</v>
      </c>
      <c r="H746" s="2" t="s">
        <v>12</v>
      </c>
      <c r="I746" s="2" t="s">
        <v>12</v>
      </c>
    </row>
    <row r="747" spans="1:9" x14ac:dyDescent="0.25">
      <c r="A747" s="2" t="s">
        <v>9</v>
      </c>
      <c r="B747" s="2" t="s">
        <v>31</v>
      </c>
      <c r="C747" s="2" t="s">
        <v>19</v>
      </c>
      <c r="D747" s="2" t="s">
        <v>26</v>
      </c>
      <c r="E747" s="2" t="s">
        <v>32</v>
      </c>
      <c r="G747" s="2">
        <v>1</v>
      </c>
      <c r="H747" s="2" t="s">
        <v>12</v>
      </c>
      <c r="I747" s="2" t="s">
        <v>12</v>
      </c>
    </row>
    <row r="748" spans="1:9" x14ac:dyDescent="0.25">
      <c r="A748" s="2" t="s">
        <v>9</v>
      </c>
      <c r="B748" s="2" t="s">
        <v>31</v>
      </c>
      <c r="C748" s="2" t="s">
        <v>19</v>
      </c>
      <c r="D748" s="2" t="s">
        <v>26</v>
      </c>
      <c r="E748" s="2" t="s">
        <v>32</v>
      </c>
      <c r="G748" s="2">
        <v>1</v>
      </c>
      <c r="H748" s="2" t="s">
        <v>12</v>
      </c>
      <c r="I748" s="2" t="s">
        <v>12</v>
      </c>
    </row>
    <row r="749" spans="1:9" x14ac:dyDescent="0.25">
      <c r="A749" s="2" t="s">
        <v>9</v>
      </c>
      <c r="B749" s="2" t="s">
        <v>33</v>
      </c>
      <c r="C749" s="2" t="s">
        <v>19</v>
      </c>
      <c r="D749" s="2" t="s">
        <v>26</v>
      </c>
      <c r="E749" s="2" t="s">
        <v>34</v>
      </c>
      <c r="G749" s="2">
        <v>1</v>
      </c>
      <c r="H749" s="2" t="s">
        <v>12</v>
      </c>
      <c r="I749" s="2" t="s">
        <v>12</v>
      </c>
    </row>
    <row r="750" spans="1:9" x14ac:dyDescent="0.25">
      <c r="A750" s="2" t="s">
        <v>9</v>
      </c>
      <c r="B750" s="2" t="s">
        <v>33</v>
      </c>
      <c r="C750" s="2" t="s">
        <v>19</v>
      </c>
      <c r="D750" s="2" t="s">
        <v>26</v>
      </c>
      <c r="E750" s="2" t="s">
        <v>34</v>
      </c>
      <c r="G750" s="2">
        <v>1</v>
      </c>
      <c r="H750" s="2" t="s">
        <v>12</v>
      </c>
      <c r="I750" s="2" t="s">
        <v>12</v>
      </c>
    </row>
    <row r="751" spans="1:9" x14ac:dyDescent="0.25">
      <c r="A751" s="2" t="s">
        <v>9</v>
      </c>
      <c r="B751" s="2" t="s">
        <v>33</v>
      </c>
      <c r="C751" s="2" t="s">
        <v>19</v>
      </c>
      <c r="D751" s="2" t="s">
        <v>26</v>
      </c>
      <c r="E751" s="2" t="s">
        <v>34</v>
      </c>
      <c r="G751" s="2">
        <v>1</v>
      </c>
      <c r="H751" s="2" t="s">
        <v>12</v>
      </c>
      <c r="I751" s="2" t="s">
        <v>12</v>
      </c>
    </row>
    <row r="752" spans="1:9" x14ac:dyDescent="0.25">
      <c r="A752" s="2" t="s">
        <v>9</v>
      </c>
      <c r="B752" s="2" t="s">
        <v>33</v>
      </c>
      <c r="C752" s="2" t="s">
        <v>19</v>
      </c>
      <c r="D752" s="2" t="s">
        <v>26</v>
      </c>
      <c r="E752" s="2" t="s">
        <v>34</v>
      </c>
      <c r="G752" s="2">
        <v>1</v>
      </c>
      <c r="H752" s="2" t="s">
        <v>12</v>
      </c>
      <c r="I752" s="2" t="s">
        <v>12</v>
      </c>
    </row>
    <row r="753" spans="1:9" x14ac:dyDescent="0.25">
      <c r="A753" s="2" t="s">
        <v>9</v>
      </c>
      <c r="B753" s="2" t="s">
        <v>24</v>
      </c>
      <c r="C753" s="2" t="s">
        <v>25</v>
      </c>
      <c r="D753" s="2" t="s">
        <v>26</v>
      </c>
      <c r="E753" s="2" t="s">
        <v>27</v>
      </c>
      <c r="G753" s="2">
        <v>1</v>
      </c>
      <c r="H753" s="2" t="s">
        <v>10</v>
      </c>
      <c r="I753" s="2" t="s">
        <v>35</v>
      </c>
    </row>
    <row r="754" spans="1:9" x14ac:dyDescent="0.25">
      <c r="A754" s="2" t="s">
        <v>9</v>
      </c>
      <c r="B754" s="2" t="s">
        <v>29</v>
      </c>
      <c r="C754" s="2" t="s">
        <v>19</v>
      </c>
      <c r="D754" s="2" t="s">
        <v>26</v>
      </c>
      <c r="E754" s="2" t="s">
        <v>30</v>
      </c>
      <c r="G754" s="2">
        <v>1</v>
      </c>
      <c r="H754" s="2" t="s">
        <v>12</v>
      </c>
      <c r="I754" s="2" t="s">
        <v>12</v>
      </c>
    </row>
    <row r="755" spans="1:9" x14ac:dyDescent="0.25">
      <c r="A755" s="2" t="s">
        <v>9</v>
      </c>
      <c r="B755" s="2" t="s">
        <v>29</v>
      </c>
      <c r="C755" s="2" t="s">
        <v>19</v>
      </c>
      <c r="D755" s="2" t="s">
        <v>26</v>
      </c>
      <c r="E755" s="2" t="s">
        <v>30</v>
      </c>
      <c r="G755" s="2">
        <v>1</v>
      </c>
      <c r="H755" s="2" t="s">
        <v>12</v>
      </c>
      <c r="I755" s="2" t="s">
        <v>12</v>
      </c>
    </row>
    <row r="756" spans="1:9" x14ac:dyDescent="0.25">
      <c r="A756" s="2" t="s">
        <v>9</v>
      </c>
      <c r="B756" s="2" t="s">
        <v>29</v>
      </c>
      <c r="C756" s="2" t="s">
        <v>19</v>
      </c>
      <c r="D756" s="2" t="s">
        <v>26</v>
      </c>
      <c r="E756" s="2" t="s">
        <v>30</v>
      </c>
      <c r="G756" s="2">
        <v>1</v>
      </c>
      <c r="H756" s="2" t="s">
        <v>12</v>
      </c>
      <c r="I756" s="2" t="s">
        <v>12</v>
      </c>
    </row>
    <row r="757" spans="1:9" x14ac:dyDescent="0.25">
      <c r="A757" s="2" t="s">
        <v>9</v>
      </c>
      <c r="B757" s="2" t="s">
        <v>29</v>
      </c>
      <c r="C757" s="2" t="s">
        <v>19</v>
      </c>
      <c r="D757" s="2" t="s">
        <v>26</v>
      </c>
      <c r="E757" s="2" t="s">
        <v>30</v>
      </c>
      <c r="G757" s="2">
        <v>1</v>
      </c>
      <c r="H757" s="2" t="s">
        <v>12</v>
      </c>
      <c r="I757" s="2" t="s">
        <v>12</v>
      </c>
    </row>
    <row r="758" spans="1:9" x14ac:dyDescent="0.25">
      <c r="A758" s="2" t="s">
        <v>9</v>
      </c>
      <c r="B758" s="2" t="s">
        <v>29</v>
      </c>
      <c r="C758" s="2" t="s">
        <v>19</v>
      </c>
      <c r="D758" s="2" t="s">
        <v>26</v>
      </c>
      <c r="E758" s="2" t="s">
        <v>30</v>
      </c>
      <c r="G758" s="2">
        <v>1</v>
      </c>
      <c r="H758" s="2" t="s">
        <v>12</v>
      </c>
      <c r="I758" s="2" t="s">
        <v>12</v>
      </c>
    </row>
    <row r="759" spans="1:9" x14ac:dyDescent="0.25">
      <c r="A759" s="2" t="s">
        <v>9</v>
      </c>
      <c r="B759" s="2" t="s">
        <v>31</v>
      </c>
      <c r="C759" s="2" t="s">
        <v>19</v>
      </c>
      <c r="D759" s="2" t="s">
        <v>26</v>
      </c>
      <c r="E759" s="2" t="s">
        <v>32</v>
      </c>
      <c r="G759" s="2">
        <v>1</v>
      </c>
      <c r="H759" s="2" t="s">
        <v>12</v>
      </c>
      <c r="I759" s="2" t="s">
        <v>12</v>
      </c>
    </row>
    <row r="760" spans="1:9" x14ac:dyDescent="0.25">
      <c r="A760" s="2" t="s">
        <v>9</v>
      </c>
      <c r="B760" s="2" t="s">
        <v>31</v>
      </c>
      <c r="C760" s="2" t="s">
        <v>19</v>
      </c>
      <c r="D760" s="2" t="s">
        <v>26</v>
      </c>
      <c r="E760" s="2" t="s">
        <v>32</v>
      </c>
      <c r="G760" s="2">
        <v>1</v>
      </c>
      <c r="H760" s="2" t="s">
        <v>12</v>
      </c>
      <c r="I760" s="2" t="s">
        <v>12</v>
      </c>
    </row>
    <row r="761" spans="1:9" x14ac:dyDescent="0.25">
      <c r="A761" s="2" t="s">
        <v>9</v>
      </c>
      <c r="B761" s="2" t="s">
        <v>31</v>
      </c>
      <c r="C761" s="2" t="s">
        <v>19</v>
      </c>
      <c r="D761" s="2" t="s">
        <v>26</v>
      </c>
      <c r="E761" s="2" t="s">
        <v>32</v>
      </c>
      <c r="G761" s="2">
        <v>1</v>
      </c>
      <c r="H761" s="2" t="s">
        <v>12</v>
      </c>
      <c r="I761" s="2" t="s">
        <v>12</v>
      </c>
    </row>
    <row r="762" spans="1:9" x14ac:dyDescent="0.25">
      <c r="A762" s="2" t="s">
        <v>9</v>
      </c>
      <c r="B762" s="2" t="s">
        <v>31</v>
      </c>
      <c r="C762" s="2" t="s">
        <v>19</v>
      </c>
      <c r="D762" s="2" t="s">
        <v>26</v>
      </c>
      <c r="E762" s="2" t="s">
        <v>32</v>
      </c>
      <c r="G762" s="2">
        <v>1</v>
      </c>
      <c r="H762" s="2" t="s">
        <v>12</v>
      </c>
      <c r="I762" s="2" t="s">
        <v>12</v>
      </c>
    </row>
    <row r="763" spans="1:9" x14ac:dyDescent="0.25">
      <c r="A763" s="2" t="s">
        <v>9</v>
      </c>
      <c r="B763" s="2" t="s">
        <v>31</v>
      </c>
      <c r="C763" s="2" t="s">
        <v>19</v>
      </c>
      <c r="D763" s="2" t="s">
        <v>26</v>
      </c>
      <c r="E763" s="2" t="s">
        <v>32</v>
      </c>
      <c r="G763" s="2">
        <v>1</v>
      </c>
      <c r="H763" s="2" t="s">
        <v>12</v>
      </c>
      <c r="I763" s="2" t="s">
        <v>12</v>
      </c>
    </row>
    <row r="764" spans="1:9" x14ac:dyDescent="0.25">
      <c r="A764" s="2" t="s">
        <v>9</v>
      </c>
      <c r="B764" s="2" t="s">
        <v>31</v>
      </c>
      <c r="C764" s="2" t="s">
        <v>19</v>
      </c>
      <c r="D764" s="2" t="s">
        <v>26</v>
      </c>
      <c r="E764" s="2" t="s">
        <v>32</v>
      </c>
      <c r="G764" s="2">
        <v>1</v>
      </c>
      <c r="H764" s="2" t="s">
        <v>12</v>
      </c>
      <c r="I764" s="2" t="s">
        <v>12</v>
      </c>
    </row>
    <row r="765" spans="1:9" x14ac:dyDescent="0.25">
      <c r="A765" s="2" t="s">
        <v>9</v>
      </c>
      <c r="B765" s="2" t="s">
        <v>31</v>
      </c>
      <c r="C765" s="2" t="s">
        <v>19</v>
      </c>
      <c r="D765" s="2" t="s">
        <v>26</v>
      </c>
      <c r="E765" s="2" t="s">
        <v>32</v>
      </c>
      <c r="G765" s="2">
        <v>1</v>
      </c>
      <c r="H765" s="2" t="s">
        <v>12</v>
      </c>
      <c r="I765" s="2" t="s">
        <v>12</v>
      </c>
    </row>
    <row r="766" spans="1:9" x14ac:dyDescent="0.25">
      <c r="A766" s="2" t="s">
        <v>9</v>
      </c>
      <c r="B766" s="2" t="s">
        <v>31</v>
      </c>
      <c r="C766" s="2" t="s">
        <v>19</v>
      </c>
      <c r="D766" s="2" t="s">
        <v>26</v>
      </c>
      <c r="E766" s="2" t="s">
        <v>32</v>
      </c>
      <c r="G766" s="2">
        <v>1</v>
      </c>
      <c r="H766" s="2" t="s">
        <v>12</v>
      </c>
      <c r="I766" s="2" t="s">
        <v>12</v>
      </c>
    </row>
    <row r="767" spans="1:9" x14ac:dyDescent="0.25">
      <c r="A767" s="2" t="s">
        <v>9</v>
      </c>
      <c r="B767" s="2" t="s">
        <v>31</v>
      </c>
      <c r="C767" s="2" t="s">
        <v>19</v>
      </c>
      <c r="D767" s="2" t="s">
        <v>26</v>
      </c>
      <c r="E767" s="2" t="s">
        <v>32</v>
      </c>
      <c r="G767" s="2">
        <v>1</v>
      </c>
      <c r="H767" s="2" t="s">
        <v>12</v>
      </c>
      <c r="I767" s="2" t="s">
        <v>12</v>
      </c>
    </row>
    <row r="768" spans="1:9" x14ac:dyDescent="0.25">
      <c r="A768" s="2" t="s">
        <v>9</v>
      </c>
      <c r="B768" s="2" t="s">
        <v>33</v>
      </c>
      <c r="C768" s="2" t="s">
        <v>19</v>
      </c>
      <c r="D768" s="2" t="s">
        <v>26</v>
      </c>
      <c r="E768" s="2" t="s">
        <v>34</v>
      </c>
      <c r="G768" s="2">
        <v>1</v>
      </c>
      <c r="H768" s="2" t="s">
        <v>12</v>
      </c>
      <c r="I768" s="2" t="s">
        <v>12</v>
      </c>
    </row>
    <row r="769" spans="1:9" x14ac:dyDescent="0.25">
      <c r="A769" s="2" t="s">
        <v>9</v>
      </c>
      <c r="B769" s="2" t="s">
        <v>33</v>
      </c>
      <c r="C769" s="2" t="s">
        <v>19</v>
      </c>
      <c r="D769" s="2" t="s">
        <v>26</v>
      </c>
      <c r="E769" s="2" t="s">
        <v>34</v>
      </c>
      <c r="G769" s="2">
        <v>1</v>
      </c>
      <c r="H769" s="2" t="s">
        <v>12</v>
      </c>
      <c r="I769" s="2" t="s">
        <v>12</v>
      </c>
    </row>
    <row r="770" spans="1:9" x14ac:dyDescent="0.25">
      <c r="A770" s="2" t="s">
        <v>9</v>
      </c>
      <c r="B770" s="2" t="s">
        <v>33</v>
      </c>
      <c r="C770" s="2" t="s">
        <v>19</v>
      </c>
      <c r="D770" s="2" t="s">
        <v>26</v>
      </c>
      <c r="E770" s="2" t="s">
        <v>34</v>
      </c>
      <c r="G770" s="2">
        <v>1</v>
      </c>
      <c r="H770" s="2" t="s">
        <v>12</v>
      </c>
      <c r="I770" s="2" t="s">
        <v>12</v>
      </c>
    </row>
    <row r="771" spans="1:9" x14ac:dyDescent="0.25">
      <c r="A771" s="2" t="s">
        <v>9</v>
      </c>
      <c r="B771" s="2" t="s">
        <v>33</v>
      </c>
      <c r="C771" s="2" t="s">
        <v>19</v>
      </c>
      <c r="D771" s="2" t="s">
        <v>26</v>
      </c>
      <c r="E771" s="2" t="s">
        <v>34</v>
      </c>
      <c r="G771" s="2">
        <v>1</v>
      </c>
      <c r="H771" s="2" t="s">
        <v>12</v>
      </c>
      <c r="I771" s="2" t="s">
        <v>12</v>
      </c>
    </row>
    <row r="772" spans="1:9" x14ac:dyDescent="0.25">
      <c r="A772" s="2" t="s">
        <v>9</v>
      </c>
      <c r="B772" s="2" t="s">
        <v>36</v>
      </c>
      <c r="C772" s="2" t="s">
        <v>11</v>
      </c>
      <c r="D772" s="2" t="s">
        <v>12</v>
      </c>
      <c r="E772" s="2" t="s">
        <v>12</v>
      </c>
      <c r="F772" s="8" t="s">
        <v>12</v>
      </c>
      <c r="G772" s="2">
        <v>1</v>
      </c>
      <c r="H772" s="2" t="s">
        <v>36</v>
      </c>
      <c r="I772" s="2" t="s">
        <v>12</v>
      </c>
    </row>
    <row r="773" spans="1:9" x14ac:dyDescent="0.25">
      <c r="A773" s="2" t="s">
        <v>9</v>
      </c>
      <c r="B773" s="2" t="s">
        <v>13</v>
      </c>
      <c r="C773" s="2" t="s">
        <v>14</v>
      </c>
      <c r="D773" s="2" t="s">
        <v>15</v>
      </c>
      <c r="E773" s="2" t="s">
        <v>16</v>
      </c>
      <c r="G773" s="2">
        <v>1</v>
      </c>
      <c r="H773" s="2" t="s">
        <v>36</v>
      </c>
      <c r="I773" s="2" t="s">
        <v>37</v>
      </c>
    </row>
    <row r="774" spans="1:9" x14ac:dyDescent="0.25">
      <c r="A774" s="2" t="s">
        <v>9</v>
      </c>
      <c r="B774" s="2" t="s">
        <v>18</v>
      </c>
      <c r="C774" s="2" t="s">
        <v>19</v>
      </c>
      <c r="D774" s="2" t="s">
        <v>15</v>
      </c>
      <c r="E774" s="2" t="s">
        <v>20</v>
      </c>
      <c r="G774" s="2">
        <v>1</v>
      </c>
      <c r="H774" s="2" t="s">
        <v>12</v>
      </c>
      <c r="I774" s="2" t="s">
        <v>12</v>
      </c>
    </row>
    <row r="775" spans="1:9" x14ac:dyDescent="0.25">
      <c r="A775" s="2" t="s">
        <v>9</v>
      </c>
      <c r="B775" s="2" t="s">
        <v>18</v>
      </c>
      <c r="C775" s="2" t="s">
        <v>19</v>
      </c>
      <c r="D775" s="2" t="s">
        <v>15</v>
      </c>
      <c r="E775" s="2" t="s">
        <v>20</v>
      </c>
      <c r="G775" s="2">
        <v>1</v>
      </c>
      <c r="H775" s="2" t="s">
        <v>12</v>
      </c>
      <c r="I775" s="2" t="s">
        <v>12</v>
      </c>
    </row>
    <row r="776" spans="1:9" x14ac:dyDescent="0.25">
      <c r="A776" s="2" t="s">
        <v>9</v>
      </c>
      <c r="B776" s="2" t="s">
        <v>21</v>
      </c>
      <c r="C776" s="2" t="s">
        <v>19</v>
      </c>
      <c r="D776" s="2" t="s">
        <v>15</v>
      </c>
      <c r="E776" s="2" t="s">
        <v>22</v>
      </c>
      <c r="G776" s="2">
        <v>1</v>
      </c>
      <c r="H776" s="2" t="s">
        <v>12</v>
      </c>
      <c r="I776" s="2" t="s">
        <v>12</v>
      </c>
    </row>
    <row r="777" spans="1:9" x14ac:dyDescent="0.25">
      <c r="A777" s="2" t="s">
        <v>9</v>
      </c>
      <c r="B777" s="2" t="s">
        <v>21</v>
      </c>
      <c r="C777" s="2" t="s">
        <v>19</v>
      </c>
      <c r="D777" s="2" t="s">
        <v>15</v>
      </c>
      <c r="E777" s="2" t="s">
        <v>22</v>
      </c>
      <c r="G777" s="2">
        <v>1</v>
      </c>
      <c r="H777" s="2" t="s">
        <v>12</v>
      </c>
      <c r="I777" s="2" t="s">
        <v>12</v>
      </c>
    </row>
    <row r="778" spans="1:9" x14ac:dyDescent="0.25">
      <c r="A778" s="2" t="s">
        <v>9</v>
      </c>
      <c r="B778" s="2" t="s">
        <v>13</v>
      </c>
      <c r="C778" s="2" t="s">
        <v>14</v>
      </c>
      <c r="D778" s="2" t="s">
        <v>15</v>
      </c>
      <c r="E778" s="2" t="s">
        <v>16</v>
      </c>
      <c r="G778" s="2">
        <v>1</v>
      </c>
      <c r="H778" s="2" t="s">
        <v>36</v>
      </c>
      <c r="I778" s="2" t="s">
        <v>38</v>
      </c>
    </row>
    <row r="779" spans="1:9" x14ac:dyDescent="0.25">
      <c r="A779" s="2" t="s">
        <v>9</v>
      </c>
      <c r="B779" s="2" t="s">
        <v>18</v>
      </c>
      <c r="C779" s="2" t="s">
        <v>19</v>
      </c>
      <c r="D779" s="2" t="s">
        <v>15</v>
      </c>
      <c r="E779" s="2" t="s">
        <v>20</v>
      </c>
      <c r="G779" s="2">
        <v>1</v>
      </c>
      <c r="H779" s="2" t="s">
        <v>12</v>
      </c>
      <c r="I779" s="2" t="s">
        <v>12</v>
      </c>
    </row>
    <row r="780" spans="1:9" x14ac:dyDescent="0.25">
      <c r="A780" s="2" t="s">
        <v>9</v>
      </c>
      <c r="B780" s="2" t="s">
        <v>18</v>
      </c>
      <c r="C780" s="2" t="s">
        <v>19</v>
      </c>
      <c r="D780" s="2" t="s">
        <v>15</v>
      </c>
      <c r="E780" s="2" t="s">
        <v>20</v>
      </c>
      <c r="G780" s="2">
        <v>1</v>
      </c>
      <c r="H780" s="2" t="s">
        <v>12</v>
      </c>
      <c r="I780" s="2" t="s">
        <v>12</v>
      </c>
    </row>
    <row r="781" spans="1:9" x14ac:dyDescent="0.25">
      <c r="A781" s="2" t="s">
        <v>9</v>
      </c>
      <c r="B781" s="2" t="s">
        <v>21</v>
      </c>
      <c r="C781" s="2" t="s">
        <v>19</v>
      </c>
      <c r="D781" s="2" t="s">
        <v>15</v>
      </c>
      <c r="E781" s="2" t="s">
        <v>22</v>
      </c>
      <c r="G781" s="2">
        <v>1</v>
      </c>
      <c r="H781" s="2" t="s">
        <v>12</v>
      </c>
      <c r="I781" s="2" t="s">
        <v>12</v>
      </c>
    </row>
    <row r="782" spans="1:9" x14ac:dyDescent="0.25">
      <c r="A782" s="2" t="s">
        <v>9</v>
      </c>
      <c r="B782" s="2" t="s">
        <v>21</v>
      </c>
      <c r="C782" s="2" t="s">
        <v>19</v>
      </c>
      <c r="D782" s="2" t="s">
        <v>15</v>
      </c>
      <c r="E782" s="2" t="s">
        <v>22</v>
      </c>
      <c r="G782" s="2">
        <v>1</v>
      </c>
      <c r="H782" s="2" t="s">
        <v>12</v>
      </c>
      <c r="I782" s="2" t="s">
        <v>12</v>
      </c>
    </row>
    <row r="783" spans="1:9" x14ac:dyDescent="0.25">
      <c r="A783" s="2" t="s">
        <v>9</v>
      </c>
      <c r="B783" s="2" t="s">
        <v>39</v>
      </c>
      <c r="C783" s="2" t="s">
        <v>40</v>
      </c>
      <c r="D783" s="2" t="s">
        <v>15</v>
      </c>
      <c r="E783" s="2" t="s">
        <v>41</v>
      </c>
      <c r="G783" s="2">
        <v>1</v>
      </c>
      <c r="H783" s="2" t="s">
        <v>12</v>
      </c>
      <c r="I783" s="2" t="s">
        <v>12</v>
      </c>
    </row>
    <row r="784" spans="1:9" x14ac:dyDescent="0.25">
      <c r="A784" s="2" t="s">
        <v>9</v>
      </c>
      <c r="B784" s="2" t="s">
        <v>39</v>
      </c>
      <c r="C784" s="2" t="s">
        <v>40</v>
      </c>
      <c r="D784" s="2" t="s">
        <v>15</v>
      </c>
      <c r="E784" s="2" t="s">
        <v>41</v>
      </c>
      <c r="G784" s="2">
        <v>1</v>
      </c>
      <c r="H784" s="2" t="s">
        <v>12</v>
      </c>
      <c r="I784" s="2" t="s">
        <v>12</v>
      </c>
    </row>
    <row r="785" spans="1:9" x14ac:dyDescent="0.25">
      <c r="A785" s="2" t="s">
        <v>9</v>
      </c>
      <c r="B785" s="2" t="s">
        <v>42</v>
      </c>
      <c r="C785" s="2" t="s">
        <v>43</v>
      </c>
      <c r="D785" s="2" t="s">
        <v>15</v>
      </c>
      <c r="E785" s="2" t="s">
        <v>44</v>
      </c>
      <c r="G785" s="2">
        <v>1</v>
      </c>
      <c r="H785" s="2" t="s">
        <v>36</v>
      </c>
      <c r="I785" s="2" t="s">
        <v>45</v>
      </c>
    </row>
    <row r="786" spans="1:9" x14ac:dyDescent="0.25">
      <c r="A786" s="2" t="s">
        <v>9</v>
      </c>
      <c r="B786" s="2" t="s">
        <v>46</v>
      </c>
      <c r="C786" s="2" t="s">
        <v>43</v>
      </c>
      <c r="D786" s="2" t="s">
        <v>15</v>
      </c>
      <c r="E786" s="2" t="s">
        <v>47</v>
      </c>
      <c r="G786" s="2">
        <v>1</v>
      </c>
      <c r="H786" s="2" t="s">
        <v>12</v>
      </c>
      <c r="I786" s="2" t="s">
        <v>12</v>
      </c>
    </row>
    <row r="787" spans="1:9" x14ac:dyDescent="0.25">
      <c r="A787" s="2" t="s">
        <v>9</v>
      </c>
      <c r="B787" s="2" t="s">
        <v>46</v>
      </c>
      <c r="C787" s="2" t="s">
        <v>43</v>
      </c>
      <c r="D787" s="2" t="s">
        <v>15</v>
      </c>
      <c r="E787" s="2" t="s">
        <v>47</v>
      </c>
      <c r="G787" s="2">
        <v>1</v>
      </c>
      <c r="H787" s="2" t="s">
        <v>12</v>
      </c>
      <c r="I787" s="2" t="s">
        <v>12</v>
      </c>
    </row>
    <row r="788" spans="1:9" x14ac:dyDescent="0.25">
      <c r="A788" s="2" t="s">
        <v>9</v>
      </c>
      <c r="B788" s="2" t="s">
        <v>48</v>
      </c>
      <c r="C788" s="2" t="s">
        <v>40</v>
      </c>
      <c r="D788" s="2" t="s">
        <v>15</v>
      </c>
      <c r="E788" s="2" t="s">
        <v>49</v>
      </c>
      <c r="G788" s="2">
        <v>1</v>
      </c>
      <c r="H788" s="2" t="s">
        <v>12</v>
      </c>
      <c r="I788" s="2" t="s">
        <v>12</v>
      </c>
    </row>
    <row r="789" spans="1:9" x14ac:dyDescent="0.25">
      <c r="A789" s="2" t="s">
        <v>9</v>
      </c>
      <c r="B789" s="2" t="s">
        <v>48</v>
      </c>
      <c r="C789" s="2" t="s">
        <v>40</v>
      </c>
      <c r="D789" s="2" t="s">
        <v>15</v>
      </c>
      <c r="E789" s="2" t="s">
        <v>49</v>
      </c>
      <c r="G789" s="2">
        <v>1</v>
      </c>
      <c r="H789" s="2" t="s">
        <v>12</v>
      </c>
      <c r="I789" s="2" t="s">
        <v>12</v>
      </c>
    </row>
    <row r="790" spans="1:9" x14ac:dyDescent="0.25">
      <c r="A790" s="2" t="s">
        <v>9</v>
      </c>
      <c r="B790" s="2" t="s">
        <v>48</v>
      </c>
      <c r="C790" s="2" t="s">
        <v>40</v>
      </c>
      <c r="D790" s="2" t="s">
        <v>15</v>
      </c>
      <c r="E790" s="2" t="s">
        <v>49</v>
      </c>
      <c r="G790" s="2">
        <v>1</v>
      </c>
      <c r="H790" s="2" t="s">
        <v>12</v>
      </c>
      <c r="I790" s="2" t="s">
        <v>12</v>
      </c>
    </row>
    <row r="791" spans="1:9" x14ac:dyDescent="0.25">
      <c r="A791" s="2" t="s">
        <v>9</v>
      </c>
      <c r="B791" s="2" t="s">
        <v>48</v>
      </c>
      <c r="C791" s="2" t="s">
        <v>40</v>
      </c>
      <c r="D791" s="2" t="s">
        <v>15</v>
      </c>
      <c r="E791" s="2" t="s">
        <v>49</v>
      </c>
      <c r="G791" s="2">
        <v>1</v>
      </c>
      <c r="H791" s="2" t="s">
        <v>12</v>
      </c>
      <c r="I791" s="2" t="s">
        <v>12</v>
      </c>
    </row>
    <row r="792" spans="1:9" x14ac:dyDescent="0.25">
      <c r="A792" s="2" t="s">
        <v>9</v>
      </c>
      <c r="B792" s="2" t="s">
        <v>48</v>
      </c>
      <c r="C792" s="2" t="s">
        <v>40</v>
      </c>
      <c r="D792" s="2" t="s">
        <v>15</v>
      </c>
      <c r="E792" s="2" t="s">
        <v>49</v>
      </c>
      <c r="G792" s="2">
        <v>1</v>
      </c>
      <c r="H792" s="2" t="s">
        <v>12</v>
      </c>
      <c r="I792" s="2" t="s">
        <v>12</v>
      </c>
    </row>
    <row r="793" spans="1:9" x14ac:dyDescent="0.25">
      <c r="A793" s="2" t="s">
        <v>9</v>
      </c>
      <c r="B793" s="2" t="s">
        <v>48</v>
      </c>
      <c r="C793" s="2" t="s">
        <v>40</v>
      </c>
      <c r="D793" s="2" t="s">
        <v>15</v>
      </c>
      <c r="E793" s="2" t="s">
        <v>49</v>
      </c>
      <c r="G793" s="2">
        <v>1</v>
      </c>
      <c r="H793" s="2" t="s">
        <v>12</v>
      </c>
      <c r="I793" s="2" t="s">
        <v>12</v>
      </c>
    </row>
    <row r="794" spans="1:9" x14ac:dyDescent="0.25">
      <c r="A794" s="2" t="s">
        <v>9</v>
      </c>
      <c r="B794" s="2" t="s">
        <v>48</v>
      </c>
      <c r="C794" s="2" t="s">
        <v>40</v>
      </c>
      <c r="D794" s="2" t="s">
        <v>15</v>
      </c>
      <c r="E794" s="2" t="s">
        <v>49</v>
      </c>
      <c r="G794" s="2">
        <v>1</v>
      </c>
      <c r="H794" s="2" t="s">
        <v>12</v>
      </c>
      <c r="I794" s="2" t="s">
        <v>12</v>
      </c>
    </row>
    <row r="795" spans="1:9" x14ac:dyDescent="0.25">
      <c r="A795" s="2" t="s">
        <v>9</v>
      </c>
      <c r="B795" s="2" t="s">
        <v>48</v>
      </c>
      <c r="C795" s="2" t="s">
        <v>40</v>
      </c>
      <c r="D795" s="2" t="s">
        <v>15</v>
      </c>
      <c r="E795" s="2" t="s">
        <v>49</v>
      </c>
      <c r="G795" s="2">
        <v>1</v>
      </c>
      <c r="H795" s="2" t="s">
        <v>12</v>
      </c>
      <c r="I795" s="2" t="s">
        <v>12</v>
      </c>
    </row>
    <row r="796" spans="1:9" x14ac:dyDescent="0.25">
      <c r="A796" s="2" t="s">
        <v>9</v>
      </c>
      <c r="B796" s="2" t="s">
        <v>48</v>
      </c>
      <c r="C796" s="2" t="s">
        <v>40</v>
      </c>
      <c r="D796" s="2" t="s">
        <v>15</v>
      </c>
      <c r="E796" s="2" t="s">
        <v>49</v>
      </c>
      <c r="G796" s="2">
        <v>1</v>
      </c>
      <c r="H796" s="2" t="s">
        <v>12</v>
      </c>
      <c r="I796" s="2" t="s">
        <v>12</v>
      </c>
    </row>
    <row r="797" spans="1:9" x14ac:dyDescent="0.25">
      <c r="A797" s="2" t="s">
        <v>9</v>
      </c>
      <c r="B797" s="2" t="s">
        <v>48</v>
      </c>
      <c r="C797" s="2" t="s">
        <v>40</v>
      </c>
      <c r="D797" s="2" t="s">
        <v>15</v>
      </c>
      <c r="E797" s="2" t="s">
        <v>49</v>
      </c>
      <c r="G797" s="2">
        <v>1</v>
      </c>
      <c r="H797" s="2" t="s">
        <v>12</v>
      </c>
      <c r="I797" s="2" t="s">
        <v>12</v>
      </c>
    </row>
    <row r="798" spans="1:9" x14ac:dyDescent="0.25">
      <c r="A798" s="2" t="s">
        <v>9</v>
      </c>
      <c r="B798" s="2" t="s">
        <v>48</v>
      </c>
      <c r="C798" s="2" t="s">
        <v>40</v>
      </c>
      <c r="D798" s="2" t="s">
        <v>15</v>
      </c>
      <c r="E798" s="2" t="s">
        <v>49</v>
      </c>
      <c r="G798" s="2">
        <v>1</v>
      </c>
      <c r="H798" s="2" t="s">
        <v>12</v>
      </c>
      <c r="I798" s="2" t="s">
        <v>12</v>
      </c>
    </row>
    <row r="799" spans="1:9" x14ac:dyDescent="0.25">
      <c r="A799" s="2" t="s">
        <v>9</v>
      </c>
      <c r="B799" s="2" t="s">
        <v>48</v>
      </c>
      <c r="C799" s="2" t="s">
        <v>40</v>
      </c>
      <c r="D799" s="2" t="s">
        <v>15</v>
      </c>
      <c r="E799" s="2" t="s">
        <v>49</v>
      </c>
      <c r="G799" s="2">
        <v>1</v>
      </c>
      <c r="H799" s="2" t="s">
        <v>12</v>
      </c>
      <c r="I799" s="2" t="s">
        <v>12</v>
      </c>
    </row>
    <row r="800" spans="1:9" x14ac:dyDescent="0.25">
      <c r="A800" s="2" t="s">
        <v>9</v>
      </c>
      <c r="B800" s="2" t="s">
        <v>50</v>
      </c>
      <c r="C800" s="2" t="s">
        <v>19</v>
      </c>
      <c r="D800" s="2" t="s">
        <v>15</v>
      </c>
      <c r="E800" s="2" t="s">
        <v>51</v>
      </c>
      <c r="G800" s="2">
        <v>1</v>
      </c>
      <c r="H800" s="2" t="s">
        <v>12</v>
      </c>
      <c r="I800" s="2" t="s">
        <v>12</v>
      </c>
    </row>
    <row r="801" spans="1:9" x14ac:dyDescent="0.25">
      <c r="A801" s="2" t="s">
        <v>9</v>
      </c>
      <c r="B801" s="2" t="s">
        <v>50</v>
      </c>
      <c r="C801" s="2" t="s">
        <v>19</v>
      </c>
      <c r="D801" s="2" t="s">
        <v>15</v>
      </c>
      <c r="E801" s="2" t="s">
        <v>51</v>
      </c>
      <c r="G801" s="2">
        <v>1</v>
      </c>
      <c r="H801" s="2" t="s">
        <v>12</v>
      </c>
      <c r="I801" s="2" t="s">
        <v>12</v>
      </c>
    </row>
    <row r="802" spans="1:9" x14ac:dyDescent="0.25">
      <c r="A802" s="2" t="s">
        <v>9</v>
      </c>
      <c r="B802" s="2" t="s">
        <v>50</v>
      </c>
      <c r="C802" s="2" t="s">
        <v>19</v>
      </c>
      <c r="D802" s="2" t="s">
        <v>15</v>
      </c>
      <c r="E802" s="2" t="s">
        <v>51</v>
      </c>
      <c r="G802" s="2">
        <v>1</v>
      </c>
      <c r="H802" s="2" t="s">
        <v>12</v>
      </c>
      <c r="I802" s="2" t="s">
        <v>12</v>
      </c>
    </row>
    <row r="803" spans="1:9" x14ac:dyDescent="0.25">
      <c r="A803" s="2" t="s">
        <v>9</v>
      </c>
      <c r="B803" s="2" t="s">
        <v>50</v>
      </c>
      <c r="C803" s="2" t="s">
        <v>19</v>
      </c>
      <c r="D803" s="2" t="s">
        <v>15</v>
      </c>
      <c r="E803" s="2" t="s">
        <v>51</v>
      </c>
      <c r="G803" s="2">
        <v>1</v>
      </c>
      <c r="H803" s="2" t="s">
        <v>12</v>
      </c>
      <c r="I803" s="2" t="s">
        <v>12</v>
      </c>
    </row>
    <row r="804" spans="1:9" x14ac:dyDescent="0.25">
      <c r="A804" s="2" t="s">
        <v>9</v>
      </c>
      <c r="B804" s="2" t="s">
        <v>50</v>
      </c>
      <c r="C804" s="2" t="s">
        <v>19</v>
      </c>
      <c r="D804" s="2" t="s">
        <v>15</v>
      </c>
      <c r="E804" s="2" t="s">
        <v>51</v>
      </c>
      <c r="G804" s="2">
        <v>1</v>
      </c>
      <c r="H804" s="2" t="s">
        <v>12</v>
      </c>
      <c r="I804" s="2" t="s">
        <v>12</v>
      </c>
    </row>
    <row r="805" spans="1:9" x14ac:dyDescent="0.25">
      <c r="A805" s="2" t="s">
        <v>9</v>
      </c>
      <c r="B805" s="2" t="s">
        <v>50</v>
      </c>
      <c r="C805" s="2" t="s">
        <v>19</v>
      </c>
      <c r="D805" s="2" t="s">
        <v>15</v>
      </c>
      <c r="E805" s="2" t="s">
        <v>51</v>
      </c>
      <c r="G805" s="2">
        <v>1</v>
      </c>
      <c r="H805" s="2" t="s">
        <v>12</v>
      </c>
      <c r="I805" s="2" t="s">
        <v>12</v>
      </c>
    </row>
    <row r="806" spans="1:9" x14ac:dyDescent="0.25">
      <c r="A806" s="2" t="s">
        <v>9</v>
      </c>
      <c r="B806" s="2" t="s">
        <v>50</v>
      </c>
      <c r="C806" s="2" t="s">
        <v>19</v>
      </c>
      <c r="D806" s="2" t="s">
        <v>15</v>
      </c>
      <c r="E806" s="2" t="s">
        <v>51</v>
      </c>
      <c r="G806" s="2">
        <v>1</v>
      </c>
      <c r="H806" s="2" t="s">
        <v>12</v>
      </c>
      <c r="I806" s="2" t="s">
        <v>12</v>
      </c>
    </row>
    <row r="807" spans="1:9" x14ac:dyDescent="0.25">
      <c r="A807" s="2" t="s">
        <v>9</v>
      </c>
      <c r="B807" s="2" t="s">
        <v>50</v>
      </c>
      <c r="C807" s="2" t="s">
        <v>19</v>
      </c>
      <c r="D807" s="2" t="s">
        <v>15</v>
      </c>
      <c r="E807" s="2" t="s">
        <v>51</v>
      </c>
      <c r="G807" s="2">
        <v>1</v>
      </c>
      <c r="H807" s="2" t="s">
        <v>12</v>
      </c>
      <c r="I807" s="2" t="s">
        <v>12</v>
      </c>
    </row>
    <row r="808" spans="1:9" x14ac:dyDescent="0.25">
      <c r="A808" s="2" t="s">
        <v>9</v>
      </c>
      <c r="B808" s="2" t="s">
        <v>52</v>
      </c>
      <c r="C808" s="2" t="s">
        <v>11</v>
      </c>
      <c r="D808" s="2" t="s">
        <v>12</v>
      </c>
      <c r="E808" s="2" t="s">
        <v>12</v>
      </c>
      <c r="F808" s="8" t="s">
        <v>12</v>
      </c>
      <c r="G808" s="2">
        <v>1</v>
      </c>
      <c r="H808" s="2" t="s">
        <v>52</v>
      </c>
      <c r="I808" s="2" t="s">
        <v>12</v>
      </c>
    </row>
    <row r="809" spans="1:9" x14ac:dyDescent="0.25">
      <c r="A809" s="2" t="s">
        <v>9</v>
      </c>
      <c r="B809" s="2" t="s">
        <v>53</v>
      </c>
      <c r="C809" s="2" t="s">
        <v>54</v>
      </c>
      <c r="D809" s="2" t="s">
        <v>55</v>
      </c>
      <c r="E809" s="2" t="s">
        <v>56</v>
      </c>
      <c r="G809" s="2">
        <v>1</v>
      </c>
      <c r="H809" s="2" t="s">
        <v>52</v>
      </c>
      <c r="I809" s="2" t="s">
        <v>57</v>
      </c>
    </row>
    <row r="810" spans="1:9" x14ac:dyDescent="0.25">
      <c r="A810" s="2" t="s">
        <v>9</v>
      </c>
      <c r="B810" s="2" t="s">
        <v>58</v>
      </c>
      <c r="C810" s="2" t="s">
        <v>59</v>
      </c>
      <c r="D810" s="2" t="s">
        <v>15</v>
      </c>
      <c r="E810" s="2" t="s">
        <v>60</v>
      </c>
      <c r="G810" s="2">
        <v>1</v>
      </c>
      <c r="H810" s="2" t="s">
        <v>52</v>
      </c>
      <c r="I810" s="2" t="s">
        <v>61</v>
      </c>
    </row>
    <row r="811" spans="1:9" x14ac:dyDescent="0.25">
      <c r="A811" s="2" t="s">
        <v>9</v>
      </c>
      <c r="B811" s="2" t="s">
        <v>62</v>
      </c>
      <c r="C811" s="2" t="s">
        <v>63</v>
      </c>
      <c r="D811" s="2" t="s">
        <v>12</v>
      </c>
      <c r="E811" s="2" t="s">
        <v>12</v>
      </c>
      <c r="F811" s="8" t="s">
        <v>12</v>
      </c>
      <c r="G811" s="2">
        <v>1</v>
      </c>
      <c r="H811" s="2" t="s">
        <v>62</v>
      </c>
      <c r="I811" s="2" t="s">
        <v>12</v>
      </c>
    </row>
    <row r="812" spans="1:9" x14ac:dyDescent="0.25">
      <c r="A812" s="2" t="s">
        <v>9</v>
      </c>
      <c r="B812" s="2" t="s">
        <v>64</v>
      </c>
      <c r="C812" s="2" t="s">
        <v>65</v>
      </c>
      <c r="D812" s="2" t="s">
        <v>66</v>
      </c>
      <c r="E812" s="2" t="s">
        <v>67</v>
      </c>
      <c r="G812" s="2">
        <v>1</v>
      </c>
      <c r="H812" s="2" t="s">
        <v>12</v>
      </c>
      <c r="I812" s="2" t="s">
        <v>68</v>
      </c>
    </row>
    <row r="813" spans="1:9" x14ac:dyDescent="0.25">
      <c r="A813" s="2" t="s">
        <v>9</v>
      </c>
      <c r="B813" s="2" t="s">
        <v>69</v>
      </c>
      <c r="C813" s="2" t="s">
        <v>70</v>
      </c>
      <c r="D813" s="2" t="s">
        <v>66</v>
      </c>
      <c r="E813" s="2" t="s">
        <v>71</v>
      </c>
      <c r="G813" s="2">
        <v>1</v>
      </c>
      <c r="H813" s="2" t="s">
        <v>12</v>
      </c>
      <c r="I813" s="2" t="s">
        <v>72</v>
      </c>
    </row>
    <row r="814" spans="1:9" x14ac:dyDescent="0.25">
      <c r="A814" s="2" t="s">
        <v>9</v>
      </c>
      <c r="B814" s="2" t="s">
        <v>69</v>
      </c>
      <c r="C814" s="2" t="s">
        <v>70</v>
      </c>
      <c r="D814" s="2" t="s">
        <v>66</v>
      </c>
      <c r="E814" s="2" t="s">
        <v>71</v>
      </c>
      <c r="G814" s="2">
        <v>1</v>
      </c>
      <c r="H814" s="2" t="s">
        <v>12</v>
      </c>
      <c r="I814" s="2" t="s">
        <v>73</v>
      </c>
    </row>
    <row r="815" spans="1:9" x14ac:dyDescent="0.25">
      <c r="A815" s="2" t="s">
        <v>9</v>
      </c>
      <c r="B815" s="2" t="s">
        <v>64</v>
      </c>
      <c r="C815" s="2" t="s">
        <v>65</v>
      </c>
      <c r="D815" s="2" t="s">
        <v>66</v>
      </c>
      <c r="E815" s="2" t="s">
        <v>67</v>
      </c>
      <c r="G815" s="2">
        <v>1</v>
      </c>
      <c r="H815" s="2" t="s">
        <v>12</v>
      </c>
      <c r="I815" s="2" t="s">
        <v>74</v>
      </c>
    </row>
    <row r="816" spans="1:9" x14ac:dyDescent="0.25">
      <c r="A816" s="2" t="s">
        <v>9</v>
      </c>
      <c r="B816" s="2" t="s">
        <v>69</v>
      </c>
      <c r="C816" s="2" t="s">
        <v>70</v>
      </c>
      <c r="D816" s="2" t="s">
        <v>66</v>
      </c>
      <c r="E816" s="2" t="s">
        <v>71</v>
      </c>
      <c r="G816" s="2">
        <v>1</v>
      </c>
      <c r="H816" s="2" t="s">
        <v>12</v>
      </c>
      <c r="I816" s="2" t="s">
        <v>75</v>
      </c>
    </row>
    <row r="817" spans="1:9" x14ac:dyDescent="0.25">
      <c r="A817" s="2" t="s">
        <v>9</v>
      </c>
      <c r="B817" s="2" t="s">
        <v>69</v>
      </c>
      <c r="C817" s="2" t="s">
        <v>70</v>
      </c>
      <c r="D817" s="2" t="s">
        <v>66</v>
      </c>
      <c r="E817" s="2" t="s">
        <v>71</v>
      </c>
      <c r="G817" s="2">
        <v>1</v>
      </c>
      <c r="H817" s="2" t="s">
        <v>12</v>
      </c>
      <c r="I817" s="2" t="s">
        <v>76</v>
      </c>
    </row>
    <row r="818" spans="1:9" x14ac:dyDescent="0.25">
      <c r="A818" s="2" t="s">
        <v>9</v>
      </c>
      <c r="B818" s="2" t="s">
        <v>77</v>
      </c>
      <c r="C818" s="2" t="s">
        <v>78</v>
      </c>
      <c r="D818" s="2" t="s">
        <v>12</v>
      </c>
      <c r="E818" s="2" t="s">
        <v>12</v>
      </c>
      <c r="F818" s="8" t="s">
        <v>12</v>
      </c>
      <c r="G818" s="2">
        <v>1</v>
      </c>
      <c r="H818" s="2" t="s">
        <v>77</v>
      </c>
      <c r="I818" s="2" t="s">
        <v>12</v>
      </c>
    </row>
    <row r="819" spans="1:9" x14ac:dyDescent="0.25">
      <c r="A819" s="2" t="s">
        <v>9</v>
      </c>
      <c r="B819" s="2" t="s">
        <v>64</v>
      </c>
      <c r="C819" s="2" t="s">
        <v>65</v>
      </c>
      <c r="D819" s="2" t="s">
        <v>66</v>
      </c>
      <c r="E819" s="2" t="s">
        <v>67</v>
      </c>
      <c r="G819" s="2">
        <v>1</v>
      </c>
      <c r="H819" s="2" t="s">
        <v>12</v>
      </c>
      <c r="I819" s="2" t="s">
        <v>79</v>
      </c>
    </row>
    <row r="820" spans="1:9" x14ac:dyDescent="0.25">
      <c r="A820" s="2" t="s">
        <v>9</v>
      </c>
      <c r="B820" s="2" t="s">
        <v>69</v>
      </c>
      <c r="C820" s="2" t="s">
        <v>70</v>
      </c>
      <c r="D820" s="2" t="s">
        <v>66</v>
      </c>
      <c r="E820" s="2" t="s">
        <v>71</v>
      </c>
      <c r="G820" s="2">
        <v>1</v>
      </c>
      <c r="H820" s="2" t="s">
        <v>12</v>
      </c>
      <c r="I820" s="2" t="s">
        <v>80</v>
      </c>
    </row>
    <row r="821" spans="1:9" x14ac:dyDescent="0.25">
      <c r="A821" s="2" t="s">
        <v>9</v>
      </c>
      <c r="B821" s="2" t="s">
        <v>69</v>
      </c>
      <c r="C821" s="2" t="s">
        <v>70</v>
      </c>
      <c r="D821" s="2" t="s">
        <v>66</v>
      </c>
      <c r="E821" s="2" t="s">
        <v>71</v>
      </c>
      <c r="G821" s="2">
        <v>1</v>
      </c>
      <c r="H821" s="2" t="s">
        <v>12</v>
      </c>
      <c r="I821" s="2" t="s">
        <v>81</v>
      </c>
    </row>
    <row r="822" spans="1:9" x14ac:dyDescent="0.25">
      <c r="A822" s="2" t="s">
        <v>9</v>
      </c>
      <c r="B822" s="2" t="s">
        <v>64</v>
      </c>
      <c r="C822" s="2" t="s">
        <v>65</v>
      </c>
      <c r="D822" s="2" t="s">
        <v>66</v>
      </c>
      <c r="E822" s="2" t="s">
        <v>67</v>
      </c>
      <c r="G822" s="2">
        <v>1</v>
      </c>
      <c r="H822" s="2" t="s">
        <v>12</v>
      </c>
      <c r="I822" s="2" t="s">
        <v>82</v>
      </c>
    </row>
    <row r="823" spans="1:9" x14ac:dyDescent="0.25">
      <c r="A823" s="2" t="s">
        <v>9</v>
      </c>
      <c r="B823" s="2" t="s">
        <v>69</v>
      </c>
      <c r="C823" s="2" t="s">
        <v>70</v>
      </c>
      <c r="D823" s="2" t="s">
        <v>66</v>
      </c>
      <c r="E823" s="2" t="s">
        <v>71</v>
      </c>
      <c r="G823" s="2">
        <v>1</v>
      </c>
      <c r="H823" s="2" t="s">
        <v>12</v>
      </c>
      <c r="I823" s="2" t="s">
        <v>83</v>
      </c>
    </row>
    <row r="824" spans="1:9" x14ac:dyDescent="0.25">
      <c r="A824" s="2" t="s">
        <v>9</v>
      </c>
      <c r="B824" s="2" t="s">
        <v>69</v>
      </c>
      <c r="C824" s="2" t="s">
        <v>70</v>
      </c>
      <c r="D824" s="2" t="s">
        <v>66</v>
      </c>
      <c r="E824" s="2" t="s">
        <v>71</v>
      </c>
      <c r="G824" s="2">
        <v>1</v>
      </c>
      <c r="H824" s="2" t="s">
        <v>12</v>
      </c>
      <c r="I824" s="2" t="s">
        <v>84</v>
      </c>
    </row>
    <row r="825" spans="1:9" x14ac:dyDescent="0.25">
      <c r="A825" s="2" t="s">
        <v>9</v>
      </c>
      <c r="B825" s="2" t="s">
        <v>85</v>
      </c>
      <c r="C825" s="2" t="s">
        <v>86</v>
      </c>
      <c r="D825" s="2" t="s">
        <v>12</v>
      </c>
      <c r="E825" s="2" t="s">
        <v>12</v>
      </c>
      <c r="F825" s="8" t="s">
        <v>12</v>
      </c>
      <c r="G825" s="2">
        <v>1</v>
      </c>
      <c r="H825" s="2" t="s">
        <v>85</v>
      </c>
      <c r="I825" s="2" t="s">
        <v>12</v>
      </c>
    </row>
    <row r="826" spans="1:9" x14ac:dyDescent="0.25">
      <c r="A826" s="2" t="s">
        <v>9</v>
      </c>
      <c r="B826" s="2" t="s">
        <v>64</v>
      </c>
      <c r="C826" s="2" t="s">
        <v>65</v>
      </c>
      <c r="D826" s="2" t="s">
        <v>66</v>
      </c>
      <c r="E826" s="2" t="s">
        <v>67</v>
      </c>
      <c r="G826" s="2">
        <v>1</v>
      </c>
      <c r="H826" s="2" t="s">
        <v>12</v>
      </c>
      <c r="I826" s="2" t="s">
        <v>87</v>
      </c>
    </row>
    <row r="827" spans="1:9" x14ac:dyDescent="0.25">
      <c r="A827" s="2" t="s">
        <v>9</v>
      </c>
      <c r="B827" s="2" t="s">
        <v>69</v>
      </c>
      <c r="C827" s="2" t="s">
        <v>70</v>
      </c>
      <c r="D827" s="2" t="s">
        <v>66</v>
      </c>
      <c r="E827" s="2" t="s">
        <v>71</v>
      </c>
      <c r="G827" s="2">
        <v>1</v>
      </c>
      <c r="H827" s="2" t="s">
        <v>12</v>
      </c>
      <c r="I827" s="2" t="s">
        <v>88</v>
      </c>
    </row>
    <row r="828" spans="1:9" x14ac:dyDescent="0.25">
      <c r="A828" s="2" t="s">
        <v>9</v>
      </c>
      <c r="B828" s="2" t="s">
        <v>69</v>
      </c>
      <c r="C828" s="2" t="s">
        <v>70</v>
      </c>
      <c r="D828" s="2" t="s">
        <v>66</v>
      </c>
      <c r="E828" s="2" t="s">
        <v>71</v>
      </c>
      <c r="G828" s="2">
        <v>1</v>
      </c>
      <c r="H828" s="2" t="s">
        <v>12</v>
      </c>
      <c r="I828" s="2" t="s">
        <v>89</v>
      </c>
    </row>
    <row r="829" spans="1:9" x14ac:dyDescent="0.25">
      <c r="A829" s="2" t="s">
        <v>9</v>
      </c>
      <c r="B829" s="2" t="s">
        <v>64</v>
      </c>
      <c r="C829" s="2" t="s">
        <v>65</v>
      </c>
      <c r="D829" s="2" t="s">
        <v>66</v>
      </c>
      <c r="E829" s="2" t="s">
        <v>67</v>
      </c>
      <c r="G829" s="2">
        <v>1</v>
      </c>
      <c r="H829" s="2" t="s">
        <v>12</v>
      </c>
      <c r="I829" s="2" t="s">
        <v>90</v>
      </c>
    </row>
    <row r="830" spans="1:9" x14ac:dyDescent="0.25">
      <c r="A830" s="2" t="s">
        <v>9</v>
      </c>
      <c r="B830" s="2" t="s">
        <v>69</v>
      </c>
      <c r="C830" s="2" t="s">
        <v>70</v>
      </c>
      <c r="D830" s="2" t="s">
        <v>66</v>
      </c>
      <c r="E830" s="2" t="s">
        <v>71</v>
      </c>
      <c r="G830" s="2">
        <v>1</v>
      </c>
      <c r="H830" s="2" t="s">
        <v>12</v>
      </c>
      <c r="I830" s="2" t="s">
        <v>91</v>
      </c>
    </row>
    <row r="831" spans="1:9" x14ac:dyDescent="0.25">
      <c r="A831" s="2" t="s">
        <v>9</v>
      </c>
      <c r="B831" s="2" t="s">
        <v>69</v>
      </c>
      <c r="C831" s="2" t="s">
        <v>70</v>
      </c>
      <c r="D831" s="2" t="s">
        <v>66</v>
      </c>
      <c r="E831" s="2" t="s">
        <v>71</v>
      </c>
      <c r="G831" s="2">
        <v>1</v>
      </c>
      <c r="H831" s="2" t="s">
        <v>12</v>
      </c>
      <c r="I831" s="2" t="s">
        <v>92</v>
      </c>
    </row>
    <row r="832" spans="1:9" x14ac:dyDescent="0.25">
      <c r="A832" s="2" t="s">
        <v>9</v>
      </c>
      <c r="B832" s="2" t="s">
        <v>93</v>
      </c>
      <c r="C832" s="2" t="s">
        <v>94</v>
      </c>
      <c r="D832" s="2" t="s">
        <v>12</v>
      </c>
      <c r="E832" s="2" t="s">
        <v>12</v>
      </c>
      <c r="F832" s="8" t="s">
        <v>12</v>
      </c>
      <c r="G832" s="2">
        <v>1</v>
      </c>
      <c r="H832" s="2" t="s">
        <v>93</v>
      </c>
      <c r="I832" s="2" t="s">
        <v>12</v>
      </c>
    </row>
    <row r="833" spans="1:9" x14ac:dyDescent="0.25">
      <c r="A833" s="2" t="s">
        <v>9</v>
      </c>
      <c r="B833" s="2" t="s">
        <v>64</v>
      </c>
      <c r="C833" s="2" t="s">
        <v>65</v>
      </c>
      <c r="D833" s="2" t="s">
        <v>66</v>
      </c>
      <c r="E833" s="2" t="s">
        <v>67</v>
      </c>
      <c r="G833" s="2">
        <v>1</v>
      </c>
      <c r="H833" s="2" t="s">
        <v>12</v>
      </c>
      <c r="I833" s="2" t="s">
        <v>95</v>
      </c>
    </row>
    <row r="834" spans="1:9" x14ac:dyDescent="0.25">
      <c r="A834" s="2" t="s">
        <v>9</v>
      </c>
      <c r="B834" s="2" t="s">
        <v>96</v>
      </c>
      <c r="C834" s="2" t="s">
        <v>70</v>
      </c>
      <c r="D834" s="2" t="s">
        <v>66</v>
      </c>
      <c r="E834" s="2" t="s">
        <v>97</v>
      </c>
      <c r="G834" s="2">
        <v>1</v>
      </c>
      <c r="H834" s="2" t="s">
        <v>12</v>
      </c>
      <c r="I834" s="2" t="s">
        <v>98</v>
      </c>
    </row>
    <row r="835" spans="1:9" x14ac:dyDescent="0.25">
      <c r="A835" s="2" t="s">
        <v>9</v>
      </c>
      <c r="B835" s="2" t="s">
        <v>96</v>
      </c>
      <c r="C835" s="2" t="s">
        <v>70</v>
      </c>
      <c r="D835" s="2" t="s">
        <v>66</v>
      </c>
      <c r="E835" s="2" t="s">
        <v>97</v>
      </c>
      <c r="G835" s="2">
        <v>1</v>
      </c>
      <c r="H835" s="2" t="s">
        <v>12</v>
      </c>
      <c r="I835" s="2" t="s">
        <v>99</v>
      </c>
    </row>
    <row r="836" spans="1:9" x14ac:dyDescent="0.25">
      <c r="A836" s="2" t="s">
        <v>9</v>
      </c>
      <c r="B836" s="2" t="s">
        <v>100</v>
      </c>
      <c r="C836" s="2" t="s">
        <v>101</v>
      </c>
      <c r="D836" s="2" t="s">
        <v>12</v>
      </c>
      <c r="E836" s="2" t="s">
        <v>12</v>
      </c>
      <c r="F836" s="8" t="s">
        <v>12</v>
      </c>
      <c r="G836" s="2">
        <v>1</v>
      </c>
      <c r="H836" s="2" t="s">
        <v>100</v>
      </c>
      <c r="I836" s="2" t="s">
        <v>12</v>
      </c>
    </row>
    <row r="837" spans="1:9" x14ac:dyDescent="0.25">
      <c r="A837" s="2" t="s">
        <v>9</v>
      </c>
      <c r="B837" s="2" t="s">
        <v>64</v>
      </c>
      <c r="C837" s="2" t="s">
        <v>65</v>
      </c>
      <c r="D837" s="2" t="s">
        <v>66</v>
      </c>
      <c r="E837" s="2" t="s">
        <v>67</v>
      </c>
      <c r="G837" s="2">
        <v>1</v>
      </c>
      <c r="H837" s="2" t="s">
        <v>12</v>
      </c>
      <c r="I837" s="2" t="s">
        <v>102</v>
      </c>
    </row>
    <row r="838" spans="1:9" x14ac:dyDescent="0.25">
      <c r="A838" s="2" t="s">
        <v>9</v>
      </c>
      <c r="B838" s="2" t="s">
        <v>69</v>
      </c>
      <c r="C838" s="2" t="s">
        <v>70</v>
      </c>
      <c r="D838" s="2" t="s">
        <v>66</v>
      </c>
      <c r="E838" s="2" t="s">
        <v>71</v>
      </c>
      <c r="G838" s="2">
        <v>1</v>
      </c>
      <c r="H838" s="2" t="s">
        <v>12</v>
      </c>
      <c r="I838" s="2" t="s">
        <v>103</v>
      </c>
    </row>
    <row r="839" spans="1:9" x14ac:dyDescent="0.25">
      <c r="A839" s="2" t="s">
        <v>9</v>
      </c>
      <c r="B839" s="2" t="s">
        <v>69</v>
      </c>
      <c r="C839" s="2" t="s">
        <v>70</v>
      </c>
      <c r="D839" s="2" t="s">
        <v>66</v>
      </c>
      <c r="E839" s="2" t="s">
        <v>71</v>
      </c>
      <c r="G839" s="2">
        <v>1</v>
      </c>
      <c r="H839" s="2" t="s">
        <v>12</v>
      </c>
      <c r="I839" s="2" t="s">
        <v>104</v>
      </c>
    </row>
    <row r="840" spans="1:9" x14ac:dyDescent="0.25">
      <c r="A840" s="2" t="s">
        <v>9</v>
      </c>
      <c r="B840" s="2" t="s">
        <v>64</v>
      </c>
      <c r="C840" s="2" t="s">
        <v>65</v>
      </c>
      <c r="D840" s="2" t="s">
        <v>66</v>
      </c>
      <c r="E840" s="2" t="s">
        <v>67</v>
      </c>
      <c r="G840" s="2">
        <v>1</v>
      </c>
      <c r="H840" s="2" t="s">
        <v>12</v>
      </c>
      <c r="I840" s="2" t="s">
        <v>105</v>
      </c>
    </row>
    <row r="841" spans="1:9" x14ac:dyDescent="0.25">
      <c r="A841" s="2" t="s">
        <v>9</v>
      </c>
      <c r="B841" s="2" t="s">
        <v>96</v>
      </c>
      <c r="C841" s="2" t="s">
        <v>70</v>
      </c>
      <c r="D841" s="2" t="s">
        <v>66</v>
      </c>
      <c r="E841" s="2" t="s">
        <v>97</v>
      </c>
      <c r="G841" s="2">
        <v>1</v>
      </c>
      <c r="H841" s="2" t="s">
        <v>12</v>
      </c>
      <c r="I841" s="2" t="s">
        <v>106</v>
      </c>
    </row>
    <row r="842" spans="1:9" x14ac:dyDescent="0.25">
      <c r="A842" s="2" t="s">
        <v>9</v>
      </c>
      <c r="B842" s="2" t="s">
        <v>10</v>
      </c>
      <c r="C842" s="2" t="s">
        <v>11</v>
      </c>
      <c r="D842" s="2" t="s">
        <v>12</v>
      </c>
      <c r="E842" s="2" t="s">
        <v>12</v>
      </c>
      <c r="F842" s="8" t="s">
        <v>12</v>
      </c>
      <c r="G842" s="2">
        <v>1</v>
      </c>
      <c r="H842" s="2" t="s">
        <v>10</v>
      </c>
      <c r="I842" s="2" t="s">
        <v>12</v>
      </c>
    </row>
    <row r="843" spans="1:9" x14ac:dyDescent="0.25">
      <c r="A843" s="2" t="s">
        <v>9</v>
      </c>
      <c r="B843" s="2" t="s">
        <v>13</v>
      </c>
      <c r="C843" s="2" t="s">
        <v>14</v>
      </c>
      <c r="D843" s="2" t="s">
        <v>15</v>
      </c>
      <c r="E843" s="2" t="s">
        <v>16</v>
      </c>
      <c r="G843" s="2">
        <v>1</v>
      </c>
      <c r="H843" s="2" t="s">
        <v>10</v>
      </c>
      <c r="I843" s="2" t="s">
        <v>17</v>
      </c>
    </row>
    <row r="844" spans="1:9" x14ac:dyDescent="0.25">
      <c r="A844" s="2" t="s">
        <v>9</v>
      </c>
      <c r="B844" s="2" t="s">
        <v>18</v>
      </c>
      <c r="C844" s="2" t="s">
        <v>19</v>
      </c>
      <c r="D844" s="2" t="s">
        <v>15</v>
      </c>
      <c r="E844" s="2" t="s">
        <v>20</v>
      </c>
      <c r="G844" s="2">
        <v>1</v>
      </c>
      <c r="H844" s="2" t="s">
        <v>12</v>
      </c>
      <c r="I844" s="2" t="s">
        <v>12</v>
      </c>
    </row>
    <row r="845" spans="1:9" x14ac:dyDescent="0.25">
      <c r="A845" s="2" t="s">
        <v>9</v>
      </c>
      <c r="B845" s="2" t="s">
        <v>18</v>
      </c>
      <c r="C845" s="2" t="s">
        <v>19</v>
      </c>
      <c r="D845" s="2" t="s">
        <v>15</v>
      </c>
      <c r="E845" s="2" t="s">
        <v>20</v>
      </c>
      <c r="G845" s="2">
        <v>1</v>
      </c>
      <c r="H845" s="2" t="s">
        <v>12</v>
      </c>
      <c r="I845" s="2" t="s">
        <v>12</v>
      </c>
    </row>
    <row r="846" spans="1:9" x14ac:dyDescent="0.25">
      <c r="A846" s="2" t="s">
        <v>9</v>
      </c>
      <c r="B846" s="2" t="s">
        <v>21</v>
      </c>
      <c r="C846" s="2" t="s">
        <v>19</v>
      </c>
      <c r="D846" s="2" t="s">
        <v>15</v>
      </c>
      <c r="E846" s="2" t="s">
        <v>22</v>
      </c>
      <c r="G846" s="2">
        <v>1</v>
      </c>
      <c r="H846" s="2" t="s">
        <v>12</v>
      </c>
      <c r="I846" s="2" t="s">
        <v>12</v>
      </c>
    </row>
    <row r="847" spans="1:9" x14ac:dyDescent="0.25">
      <c r="A847" s="2" t="s">
        <v>9</v>
      </c>
      <c r="B847" s="2" t="s">
        <v>21</v>
      </c>
      <c r="C847" s="2" t="s">
        <v>19</v>
      </c>
      <c r="D847" s="2" t="s">
        <v>15</v>
      </c>
      <c r="E847" s="2" t="s">
        <v>22</v>
      </c>
      <c r="G847" s="2">
        <v>1</v>
      </c>
      <c r="H847" s="2" t="s">
        <v>12</v>
      </c>
      <c r="I847" s="2" t="s">
        <v>12</v>
      </c>
    </row>
    <row r="848" spans="1:9" x14ac:dyDescent="0.25">
      <c r="A848" s="2" t="s">
        <v>9</v>
      </c>
      <c r="B848" s="2" t="s">
        <v>13</v>
      </c>
      <c r="C848" s="2" t="s">
        <v>14</v>
      </c>
      <c r="D848" s="2" t="s">
        <v>15</v>
      </c>
      <c r="E848" s="2" t="s">
        <v>16</v>
      </c>
      <c r="G848" s="2">
        <v>1</v>
      </c>
      <c r="H848" s="2" t="s">
        <v>10</v>
      </c>
      <c r="I848" s="2" t="s">
        <v>23</v>
      </c>
    </row>
    <row r="849" spans="1:9" x14ac:dyDescent="0.25">
      <c r="A849" s="2" t="s">
        <v>9</v>
      </c>
      <c r="B849" s="2" t="s">
        <v>18</v>
      </c>
      <c r="C849" s="2" t="s">
        <v>19</v>
      </c>
      <c r="D849" s="2" t="s">
        <v>15</v>
      </c>
      <c r="E849" s="2" t="s">
        <v>20</v>
      </c>
      <c r="G849" s="2">
        <v>1</v>
      </c>
      <c r="H849" s="2" t="s">
        <v>12</v>
      </c>
      <c r="I849" s="2" t="s">
        <v>12</v>
      </c>
    </row>
    <row r="850" spans="1:9" x14ac:dyDescent="0.25">
      <c r="A850" s="2" t="s">
        <v>9</v>
      </c>
      <c r="B850" s="2" t="s">
        <v>18</v>
      </c>
      <c r="C850" s="2" t="s">
        <v>19</v>
      </c>
      <c r="D850" s="2" t="s">
        <v>15</v>
      </c>
      <c r="E850" s="2" t="s">
        <v>20</v>
      </c>
      <c r="G850" s="2">
        <v>1</v>
      </c>
      <c r="H850" s="2" t="s">
        <v>12</v>
      </c>
      <c r="I850" s="2" t="s">
        <v>12</v>
      </c>
    </row>
    <row r="851" spans="1:9" x14ac:dyDescent="0.25">
      <c r="A851" s="2" t="s">
        <v>9</v>
      </c>
      <c r="B851" s="2" t="s">
        <v>21</v>
      </c>
      <c r="C851" s="2" t="s">
        <v>19</v>
      </c>
      <c r="D851" s="2" t="s">
        <v>15</v>
      </c>
      <c r="E851" s="2" t="s">
        <v>22</v>
      </c>
      <c r="G851" s="2">
        <v>1</v>
      </c>
      <c r="H851" s="2" t="s">
        <v>12</v>
      </c>
      <c r="I851" s="2" t="s">
        <v>12</v>
      </c>
    </row>
    <row r="852" spans="1:9" x14ac:dyDescent="0.25">
      <c r="A852" s="2" t="s">
        <v>9</v>
      </c>
      <c r="B852" s="2" t="s">
        <v>21</v>
      </c>
      <c r="C852" s="2" t="s">
        <v>19</v>
      </c>
      <c r="D852" s="2" t="s">
        <v>15</v>
      </c>
      <c r="E852" s="2" t="s">
        <v>22</v>
      </c>
      <c r="G852" s="2">
        <v>1</v>
      </c>
      <c r="H852" s="2" t="s">
        <v>12</v>
      </c>
      <c r="I852" s="2" t="s">
        <v>12</v>
      </c>
    </row>
    <row r="853" spans="1:9" x14ac:dyDescent="0.25">
      <c r="A853" s="2" t="s">
        <v>9</v>
      </c>
      <c r="B853" s="2" t="s">
        <v>24</v>
      </c>
      <c r="C853" s="2" t="s">
        <v>25</v>
      </c>
      <c r="D853" s="2" t="s">
        <v>26</v>
      </c>
      <c r="E853" s="2" t="s">
        <v>27</v>
      </c>
      <c r="G853" s="2">
        <v>1</v>
      </c>
      <c r="H853" s="2" t="s">
        <v>10</v>
      </c>
      <c r="I853" s="2" t="s">
        <v>28</v>
      </c>
    </row>
    <row r="854" spans="1:9" x14ac:dyDescent="0.25">
      <c r="A854" s="2" t="s">
        <v>9</v>
      </c>
      <c r="B854" s="2" t="s">
        <v>29</v>
      </c>
      <c r="C854" s="2" t="s">
        <v>19</v>
      </c>
      <c r="D854" s="2" t="s">
        <v>26</v>
      </c>
      <c r="E854" s="2" t="s">
        <v>30</v>
      </c>
      <c r="G854" s="2">
        <v>1</v>
      </c>
      <c r="H854" s="2" t="s">
        <v>12</v>
      </c>
      <c r="I854" s="2" t="s">
        <v>12</v>
      </c>
    </row>
    <row r="855" spans="1:9" x14ac:dyDescent="0.25">
      <c r="A855" s="2" t="s">
        <v>9</v>
      </c>
      <c r="B855" s="2" t="s">
        <v>29</v>
      </c>
      <c r="C855" s="2" t="s">
        <v>19</v>
      </c>
      <c r="D855" s="2" t="s">
        <v>26</v>
      </c>
      <c r="E855" s="2" t="s">
        <v>30</v>
      </c>
      <c r="G855" s="2">
        <v>1</v>
      </c>
      <c r="H855" s="2" t="s">
        <v>12</v>
      </c>
      <c r="I855" s="2" t="s">
        <v>12</v>
      </c>
    </row>
    <row r="856" spans="1:9" x14ac:dyDescent="0.25">
      <c r="A856" s="2" t="s">
        <v>9</v>
      </c>
      <c r="B856" s="2" t="s">
        <v>29</v>
      </c>
      <c r="C856" s="2" t="s">
        <v>19</v>
      </c>
      <c r="D856" s="2" t="s">
        <v>26</v>
      </c>
      <c r="E856" s="2" t="s">
        <v>30</v>
      </c>
      <c r="G856" s="2">
        <v>1</v>
      </c>
      <c r="H856" s="2" t="s">
        <v>12</v>
      </c>
      <c r="I856" s="2" t="s">
        <v>12</v>
      </c>
    </row>
    <row r="857" spans="1:9" x14ac:dyDescent="0.25">
      <c r="A857" s="2" t="s">
        <v>9</v>
      </c>
      <c r="B857" s="2" t="s">
        <v>29</v>
      </c>
      <c r="C857" s="2" t="s">
        <v>19</v>
      </c>
      <c r="D857" s="2" t="s">
        <v>26</v>
      </c>
      <c r="E857" s="2" t="s">
        <v>30</v>
      </c>
      <c r="G857" s="2">
        <v>1</v>
      </c>
      <c r="H857" s="2" t="s">
        <v>12</v>
      </c>
      <c r="I857" s="2" t="s">
        <v>12</v>
      </c>
    </row>
    <row r="858" spans="1:9" x14ac:dyDescent="0.25">
      <c r="A858" s="2" t="s">
        <v>9</v>
      </c>
      <c r="B858" s="2" t="s">
        <v>29</v>
      </c>
      <c r="C858" s="2" t="s">
        <v>19</v>
      </c>
      <c r="D858" s="2" t="s">
        <v>26</v>
      </c>
      <c r="E858" s="2" t="s">
        <v>30</v>
      </c>
      <c r="G858" s="2">
        <v>1</v>
      </c>
      <c r="H858" s="2" t="s">
        <v>12</v>
      </c>
      <c r="I858" s="2" t="s">
        <v>12</v>
      </c>
    </row>
    <row r="859" spans="1:9" x14ac:dyDescent="0.25">
      <c r="A859" s="2" t="s">
        <v>9</v>
      </c>
      <c r="B859" s="2" t="s">
        <v>31</v>
      </c>
      <c r="C859" s="2" t="s">
        <v>19</v>
      </c>
      <c r="D859" s="2" t="s">
        <v>26</v>
      </c>
      <c r="E859" s="2" t="s">
        <v>32</v>
      </c>
      <c r="G859" s="2">
        <v>1</v>
      </c>
      <c r="H859" s="2" t="s">
        <v>12</v>
      </c>
      <c r="I859" s="2" t="s">
        <v>12</v>
      </c>
    </row>
    <row r="860" spans="1:9" x14ac:dyDescent="0.25">
      <c r="A860" s="2" t="s">
        <v>9</v>
      </c>
      <c r="B860" s="2" t="s">
        <v>31</v>
      </c>
      <c r="C860" s="2" t="s">
        <v>19</v>
      </c>
      <c r="D860" s="2" t="s">
        <v>26</v>
      </c>
      <c r="E860" s="2" t="s">
        <v>32</v>
      </c>
      <c r="G860" s="2">
        <v>1</v>
      </c>
      <c r="H860" s="2" t="s">
        <v>12</v>
      </c>
      <c r="I860" s="2" t="s">
        <v>12</v>
      </c>
    </row>
    <row r="861" spans="1:9" x14ac:dyDescent="0.25">
      <c r="A861" s="2" t="s">
        <v>9</v>
      </c>
      <c r="B861" s="2" t="s">
        <v>31</v>
      </c>
      <c r="C861" s="2" t="s">
        <v>19</v>
      </c>
      <c r="D861" s="2" t="s">
        <v>26</v>
      </c>
      <c r="E861" s="2" t="s">
        <v>32</v>
      </c>
      <c r="G861" s="2">
        <v>1</v>
      </c>
      <c r="H861" s="2" t="s">
        <v>12</v>
      </c>
      <c r="I861" s="2" t="s">
        <v>12</v>
      </c>
    </row>
    <row r="862" spans="1:9" x14ac:dyDescent="0.25">
      <c r="A862" s="2" t="s">
        <v>9</v>
      </c>
      <c r="B862" s="2" t="s">
        <v>31</v>
      </c>
      <c r="C862" s="2" t="s">
        <v>19</v>
      </c>
      <c r="D862" s="2" t="s">
        <v>26</v>
      </c>
      <c r="E862" s="2" t="s">
        <v>32</v>
      </c>
      <c r="G862" s="2">
        <v>1</v>
      </c>
      <c r="H862" s="2" t="s">
        <v>12</v>
      </c>
      <c r="I862" s="2" t="s">
        <v>12</v>
      </c>
    </row>
    <row r="863" spans="1:9" x14ac:dyDescent="0.25">
      <c r="A863" s="2" t="s">
        <v>9</v>
      </c>
      <c r="B863" s="2" t="s">
        <v>31</v>
      </c>
      <c r="C863" s="2" t="s">
        <v>19</v>
      </c>
      <c r="D863" s="2" t="s">
        <v>26</v>
      </c>
      <c r="E863" s="2" t="s">
        <v>32</v>
      </c>
      <c r="G863" s="2">
        <v>1</v>
      </c>
      <c r="H863" s="2" t="s">
        <v>12</v>
      </c>
      <c r="I863" s="2" t="s">
        <v>12</v>
      </c>
    </row>
    <row r="864" spans="1:9" x14ac:dyDescent="0.25">
      <c r="A864" s="2" t="s">
        <v>9</v>
      </c>
      <c r="B864" s="2" t="s">
        <v>31</v>
      </c>
      <c r="C864" s="2" t="s">
        <v>19</v>
      </c>
      <c r="D864" s="2" t="s">
        <v>26</v>
      </c>
      <c r="E864" s="2" t="s">
        <v>32</v>
      </c>
      <c r="G864" s="2">
        <v>1</v>
      </c>
      <c r="H864" s="2" t="s">
        <v>12</v>
      </c>
      <c r="I864" s="2" t="s">
        <v>12</v>
      </c>
    </row>
    <row r="865" spans="1:9" x14ac:dyDescent="0.25">
      <c r="A865" s="2" t="s">
        <v>9</v>
      </c>
      <c r="B865" s="2" t="s">
        <v>31</v>
      </c>
      <c r="C865" s="2" t="s">
        <v>19</v>
      </c>
      <c r="D865" s="2" t="s">
        <v>26</v>
      </c>
      <c r="E865" s="2" t="s">
        <v>32</v>
      </c>
      <c r="G865" s="2">
        <v>1</v>
      </c>
      <c r="H865" s="2" t="s">
        <v>12</v>
      </c>
      <c r="I865" s="2" t="s">
        <v>12</v>
      </c>
    </row>
    <row r="866" spans="1:9" x14ac:dyDescent="0.25">
      <c r="A866" s="2" t="s">
        <v>9</v>
      </c>
      <c r="B866" s="2" t="s">
        <v>31</v>
      </c>
      <c r="C866" s="2" t="s">
        <v>19</v>
      </c>
      <c r="D866" s="2" t="s">
        <v>26</v>
      </c>
      <c r="E866" s="2" t="s">
        <v>32</v>
      </c>
      <c r="G866" s="2">
        <v>1</v>
      </c>
      <c r="H866" s="2" t="s">
        <v>12</v>
      </c>
      <c r="I866" s="2" t="s">
        <v>12</v>
      </c>
    </row>
    <row r="867" spans="1:9" x14ac:dyDescent="0.25">
      <c r="A867" s="2" t="s">
        <v>9</v>
      </c>
      <c r="B867" s="2" t="s">
        <v>31</v>
      </c>
      <c r="C867" s="2" t="s">
        <v>19</v>
      </c>
      <c r="D867" s="2" t="s">
        <v>26</v>
      </c>
      <c r="E867" s="2" t="s">
        <v>32</v>
      </c>
      <c r="G867" s="2">
        <v>1</v>
      </c>
      <c r="H867" s="2" t="s">
        <v>12</v>
      </c>
      <c r="I867" s="2" t="s">
        <v>12</v>
      </c>
    </row>
    <row r="868" spans="1:9" x14ac:dyDescent="0.25">
      <c r="A868" s="2" t="s">
        <v>9</v>
      </c>
      <c r="B868" s="2" t="s">
        <v>31</v>
      </c>
      <c r="C868" s="2" t="s">
        <v>19</v>
      </c>
      <c r="D868" s="2" t="s">
        <v>26</v>
      </c>
      <c r="E868" s="2" t="s">
        <v>32</v>
      </c>
      <c r="G868" s="2">
        <v>1</v>
      </c>
      <c r="H868" s="2" t="s">
        <v>12</v>
      </c>
      <c r="I868" s="2" t="s">
        <v>12</v>
      </c>
    </row>
    <row r="869" spans="1:9" x14ac:dyDescent="0.25">
      <c r="A869" s="2" t="s">
        <v>9</v>
      </c>
      <c r="B869" s="2" t="s">
        <v>33</v>
      </c>
      <c r="C869" s="2" t="s">
        <v>19</v>
      </c>
      <c r="D869" s="2" t="s">
        <v>26</v>
      </c>
      <c r="E869" s="2" t="s">
        <v>34</v>
      </c>
      <c r="G869" s="2">
        <v>1</v>
      </c>
      <c r="H869" s="2" t="s">
        <v>12</v>
      </c>
      <c r="I869" s="2" t="s">
        <v>12</v>
      </c>
    </row>
    <row r="870" spans="1:9" x14ac:dyDescent="0.25">
      <c r="A870" s="2" t="s">
        <v>9</v>
      </c>
      <c r="B870" s="2" t="s">
        <v>33</v>
      </c>
      <c r="C870" s="2" t="s">
        <v>19</v>
      </c>
      <c r="D870" s="2" t="s">
        <v>26</v>
      </c>
      <c r="E870" s="2" t="s">
        <v>34</v>
      </c>
      <c r="G870" s="2">
        <v>1</v>
      </c>
      <c r="H870" s="2" t="s">
        <v>12</v>
      </c>
      <c r="I870" s="2" t="s">
        <v>12</v>
      </c>
    </row>
    <row r="871" spans="1:9" x14ac:dyDescent="0.25">
      <c r="A871" s="2" t="s">
        <v>9</v>
      </c>
      <c r="B871" s="2" t="s">
        <v>33</v>
      </c>
      <c r="C871" s="2" t="s">
        <v>19</v>
      </c>
      <c r="D871" s="2" t="s">
        <v>26</v>
      </c>
      <c r="E871" s="2" t="s">
        <v>34</v>
      </c>
      <c r="G871" s="2">
        <v>1</v>
      </c>
      <c r="H871" s="2" t="s">
        <v>12</v>
      </c>
      <c r="I871" s="2" t="s">
        <v>12</v>
      </c>
    </row>
    <row r="872" spans="1:9" x14ac:dyDescent="0.25">
      <c r="A872" s="2" t="s">
        <v>9</v>
      </c>
      <c r="B872" s="2" t="s">
        <v>33</v>
      </c>
      <c r="C872" s="2" t="s">
        <v>19</v>
      </c>
      <c r="D872" s="2" t="s">
        <v>26</v>
      </c>
      <c r="E872" s="2" t="s">
        <v>34</v>
      </c>
      <c r="G872" s="2">
        <v>1</v>
      </c>
      <c r="H872" s="2" t="s">
        <v>12</v>
      </c>
      <c r="I872" s="2" t="s">
        <v>12</v>
      </c>
    </row>
    <row r="873" spans="1:9" x14ac:dyDescent="0.25">
      <c r="A873" s="2" t="s">
        <v>9</v>
      </c>
      <c r="B873" s="2" t="s">
        <v>24</v>
      </c>
      <c r="C873" s="2" t="s">
        <v>25</v>
      </c>
      <c r="D873" s="2" t="s">
        <v>26</v>
      </c>
      <c r="E873" s="2" t="s">
        <v>27</v>
      </c>
      <c r="G873" s="2">
        <v>1</v>
      </c>
      <c r="H873" s="2" t="s">
        <v>10</v>
      </c>
      <c r="I873" s="2" t="s">
        <v>35</v>
      </c>
    </row>
    <row r="874" spans="1:9" x14ac:dyDescent="0.25">
      <c r="A874" s="2" t="s">
        <v>9</v>
      </c>
      <c r="B874" s="2" t="s">
        <v>29</v>
      </c>
      <c r="C874" s="2" t="s">
        <v>19</v>
      </c>
      <c r="D874" s="2" t="s">
        <v>26</v>
      </c>
      <c r="E874" s="2" t="s">
        <v>30</v>
      </c>
      <c r="G874" s="2">
        <v>1</v>
      </c>
      <c r="H874" s="2" t="s">
        <v>12</v>
      </c>
      <c r="I874" s="2" t="s">
        <v>12</v>
      </c>
    </row>
    <row r="875" spans="1:9" x14ac:dyDescent="0.25">
      <c r="A875" s="2" t="s">
        <v>9</v>
      </c>
      <c r="B875" s="2" t="s">
        <v>29</v>
      </c>
      <c r="C875" s="2" t="s">
        <v>19</v>
      </c>
      <c r="D875" s="2" t="s">
        <v>26</v>
      </c>
      <c r="E875" s="2" t="s">
        <v>30</v>
      </c>
      <c r="G875" s="2">
        <v>1</v>
      </c>
      <c r="H875" s="2" t="s">
        <v>12</v>
      </c>
      <c r="I875" s="2" t="s">
        <v>12</v>
      </c>
    </row>
    <row r="876" spans="1:9" x14ac:dyDescent="0.25">
      <c r="A876" s="2" t="s">
        <v>9</v>
      </c>
      <c r="B876" s="2" t="s">
        <v>29</v>
      </c>
      <c r="C876" s="2" t="s">
        <v>19</v>
      </c>
      <c r="D876" s="2" t="s">
        <v>26</v>
      </c>
      <c r="E876" s="2" t="s">
        <v>30</v>
      </c>
      <c r="G876" s="2">
        <v>1</v>
      </c>
      <c r="H876" s="2" t="s">
        <v>12</v>
      </c>
      <c r="I876" s="2" t="s">
        <v>12</v>
      </c>
    </row>
    <row r="877" spans="1:9" x14ac:dyDescent="0.25">
      <c r="A877" s="2" t="s">
        <v>9</v>
      </c>
      <c r="B877" s="2" t="s">
        <v>29</v>
      </c>
      <c r="C877" s="2" t="s">
        <v>19</v>
      </c>
      <c r="D877" s="2" t="s">
        <v>26</v>
      </c>
      <c r="E877" s="2" t="s">
        <v>30</v>
      </c>
      <c r="G877" s="2">
        <v>1</v>
      </c>
      <c r="H877" s="2" t="s">
        <v>12</v>
      </c>
      <c r="I877" s="2" t="s">
        <v>12</v>
      </c>
    </row>
    <row r="878" spans="1:9" x14ac:dyDescent="0.25">
      <c r="A878" s="2" t="s">
        <v>9</v>
      </c>
      <c r="B878" s="2" t="s">
        <v>29</v>
      </c>
      <c r="C878" s="2" t="s">
        <v>19</v>
      </c>
      <c r="D878" s="2" t="s">
        <v>26</v>
      </c>
      <c r="E878" s="2" t="s">
        <v>30</v>
      </c>
      <c r="G878" s="2">
        <v>1</v>
      </c>
      <c r="H878" s="2" t="s">
        <v>12</v>
      </c>
      <c r="I878" s="2" t="s">
        <v>12</v>
      </c>
    </row>
    <row r="879" spans="1:9" x14ac:dyDescent="0.25">
      <c r="A879" s="2" t="s">
        <v>9</v>
      </c>
      <c r="B879" s="2" t="s">
        <v>31</v>
      </c>
      <c r="C879" s="2" t="s">
        <v>19</v>
      </c>
      <c r="D879" s="2" t="s">
        <v>26</v>
      </c>
      <c r="E879" s="2" t="s">
        <v>32</v>
      </c>
      <c r="G879" s="2">
        <v>1</v>
      </c>
      <c r="H879" s="2" t="s">
        <v>12</v>
      </c>
      <c r="I879" s="2" t="s">
        <v>12</v>
      </c>
    </row>
    <row r="880" spans="1:9" x14ac:dyDescent="0.25">
      <c r="A880" s="2" t="s">
        <v>9</v>
      </c>
      <c r="B880" s="2" t="s">
        <v>31</v>
      </c>
      <c r="C880" s="2" t="s">
        <v>19</v>
      </c>
      <c r="D880" s="2" t="s">
        <v>26</v>
      </c>
      <c r="E880" s="2" t="s">
        <v>32</v>
      </c>
      <c r="G880" s="2">
        <v>1</v>
      </c>
      <c r="H880" s="2" t="s">
        <v>12</v>
      </c>
      <c r="I880" s="2" t="s">
        <v>12</v>
      </c>
    </row>
    <row r="881" spans="1:9" x14ac:dyDescent="0.25">
      <c r="A881" s="2" t="s">
        <v>9</v>
      </c>
      <c r="B881" s="2" t="s">
        <v>31</v>
      </c>
      <c r="C881" s="2" t="s">
        <v>19</v>
      </c>
      <c r="D881" s="2" t="s">
        <v>26</v>
      </c>
      <c r="E881" s="2" t="s">
        <v>32</v>
      </c>
      <c r="G881" s="2">
        <v>1</v>
      </c>
      <c r="H881" s="2" t="s">
        <v>12</v>
      </c>
      <c r="I881" s="2" t="s">
        <v>12</v>
      </c>
    </row>
    <row r="882" spans="1:9" x14ac:dyDescent="0.25">
      <c r="A882" s="2" t="s">
        <v>9</v>
      </c>
      <c r="B882" s="2" t="s">
        <v>31</v>
      </c>
      <c r="C882" s="2" t="s">
        <v>19</v>
      </c>
      <c r="D882" s="2" t="s">
        <v>26</v>
      </c>
      <c r="E882" s="2" t="s">
        <v>32</v>
      </c>
      <c r="G882" s="2">
        <v>1</v>
      </c>
      <c r="H882" s="2" t="s">
        <v>12</v>
      </c>
      <c r="I882" s="2" t="s">
        <v>12</v>
      </c>
    </row>
    <row r="883" spans="1:9" x14ac:dyDescent="0.25">
      <c r="A883" s="2" t="s">
        <v>9</v>
      </c>
      <c r="B883" s="2" t="s">
        <v>31</v>
      </c>
      <c r="C883" s="2" t="s">
        <v>19</v>
      </c>
      <c r="D883" s="2" t="s">
        <v>26</v>
      </c>
      <c r="E883" s="2" t="s">
        <v>32</v>
      </c>
      <c r="G883" s="2">
        <v>1</v>
      </c>
      <c r="H883" s="2" t="s">
        <v>12</v>
      </c>
      <c r="I883" s="2" t="s">
        <v>12</v>
      </c>
    </row>
    <row r="884" spans="1:9" x14ac:dyDescent="0.25">
      <c r="A884" s="2" t="s">
        <v>9</v>
      </c>
      <c r="B884" s="2" t="s">
        <v>31</v>
      </c>
      <c r="C884" s="2" t="s">
        <v>19</v>
      </c>
      <c r="D884" s="2" t="s">
        <v>26</v>
      </c>
      <c r="E884" s="2" t="s">
        <v>32</v>
      </c>
      <c r="G884" s="2">
        <v>1</v>
      </c>
      <c r="H884" s="2" t="s">
        <v>12</v>
      </c>
      <c r="I884" s="2" t="s">
        <v>12</v>
      </c>
    </row>
    <row r="885" spans="1:9" x14ac:dyDescent="0.25">
      <c r="A885" s="2" t="s">
        <v>9</v>
      </c>
      <c r="B885" s="2" t="s">
        <v>31</v>
      </c>
      <c r="C885" s="2" t="s">
        <v>19</v>
      </c>
      <c r="D885" s="2" t="s">
        <v>26</v>
      </c>
      <c r="E885" s="2" t="s">
        <v>32</v>
      </c>
      <c r="G885" s="2">
        <v>1</v>
      </c>
      <c r="H885" s="2" t="s">
        <v>12</v>
      </c>
      <c r="I885" s="2" t="s">
        <v>12</v>
      </c>
    </row>
    <row r="886" spans="1:9" x14ac:dyDescent="0.25">
      <c r="A886" s="2" t="s">
        <v>9</v>
      </c>
      <c r="B886" s="2" t="s">
        <v>31</v>
      </c>
      <c r="C886" s="2" t="s">
        <v>19</v>
      </c>
      <c r="D886" s="2" t="s">
        <v>26</v>
      </c>
      <c r="E886" s="2" t="s">
        <v>32</v>
      </c>
      <c r="G886" s="2">
        <v>1</v>
      </c>
      <c r="H886" s="2" t="s">
        <v>12</v>
      </c>
      <c r="I886" s="2" t="s">
        <v>12</v>
      </c>
    </row>
    <row r="887" spans="1:9" x14ac:dyDescent="0.25">
      <c r="A887" s="2" t="s">
        <v>9</v>
      </c>
      <c r="B887" s="2" t="s">
        <v>31</v>
      </c>
      <c r="C887" s="2" t="s">
        <v>19</v>
      </c>
      <c r="D887" s="2" t="s">
        <v>26</v>
      </c>
      <c r="E887" s="2" t="s">
        <v>32</v>
      </c>
      <c r="G887" s="2">
        <v>1</v>
      </c>
      <c r="H887" s="2" t="s">
        <v>12</v>
      </c>
      <c r="I887" s="2" t="s">
        <v>12</v>
      </c>
    </row>
    <row r="888" spans="1:9" x14ac:dyDescent="0.25">
      <c r="A888" s="2" t="s">
        <v>9</v>
      </c>
      <c r="B888" s="2" t="s">
        <v>33</v>
      </c>
      <c r="C888" s="2" t="s">
        <v>19</v>
      </c>
      <c r="D888" s="2" t="s">
        <v>26</v>
      </c>
      <c r="E888" s="2" t="s">
        <v>34</v>
      </c>
      <c r="G888" s="2">
        <v>1</v>
      </c>
      <c r="H888" s="2" t="s">
        <v>12</v>
      </c>
      <c r="I888" s="2" t="s">
        <v>12</v>
      </c>
    </row>
    <row r="889" spans="1:9" x14ac:dyDescent="0.25">
      <c r="A889" s="2" t="s">
        <v>9</v>
      </c>
      <c r="B889" s="2" t="s">
        <v>33</v>
      </c>
      <c r="C889" s="2" t="s">
        <v>19</v>
      </c>
      <c r="D889" s="2" t="s">
        <v>26</v>
      </c>
      <c r="E889" s="2" t="s">
        <v>34</v>
      </c>
      <c r="G889" s="2">
        <v>1</v>
      </c>
      <c r="H889" s="2" t="s">
        <v>12</v>
      </c>
      <c r="I889" s="2" t="s">
        <v>12</v>
      </c>
    </row>
    <row r="890" spans="1:9" x14ac:dyDescent="0.25">
      <c r="A890" s="2" t="s">
        <v>9</v>
      </c>
      <c r="B890" s="2" t="s">
        <v>33</v>
      </c>
      <c r="C890" s="2" t="s">
        <v>19</v>
      </c>
      <c r="D890" s="2" t="s">
        <v>26</v>
      </c>
      <c r="E890" s="2" t="s">
        <v>34</v>
      </c>
      <c r="G890" s="2">
        <v>1</v>
      </c>
      <c r="H890" s="2" t="s">
        <v>12</v>
      </c>
      <c r="I890" s="2" t="s">
        <v>12</v>
      </c>
    </row>
    <row r="891" spans="1:9" x14ac:dyDescent="0.25">
      <c r="A891" s="2" t="s">
        <v>9</v>
      </c>
      <c r="B891" s="2" t="s">
        <v>33</v>
      </c>
      <c r="C891" s="2" t="s">
        <v>19</v>
      </c>
      <c r="D891" s="2" t="s">
        <v>26</v>
      </c>
      <c r="E891" s="2" t="s">
        <v>34</v>
      </c>
      <c r="G891" s="2">
        <v>1</v>
      </c>
      <c r="H891" s="2" t="s">
        <v>12</v>
      </c>
      <c r="I891" s="2" t="s">
        <v>12</v>
      </c>
    </row>
    <row r="892" spans="1:9" x14ac:dyDescent="0.25">
      <c r="A892" s="2" t="s">
        <v>9</v>
      </c>
      <c r="B892" s="2" t="s">
        <v>36</v>
      </c>
      <c r="C892" s="2" t="s">
        <v>11</v>
      </c>
      <c r="D892" s="2" t="s">
        <v>12</v>
      </c>
      <c r="E892" s="2" t="s">
        <v>12</v>
      </c>
      <c r="F892" s="8" t="s">
        <v>12</v>
      </c>
      <c r="G892" s="2">
        <v>1</v>
      </c>
      <c r="H892" s="2" t="s">
        <v>36</v>
      </c>
      <c r="I892" s="2" t="s">
        <v>12</v>
      </c>
    </row>
    <row r="893" spans="1:9" x14ac:dyDescent="0.25">
      <c r="A893" s="2" t="s">
        <v>9</v>
      </c>
      <c r="B893" s="2" t="s">
        <v>13</v>
      </c>
      <c r="C893" s="2" t="s">
        <v>14</v>
      </c>
      <c r="D893" s="2" t="s">
        <v>15</v>
      </c>
      <c r="E893" s="2" t="s">
        <v>16</v>
      </c>
      <c r="G893" s="2">
        <v>1</v>
      </c>
      <c r="H893" s="2" t="s">
        <v>36</v>
      </c>
      <c r="I893" s="2" t="s">
        <v>37</v>
      </c>
    </row>
    <row r="894" spans="1:9" x14ac:dyDescent="0.25">
      <c r="A894" s="2" t="s">
        <v>9</v>
      </c>
      <c r="B894" s="2" t="s">
        <v>18</v>
      </c>
      <c r="C894" s="2" t="s">
        <v>19</v>
      </c>
      <c r="D894" s="2" t="s">
        <v>15</v>
      </c>
      <c r="E894" s="2" t="s">
        <v>20</v>
      </c>
      <c r="G894" s="2">
        <v>1</v>
      </c>
      <c r="H894" s="2" t="s">
        <v>12</v>
      </c>
      <c r="I894" s="2" t="s">
        <v>12</v>
      </c>
    </row>
    <row r="895" spans="1:9" x14ac:dyDescent="0.25">
      <c r="A895" s="2" t="s">
        <v>9</v>
      </c>
      <c r="B895" s="2" t="s">
        <v>18</v>
      </c>
      <c r="C895" s="2" t="s">
        <v>19</v>
      </c>
      <c r="D895" s="2" t="s">
        <v>15</v>
      </c>
      <c r="E895" s="2" t="s">
        <v>20</v>
      </c>
      <c r="G895" s="2">
        <v>1</v>
      </c>
      <c r="H895" s="2" t="s">
        <v>12</v>
      </c>
      <c r="I895" s="2" t="s">
        <v>12</v>
      </c>
    </row>
    <row r="896" spans="1:9" x14ac:dyDescent="0.25">
      <c r="A896" s="2" t="s">
        <v>9</v>
      </c>
      <c r="B896" s="2" t="s">
        <v>21</v>
      </c>
      <c r="C896" s="2" t="s">
        <v>19</v>
      </c>
      <c r="D896" s="2" t="s">
        <v>15</v>
      </c>
      <c r="E896" s="2" t="s">
        <v>22</v>
      </c>
      <c r="G896" s="2">
        <v>1</v>
      </c>
      <c r="H896" s="2" t="s">
        <v>12</v>
      </c>
      <c r="I896" s="2" t="s">
        <v>12</v>
      </c>
    </row>
    <row r="897" spans="1:9" x14ac:dyDescent="0.25">
      <c r="A897" s="2" t="s">
        <v>9</v>
      </c>
      <c r="B897" s="2" t="s">
        <v>21</v>
      </c>
      <c r="C897" s="2" t="s">
        <v>19</v>
      </c>
      <c r="D897" s="2" t="s">
        <v>15</v>
      </c>
      <c r="E897" s="2" t="s">
        <v>22</v>
      </c>
      <c r="G897" s="2">
        <v>1</v>
      </c>
      <c r="H897" s="2" t="s">
        <v>12</v>
      </c>
      <c r="I897" s="2" t="s">
        <v>12</v>
      </c>
    </row>
    <row r="898" spans="1:9" x14ac:dyDescent="0.25">
      <c r="A898" s="2" t="s">
        <v>9</v>
      </c>
      <c r="B898" s="2" t="s">
        <v>13</v>
      </c>
      <c r="C898" s="2" t="s">
        <v>14</v>
      </c>
      <c r="D898" s="2" t="s">
        <v>15</v>
      </c>
      <c r="E898" s="2" t="s">
        <v>16</v>
      </c>
      <c r="G898" s="2">
        <v>1</v>
      </c>
      <c r="H898" s="2" t="s">
        <v>36</v>
      </c>
      <c r="I898" s="2" t="s">
        <v>38</v>
      </c>
    </row>
    <row r="899" spans="1:9" x14ac:dyDescent="0.25">
      <c r="A899" s="2" t="s">
        <v>9</v>
      </c>
      <c r="B899" s="2" t="s">
        <v>18</v>
      </c>
      <c r="C899" s="2" t="s">
        <v>19</v>
      </c>
      <c r="D899" s="2" t="s">
        <v>15</v>
      </c>
      <c r="E899" s="2" t="s">
        <v>20</v>
      </c>
      <c r="G899" s="2">
        <v>1</v>
      </c>
      <c r="H899" s="2" t="s">
        <v>12</v>
      </c>
      <c r="I899" s="2" t="s">
        <v>12</v>
      </c>
    </row>
    <row r="900" spans="1:9" x14ac:dyDescent="0.25">
      <c r="A900" s="2" t="s">
        <v>9</v>
      </c>
      <c r="B900" s="2" t="s">
        <v>18</v>
      </c>
      <c r="C900" s="2" t="s">
        <v>19</v>
      </c>
      <c r="D900" s="2" t="s">
        <v>15</v>
      </c>
      <c r="E900" s="2" t="s">
        <v>20</v>
      </c>
      <c r="G900" s="2">
        <v>1</v>
      </c>
      <c r="H900" s="2" t="s">
        <v>12</v>
      </c>
      <c r="I900" s="2" t="s">
        <v>12</v>
      </c>
    </row>
    <row r="901" spans="1:9" x14ac:dyDescent="0.25">
      <c r="A901" s="2" t="s">
        <v>9</v>
      </c>
      <c r="B901" s="2" t="s">
        <v>21</v>
      </c>
      <c r="C901" s="2" t="s">
        <v>19</v>
      </c>
      <c r="D901" s="2" t="s">
        <v>15</v>
      </c>
      <c r="E901" s="2" t="s">
        <v>22</v>
      </c>
      <c r="G901" s="2">
        <v>1</v>
      </c>
      <c r="H901" s="2" t="s">
        <v>12</v>
      </c>
      <c r="I901" s="2" t="s">
        <v>12</v>
      </c>
    </row>
    <row r="902" spans="1:9" x14ac:dyDescent="0.25">
      <c r="A902" s="2" t="s">
        <v>9</v>
      </c>
      <c r="B902" s="2" t="s">
        <v>21</v>
      </c>
      <c r="C902" s="2" t="s">
        <v>19</v>
      </c>
      <c r="D902" s="2" t="s">
        <v>15</v>
      </c>
      <c r="E902" s="2" t="s">
        <v>22</v>
      </c>
      <c r="G902" s="2">
        <v>1</v>
      </c>
      <c r="H902" s="2" t="s">
        <v>12</v>
      </c>
      <c r="I902" s="2" t="s">
        <v>12</v>
      </c>
    </row>
    <row r="903" spans="1:9" x14ac:dyDescent="0.25">
      <c r="A903" s="2" t="s">
        <v>9</v>
      </c>
      <c r="B903" s="2" t="s">
        <v>39</v>
      </c>
      <c r="C903" s="2" t="s">
        <v>40</v>
      </c>
      <c r="D903" s="2" t="s">
        <v>15</v>
      </c>
      <c r="E903" s="2" t="s">
        <v>41</v>
      </c>
      <c r="G903" s="2">
        <v>1</v>
      </c>
      <c r="H903" s="2" t="s">
        <v>12</v>
      </c>
      <c r="I903" s="2" t="s">
        <v>12</v>
      </c>
    </row>
    <row r="904" spans="1:9" x14ac:dyDescent="0.25">
      <c r="A904" s="2" t="s">
        <v>9</v>
      </c>
      <c r="B904" s="2" t="s">
        <v>39</v>
      </c>
      <c r="C904" s="2" t="s">
        <v>40</v>
      </c>
      <c r="D904" s="2" t="s">
        <v>15</v>
      </c>
      <c r="E904" s="2" t="s">
        <v>41</v>
      </c>
      <c r="G904" s="2">
        <v>1</v>
      </c>
      <c r="H904" s="2" t="s">
        <v>12</v>
      </c>
      <c r="I904" s="2" t="s">
        <v>12</v>
      </c>
    </row>
    <row r="905" spans="1:9" x14ac:dyDescent="0.25">
      <c r="A905" s="2" t="s">
        <v>9</v>
      </c>
      <c r="B905" s="2" t="s">
        <v>42</v>
      </c>
      <c r="C905" s="2" t="s">
        <v>43</v>
      </c>
      <c r="D905" s="2" t="s">
        <v>15</v>
      </c>
      <c r="E905" s="2" t="s">
        <v>44</v>
      </c>
      <c r="G905" s="2">
        <v>1</v>
      </c>
      <c r="H905" s="2" t="s">
        <v>36</v>
      </c>
      <c r="I905" s="2" t="s">
        <v>45</v>
      </c>
    </row>
    <row r="906" spans="1:9" x14ac:dyDescent="0.25">
      <c r="A906" s="2" t="s">
        <v>9</v>
      </c>
      <c r="B906" s="2" t="s">
        <v>46</v>
      </c>
      <c r="C906" s="2" t="s">
        <v>43</v>
      </c>
      <c r="D906" s="2" t="s">
        <v>15</v>
      </c>
      <c r="E906" s="2" t="s">
        <v>47</v>
      </c>
      <c r="G906" s="2">
        <v>1</v>
      </c>
      <c r="H906" s="2" t="s">
        <v>12</v>
      </c>
      <c r="I906" s="2" t="s">
        <v>12</v>
      </c>
    </row>
    <row r="907" spans="1:9" x14ac:dyDescent="0.25">
      <c r="A907" s="2" t="s">
        <v>9</v>
      </c>
      <c r="B907" s="2" t="s">
        <v>46</v>
      </c>
      <c r="C907" s="2" t="s">
        <v>43</v>
      </c>
      <c r="D907" s="2" t="s">
        <v>15</v>
      </c>
      <c r="E907" s="2" t="s">
        <v>47</v>
      </c>
      <c r="G907" s="2">
        <v>1</v>
      </c>
      <c r="H907" s="2" t="s">
        <v>12</v>
      </c>
      <c r="I907" s="2" t="s">
        <v>12</v>
      </c>
    </row>
    <row r="908" spans="1:9" x14ac:dyDescent="0.25">
      <c r="A908" s="2" t="s">
        <v>9</v>
      </c>
      <c r="B908" s="2" t="s">
        <v>48</v>
      </c>
      <c r="C908" s="2" t="s">
        <v>40</v>
      </c>
      <c r="D908" s="2" t="s">
        <v>15</v>
      </c>
      <c r="E908" s="2" t="s">
        <v>49</v>
      </c>
      <c r="G908" s="2">
        <v>1</v>
      </c>
      <c r="H908" s="2" t="s">
        <v>12</v>
      </c>
      <c r="I908" s="2" t="s">
        <v>12</v>
      </c>
    </row>
    <row r="909" spans="1:9" x14ac:dyDescent="0.25">
      <c r="A909" s="2" t="s">
        <v>9</v>
      </c>
      <c r="B909" s="2" t="s">
        <v>48</v>
      </c>
      <c r="C909" s="2" t="s">
        <v>40</v>
      </c>
      <c r="D909" s="2" t="s">
        <v>15</v>
      </c>
      <c r="E909" s="2" t="s">
        <v>49</v>
      </c>
      <c r="G909" s="2">
        <v>1</v>
      </c>
      <c r="H909" s="2" t="s">
        <v>12</v>
      </c>
      <c r="I909" s="2" t="s">
        <v>12</v>
      </c>
    </row>
    <row r="910" spans="1:9" x14ac:dyDescent="0.25">
      <c r="A910" s="2" t="s">
        <v>9</v>
      </c>
      <c r="B910" s="2" t="s">
        <v>48</v>
      </c>
      <c r="C910" s="2" t="s">
        <v>40</v>
      </c>
      <c r="D910" s="2" t="s">
        <v>15</v>
      </c>
      <c r="E910" s="2" t="s">
        <v>49</v>
      </c>
      <c r="G910" s="2">
        <v>1</v>
      </c>
      <c r="H910" s="2" t="s">
        <v>12</v>
      </c>
      <c r="I910" s="2" t="s">
        <v>12</v>
      </c>
    </row>
    <row r="911" spans="1:9" x14ac:dyDescent="0.25">
      <c r="A911" s="2" t="s">
        <v>9</v>
      </c>
      <c r="B911" s="2" t="s">
        <v>48</v>
      </c>
      <c r="C911" s="2" t="s">
        <v>40</v>
      </c>
      <c r="D911" s="2" t="s">
        <v>15</v>
      </c>
      <c r="E911" s="2" t="s">
        <v>49</v>
      </c>
      <c r="G911" s="2">
        <v>1</v>
      </c>
      <c r="H911" s="2" t="s">
        <v>12</v>
      </c>
      <c r="I911" s="2" t="s">
        <v>12</v>
      </c>
    </row>
    <row r="912" spans="1:9" x14ac:dyDescent="0.25">
      <c r="A912" s="2" t="s">
        <v>9</v>
      </c>
      <c r="B912" s="2" t="s">
        <v>48</v>
      </c>
      <c r="C912" s="2" t="s">
        <v>40</v>
      </c>
      <c r="D912" s="2" t="s">
        <v>15</v>
      </c>
      <c r="E912" s="2" t="s">
        <v>49</v>
      </c>
      <c r="G912" s="2">
        <v>1</v>
      </c>
      <c r="H912" s="2" t="s">
        <v>12</v>
      </c>
      <c r="I912" s="2" t="s">
        <v>12</v>
      </c>
    </row>
    <row r="913" spans="1:9" x14ac:dyDescent="0.25">
      <c r="A913" s="2" t="s">
        <v>9</v>
      </c>
      <c r="B913" s="2" t="s">
        <v>48</v>
      </c>
      <c r="C913" s="2" t="s">
        <v>40</v>
      </c>
      <c r="D913" s="2" t="s">
        <v>15</v>
      </c>
      <c r="E913" s="2" t="s">
        <v>49</v>
      </c>
      <c r="G913" s="2">
        <v>1</v>
      </c>
      <c r="H913" s="2" t="s">
        <v>12</v>
      </c>
      <c r="I913" s="2" t="s">
        <v>12</v>
      </c>
    </row>
    <row r="914" spans="1:9" x14ac:dyDescent="0.25">
      <c r="A914" s="2" t="s">
        <v>9</v>
      </c>
      <c r="B914" s="2" t="s">
        <v>48</v>
      </c>
      <c r="C914" s="2" t="s">
        <v>40</v>
      </c>
      <c r="D914" s="2" t="s">
        <v>15</v>
      </c>
      <c r="E914" s="2" t="s">
        <v>49</v>
      </c>
      <c r="G914" s="2">
        <v>1</v>
      </c>
      <c r="H914" s="2" t="s">
        <v>12</v>
      </c>
      <c r="I914" s="2" t="s">
        <v>12</v>
      </c>
    </row>
    <row r="915" spans="1:9" x14ac:dyDescent="0.25">
      <c r="A915" s="2" t="s">
        <v>9</v>
      </c>
      <c r="B915" s="2" t="s">
        <v>48</v>
      </c>
      <c r="C915" s="2" t="s">
        <v>40</v>
      </c>
      <c r="D915" s="2" t="s">
        <v>15</v>
      </c>
      <c r="E915" s="2" t="s">
        <v>49</v>
      </c>
      <c r="G915" s="2">
        <v>1</v>
      </c>
      <c r="H915" s="2" t="s">
        <v>12</v>
      </c>
      <c r="I915" s="2" t="s">
        <v>12</v>
      </c>
    </row>
    <row r="916" spans="1:9" x14ac:dyDescent="0.25">
      <c r="A916" s="2" t="s">
        <v>9</v>
      </c>
      <c r="B916" s="2" t="s">
        <v>48</v>
      </c>
      <c r="C916" s="2" t="s">
        <v>40</v>
      </c>
      <c r="D916" s="2" t="s">
        <v>15</v>
      </c>
      <c r="E916" s="2" t="s">
        <v>49</v>
      </c>
      <c r="G916" s="2">
        <v>1</v>
      </c>
      <c r="H916" s="2" t="s">
        <v>12</v>
      </c>
      <c r="I916" s="2" t="s">
        <v>12</v>
      </c>
    </row>
    <row r="917" spans="1:9" x14ac:dyDescent="0.25">
      <c r="A917" s="2" t="s">
        <v>9</v>
      </c>
      <c r="B917" s="2" t="s">
        <v>48</v>
      </c>
      <c r="C917" s="2" t="s">
        <v>40</v>
      </c>
      <c r="D917" s="2" t="s">
        <v>15</v>
      </c>
      <c r="E917" s="2" t="s">
        <v>49</v>
      </c>
      <c r="G917" s="2">
        <v>1</v>
      </c>
      <c r="H917" s="2" t="s">
        <v>12</v>
      </c>
      <c r="I917" s="2" t="s">
        <v>12</v>
      </c>
    </row>
    <row r="918" spans="1:9" x14ac:dyDescent="0.25">
      <c r="A918" s="2" t="s">
        <v>9</v>
      </c>
      <c r="B918" s="2" t="s">
        <v>48</v>
      </c>
      <c r="C918" s="2" t="s">
        <v>40</v>
      </c>
      <c r="D918" s="2" t="s">
        <v>15</v>
      </c>
      <c r="E918" s="2" t="s">
        <v>49</v>
      </c>
      <c r="G918" s="2">
        <v>1</v>
      </c>
      <c r="H918" s="2" t="s">
        <v>12</v>
      </c>
      <c r="I918" s="2" t="s">
        <v>12</v>
      </c>
    </row>
    <row r="919" spans="1:9" x14ac:dyDescent="0.25">
      <c r="A919" s="2" t="s">
        <v>9</v>
      </c>
      <c r="B919" s="2" t="s">
        <v>48</v>
      </c>
      <c r="C919" s="2" t="s">
        <v>40</v>
      </c>
      <c r="D919" s="2" t="s">
        <v>15</v>
      </c>
      <c r="E919" s="2" t="s">
        <v>49</v>
      </c>
      <c r="G919" s="2">
        <v>1</v>
      </c>
      <c r="H919" s="2" t="s">
        <v>12</v>
      </c>
      <c r="I919" s="2" t="s">
        <v>12</v>
      </c>
    </row>
    <row r="920" spans="1:9" x14ac:dyDescent="0.25">
      <c r="A920" s="2" t="s">
        <v>9</v>
      </c>
      <c r="B920" s="2" t="s">
        <v>50</v>
      </c>
      <c r="C920" s="2" t="s">
        <v>19</v>
      </c>
      <c r="D920" s="2" t="s">
        <v>15</v>
      </c>
      <c r="E920" s="2" t="s">
        <v>51</v>
      </c>
      <c r="G920" s="2">
        <v>1</v>
      </c>
      <c r="H920" s="2" t="s">
        <v>12</v>
      </c>
      <c r="I920" s="2" t="s">
        <v>12</v>
      </c>
    </row>
    <row r="921" spans="1:9" x14ac:dyDescent="0.25">
      <c r="A921" s="2" t="s">
        <v>9</v>
      </c>
      <c r="B921" s="2" t="s">
        <v>50</v>
      </c>
      <c r="C921" s="2" t="s">
        <v>19</v>
      </c>
      <c r="D921" s="2" t="s">
        <v>15</v>
      </c>
      <c r="E921" s="2" t="s">
        <v>51</v>
      </c>
      <c r="G921" s="2">
        <v>1</v>
      </c>
      <c r="H921" s="2" t="s">
        <v>12</v>
      </c>
      <c r="I921" s="2" t="s">
        <v>12</v>
      </c>
    </row>
    <row r="922" spans="1:9" x14ac:dyDescent="0.25">
      <c r="A922" s="2" t="s">
        <v>9</v>
      </c>
      <c r="B922" s="2" t="s">
        <v>50</v>
      </c>
      <c r="C922" s="2" t="s">
        <v>19</v>
      </c>
      <c r="D922" s="2" t="s">
        <v>15</v>
      </c>
      <c r="E922" s="2" t="s">
        <v>51</v>
      </c>
      <c r="G922" s="2">
        <v>1</v>
      </c>
      <c r="H922" s="2" t="s">
        <v>12</v>
      </c>
      <c r="I922" s="2" t="s">
        <v>12</v>
      </c>
    </row>
    <row r="923" spans="1:9" x14ac:dyDescent="0.25">
      <c r="A923" s="2" t="s">
        <v>9</v>
      </c>
      <c r="B923" s="2" t="s">
        <v>50</v>
      </c>
      <c r="C923" s="2" t="s">
        <v>19</v>
      </c>
      <c r="D923" s="2" t="s">
        <v>15</v>
      </c>
      <c r="E923" s="2" t="s">
        <v>51</v>
      </c>
      <c r="G923" s="2">
        <v>1</v>
      </c>
      <c r="H923" s="2" t="s">
        <v>12</v>
      </c>
      <c r="I923" s="2" t="s">
        <v>12</v>
      </c>
    </row>
    <row r="924" spans="1:9" x14ac:dyDescent="0.25">
      <c r="A924" s="2" t="s">
        <v>9</v>
      </c>
      <c r="B924" s="2" t="s">
        <v>50</v>
      </c>
      <c r="C924" s="2" t="s">
        <v>19</v>
      </c>
      <c r="D924" s="2" t="s">
        <v>15</v>
      </c>
      <c r="E924" s="2" t="s">
        <v>51</v>
      </c>
      <c r="G924" s="2">
        <v>1</v>
      </c>
      <c r="H924" s="2" t="s">
        <v>12</v>
      </c>
      <c r="I924" s="2" t="s">
        <v>12</v>
      </c>
    </row>
    <row r="925" spans="1:9" x14ac:dyDescent="0.25">
      <c r="A925" s="2" t="s">
        <v>9</v>
      </c>
      <c r="B925" s="2" t="s">
        <v>50</v>
      </c>
      <c r="C925" s="2" t="s">
        <v>19</v>
      </c>
      <c r="D925" s="2" t="s">
        <v>15</v>
      </c>
      <c r="E925" s="2" t="s">
        <v>51</v>
      </c>
      <c r="G925" s="2">
        <v>1</v>
      </c>
      <c r="H925" s="2" t="s">
        <v>12</v>
      </c>
      <c r="I925" s="2" t="s">
        <v>12</v>
      </c>
    </row>
    <row r="926" spans="1:9" x14ac:dyDescent="0.25">
      <c r="A926" s="2" t="s">
        <v>9</v>
      </c>
      <c r="B926" s="2" t="s">
        <v>50</v>
      </c>
      <c r="C926" s="2" t="s">
        <v>19</v>
      </c>
      <c r="D926" s="2" t="s">
        <v>15</v>
      </c>
      <c r="E926" s="2" t="s">
        <v>51</v>
      </c>
      <c r="G926" s="2">
        <v>1</v>
      </c>
      <c r="H926" s="2" t="s">
        <v>12</v>
      </c>
      <c r="I926" s="2" t="s">
        <v>12</v>
      </c>
    </row>
    <row r="927" spans="1:9" x14ac:dyDescent="0.25">
      <c r="A927" s="2" t="s">
        <v>9</v>
      </c>
      <c r="B927" s="2" t="s">
        <v>50</v>
      </c>
      <c r="C927" s="2" t="s">
        <v>19</v>
      </c>
      <c r="D927" s="2" t="s">
        <v>15</v>
      </c>
      <c r="E927" s="2" t="s">
        <v>51</v>
      </c>
      <c r="G927" s="2">
        <v>1</v>
      </c>
      <c r="H927" s="2" t="s">
        <v>12</v>
      </c>
      <c r="I927" s="2" t="s">
        <v>12</v>
      </c>
    </row>
    <row r="928" spans="1:9" x14ac:dyDescent="0.25">
      <c r="A928" s="2" t="s">
        <v>9</v>
      </c>
      <c r="B928" s="2" t="s">
        <v>52</v>
      </c>
      <c r="C928" s="2" t="s">
        <v>11</v>
      </c>
      <c r="D928" s="2" t="s">
        <v>12</v>
      </c>
      <c r="E928" s="2" t="s">
        <v>12</v>
      </c>
      <c r="F928" s="8" t="s">
        <v>12</v>
      </c>
      <c r="G928" s="2">
        <v>1</v>
      </c>
      <c r="H928" s="2" t="s">
        <v>52</v>
      </c>
      <c r="I928" s="2" t="s">
        <v>12</v>
      </c>
    </row>
    <row r="929" spans="1:9" x14ac:dyDescent="0.25">
      <c r="A929" s="2" t="s">
        <v>9</v>
      </c>
      <c r="B929" s="2" t="s">
        <v>53</v>
      </c>
      <c r="C929" s="2" t="s">
        <v>54</v>
      </c>
      <c r="D929" s="2" t="s">
        <v>55</v>
      </c>
      <c r="E929" s="2" t="s">
        <v>56</v>
      </c>
      <c r="G929" s="2">
        <v>1</v>
      </c>
      <c r="H929" s="2" t="s">
        <v>52</v>
      </c>
      <c r="I929" s="2" t="s">
        <v>57</v>
      </c>
    </row>
    <row r="930" spans="1:9" x14ac:dyDescent="0.25">
      <c r="A930" s="2" t="s">
        <v>9</v>
      </c>
      <c r="B930" s="2" t="s">
        <v>58</v>
      </c>
      <c r="C930" s="2" t="s">
        <v>59</v>
      </c>
      <c r="D930" s="2" t="s">
        <v>15</v>
      </c>
      <c r="E930" s="2" t="s">
        <v>60</v>
      </c>
      <c r="G930" s="2">
        <v>1</v>
      </c>
      <c r="H930" s="2" t="s">
        <v>52</v>
      </c>
      <c r="I930" s="2" t="s">
        <v>61</v>
      </c>
    </row>
    <row r="931" spans="1:9" x14ac:dyDescent="0.25">
      <c r="A931" s="2" t="s">
        <v>9</v>
      </c>
      <c r="B931" s="2" t="s">
        <v>62</v>
      </c>
      <c r="C931" s="2" t="s">
        <v>63</v>
      </c>
      <c r="D931" s="2" t="s">
        <v>12</v>
      </c>
      <c r="E931" s="2" t="s">
        <v>12</v>
      </c>
      <c r="F931" s="8" t="s">
        <v>12</v>
      </c>
      <c r="G931" s="2">
        <v>1</v>
      </c>
      <c r="H931" s="2" t="s">
        <v>62</v>
      </c>
      <c r="I931" s="2" t="s">
        <v>12</v>
      </c>
    </row>
    <row r="932" spans="1:9" x14ac:dyDescent="0.25">
      <c r="A932" s="2" t="s">
        <v>9</v>
      </c>
      <c r="B932" s="2" t="s">
        <v>64</v>
      </c>
      <c r="C932" s="2" t="s">
        <v>65</v>
      </c>
      <c r="D932" s="2" t="s">
        <v>66</v>
      </c>
      <c r="E932" s="2" t="s">
        <v>67</v>
      </c>
      <c r="G932" s="2">
        <v>1</v>
      </c>
      <c r="H932" s="2" t="s">
        <v>12</v>
      </c>
      <c r="I932" s="2" t="s">
        <v>68</v>
      </c>
    </row>
    <row r="933" spans="1:9" x14ac:dyDescent="0.25">
      <c r="A933" s="2" t="s">
        <v>9</v>
      </c>
      <c r="B933" s="2" t="s">
        <v>69</v>
      </c>
      <c r="C933" s="2" t="s">
        <v>70</v>
      </c>
      <c r="D933" s="2" t="s">
        <v>66</v>
      </c>
      <c r="E933" s="2" t="s">
        <v>71</v>
      </c>
      <c r="G933" s="2">
        <v>1</v>
      </c>
      <c r="H933" s="2" t="s">
        <v>12</v>
      </c>
      <c r="I933" s="2" t="s">
        <v>72</v>
      </c>
    </row>
    <row r="934" spans="1:9" x14ac:dyDescent="0.25">
      <c r="A934" s="2" t="s">
        <v>9</v>
      </c>
      <c r="B934" s="2" t="s">
        <v>69</v>
      </c>
      <c r="C934" s="2" t="s">
        <v>70</v>
      </c>
      <c r="D934" s="2" t="s">
        <v>66</v>
      </c>
      <c r="E934" s="2" t="s">
        <v>71</v>
      </c>
      <c r="G934" s="2">
        <v>1</v>
      </c>
      <c r="H934" s="2" t="s">
        <v>12</v>
      </c>
      <c r="I934" s="2" t="s">
        <v>73</v>
      </c>
    </row>
    <row r="935" spans="1:9" x14ac:dyDescent="0.25">
      <c r="A935" s="2" t="s">
        <v>9</v>
      </c>
      <c r="B935" s="2" t="s">
        <v>64</v>
      </c>
      <c r="C935" s="2" t="s">
        <v>65</v>
      </c>
      <c r="D935" s="2" t="s">
        <v>66</v>
      </c>
      <c r="E935" s="2" t="s">
        <v>67</v>
      </c>
      <c r="G935" s="2">
        <v>1</v>
      </c>
      <c r="H935" s="2" t="s">
        <v>12</v>
      </c>
      <c r="I935" s="2" t="s">
        <v>74</v>
      </c>
    </row>
    <row r="936" spans="1:9" x14ac:dyDescent="0.25">
      <c r="A936" s="2" t="s">
        <v>9</v>
      </c>
      <c r="B936" s="2" t="s">
        <v>69</v>
      </c>
      <c r="C936" s="2" t="s">
        <v>70</v>
      </c>
      <c r="D936" s="2" t="s">
        <v>66</v>
      </c>
      <c r="E936" s="2" t="s">
        <v>71</v>
      </c>
      <c r="G936" s="2">
        <v>1</v>
      </c>
      <c r="H936" s="2" t="s">
        <v>12</v>
      </c>
      <c r="I936" s="2" t="s">
        <v>75</v>
      </c>
    </row>
    <row r="937" spans="1:9" x14ac:dyDescent="0.25">
      <c r="A937" s="2" t="s">
        <v>9</v>
      </c>
      <c r="B937" s="2" t="s">
        <v>69</v>
      </c>
      <c r="C937" s="2" t="s">
        <v>70</v>
      </c>
      <c r="D937" s="2" t="s">
        <v>66</v>
      </c>
      <c r="E937" s="2" t="s">
        <v>71</v>
      </c>
      <c r="G937" s="2">
        <v>1</v>
      </c>
      <c r="H937" s="2" t="s">
        <v>12</v>
      </c>
      <c r="I937" s="2" t="s">
        <v>76</v>
      </c>
    </row>
    <row r="938" spans="1:9" x14ac:dyDescent="0.25">
      <c r="A938" s="2" t="s">
        <v>9</v>
      </c>
      <c r="B938" s="2" t="s">
        <v>77</v>
      </c>
      <c r="C938" s="2" t="s">
        <v>78</v>
      </c>
      <c r="D938" s="2" t="s">
        <v>12</v>
      </c>
      <c r="E938" s="2" t="s">
        <v>12</v>
      </c>
      <c r="F938" s="8" t="s">
        <v>12</v>
      </c>
      <c r="G938" s="2">
        <v>1</v>
      </c>
      <c r="H938" s="2" t="s">
        <v>77</v>
      </c>
      <c r="I938" s="2" t="s">
        <v>12</v>
      </c>
    </row>
    <row r="939" spans="1:9" x14ac:dyDescent="0.25">
      <c r="A939" s="2" t="s">
        <v>9</v>
      </c>
      <c r="B939" s="2" t="s">
        <v>64</v>
      </c>
      <c r="C939" s="2" t="s">
        <v>65</v>
      </c>
      <c r="D939" s="2" t="s">
        <v>66</v>
      </c>
      <c r="E939" s="2" t="s">
        <v>67</v>
      </c>
      <c r="G939" s="2">
        <v>1</v>
      </c>
      <c r="H939" s="2" t="s">
        <v>12</v>
      </c>
      <c r="I939" s="2" t="s">
        <v>79</v>
      </c>
    </row>
    <row r="940" spans="1:9" x14ac:dyDescent="0.25">
      <c r="A940" s="2" t="s">
        <v>9</v>
      </c>
      <c r="B940" s="2" t="s">
        <v>69</v>
      </c>
      <c r="C940" s="2" t="s">
        <v>70</v>
      </c>
      <c r="D940" s="2" t="s">
        <v>66</v>
      </c>
      <c r="E940" s="2" t="s">
        <v>71</v>
      </c>
      <c r="G940" s="2">
        <v>1</v>
      </c>
      <c r="H940" s="2" t="s">
        <v>12</v>
      </c>
      <c r="I940" s="2" t="s">
        <v>80</v>
      </c>
    </row>
    <row r="941" spans="1:9" x14ac:dyDescent="0.25">
      <c r="A941" s="2" t="s">
        <v>9</v>
      </c>
      <c r="B941" s="2" t="s">
        <v>69</v>
      </c>
      <c r="C941" s="2" t="s">
        <v>70</v>
      </c>
      <c r="D941" s="2" t="s">
        <v>66</v>
      </c>
      <c r="E941" s="2" t="s">
        <v>71</v>
      </c>
      <c r="F941" s="4" t="s">
        <v>112</v>
      </c>
      <c r="G941" s="2">
        <v>1</v>
      </c>
      <c r="H941" s="2" t="s">
        <v>12</v>
      </c>
      <c r="I941" s="2" t="s">
        <v>81</v>
      </c>
    </row>
    <row r="942" spans="1:9" x14ac:dyDescent="0.25">
      <c r="A942" s="2" t="s">
        <v>9</v>
      </c>
      <c r="B942" s="2" t="s">
        <v>64</v>
      </c>
      <c r="C942" s="2" t="s">
        <v>65</v>
      </c>
      <c r="D942" s="2" t="s">
        <v>66</v>
      </c>
      <c r="E942" s="2" t="s">
        <v>67</v>
      </c>
      <c r="G942" s="2">
        <v>1</v>
      </c>
      <c r="H942" s="2" t="s">
        <v>12</v>
      </c>
      <c r="I942" s="2" t="s">
        <v>82</v>
      </c>
    </row>
    <row r="943" spans="1:9" x14ac:dyDescent="0.25">
      <c r="A943" s="2" t="s">
        <v>9</v>
      </c>
      <c r="B943" s="2" t="s">
        <v>69</v>
      </c>
      <c r="C943" s="2" t="s">
        <v>70</v>
      </c>
      <c r="D943" s="2" t="s">
        <v>66</v>
      </c>
      <c r="E943" s="2" t="s">
        <v>71</v>
      </c>
      <c r="G943" s="2">
        <v>1</v>
      </c>
      <c r="H943" s="2" t="s">
        <v>12</v>
      </c>
      <c r="I943" s="2" t="s">
        <v>83</v>
      </c>
    </row>
    <row r="944" spans="1:9" x14ac:dyDescent="0.25">
      <c r="A944" s="2" t="s">
        <v>9</v>
      </c>
      <c r="B944" s="2" t="s">
        <v>69</v>
      </c>
      <c r="C944" s="2" t="s">
        <v>70</v>
      </c>
      <c r="D944" s="2" t="s">
        <v>66</v>
      </c>
      <c r="E944" s="2" t="s">
        <v>71</v>
      </c>
      <c r="F944" s="8" t="s">
        <v>117</v>
      </c>
      <c r="G944" s="2">
        <v>1</v>
      </c>
      <c r="H944" s="2" t="s">
        <v>12</v>
      </c>
      <c r="I944" s="2" t="s">
        <v>84</v>
      </c>
    </row>
    <row r="945" spans="1:9" x14ac:dyDescent="0.25">
      <c r="A945" s="2" t="s">
        <v>9</v>
      </c>
      <c r="B945" s="2" t="s">
        <v>85</v>
      </c>
      <c r="C945" s="2" t="s">
        <v>86</v>
      </c>
      <c r="D945" s="2" t="s">
        <v>12</v>
      </c>
      <c r="E945" s="2" t="s">
        <v>12</v>
      </c>
      <c r="F945" s="8" t="s">
        <v>12</v>
      </c>
      <c r="G945" s="2">
        <v>1</v>
      </c>
      <c r="H945" s="2" t="s">
        <v>85</v>
      </c>
      <c r="I945" s="2" t="s">
        <v>12</v>
      </c>
    </row>
    <row r="946" spans="1:9" x14ac:dyDescent="0.25">
      <c r="A946" s="2" t="s">
        <v>9</v>
      </c>
      <c r="B946" s="2" t="s">
        <v>64</v>
      </c>
      <c r="C946" s="2" t="s">
        <v>65</v>
      </c>
      <c r="D946" s="2" t="s">
        <v>66</v>
      </c>
      <c r="E946" s="2" t="s">
        <v>67</v>
      </c>
      <c r="G946" s="2">
        <v>1</v>
      </c>
      <c r="H946" s="2" t="s">
        <v>12</v>
      </c>
      <c r="I946" s="2" t="s">
        <v>87</v>
      </c>
    </row>
    <row r="947" spans="1:9" x14ac:dyDescent="0.25">
      <c r="A947" s="2" t="s">
        <v>9</v>
      </c>
      <c r="B947" s="2" t="s">
        <v>69</v>
      </c>
      <c r="C947" s="2" t="s">
        <v>70</v>
      </c>
      <c r="D947" s="2" t="s">
        <v>66</v>
      </c>
      <c r="E947" s="2" t="s">
        <v>71</v>
      </c>
      <c r="G947" s="2">
        <v>1</v>
      </c>
      <c r="H947" s="2" t="s">
        <v>12</v>
      </c>
      <c r="I947" s="2" t="s">
        <v>88</v>
      </c>
    </row>
    <row r="948" spans="1:9" x14ac:dyDescent="0.25">
      <c r="A948" s="2" t="s">
        <v>9</v>
      </c>
      <c r="B948" s="2" t="s">
        <v>69</v>
      </c>
      <c r="C948" s="2" t="s">
        <v>70</v>
      </c>
      <c r="D948" s="2" t="s">
        <v>66</v>
      </c>
      <c r="E948" s="2" t="s">
        <v>71</v>
      </c>
      <c r="G948" s="2">
        <v>1</v>
      </c>
      <c r="H948" s="2" t="s">
        <v>12</v>
      </c>
      <c r="I948" s="2" t="s">
        <v>89</v>
      </c>
    </row>
    <row r="949" spans="1:9" x14ac:dyDescent="0.25">
      <c r="A949" s="2" t="s">
        <v>9</v>
      </c>
      <c r="B949" s="2" t="s">
        <v>64</v>
      </c>
      <c r="C949" s="2" t="s">
        <v>65</v>
      </c>
      <c r="D949" s="2" t="s">
        <v>66</v>
      </c>
      <c r="E949" s="2" t="s">
        <v>67</v>
      </c>
      <c r="G949" s="2">
        <v>1</v>
      </c>
      <c r="H949" s="2" t="s">
        <v>12</v>
      </c>
      <c r="I949" s="2" t="s">
        <v>90</v>
      </c>
    </row>
    <row r="950" spans="1:9" x14ac:dyDescent="0.25">
      <c r="A950" s="2" t="s">
        <v>9</v>
      </c>
      <c r="B950" s="2" t="s">
        <v>69</v>
      </c>
      <c r="C950" s="2" t="s">
        <v>70</v>
      </c>
      <c r="D950" s="2" t="s">
        <v>66</v>
      </c>
      <c r="E950" s="2" t="s">
        <v>71</v>
      </c>
      <c r="G950" s="2">
        <v>1</v>
      </c>
      <c r="H950" s="2" t="s">
        <v>12</v>
      </c>
      <c r="I950" s="2" t="s">
        <v>91</v>
      </c>
    </row>
    <row r="951" spans="1:9" x14ac:dyDescent="0.25">
      <c r="A951" s="2" t="s">
        <v>9</v>
      </c>
      <c r="B951" s="2" t="s">
        <v>69</v>
      </c>
      <c r="C951" s="2" t="s">
        <v>70</v>
      </c>
      <c r="D951" s="2" t="s">
        <v>66</v>
      </c>
      <c r="E951" s="2" t="s">
        <v>71</v>
      </c>
      <c r="G951" s="2">
        <v>1</v>
      </c>
      <c r="H951" s="2" t="s">
        <v>12</v>
      </c>
      <c r="I951" s="2" t="s">
        <v>92</v>
      </c>
    </row>
    <row r="952" spans="1:9" x14ac:dyDescent="0.25">
      <c r="A952" s="2" t="s">
        <v>9</v>
      </c>
      <c r="B952" s="2" t="s">
        <v>93</v>
      </c>
      <c r="C952" s="2" t="s">
        <v>94</v>
      </c>
      <c r="D952" s="2" t="s">
        <v>12</v>
      </c>
      <c r="E952" s="2" t="s">
        <v>12</v>
      </c>
      <c r="F952" s="8" t="s">
        <v>12</v>
      </c>
      <c r="G952" s="2">
        <v>1</v>
      </c>
      <c r="H952" s="2" t="s">
        <v>93</v>
      </c>
      <c r="I952" s="2" t="s">
        <v>12</v>
      </c>
    </row>
    <row r="953" spans="1:9" x14ac:dyDescent="0.25">
      <c r="A953" s="2" t="s">
        <v>9</v>
      </c>
      <c r="B953" s="2" t="s">
        <v>64</v>
      </c>
      <c r="C953" s="2" t="s">
        <v>65</v>
      </c>
      <c r="D953" s="2" t="s">
        <v>66</v>
      </c>
      <c r="E953" s="2" t="s">
        <v>67</v>
      </c>
      <c r="G953" s="2">
        <v>1</v>
      </c>
      <c r="H953" s="2" t="s">
        <v>12</v>
      </c>
      <c r="I953" s="2" t="s">
        <v>95</v>
      </c>
    </row>
    <row r="954" spans="1:9" x14ac:dyDescent="0.25">
      <c r="A954" s="2" t="s">
        <v>9</v>
      </c>
      <c r="B954" s="2" t="s">
        <v>96</v>
      </c>
      <c r="C954" s="2" t="s">
        <v>70</v>
      </c>
      <c r="D954" s="2" t="s">
        <v>66</v>
      </c>
      <c r="E954" s="2" t="s">
        <v>97</v>
      </c>
      <c r="G954" s="2">
        <v>1</v>
      </c>
      <c r="H954" s="2" t="s">
        <v>12</v>
      </c>
      <c r="I954" s="2" t="s">
        <v>98</v>
      </c>
    </row>
    <row r="955" spans="1:9" x14ac:dyDescent="0.25">
      <c r="A955" s="2" t="s">
        <v>9</v>
      </c>
      <c r="B955" s="2" t="s">
        <v>96</v>
      </c>
      <c r="C955" s="2" t="s">
        <v>70</v>
      </c>
      <c r="D955" s="2" t="s">
        <v>66</v>
      </c>
      <c r="E955" s="2" t="s">
        <v>97</v>
      </c>
      <c r="G955" s="2">
        <v>1</v>
      </c>
      <c r="H955" s="2" t="s">
        <v>12</v>
      </c>
      <c r="I955" s="2" t="s">
        <v>99</v>
      </c>
    </row>
    <row r="956" spans="1:9" x14ac:dyDescent="0.25">
      <c r="A956" s="2" t="s">
        <v>9</v>
      </c>
      <c r="B956" s="2" t="s">
        <v>100</v>
      </c>
      <c r="C956" s="2" t="s">
        <v>101</v>
      </c>
      <c r="D956" s="2" t="s">
        <v>12</v>
      </c>
      <c r="E956" s="2" t="s">
        <v>12</v>
      </c>
      <c r="F956" s="8" t="s">
        <v>12</v>
      </c>
      <c r="G956" s="2">
        <v>1</v>
      </c>
      <c r="H956" s="2" t="s">
        <v>100</v>
      </c>
      <c r="I956" s="2" t="s">
        <v>12</v>
      </c>
    </row>
    <row r="957" spans="1:9" x14ac:dyDescent="0.25">
      <c r="A957" s="2" t="s">
        <v>9</v>
      </c>
      <c r="B957" s="2" t="s">
        <v>64</v>
      </c>
      <c r="C957" s="2" t="s">
        <v>65</v>
      </c>
      <c r="D957" s="2" t="s">
        <v>66</v>
      </c>
      <c r="E957" s="2" t="s">
        <v>67</v>
      </c>
      <c r="G957" s="2">
        <v>1</v>
      </c>
      <c r="H957" s="2" t="s">
        <v>12</v>
      </c>
      <c r="I957" s="2" t="s">
        <v>102</v>
      </c>
    </row>
    <row r="958" spans="1:9" x14ac:dyDescent="0.25">
      <c r="A958" s="2" t="s">
        <v>9</v>
      </c>
      <c r="B958" s="2" t="s">
        <v>69</v>
      </c>
      <c r="C958" s="2" t="s">
        <v>70</v>
      </c>
      <c r="D958" s="2" t="s">
        <v>66</v>
      </c>
      <c r="E958" s="2" t="s">
        <v>71</v>
      </c>
      <c r="G958" s="2">
        <v>1</v>
      </c>
      <c r="H958" s="2" t="s">
        <v>12</v>
      </c>
      <c r="I958" s="2" t="s">
        <v>103</v>
      </c>
    </row>
    <row r="959" spans="1:9" x14ac:dyDescent="0.25">
      <c r="A959" s="2" t="s">
        <v>9</v>
      </c>
      <c r="B959" s="2" t="s">
        <v>69</v>
      </c>
      <c r="C959" s="2" t="s">
        <v>70</v>
      </c>
      <c r="D959" s="2" t="s">
        <v>66</v>
      </c>
      <c r="E959" s="2" t="s">
        <v>71</v>
      </c>
      <c r="G959" s="2">
        <v>1</v>
      </c>
      <c r="H959" s="2" t="s">
        <v>12</v>
      </c>
      <c r="I959" s="2" t="s">
        <v>104</v>
      </c>
    </row>
    <row r="960" spans="1:9" x14ac:dyDescent="0.25">
      <c r="A960" s="2" t="s">
        <v>9</v>
      </c>
      <c r="B960" s="2" t="s">
        <v>64</v>
      </c>
      <c r="C960" s="2" t="s">
        <v>65</v>
      </c>
      <c r="D960" s="2" t="s">
        <v>66</v>
      </c>
      <c r="E960" s="2" t="s">
        <v>67</v>
      </c>
      <c r="G960" s="2">
        <v>1</v>
      </c>
      <c r="H960" s="2" t="s">
        <v>12</v>
      </c>
      <c r="I960" s="2" t="s">
        <v>105</v>
      </c>
    </row>
    <row r="961" spans="1:9" x14ac:dyDescent="0.25">
      <c r="A961" s="2" t="s">
        <v>9</v>
      </c>
      <c r="B961" s="2" t="s">
        <v>96</v>
      </c>
      <c r="C961" s="2" t="s">
        <v>70</v>
      </c>
      <c r="D961" s="2" t="s">
        <v>66</v>
      </c>
      <c r="E961" s="2" t="s">
        <v>97</v>
      </c>
      <c r="G961" s="2">
        <v>1</v>
      </c>
      <c r="H961" s="2" t="s">
        <v>12</v>
      </c>
      <c r="I961" s="2" t="s">
        <v>106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13E33-1C96-44F4-83B0-F544DDD1F812}">
  <sheetPr codeName="Munka5"/>
  <dimension ref="A1:H184"/>
  <sheetViews>
    <sheetView workbookViewId="0">
      <pane ySplit="1" topLeftCell="A2" activePane="bottomLeft" state="frozen"/>
      <selection pane="bottomLeft" sqref="A1:XFD1"/>
    </sheetView>
  </sheetViews>
  <sheetFormatPr defaultColWidth="8.85546875" defaultRowHeight="15" x14ac:dyDescent="0.25"/>
  <cols>
    <col min="1" max="1" width="64.42578125" bestFit="1" customWidth="1"/>
    <col min="2" max="2" width="16.7109375" bestFit="1" customWidth="1"/>
    <col min="3" max="3" width="13.85546875" bestFit="1" customWidth="1"/>
    <col min="4" max="4" width="26.85546875" bestFit="1" customWidth="1"/>
    <col min="5" max="5" width="13.42578125" bestFit="1" customWidth="1"/>
    <col min="6" max="6" width="8.7109375" bestFit="1" customWidth="1"/>
    <col min="7" max="7" width="26.42578125" bestFit="1" customWidth="1"/>
    <col min="8" max="8" width="19.42578125" bestFit="1" customWidth="1"/>
    <col min="9" max="9" width="14.28515625" bestFit="1" customWidth="1"/>
  </cols>
  <sheetData>
    <row r="1" spans="1:8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5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5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5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5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5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5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5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5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5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5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5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5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5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5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5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5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5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5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5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5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5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5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5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5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5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5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5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5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5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5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5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5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5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5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5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5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5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5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5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5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5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5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5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5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5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5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5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5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5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5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5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5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5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5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5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5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5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5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5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5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5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5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5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5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5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5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5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5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5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5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5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5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5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5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5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5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5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5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5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5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5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5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5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5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5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5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5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5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5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5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5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5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5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5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5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5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5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5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5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5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5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5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5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5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5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5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5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5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5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5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5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5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5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5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5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5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5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5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5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5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5"/>
    <row r="123" spans="1:8" s="2" customFormat="1" x14ac:dyDescent="0.25"/>
    <row r="124" spans="1:8" s="2" customFormat="1" x14ac:dyDescent="0.25"/>
    <row r="125" spans="1:8" s="2" customFormat="1" x14ac:dyDescent="0.25"/>
    <row r="126" spans="1:8" s="2" customFormat="1" x14ac:dyDescent="0.25"/>
    <row r="127" spans="1:8" s="2" customFormat="1" x14ac:dyDescent="0.25"/>
    <row r="128" spans="1:8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="2" customFormat="1" x14ac:dyDescent="0.25"/>
    <row r="146" s="2" customFormat="1" x14ac:dyDescent="0.25"/>
    <row r="147" s="2" customFormat="1" x14ac:dyDescent="0.25"/>
    <row r="148" s="2" customFormat="1" x14ac:dyDescent="0.25"/>
    <row r="149" s="2" customFormat="1" x14ac:dyDescent="0.25"/>
    <row r="150" s="2" customFormat="1" x14ac:dyDescent="0.25"/>
    <row r="151" s="2" customFormat="1" x14ac:dyDescent="0.25"/>
    <row r="152" s="2" customFormat="1" x14ac:dyDescent="0.25"/>
    <row r="153" s="2" customFormat="1" x14ac:dyDescent="0.25"/>
    <row r="154" s="2" customFormat="1" x14ac:dyDescent="0.25"/>
    <row r="155" s="2" customFormat="1" x14ac:dyDescent="0.25"/>
    <row r="156" s="2" customFormat="1" x14ac:dyDescent="0.25"/>
    <row r="157" s="2" customFormat="1" x14ac:dyDescent="0.25"/>
    <row r="158" s="2" customFormat="1" x14ac:dyDescent="0.25"/>
    <row r="159" s="2" customFormat="1" x14ac:dyDescent="0.25"/>
    <row r="160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5</vt:i4>
      </vt:variant>
    </vt:vector>
  </HeadingPairs>
  <TitlesOfParts>
    <vt:vector size="5" baseType="lpstr">
      <vt:lpstr>Scan</vt:lpstr>
      <vt:lpstr>Munka1</vt:lpstr>
      <vt:lpstr>Inventory</vt:lpstr>
      <vt:lpstr>Full Inventory</vt:lpstr>
      <vt:lpstr>Inventory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tamaslaszlo</cp:lastModifiedBy>
  <dcterms:created xsi:type="dcterms:W3CDTF">2019-09-26T06:48:38Z</dcterms:created>
  <dcterms:modified xsi:type="dcterms:W3CDTF">2019-11-18T10:14:57Z</dcterms:modified>
</cp:coreProperties>
</file>